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45892</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45892</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45892</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45892</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45892</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45892</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45892</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45892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45892</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62768-2021</t>
        </is>
      </c>
      <c r="B18" s="1" t="n">
        <v>44504</v>
      </c>
      <c r="C18" s="1" t="n">
        <v>45892</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3567-2024</t>
        </is>
      </c>
      <c r="B19" s="1" t="n">
        <v>45320.63706018519</v>
      </c>
      <c r="C19" s="1" t="n">
        <v>45892</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40493-2024</t>
        </is>
      </c>
      <c r="B20" s="1" t="n">
        <v>45555</v>
      </c>
      <c r="C20" s="1" t="n">
        <v>45892</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45892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45892</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45892</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45892</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45892</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45892</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61454-2024</t>
        </is>
      </c>
      <c r="B27" s="1" t="n">
        <v>45646</v>
      </c>
      <c r="C27" s="1" t="n">
        <v>45892</v>
      </c>
      <c r="D27" t="inlineStr">
        <is>
          <t>VÄSTMANLANDS LÄN</t>
        </is>
      </c>
      <c r="E27" t="inlineStr">
        <is>
          <t>SALA</t>
        </is>
      </c>
      <c r="G27" t="n">
        <v>15</v>
      </c>
      <c r="H27" t="n">
        <v>2</v>
      </c>
      <c r="I27" t="n">
        <v>0</v>
      </c>
      <c r="J27" t="n">
        <v>0</v>
      </c>
      <c r="K27" t="n">
        <v>1</v>
      </c>
      <c r="L27" t="n">
        <v>0</v>
      </c>
      <c r="M27" t="n">
        <v>0</v>
      </c>
      <c r="N27" t="n">
        <v>0</v>
      </c>
      <c r="O27" t="n">
        <v>1</v>
      </c>
      <c r="P27" t="n">
        <v>1</v>
      </c>
      <c r="Q27" t="n">
        <v>2</v>
      </c>
      <c r="R27" s="2" t="inlineStr">
        <is>
          <t>Knärot
Mindre vattensalamander</t>
        </is>
      </c>
      <c r="S27">
        <f>HYPERLINK("https://klasma.github.io/Logging_1981/artfynd/A 61454-2024 artfynd.xlsx", "A 61454-2024")</f>
        <v/>
      </c>
      <c r="T27">
        <f>HYPERLINK("https://klasma.github.io/Logging_1981/kartor/A 61454-2024 karta.png", "A 61454-2024")</f>
        <v/>
      </c>
      <c r="U27">
        <f>HYPERLINK("https://klasma.github.io/Logging_1981/knärot/A 61454-2024 karta knärot.png", "A 61454-2024")</f>
        <v/>
      </c>
      <c r="V27">
        <f>HYPERLINK("https://klasma.github.io/Logging_1981/klagomål/A 61454-2024 FSC-klagomål.docx", "A 61454-2024")</f>
        <v/>
      </c>
      <c r="W27">
        <f>HYPERLINK("https://klasma.github.io/Logging_1981/klagomålsmail/A 61454-2024 FSC-klagomål mail.docx", "A 61454-2024")</f>
        <v/>
      </c>
      <c r="X27">
        <f>HYPERLINK("https://klasma.github.io/Logging_1981/tillsyn/A 61454-2024 tillsynsbegäran.docx", "A 61454-2024")</f>
        <v/>
      </c>
      <c r="Y27">
        <f>HYPERLINK("https://klasma.github.io/Logging_1981/tillsynsmail/A 61454-2024 tillsynsbegäran mail.docx", "A 61454-2024")</f>
        <v/>
      </c>
    </row>
    <row r="28" ht="15" customHeight="1">
      <c r="A28" t="inlineStr">
        <is>
          <t>A 11846-2024</t>
        </is>
      </c>
      <c r="B28" s="1" t="n">
        <v>45376.4047337963</v>
      </c>
      <c r="C28" s="1" t="n">
        <v>45892</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45892</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24872-2025</t>
        </is>
      </c>
      <c r="B30" s="1" t="n">
        <v>45799.49038194444</v>
      </c>
      <c r="C30" s="1" t="n">
        <v>45892</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1500-2022</t>
        </is>
      </c>
      <c r="B31" s="1" t="n">
        <v>44573.54357638889</v>
      </c>
      <c r="C31" s="1" t="n">
        <v>45892</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45892</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12444-2024</t>
        </is>
      </c>
      <c r="B33" s="1" t="n">
        <v>45379.46285879629</v>
      </c>
      <c r="C33" s="1" t="n">
        <v>45892</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44970-2021</t>
        </is>
      </c>
      <c r="B34" s="1" t="n">
        <v>44438.74399305556</v>
      </c>
      <c r="C34" s="1" t="n">
        <v>45892</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45892</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45892</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45892</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7919-2022</t>
        </is>
      </c>
      <c r="B38" s="1" t="n">
        <v>44608</v>
      </c>
      <c r="C38" s="1" t="n">
        <v>45892</v>
      </c>
      <c r="D38" t="inlineStr">
        <is>
          <t>VÄSTMANLANDS LÄN</t>
        </is>
      </c>
      <c r="E38" t="inlineStr">
        <is>
          <t>SALA</t>
        </is>
      </c>
      <c r="F38" t="inlineStr">
        <is>
          <t>Bergvik skog öst AB</t>
        </is>
      </c>
      <c r="G38" t="n">
        <v>4.5</v>
      </c>
      <c r="H38" t="n">
        <v>1</v>
      </c>
      <c r="I38" t="n">
        <v>0</v>
      </c>
      <c r="J38" t="n">
        <v>1</v>
      </c>
      <c r="K38" t="n">
        <v>0</v>
      </c>
      <c r="L38" t="n">
        <v>0</v>
      </c>
      <c r="M38" t="n">
        <v>0</v>
      </c>
      <c r="N38" t="n">
        <v>0</v>
      </c>
      <c r="O38" t="n">
        <v>1</v>
      </c>
      <c r="P38" t="n">
        <v>0</v>
      </c>
      <c r="Q38" t="n">
        <v>1</v>
      </c>
      <c r="R38" s="2" t="inlineStr">
        <is>
          <t>Ävjepilört</t>
        </is>
      </c>
      <c r="S38">
        <f>HYPERLINK("https://klasma.github.io/Logging_1981/artfynd/A 7919-2022 artfynd.xlsx", "A 7919-2022")</f>
        <v/>
      </c>
      <c r="T38">
        <f>HYPERLINK("https://klasma.github.io/Logging_1981/kartor/A 7919-2022 karta.png", "A 7919-2022")</f>
        <v/>
      </c>
      <c r="V38">
        <f>HYPERLINK("https://klasma.github.io/Logging_1981/klagomål/A 7919-2022 FSC-klagomål.docx", "A 7919-2022")</f>
        <v/>
      </c>
      <c r="W38">
        <f>HYPERLINK("https://klasma.github.io/Logging_1981/klagomålsmail/A 7919-2022 FSC-klagomål mail.docx", "A 7919-2022")</f>
        <v/>
      </c>
      <c r="X38">
        <f>HYPERLINK("https://klasma.github.io/Logging_1981/tillsyn/A 7919-2022 tillsynsbegäran.docx", "A 7919-2022")</f>
        <v/>
      </c>
      <c r="Y38">
        <f>HYPERLINK("https://klasma.github.io/Logging_1981/tillsynsmail/A 7919-2022 tillsynsbegäran mail.docx", "A 7919-2022")</f>
        <v/>
      </c>
    </row>
    <row r="39" ht="15" customHeight="1">
      <c r="A39" t="inlineStr">
        <is>
          <t>A 29985-2022</t>
        </is>
      </c>
      <c r="B39" s="1" t="n">
        <v>44756</v>
      </c>
      <c r="C39" s="1" t="n">
        <v>45892</v>
      </c>
      <c r="D39" t="inlineStr">
        <is>
          <t>VÄSTMANLANDS LÄN</t>
        </is>
      </c>
      <c r="E39" t="inlineStr">
        <is>
          <t>SALA</t>
        </is>
      </c>
      <c r="F39" t="inlineStr">
        <is>
          <t>Kommuner</t>
        </is>
      </c>
      <c r="G39" t="n">
        <v>1</v>
      </c>
      <c r="H39" t="n">
        <v>1</v>
      </c>
      <c r="I39" t="n">
        <v>1</v>
      </c>
      <c r="J39" t="n">
        <v>0</v>
      </c>
      <c r="K39" t="n">
        <v>0</v>
      </c>
      <c r="L39" t="n">
        <v>0</v>
      </c>
      <c r="M39" t="n">
        <v>0</v>
      </c>
      <c r="N39" t="n">
        <v>0</v>
      </c>
      <c r="O39" t="n">
        <v>0</v>
      </c>
      <c r="P39" t="n">
        <v>0</v>
      </c>
      <c r="Q39" t="n">
        <v>1</v>
      </c>
      <c r="R39" s="2" t="inlineStr">
        <is>
          <t>Skogsknipprot</t>
        </is>
      </c>
      <c r="S39">
        <f>HYPERLINK("https://klasma.github.io/Logging_1981/artfynd/A 29985-2022 artfynd.xlsx", "A 29985-2022")</f>
        <v/>
      </c>
      <c r="T39">
        <f>HYPERLINK("https://klasma.github.io/Logging_1981/kartor/A 29985-2022 karta.png", "A 29985-2022")</f>
        <v/>
      </c>
      <c r="V39">
        <f>HYPERLINK("https://klasma.github.io/Logging_1981/klagomål/A 29985-2022 FSC-klagomål.docx", "A 29985-2022")</f>
        <v/>
      </c>
      <c r="W39">
        <f>HYPERLINK("https://klasma.github.io/Logging_1981/klagomålsmail/A 29985-2022 FSC-klagomål mail.docx", "A 29985-2022")</f>
        <v/>
      </c>
      <c r="X39">
        <f>HYPERLINK("https://klasma.github.io/Logging_1981/tillsyn/A 29985-2022 tillsynsbegäran.docx", "A 29985-2022")</f>
        <v/>
      </c>
      <c r="Y39">
        <f>HYPERLINK("https://klasma.github.io/Logging_1981/tillsynsmail/A 29985-2022 tillsynsbegäran mail.docx", "A 29985-2022")</f>
        <v/>
      </c>
    </row>
    <row r="40" ht="15" customHeight="1">
      <c r="A40" t="inlineStr">
        <is>
          <t>A 55550-2023</t>
        </is>
      </c>
      <c r="B40" s="1" t="n">
        <v>45232</v>
      </c>
      <c r="C40" s="1" t="n">
        <v>45892</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7731-2023</t>
        </is>
      </c>
      <c r="B41" s="1" t="n">
        <v>44973</v>
      </c>
      <c r="C41" s="1" t="n">
        <v>45892</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56704-2022</t>
        </is>
      </c>
      <c r="B42" s="1" t="n">
        <v>44893.78075231481</v>
      </c>
      <c r="C42" s="1" t="n">
        <v>45892</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37166-2024</t>
        </is>
      </c>
      <c r="B43" s="1" t="n">
        <v>45539</v>
      </c>
      <c r="C43" s="1" t="n">
        <v>45892</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45892</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39800-2020</t>
        </is>
      </c>
      <c r="B45" s="1" t="n">
        <v>44067</v>
      </c>
      <c r="C45" s="1" t="n">
        <v>45892</v>
      </c>
      <c r="D45" t="inlineStr">
        <is>
          <t>VÄSTMANLANDS LÄN</t>
        </is>
      </c>
      <c r="E45" t="inlineStr">
        <is>
          <t>SALA</t>
        </is>
      </c>
      <c r="F45" t="inlineStr">
        <is>
          <t>Sveaskog</t>
        </is>
      </c>
      <c r="G45" t="n">
        <v>1.8</v>
      </c>
      <c r="H45" t="n">
        <v>1</v>
      </c>
      <c r="I45" t="n">
        <v>0</v>
      </c>
      <c r="J45" t="n">
        <v>0</v>
      </c>
      <c r="K45" t="n">
        <v>1</v>
      </c>
      <c r="L45" t="n">
        <v>0</v>
      </c>
      <c r="M45" t="n">
        <v>0</v>
      </c>
      <c r="N45" t="n">
        <v>0</v>
      </c>
      <c r="O45" t="n">
        <v>1</v>
      </c>
      <c r="P45" t="n">
        <v>1</v>
      </c>
      <c r="Q45" t="n">
        <v>1</v>
      </c>
      <c r="R45" s="2" t="inlineStr">
        <is>
          <t>Bombmurkla</t>
        </is>
      </c>
      <c r="S45">
        <f>HYPERLINK("https://klasma.github.io/Logging_1981/artfynd/A 39800-2020 artfynd.xlsx", "A 39800-2020")</f>
        <v/>
      </c>
      <c r="T45">
        <f>HYPERLINK("https://klasma.github.io/Logging_1981/kartor/A 39800-2020 karta.png", "A 39800-2020")</f>
        <v/>
      </c>
      <c r="V45">
        <f>HYPERLINK("https://klasma.github.io/Logging_1981/klagomål/A 39800-2020 FSC-klagomål.docx", "A 39800-2020")</f>
        <v/>
      </c>
      <c r="W45">
        <f>HYPERLINK("https://klasma.github.io/Logging_1981/klagomålsmail/A 39800-2020 FSC-klagomål mail.docx", "A 39800-2020")</f>
        <v/>
      </c>
      <c r="X45">
        <f>HYPERLINK("https://klasma.github.io/Logging_1981/tillsyn/A 39800-2020 tillsynsbegäran.docx", "A 39800-2020")</f>
        <v/>
      </c>
      <c r="Y45">
        <f>HYPERLINK("https://klasma.github.io/Logging_1981/tillsynsmail/A 39800-2020 tillsynsbegäran mail.docx", "A 39800-2020")</f>
        <v/>
      </c>
    </row>
    <row r="46" ht="15" customHeight="1">
      <c r="A46" t="inlineStr">
        <is>
          <t>A 22950-2025</t>
        </is>
      </c>
      <c r="B46" s="1" t="n">
        <v>45790.50728009259</v>
      </c>
      <c r="C46" s="1" t="n">
        <v>45892</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41270-2024</t>
        </is>
      </c>
      <c r="B47" s="1" t="n">
        <v>45559</v>
      </c>
      <c r="C47" s="1" t="n">
        <v>45892</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45892</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45892</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42352-2020</t>
        </is>
      </c>
      <c r="B50" s="1" t="n">
        <v>44076</v>
      </c>
      <c r="C50" s="1" t="n">
        <v>45892</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32594-2025</t>
        </is>
      </c>
      <c r="B51" s="1" t="n">
        <v>45838</v>
      </c>
      <c r="C51" s="1" t="n">
        <v>45892</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38255-2025</t>
        </is>
      </c>
      <c r="B52" s="1" t="n">
        <v>45883.38020833334</v>
      </c>
      <c r="C52" s="1" t="n">
        <v>45892</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19361-2025</t>
        </is>
      </c>
      <c r="B53" s="1" t="n">
        <v>45769.63357638889</v>
      </c>
      <c r="C53" s="1" t="n">
        <v>45892</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45892</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22350-2024</t>
        </is>
      </c>
      <c r="B55" s="1" t="n">
        <v>45446</v>
      </c>
      <c r="C55" s="1" t="n">
        <v>45892</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56014-2020</t>
        </is>
      </c>
      <c r="B56" s="1" t="n">
        <v>44132</v>
      </c>
      <c r="C56" s="1" t="n">
        <v>45892</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43175-2023</t>
        </is>
      </c>
      <c r="B57" s="1" t="n">
        <v>45183</v>
      </c>
      <c r="C57" s="1" t="n">
        <v>45892</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43068-2024</t>
        </is>
      </c>
      <c r="B58" s="1" t="n">
        <v>45567</v>
      </c>
      <c r="C58" s="1" t="n">
        <v>45892</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60852-2024</t>
        </is>
      </c>
      <c r="B59" s="1" t="n">
        <v>45644</v>
      </c>
      <c r="C59" s="1" t="n">
        <v>45892</v>
      </c>
      <c r="D59" t="inlineStr">
        <is>
          <t>VÄSTMANLANDS LÄN</t>
        </is>
      </c>
      <c r="E59" t="inlineStr">
        <is>
          <t>SALA</t>
        </is>
      </c>
      <c r="G59" t="n">
        <v>7.6</v>
      </c>
      <c r="H59" t="n">
        <v>1</v>
      </c>
      <c r="I59" t="n">
        <v>0</v>
      </c>
      <c r="J59" t="n">
        <v>0</v>
      </c>
      <c r="K59" t="n">
        <v>0</v>
      </c>
      <c r="L59" t="n">
        <v>0</v>
      </c>
      <c r="M59" t="n">
        <v>0</v>
      </c>
      <c r="N59" t="n">
        <v>0</v>
      </c>
      <c r="O59" t="n">
        <v>0</v>
      </c>
      <c r="P59" t="n">
        <v>0</v>
      </c>
      <c r="Q59" t="n">
        <v>1</v>
      </c>
      <c r="R59" s="2" t="inlineStr">
        <is>
          <t>Blåsippa</t>
        </is>
      </c>
      <c r="S59">
        <f>HYPERLINK("https://klasma.github.io/Logging_1981/artfynd/A 60852-2024 artfynd.xlsx", "A 60852-2024")</f>
        <v/>
      </c>
      <c r="T59">
        <f>HYPERLINK("https://klasma.github.io/Logging_1981/kartor/A 60852-2024 karta.png", "A 60852-2024")</f>
        <v/>
      </c>
      <c r="V59">
        <f>HYPERLINK("https://klasma.github.io/Logging_1981/klagomål/A 60852-2024 FSC-klagomål.docx", "A 60852-2024")</f>
        <v/>
      </c>
      <c r="W59">
        <f>HYPERLINK("https://klasma.github.io/Logging_1981/klagomålsmail/A 60852-2024 FSC-klagomål mail.docx", "A 60852-2024")</f>
        <v/>
      </c>
      <c r="X59">
        <f>HYPERLINK("https://klasma.github.io/Logging_1981/tillsyn/A 60852-2024 tillsynsbegäran.docx", "A 60852-2024")</f>
        <v/>
      </c>
      <c r="Y59">
        <f>HYPERLINK("https://klasma.github.io/Logging_1981/tillsynsmail/A 60852-2024 tillsynsbegäran mail.docx", "A 60852-2024")</f>
        <v/>
      </c>
    </row>
    <row r="60" ht="15" customHeight="1">
      <c r="A60" t="inlineStr">
        <is>
          <t>A 58314-2020</t>
        </is>
      </c>
      <c r="B60" s="1" t="n">
        <v>44145</v>
      </c>
      <c r="C60" s="1" t="n">
        <v>45892</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45892</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45892</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45892</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45892</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45892</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45892</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45892</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45892</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45892</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45892</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45892</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45892</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45892</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45892</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45892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45892</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45892</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45892</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45892</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45892</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45892</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45892</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45892</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45892</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45892</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45892</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45892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45892</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45892</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45892</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45892</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45892</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45892</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45892</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45892</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45892</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45892</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45892</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45892</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45892</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45892</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45892</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45892</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45892</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45892</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45892</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45892</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45892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45892</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45892</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45892</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45892</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45892</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18951-2021</t>
        </is>
      </c>
      <c r="B118" s="1" t="n">
        <v>44308</v>
      </c>
      <c r="C118" s="1" t="n">
        <v>45892</v>
      </c>
      <c r="D118" t="inlineStr">
        <is>
          <t>VÄSTMANLANDS LÄN</t>
        </is>
      </c>
      <c r="E118" t="inlineStr">
        <is>
          <t>SALA</t>
        </is>
      </c>
      <c r="G118" t="n">
        <v>0.3</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45892</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45892</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45892</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45892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45892</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43482-2020</t>
        </is>
      </c>
      <c r="B124" s="1" t="n">
        <v>44082</v>
      </c>
      <c r="C124" s="1" t="n">
        <v>45892</v>
      </c>
      <c r="D124" t="inlineStr">
        <is>
          <t>VÄSTMANLANDS LÄN</t>
        </is>
      </c>
      <c r="E124" t="inlineStr">
        <is>
          <t>SALA</t>
        </is>
      </c>
      <c r="G124" t="n">
        <v>4.7</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45892</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44217-2022</t>
        </is>
      </c>
      <c r="B126" s="1" t="n">
        <v>44839.49953703704</v>
      </c>
      <c r="C126" s="1" t="n">
        <v>45892</v>
      </c>
      <c r="D126" t="inlineStr">
        <is>
          <t>VÄSTMANLANDS LÄN</t>
        </is>
      </c>
      <c r="E126" t="inlineStr">
        <is>
          <t>SALA</t>
        </is>
      </c>
      <c r="G126" t="n">
        <v>0.4</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45892</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45892</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45892</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45892</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45892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45892</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70218-2021</t>
        </is>
      </c>
      <c r="B133" s="1" t="n">
        <v>44535.6571412037</v>
      </c>
      <c r="C133" s="1" t="n">
        <v>45892</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40113-2022</t>
        </is>
      </c>
      <c r="B134" s="1" t="n">
        <v>44819</v>
      </c>
      <c r="C134" s="1" t="n">
        <v>45892</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45892</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45892</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22562-2022</t>
        </is>
      </c>
      <c r="B137" s="1" t="n">
        <v>44713</v>
      </c>
      <c r="C137" s="1" t="n">
        <v>45892</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30904-2021</t>
        </is>
      </c>
      <c r="B138" s="1" t="n">
        <v>44365.5983449074</v>
      </c>
      <c r="C138" s="1" t="n">
        <v>45892</v>
      </c>
      <c r="D138" t="inlineStr">
        <is>
          <t>VÄSTMANLANDS LÄN</t>
        </is>
      </c>
      <c r="E138" t="inlineStr">
        <is>
          <t>SALA</t>
        </is>
      </c>
      <c r="G138" t="n">
        <v>1.9</v>
      </c>
      <c r="H138" t="n">
        <v>0</v>
      </c>
      <c r="I138" t="n">
        <v>0</v>
      </c>
      <c r="J138" t="n">
        <v>0</v>
      </c>
      <c r="K138" t="n">
        <v>0</v>
      </c>
      <c r="L138" t="n">
        <v>0</v>
      </c>
      <c r="M138" t="n">
        <v>0</v>
      </c>
      <c r="N138" t="n">
        <v>0</v>
      </c>
      <c r="O138" t="n">
        <v>0</v>
      </c>
      <c r="P138" t="n">
        <v>0</v>
      </c>
      <c r="Q138" t="n">
        <v>0</v>
      </c>
      <c r="R138" s="2" t="inlineStr"/>
    </row>
    <row r="139" ht="15" customHeight="1">
      <c r="A139" t="inlineStr">
        <is>
          <t>A 44652-2020</t>
        </is>
      </c>
      <c r="B139" s="1" t="n">
        <v>44085</v>
      </c>
      <c r="C139" s="1" t="n">
        <v>45892</v>
      </c>
      <c r="D139" t="inlineStr">
        <is>
          <t>VÄSTMANLANDS LÄN</t>
        </is>
      </c>
      <c r="E139" t="inlineStr">
        <is>
          <t>SALA</t>
        </is>
      </c>
      <c r="G139" t="n">
        <v>1.8</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45892</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45892</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45892</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45892</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31452-2021</t>
        </is>
      </c>
      <c r="B144" s="1" t="n">
        <v>44369</v>
      </c>
      <c r="C144" s="1" t="n">
        <v>45892</v>
      </c>
      <c r="D144" t="inlineStr">
        <is>
          <t>VÄSTMANLANDS LÄN</t>
        </is>
      </c>
      <c r="E144" t="inlineStr">
        <is>
          <t>SALA</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45892</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22811-2022</t>
        </is>
      </c>
      <c r="B146" s="1" t="n">
        <v>44715</v>
      </c>
      <c r="C146" s="1" t="n">
        <v>45892</v>
      </c>
      <c r="D146" t="inlineStr">
        <is>
          <t>VÄSTMANLANDS LÄN</t>
        </is>
      </c>
      <c r="E146" t="inlineStr">
        <is>
          <t>SALA</t>
        </is>
      </c>
      <c r="G146" t="n">
        <v>5</v>
      </c>
      <c r="H146" t="n">
        <v>0</v>
      </c>
      <c r="I146" t="n">
        <v>0</v>
      </c>
      <c r="J146" t="n">
        <v>0</v>
      </c>
      <c r="K146" t="n">
        <v>0</v>
      </c>
      <c r="L146" t="n">
        <v>0</v>
      </c>
      <c r="M146" t="n">
        <v>0</v>
      </c>
      <c r="N146" t="n">
        <v>0</v>
      </c>
      <c r="O146" t="n">
        <v>0</v>
      </c>
      <c r="P146" t="n">
        <v>0</v>
      </c>
      <c r="Q146" t="n">
        <v>0</v>
      </c>
      <c r="R146" s="2" t="inlineStr"/>
    </row>
    <row r="147" ht="15" customHeight="1">
      <c r="A147" t="inlineStr">
        <is>
          <t>A 65213-2021</t>
        </is>
      </c>
      <c r="B147" s="1" t="n">
        <v>44515</v>
      </c>
      <c r="C147" s="1" t="n">
        <v>45892</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65353-2021</t>
        </is>
      </c>
      <c r="B148" s="1" t="n">
        <v>44515</v>
      </c>
      <c r="C148" s="1" t="n">
        <v>45892</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45892</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23181-2022</t>
        </is>
      </c>
      <c r="B150" s="1" t="n">
        <v>44719.79537037037</v>
      </c>
      <c r="C150" s="1" t="n">
        <v>45892</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65860-2021</t>
        </is>
      </c>
      <c r="B151" s="1" t="n">
        <v>44517.38163194444</v>
      </c>
      <c r="C151" s="1" t="n">
        <v>45892</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45892</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22575-2022</t>
        </is>
      </c>
      <c r="B153" s="1" t="n">
        <v>44713</v>
      </c>
      <c r="C153" s="1" t="n">
        <v>45892</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45892</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45892</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45892</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45892</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66830-2021</t>
        </is>
      </c>
      <c r="B158" s="1" t="n">
        <v>44522.40886574074</v>
      </c>
      <c r="C158" s="1" t="n">
        <v>45892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45015-2022</t>
        </is>
      </c>
      <c r="B159" s="1" t="n">
        <v>44841.63766203704</v>
      </c>
      <c r="C159" s="1" t="n">
        <v>45892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8130-2022</t>
        </is>
      </c>
      <c r="B160" s="1" t="n">
        <v>44609.5984837963</v>
      </c>
      <c r="C160" s="1" t="n">
        <v>45892</v>
      </c>
      <c r="D160" t="inlineStr">
        <is>
          <t>VÄSTMANLANDS LÄN</t>
        </is>
      </c>
      <c r="E160" t="inlineStr">
        <is>
          <t>SALA</t>
        </is>
      </c>
      <c r="G160" t="n">
        <v>3.5</v>
      </c>
      <c r="H160" t="n">
        <v>0</v>
      </c>
      <c r="I160" t="n">
        <v>0</v>
      </c>
      <c r="J160" t="n">
        <v>0</v>
      </c>
      <c r="K160" t="n">
        <v>0</v>
      </c>
      <c r="L160" t="n">
        <v>0</v>
      </c>
      <c r="M160" t="n">
        <v>0</v>
      </c>
      <c r="N160" t="n">
        <v>0</v>
      </c>
      <c r="O160" t="n">
        <v>0</v>
      </c>
      <c r="P160" t="n">
        <v>0</v>
      </c>
      <c r="Q160" t="n">
        <v>0</v>
      </c>
      <c r="R160" s="2" t="inlineStr"/>
    </row>
    <row r="161" ht="15" customHeight="1">
      <c r="A161" t="inlineStr">
        <is>
          <t>A 58912-2020</t>
        </is>
      </c>
      <c r="B161" s="1" t="n">
        <v>44146</v>
      </c>
      <c r="C161" s="1" t="n">
        <v>45892</v>
      </c>
      <c r="D161" t="inlineStr">
        <is>
          <t>VÄSTMANLANDS LÄN</t>
        </is>
      </c>
      <c r="E161" t="inlineStr">
        <is>
          <t>SALA</t>
        </is>
      </c>
      <c r="G161" t="n">
        <v>1.1</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45892</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28402-2022</t>
        </is>
      </c>
      <c r="B163" s="1" t="n">
        <v>44747</v>
      </c>
      <c r="C163" s="1" t="n">
        <v>45892</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73606-2021</t>
        </is>
      </c>
      <c r="B164" s="1" t="n">
        <v>44552</v>
      </c>
      <c r="C164" s="1" t="n">
        <v>45892</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65818-2021</t>
        </is>
      </c>
      <c r="B165" s="1" t="n">
        <v>44517</v>
      </c>
      <c r="C165" s="1" t="n">
        <v>45892</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45892</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69192-2020</t>
        </is>
      </c>
      <c r="B167" s="1" t="n">
        <v>44191</v>
      </c>
      <c r="C167" s="1" t="n">
        <v>45892</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53735-2022</t>
        </is>
      </c>
      <c r="B168" s="1" t="n">
        <v>44880.42752314815</v>
      </c>
      <c r="C168" s="1" t="n">
        <v>45892</v>
      </c>
      <c r="D168" t="inlineStr">
        <is>
          <t>VÄSTMANLANDS LÄN</t>
        </is>
      </c>
      <c r="E168" t="inlineStr">
        <is>
          <t>SALA</t>
        </is>
      </c>
      <c r="F168" t="inlineStr">
        <is>
          <t>Bergvik skog öst AB</t>
        </is>
      </c>
      <c r="G168" t="n">
        <v>1.8</v>
      </c>
      <c r="H168" t="n">
        <v>0</v>
      </c>
      <c r="I168" t="n">
        <v>0</v>
      </c>
      <c r="J168" t="n">
        <v>0</v>
      </c>
      <c r="K168" t="n">
        <v>0</v>
      </c>
      <c r="L168" t="n">
        <v>0</v>
      </c>
      <c r="M168" t="n">
        <v>0</v>
      </c>
      <c r="N168" t="n">
        <v>0</v>
      </c>
      <c r="O168" t="n">
        <v>0</v>
      </c>
      <c r="P168" t="n">
        <v>0</v>
      </c>
      <c r="Q168" t="n">
        <v>0</v>
      </c>
      <c r="R168" s="2" t="inlineStr"/>
    </row>
    <row r="169" ht="15" customHeight="1">
      <c r="A169" t="inlineStr">
        <is>
          <t>A 10168-2022</t>
        </is>
      </c>
      <c r="B169" s="1" t="n">
        <v>44622.37693287037</v>
      </c>
      <c r="C169" s="1" t="n">
        <v>45892</v>
      </c>
      <c r="D169" t="inlineStr">
        <is>
          <t>VÄSTMANLANDS LÄN</t>
        </is>
      </c>
      <c r="E169" t="inlineStr">
        <is>
          <t>SALA</t>
        </is>
      </c>
      <c r="G169" t="n">
        <v>2.1</v>
      </c>
      <c r="H169" t="n">
        <v>0</v>
      </c>
      <c r="I169" t="n">
        <v>0</v>
      </c>
      <c r="J169" t="n">
        <v>0</v>
      </c>
      <c r="K169" t="n">
        <v>0</v>
      </c>
      <c r="L169" t="n">
        <v>0</v>
      </c>
      <c r="M169" t="n">
        <v>0</v>
      </c>
      <c r="N169" t="n">
        <v>0</v>
      </c>
      <c r="O169" t="n">
        <v>0</v>
      </c>
      <c r="P169" t="n">
        <v>0</v>
      </c>
      <c r="Q169" t="n">
        <v>0</v>
      </c>
      <c r="R169" s="2" t="inlineStr"/>
    </row>
    <row r="170" ht="15" customHeight="1">
      <c r="A170" t="inlineStr">
        <is>
          <t>A 55881-2020</t>
        </is>
      </c>
      <c r="B170" s="1" t="n">
        <v>44132</v>
      </c>
      <c r="C170" s="1" t="n">
        <v>45892</v>
      </c>
      <c r="D170" t="inlineStr">
        <is>
          <t>VÄSTMANLANDS LÄN</t>
        </is>
      </c>
      <c r="E170" t="inlineStr">
        <is>
          <t>SALA</t>
        </is>
      </c>
      <c r="G170" t="n">
        <v>3</v>
      </c>
      <c r="H170" t="n">
        <v>0</v>
      </c>
      <c r="I170" t="n">
        <v>0</v>
      </c>
      <c r="J170" t="n">
        <v>0</v>
      </c>
      <c r="K170" t="n">
        <v>0</v>
      </c>
      <c r="L170" t="n">
        <v>0</v>
      </c>
      <c r="M170" t="n">
        <v>0</v>
      </c>
      <c r="N170" t="n">
        <v>0</v>
      </c>
      <c r="O170" t="n">
        <v>0</v>
      </c>
      <c r="P170" t="n">
        <v>0</v>
      </c>
      <c r="Q170" t="n">
        <v>0</v>
      </c>
      <c r="R170" s="2" t="inlineStr"/>
    </row>
    <row r="171" ht="15" customHeight="1">
      <c r="A171" t="inlineStr">
        <is>
          <t>A 65856-2021</t>
        </is>
      </c>
      <c r="B171" s="1" t="n">
        <v>44517</v>
      </c>
      <c r="C171" s="1" t="n">
        <v>45892</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45892</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9050-2022</t>
        </is>
      </c>
      <c r="B173" s="1" t="n">
        <v>44615.45451388889</v>
      </c>
      <c r="C173" s="1" t="n">
        <v>45892</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45892</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45892</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45892</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45892</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45892</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49254-2022</t>
        </is>
      </c>
      <c r="B179" s="1" t="n">
        <v>44861</v>
      </c>
      <c r="C179" s="1" t="n">
        <v>45892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45892</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45892</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57000-2021</t>
        </is>
      </c>
      <c r="B182" s="1" t="n">
        <v>44482.46760416667</v>
      </c>
      <c r="C182" s="1" t="n">
        <v>45892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47208-2020</t>
        </is>
      </c>
      <c r="B183" s="1" t="n">
        <v>44097.41038194444</v>
      </c>
      <c r="C183" s="1" t="n">
        <v>45892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26579-2021</t>
        </is>
      </c>
      <c r="B184" s="1" t="n">
        <v>44348</v>
      </c>
      <c r="C184" s="1" t="n">
        <v>45892</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53628-2022</t>
        </is>
      </c>
      <c r="B185" s="1" t="n">
        <v>44879.87171296297</v>
      </c>
      <c r="C185" s="1" t="n">
        <v>45892</v>
      </c>
      <c r="D185" t="inlineStr">
        <is>
          <t>VÄSTMANLANDS LÄN</t>
        </is>
      </c>
      <c r="E185" t="inlineStr">
        <is>
          <t>SALA</t>
        </is>
      </c>
      <c r="G185" t="n">
        <v>2.7</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45892</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67962-2021</t>
        </is>
      </c>
      <c r="B187" s="1" t="n">
        <v>44525</v>
      </c>
      <c r="C187" s="1" t="n">
        <v>45892</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23847-2022</t>
        </is>
      </c>
      <c r="B188" s="1" t="n">
        <v>44722</v>
      </c>
      <c r="C188" s="1" t="n">
        <v>45892</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45892</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37881-2021</t>
        </is>
      </c>
      <c r="B190" s="1" t="n">
        <v>44403</v>
      </c>
      <c r="C190" s="1" t="n">
        <v>45892</v>
      </c>
      <c r="D190" t="inlineStr">
        <is>
          <t>VÄSTMANLANDS LÄN</t>
        </is>
      </c>
      <c r="E190" t="inlineStr">
        <is>
          <t>SALA</t>
        </is>
      </c>
      <c r="G190" t="n">
        <v>4.6</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45892</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45892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15968-2024</t>
        </is>
      </c>
      <c r="B193" s="1" t="n">
        <v>45405.56021990741</v>
      </c>
      <c r="C193" s="1" t="n">
        <v>45892</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60730-2023</t>
        </is>
      </c>
      <c r="B194" s="1" t="n">
        <v>45260</v>
      </c>
      <c r="C194" s="1" t="n">
        <v>45892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60731-2023</t>
        </is>
      </c>
      <c r="B195" s="1" t="n">
        <v>45260</v>
      </c>
      <c r="C195" s="1" t="n">
        <v>45892</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11927-2025</t>
        </is>
      </c>
      <c r="B196" s="1" t="n">
        <v>45728.5137962963</v>
      </c>
      <c r="C196" s="1" t="n">
        <v>45892</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45892</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18461-2024</t>
        </is>
      </c>
      <c r="B198" s="1" t="n">
        <v>45425.47435185185</v>
      </c>
      <c r="C198" s="1" t="n">
        <v>45892</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4663-2022</t>
        </is>
      </c>
      <c r="B199" s="1" t="n">
        <v>44592.45429398148</v>
      </c>
      <c r="C199" s="1" t="n">
        <v>45892</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45892</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24882-2022</t>
        </is>
      </c>
      <c r="B201" s="1" t="n">
        <v>44728.56488425926</v>
      </c>
      <c r="C201" s="1" t="n">
        <v>45892</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6032-2025</t>
        </is>
      </c>
      <c r="B202" s="1" t="n">
        <v>45695.6371875</v>
      </c>
      <c r="C202" s="1" t="n">
        <v>45892</v>
      </c>
      <c r="D202" t="inlineStr">
        <is>
          <t>VÄSTMANLANDS LÄN</t>
        </is>
      </c>
      <c r="E202" t="inlineStr">
        <is>
          <t>SALA</t>
        </is>
      </c>
      <c r="F202" t="inlineStr">
        <is>
          <t>Bergvik skog öst AB</t>
        </is>
      </c>
      <c r="G202" t="n">
        <v>8.1</v>
      </c>
      <c r="H202" t="n">
        <v>0</v>
      </c>
      <c r="I202" t="n">
        <v>0</v>
      </c>
      <c r="J202" t="n">
        <v>0</v>
      </c>
      <c r="K202" t="n">
        <v>0</v>
      </c>
      <c r="L202" t="n">
        <v>0</v>
      </c>
      <c r="M202" t="n">
        <v>0</v>
      </c>
      <c r="N202" t="n">
        <v>0</v>
      </c>
      <c r="O202" t="n">
        <v>0</v>
      </c>
      <c r="P202" t="n">
        <v>0</v>
      </c>
      <c r="Q202" t="n">
        <v>0</v>
      </c>
      <c r="R202" s="2" t="inlineStr"/>
    </row>
    <row r="203" ht="15" customHeight="1">
      <c r="A203" t="inlineStr">
        <is>
          <t>A 35462-2024</t>
        </is>
      </c>
      <c r="B203" s="1" t="n">
        <v>45531</v>
      </c>
      <c r="C203" s="1" t="n">
        <v>45892</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14024-2025</t>
        </is>
      </c>
      <c r="B204" s="1" t="n">
        <v>45740.34650462963</v>
      </c>
      <c r="C204" s="1" t="n">
        <v>45892</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45892</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50876-2023</t>
        </is>
      </c>
      <c r="B206" s="1" t="n">
        <v>45211</v>
      </c>
      <c r="C206" s="1" t="n">
        <v>45892</v>
      </c>
      <c r="D206" t="inlineStr">
        <is>
          <t>VÄSTMANLANDS LÄN</t>
        </is>
      </c>
      <c r="E206" t="inlineStr">
        <is>
          <t>SALA</t>
        </is>
      </c>
      <c r="G206" t="n">
        <v>1.9</v>
      </c>
      <c r="H206" t="n">
        <v>0</v>
      </c>
      <c r="I206" t="n">
        <v>0</v>
      </c>
      <c r="J206" t="n">
        <v>0</v>
      </c>
      <c r="K206" t="n">
        <v>0</v>
      </c>
      <c r="L206" t="n">
        <v>0</v>
      </c>
      <c r="M206" t="n">
        <v>0</v>
      </c>
      <c r="N206" t="n">
        <v>0</v>
      </c>
      <c r="O206" t="n">
        <v>0</v>
      </c>
      <c r="P206" t="n">
        <v>0</v>
      </c>
      <c r="Q206" t="n">
        <v>0</v>
      </c>
      <c r="R206" s="2" t="inlineStr"/>
    </row>
    <row r="207" ht="15" customHeight="1">
      <c r="A207" t="inlineStr">
        <is>
          <t>A 10255-2024</t>
        </is>
      </c>
      <c r="B207" s="1" t="n">
        <v>45365</v>
      </c>
      <c r="C207" s="1" t="n">
        <v>45892</v>
      </c>
      <c r="D207" t="inlineStr">
        <is>
          <t>VÄSTMANLANDS LÄN</t>
        </is>
      </c>
      <c r="E207" t="inlineStr">
        <is>
          <t>SALA</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54910-2023</t>
        </is>
      </c>
      <c r="B208" s="1" t="n">
        <v>45229</v>
      </c>
      <c r="C208" s="1" t="n">
        <v>45892</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62648-2022</t>
        </is>
      </c>
      <c r="B209" s="1" t="n">
        <v>44917</v>
      </c>
      <c r="C209" s="1" t="n">
        <v>45892</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62449-2023</t>
        </is>
      </c>
      <c r="B210" s="1" t="n">
        <v>45268.49008101852</v>
      </c>
      <c r="C210" s="1" t="n">
        <v>45892</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17458-2024</t>
        </is>
      </c>
      <c r="B211" s="1" t="n">
        <v>45415</v>
      </c>
      <c r="C211" s="1" t="n">
        <v>45892</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17766-2025</t>
        </is>
      </c>
      <c r="B212" s="1" t="n">
        <v>45758</v>
      </c>
      <c r="C212" s="1" t="n">
        <v>45892</v>
      </c>
      <c r="D212" t="inlineStr">
        <is>
          <t>VÄSTMANLANDS LÄN</t>
        </is>
      </c>
      <c r="E212" t="inlineStr">
        <is>
          <t>SALA</t>
        </is>
      </c>
      <c r="G212" t="n">
        <v>16.5</v>
      </c>
      <c r="H212" t="n">
        <v>0</v>
      </c>
      <c r="I212" t="n">
        <v>0</v>
      </c>
      <c r="J212" t="n">
        <v>0</v>
      </c>
      <c r="K212" t="n">
        <v>0</v>
      </c>
      <c r="L212" t="n">
        <v>0</v>
      </c>
      <c r="M212" t="n">
        <v>0</v>
      </c>
      <c r="N212" t="n">
        <v>0</v>
      </c>
      <c r="O212" t="n">
        <v>0</v>
      </c>
      <c r="P212" t="n">
        <v>0</v>
      </c>
      <c r="Q212" t="n">
        <v>0</v>
      </c>
      <c r="R212" s="2" t="inlineStr"/>
    </row>
    <row r="213" ht="15" customHeight="1">
      <c r="A213" t="inlineStr">
        <is>
          <t>A 56548-2024</t>
        </is>
      </c>
      <c r="B213" s="1" t="n">
        <v>45625</v>
      </c>
      <c r="C213" s="1" t="n">
        <v>45892</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56543-2024</t>
        </is>
      </c>
      <c r="B214" s="1" t="n">
        <v>45625</v>
      </c>
      <c r="C214" s="1" t="n">
        <v>45892</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31950-2023</t>
        </is>
      </c>
      <c r="B215" s="1" t="n">
        <v>45107</v>
      </c>
      <c r="C215" s="1" t="n">
        <v>45892</v>
      </c>
      <c r="D215" t="inlineStr">
        <is>
          <t>VÄSTMANLANDS LÄN</t>
        </is>
      </c>
      <c r="E215" t="inlineStr">
        <is>
          <t>SALA</t>
        </is>
      </c>
      <c r="G215" t="n">
        <v>1.9</v>
      </c>
      <c r="H215" t="n">
        <v>0</v>
      </c>
      <c r="I215" t="n">
        <v>0</v>
      </c>
      <c r="J215" t="n">
        <v>0</v>
      </c>
      <c r="K215" t="n">
        <v>0</v>
      </c>
      <c r="L215" t="n">
        <v>0</v>
      </c>
      <c r="M215" t="n">
        <v>0</v>
      </c>
      <c r="N215" t="n">
        <v>0</v>
      </c>
      <c r="O215" t="n">
        <v>0</v>
      </c>
      <c r="P215" t="n">
        <v>0</v>
      </c>
      <c r="Q215" t="n">
        <v>0</v>
      </c>
      <c r="R215" s="2" t="inlineStr"/>
    </row>
    <row r="216" ht="15" customHeight="1">
      <c r="A216" t="inlineStr">
        <is>
          <t>A 2766-2024</t>
        </is>
      </c>
      <c r="B216" s="1" t="n">
        <v>45314.60950231482</v>
      </c>
      <c r="C216" s="1" t="n">
        <v>45892</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5477-2024</t>
        </is>
      </c>
      <c r="B217" s="1" t="n">
        <v>45333.67833333334</v>
      </c>
      <c r="C217" s="1" t="n">
        <v>45892</v>
      </c>
      <c r="D217" t="inlineStr">
        <is>
          <t>VÄSTMANLANDS LÄN</t>
        </is>
      </c>
      <c r="E217" t="inlineStr">
        <is>
          <t>SALA</t>
        </is>
      </c>
      <c r="G217" t="n">
        <v>2.3</v>
      </c>
      <c r="H217" t="n">
        <v>0</v>
      </c>
      <c r="I217" t="n">
        <v>0</v>
      </c>
      <c r="J217" t="n">
        <v>0</v>
      </c>
      <c r="K217" t="n">
        <v>0</v>
      </c>
      <c r="L217" t="n">
        <v>0</v>
      </c>
      <c r="M217" t="n">
        <v>0</v>
      </c>
      <c r="N217" t="n">
        <v>0</v>
      </c>
      <c r="O217" t="n">
        <v>0</v>
      </c>
      <c r="P217" t="n">
        <v>0</v>
      </c>
      <c r="Q217" t="n">
        <v>0</v>
      </c>
      <c r="R217" s="2" t="inlineStr"/>
    </row>
    <row r="218" ht="15" customHeight="1">
      <c r="A218" t="inlineStr">
        <is>
          <t>A 39451-2022</t>
        </is>
      </c>
      <c r="B218" s="1" t="n">
        <v>44818.36606481481</v>
      </c>
      <c r="C218" s="1" t="n">
        <v>45892</v>
      </c>
      <c r="D218" t="inlineStr">
        <is>
          <t>VÄSTMANLANDS LÄN</t>
        </is>
      </c>
      <c r="E218" t="inlineStr">
        <is>
          <t>SALA</t>
        </is>
      </c>
      <c r="G218" t="n">
        <v>9.4</v>
      </c>
      <c r="H218" t="n">
        <v>0</v>
      </c>
      <c r="I218" t="n">
        <v>0</v>
      </c>
      <c r="J218" t="n">
        <v>0</v>
      </c>
      <c r="K218" t="n">
        <v>0</v>
      </c>
      <c r="L218" t="n">
        <v>0</v>
      </c>
      <c r="M218" t="n">
        <v>0</v>
      </c>
      <c r="N218" t="n">
        <v>0</v>
      </c>
      <c r="O218" t="n">
        <v>0</v>
      </c>
      <c r="P218" t="n">
        <v>0</v>
      </c>
      <c r="Q218" t="n">
        <v>0</v>
      </c>
      <c r="R218" s="2" t="inlineStr"/>
    </row>
    <row r="219" ht="15" customHeight="1">
      <c r="A219" t="inlineStr">
        <is>
          <t>A 6351-2023</t>
        </is>
      </c>
      <c r="B219" s="1" t="n">
        <v>44965</v>
      </c>
      <c r="C219" s="1" t="n">
        <v>45892</v>
      </c>
      <c r="D219" t="inlineStr">
        <is>
          <t>VÄSTMANLANDS LÄN</t>
        </is>
      </c>
      <c r="E219" t="inlineStr">
        <is>
          <t>SALA</t>
        </is>
      </c>
      <c r="F219" t="inlineStr">
        <is>
          <t>Kommuner</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45187-2024</t>
        </is>
      </c>
      <c r="B220" s="1" t="n">
        <v>45575</v>
      </c>
      <c r="C220" s="1" t="n">
        <v>45892</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16767-2024</t>
        </is>
      </c>
      <c r="B221" s="1" t="n">
        <v>45411.38171296296</v>
      </c>
      <c r="C221" s="1" t="n">
        <v>45892</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7772-2023</t>
        </is>
      </c>
      <c r="B222" s="1" t="n">
        <v>44973.40076388889</v>
      </c>
      <c r="C222" s="1" t="n">
        <v>45892</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52498-2022</t>
        </is>
      </c>
      <c r="B223" s="1" t="n">
        <v>44874.50152777778</v>
      </c>
      <c r="C223" s="1" t="n">
        <v>45892</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6097-2022</t>
        </is>
      </c>
      <c r="B224" s="1" t="n">
        <v>44599</v>
      </c>
      <c r="C224" s="1" t="n">
        <v>45892</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33527-2023</t>
        </is>
      </c>
      <c r="B225" s="1" t="n">
        <v>45131</v>
      </c>
      <c r="C225" s="1" t="n">
        <v>45892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7377-2023</t>
        </is>
      </c>
      <c r="B226" s="1" t="n">
        <v>44971</v>
      </c>
      <c r="C226" s="1" t="n">
        <v>45892</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6308-2021</t>
        </is>
      </c>
      <c r="B227" s="1" t="n">
        <v>44235</v>
      </c>
      <c r="C227" s="1" t="n">
        <v>45892</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21159-2022</t>
        </is>
      </c>
      <c r="B228" s="1" t="n">
        <v>44704</v>
      </c>
      <c r="C228" s="1" t="n">
        <v>45892</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54771-2024</t>
        </is>
      </c>
      <c r="B229" s="1" t="n">
        <v>45618</v>
      </c>
      <c r="C229" s="1" t="n">
        <v>45892</v>
      </c>
      <c r="D229" t="inlineStr">
        <is>
          <t>VÄSTMANLANDS LÄN</t>
        </is>
      </c>
      <c r="E229" t="inlineStr">
        <is>
          <t>SALA</t>
        </is>
      </c>
      <c r="G229" t="n">
        <v>2.8</v>
      </c>
      <c r="H229" t="n">
        <v>0</v>
      </c>
      <c r="I229" t="n">
        <v>0</v>
      </c>
      <c r="J229" t="n">
        <v>0</v>
      </c>
      <c r="K229" t="n">
        <v>0</v>
      </c>
      <c r="L229" t="n">
        <v>0</v>
      </c>
      <c r="M229" t="n">
        <v>0</v>
      </c>
      <c r="N229" t="n">
        <v>0</v>
      </c>
      <c r="O229" t="n">
        <v>0</v>
      </c>
      <c r="P229" t="n">
        <v>0</v>
      </c>
      <c r="Q229" t="n">
        <v>0</v>
      </c>
      <c r="R229" s="2" t="inlineStr"/>
    </row>
    <row r="230" ht="15" customHeight="1">
      <c r="A230" t="inlineStr">
        <is>
          <t>A 13022-2023</t>
        </is>
      </c>
      <c r="B230" s="1" t="n">
        <v>45002.33291666667</v>
      </c>
      <c r="C230" s="1" t="n">
        <v>45892</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45892</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4853-2023</t>
        </is>
      </c>
      <c r="B232" s="1" t="n">
        <v>44957.73234953704</v>
      </c>
      <c r="C232" s="1" t="n">
        <v>45892</v>
      </c>
      <c r="D232" t="inlineStr">
        <is>
          <t>VÄSTMANLANDS LÄN</t>
        </is>
      </c>
      <c r="E232" t="inlineStr">
        <is>
          <t>SALA</t>
        </is>
      </c>
      <c r="G232" t="n">
        <v>2.7</v>
      </c>
      <c r="H232" t="n">
        <v>0</v>
      </c>
      <c r="I232" t="n">
        <v>0</v>
      </c>
      <c r="J232" t="n">
        <v>0</v>
      </c>
      <c r="K232" t="n">
        <v>0</v>
      </c>
      <c r="L232" t="n">
        <v>0</v>
      </c>
      <c r="M232" t="n">
        <v>0</v>
      </c>
      <c r="N232" t="n">
        <v>0</v>
      </c>
      <c r="O232" t="n">
        <v>0</v>
      </c>
      <c r="P232" t="n">
        <v>0</v>
      </c>
      <c r="Q232" t="n">
        <v>0</v>
      </c>
      <c r="R232" s="2" t="inlineStr"/>
    </row>
    <row r="233" ht="15" customHeight="1">
      <c r="A233" t="inlineStr">
        <is>
          <t>A 44713-2023</t>
        </is>
      </c>
      <c r="B233" s="1" t="n">
        <v>45184</v>
      </c>
      <c r="C233" s="1" t="n">
        <v>45892</v>
      </c>
      <c r="D233" t="inlineStr">
        <is>
          <t>VÄSTMANLANDS LÄN</t>
        </is>
      </c>
      <c r="E233" t="inlineStr">
        <is>
          <t>SALA</t>
        </is>
      </c>
      <c r="F233" t="inlineStr">
        <is>
          <t>Kyrkan</t>
        </is>
      </c>
      <c r="G233" t="n">
        <v>7.6</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45892</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45892</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56688-2024</t>
        </is>
      </c>
      <c r="B236" s="1" t="n">
        <v>45627.66478009259</v>
      </c>
      <c r="C236" s="1" t="n">
        <v>45892</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69236-2021</t>
        </is>
      </c>
      <c r="B237" s="1" t="n">
        <v>44531.4047337963</v>
      </c>
      <c r="C237" s="1" t="n">
        <v>45892</v>
      </c>
      <c r="D237" t="inlineStr">
        <is>
          <t>VÄSTMANLANDS LÄN</t>
        </is>
      </c>
      <c r="E237" t="inlineStr">
        <is>
          <t>SALA</t>
        </is>
      </c>
      <c r="G237" t="n">
        <v>2.8</v>
      </c>
      <c r="H237" t="n">
        <v>0</v>
      </c>
      <c r="I237" t="n">
        <v>0</v>
      </c>
      <c r="J237" t="n">
        <v>0</v>
      </c>
      <c r="K237" t="n">
        <v>0</v>
      </c>
      <c r="L237" t="n">
        <v>0</v>
      </c>
      <c r="M237" t="n">
        <v>0</v>
      </c>
      <c r="N237" t="n">
        <v>0</v>
      </c>
      <c r="O237" t="n">
        <v>0</v>
      </c>
      <c r="P237" t="n">
        <v>0</v>
      </c>
      <c r="Q237" t="n">
        <v>0</v>
      </c>
      <c r="R237" s="2" t="inlineStr"/>
    </row>
    <row r="238" ht="15" customHeight="1">
      <c r="A238" t="inlineStr">
        <is>
          <t>A 25541-2024</t>
        </is>
      </c>
      <c r="B238" s="1" t="n">
        <v>45463.56337962963</v>
      </c>
      <c r="C238" s="1" t="n">
        <v>45892</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12246-2023</t>
        </is>
      </c>
      <c r="B239" s="1" t="n">
        <v>44995</v>
      </c>
      <c r="C239" s="1" t="n">
        <v>45892</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42345-2020</t>
        </is>
      </c>
      <c r="B240" s="1" t="n">
        <v>44076</v>
      </c>
      <c r="C240" s="1" t="n">
        <v>45892</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16159-2024</t>
        </is>
      </c>
      <c r="B241" s="1" t="n">
        <v>45406</v>
      </c>
      <c r="C241" s="1" t="n">
        <v>45892</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66307-2021</t>
        </is>
      </c>
      <c r="B242" s="1" t="n">
        <v>44518.48670138889</v>
      </c>
      <c r="C242" s="1" t="n">
        <v>45892</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42447-2022</t>
        </is>
      </c>
      <c r="B243" s="1" t="n">
        <v>44831</v>
      </c>
      <c r="C243" s="1" t="n">
        <v>45892</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27262-2024</t>
        </is>
      </c>
      <c r="B244" s="1" t="n">
        <v>45471</v>
      </c>
      <c r="C244" s="1" t="n">
        <v>45892</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10913-2025</t>
        </is>
      </c>
      <c r="B245" s="1" t="n">
        <v>45722.73423611111</v>
      </c>
      <c r="C245" s="1" t="n">
        <v>45892</v>
      </c>
      <c r="D245" t="inlineStr">
        <is>
          <t>VÄSTMANLANDS LÄN</t>
        </is>
      </c>
      <c r="E245" t="inlineStr">
        <is>
          <t>SALA</t>
        </is>
      </c>
      <c r="G245" t="n">
        <v>7.6</v>
      </c>
      <c r="H245" t="n">
        <v>0</v>
      </c>
      <c r="I245" t="n">
        <v>0</v>
      </c>
      <c r="J245" t="n">
        <v>0</v>
      </c>
      <c r="K245" t="n">
        <v>0</v>
      </c>
      <c r="L245" t="n">
        <v>0</v>
      </c>
      <c r="M245" t="n">
        <v>0</v>
      </c>
      <c r="N245" t="n">
        <v>0</v>
      </c>
      <c r="O245" t="n">
        <v>0</v>
      </c>
      <c r="P245" t="n">
        <v>0</v>
      </c>
      <c r="Q245" t="n">
        <v>0</v>
      </c>
      <c r="R245" s="2" t="inlineStr"/>
    </row>
    <row r="246" ht="15" customHeight="1">
      <c r="A246" t="inlineStr">
        <is>
          <t>A 33732-2023</t>
        </is>
      </c>
      <c r="B246" s="1" t="n">
        <v>45133.32409722222</v>
      </c>
      <c r="C246" s="1" t="n">
        <v>45892</v>
      </c>
      <c r="D246" t="inlineStr">
        <is>
          <t>VÄSTMANLANDS LÄN</t>
        </is>
      </c>
      <c r="E246" t="inlineStr">
        <is>
          <t>SALA</t>
        </is>
      </c>
      <c r="G246" t="n">
        <v>2</v>
      </c>
      <c r="H246" t="n">
        <v>0</v>
      </c>
      <c r="I246" t="n">
        <v>0</v>
      </c>
      <c r="J246" t="n">
        <v>0</v>
      </c>
      <c r="K246" t="n">
        <v>0</v>
      </c>
      <c r="L246" t="n">
        <v>0</v>
      </c>
      <c r="M246" t="n">
        <v>0</v>
      </c>
      <c r="N246" t="n">
        <v>0</v>
      </c>
      <c r="O246" t="n">
        <v>0</v>
      </c>
      <c r="P246" t="n">
        <v>0</v>
      </c>
      <c r="Q246" t="n">
        <v>0</v>
      </c>
      <c r="R246" s="2" t="inlineStr"/>
    </row>
    <row r="247" ht="15" customHeight="1">
      <c r="A247" t="inlineStr">
        <is>
          <t>A 59909-2024</t>
        </is>
      </c>
      <c r="B247" s="1" t="n">
        <v>45641</v>
      </c>
      <c r="C247" s="1" t="n">
        <v>45892</v>
      </c>
      <c r="D247" t="inlineStr">
        <is>
          <t>VÄSTMANLANDS LÄN</t>
        </is>
      </c>
      <c r="E247" t="inlineStr">
        <is>
          <t>SALA</t>
        </is>
      </c>
      <c r="G247" t="n">
        <v>2.1</v>
      </c>
      <c r="H247" t="n">
        <v>0</v>
      </c>
      <c r="I247" t="n">
        <v>0</v>
      </c>
      <c r="J247" t="n">
        <v>0</v>
      </c>
      <c r="K247" t="n">
        <v>0</v>
      </c>
      <c r="L247" t="n">
        <v>0</v>
      </c>
      <c r="M247" t="n">
        <v>0</v>
      </c>
      <c r="N247" t="n">
        <v>0</v>
      </c>
      <c r="O247" t="n">
        <v>0</v>
      </c>
      <c r="P247" t="n">
        <v>0</v>
      </c>
      <c r="Q247" t="n">
        <v>0</v>
      </c>
      <c r="R247" s="2" t="inlineStr"/>
    </row>
    <row r="248" ht="15" customHeight="1">
      <c r="A248" t="inlineStr">
        <is>
          <t>A 41292-2021</t>
        </is>
      </c>
      <c r="B248" s="1" t="n">
        <v>44424</v>
      </c>
      <c r="C248" s="1" t="n">
        <v>45892</v>
      </c>
      <c r="D248" t="inlineStr">
        <is>
          <t>VÄSTMANLANDS LÄN</t>
        </is>
      </c>
      <c r="E248" t="inlineStr">
        <is>
          <t>SALA</t>
        </is>
      </c>
      <c r="G248" t="n">
        <v>0.3</v>
      </c>
      <c r="H248" t="n">
        <v>0</v>
      </c>
      <c r="I248" t="n">
        <v>0</v>
      </c>
      <c r="J248" t="n">
        <v>0</v>
      </c>
      <c r="K248" t="n">
        <v>0</v>
      </c>
      <c r="L248" t="n">
        <v>0</v>
      </c>
      <c r="M248" t="n">
        <v>0</v>
      </c>
      <c r="N248" t="n">
        <v>0</v>
      </c>
      <c r="O248" t="n">
        <v>0</v>
      </c>
      <c r="P248" t="n">
        <v>0</v>
      </c>
      <c r="Q248" t="n">
        <v>0</v>
      </c>
      <c r="R248" s="2" t="inlineStr"/>
    </row>
    <row r="249" ht="15" customHeight="1">
      <c r="A249" t="inlineStr">
        <is>
          <t>A 35410-2022</t>
        </is>
      </c>
      <c r="B249" s="1" t="n">
        <v>44798.62576388889</v>
      </c>
      <c r="C249" s="1" t="n">
        <v>45892</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1118-2024</t>
        </is>
      </c>
      <c r="B250" s="1" t="n">
        <v>45302</v>
      </c>
      <c r="C250" s="1" t="n">
        <v>45892</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19033-2025</t>
        </is>
      </c>
      <c r="B251" s="1" t="n">
        <v>45764.65796296296</v>
      </c>
      <c r="C251" s="1" t="n">
        <v>45892</v>
      </c>
      <c r="D251" t="inlineStr">
        <is>
          <t>VÄSTMANLANDS LÄN</t>
        </is>
      </c>
      <c r="E251" t="inlineStr">
        <is>
          <t>SALA</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53864-2022</t>
        </is>
      </c>
      <c r="B252" s="1" t="n">
        <v>44880.64016203704</v>
      </c>
      <c r="C252" s="1" t="n">
        <v>45892</v>
      </c>
      <c r="D252" t="inlineStr">
        <is>
          <t>VÄSTMANLANDS LÄN</t>
        </is>
      </c>
      <c r="E252" t="inlineStr">
        <is>
          <t>SALA</t>
        </is>
      </c>
      <c r="G252" t="n">
        <v>5.9</v>
      </c>
      <c r="H252" t="n">
        <v>0</v>
      </c>
      <c r="I252" t="n">
        <v>0</v>
      </c>
      <c r="J252" t="n">
        <v>0</v>
      </c>
      <c r="K252" t="n">
        <v>0</v>
      </c>
      <c r="L252" t="n">
        <v>0</v>
      </c>
      <c r="M252" t="n">
        <v>0</v>
      </c>
      <c r="N252" t="n">
        <v>0</v>
      </c>
      <c r="O252" t="n">
        <v>0</v>
      </c>
      <c r="P252" t="n">
        <v>0</v>
      </c>
      <c r="Q252" t="n">
        <v>0</v>
      </c>
      <c r="R252" s="2" t="inlineStr"/>
    </row>
    <row r="253" ht="15" customHeight="1">
      <c r="A253" t="inlineStr">
        <is>
          <t>A 40085-2024</t>
        </is>
      </c>
      <c r="B253" s="1" t="n">
        <v>45554</v>
      </c>
      <c r="C253" s="1" t="n">
        <v>45892</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3551-2024</t>
        </is>
      </c>
      <c r="B254" s="1" t="n">
        <v>45320.61099537037</v>
      </c>
      <c r="C254" s="1" t="n">
        <v>45892</v>
      </c>
      <c r="D254" t="inlineStr">
        <is>
          <t>VÄSTMANLANDS LÄN</t>
        </is>
      </c>
      <c r="E254" t="inlineStr">
        <is>
          <t>SALA</t>
        </is>
      </c>
      <c r="F254" t="inlineStr">
        <is>
          <t>Kommuner</t>
        </is>
      </c>
      <c r="G254" t="n">
        <v>6</v>
      </c>
      <c r="H254" t="n">
        <v>0</v>
      </c>
      <c r="I254" t="n">
        <v>0</v>
      </c>
      <c r="J254" t="n">
        <v>0</v>
      </c>
      <c r="K254" t="n">
        <v>0</v>
      </c>
      <c r="L254" t="n">
        <v>0</v>
      </c>
      <c r="M254" t="n">
        <v>0</v>
      </c>
      <c r="N254" t="n">
        <v>0</v>
      </c>
      <c r="O254" t="n">
        <v>0</v>
      </c>
      <c r="P254" t="n">
        <v>0</v>
      </c>
      <c r="Q254" t="n">
        <v>0</v>
      </c>
      <c r="R254" s="2" t="inlineStr"/>
    </row>
    <row r="255" ht="15" customHeight="1">
      <c r="A255" t="inlineStr">
        <is>
          <t>A 51464-2024</t>
        </is>
      </c>
      <c r="B255" s="1" t="n">
        <v>45604.49768518518</v>
      </c>
      <c r="C255" s="1" t="n">
        <v>45892</v>
      </c>
      <c r="D255" t="inlineStr">
        <is>
          <t>VÄSTMANLANDS LÄN</t>
        </is>
      </c>
      <c r="E255" t="inlineStr">
        <is>
          <t>SALA</t>
        </is>
      </c>
      <c r="G255" t="n">
        <v>3.9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45892</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5728-2022</t>
        </is>
      </c>
      <c r="B257" s="1" t="n">
        <v>44596.42082175926</v>
      </c>
      <c r="C257" s="1" t="n">
        <v>45892</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69232-2021</t>
        </is>
      </c>
      <c r="B258" s="1" t="n">
        <v>44531.39696759259</v>
      </c>
      <c r="C258" s="1" t="n">
        <v>45892</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10250-2025</t>
        </is>
      </c>
      <c r="B259" s="1" t="n">
        <v>45720.36165509259</v>
      </c>
      <c r="C259" s="1" t="n">
        <v>45892</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49512-2024</t>
        </is>
      </c>
      <c r="B260" s="1" t="n">
        <v>45591</v>
      </c>
      <c r="C260" s="1" t="n">
        <v>45892</v>
      </c>
      <c r="D260" t="inlineStr">
        <is>
          <t>VÄSTMANLANDS LÄN</t>
        </is>
      </c>
      <c r="E260" t="inlineStr">
        <is>
          <t>SALA</t>
        </is>
      </c>
      <c r="G260" t="n">
        <v>8.1</v>
      </c>
      <c r="H260" t="n">
        <v>0</v>
      </c>
      <c r="I260" t="n">
        <v>0</v>
      </c>
      <c r="J260" t="n">
        <v>0</v>
      </c>
      <c r="K260" t="n">
        <v>0</v>
      </c>
      <c r="L260" t="n">
        <v>0</v>
      </c>
      <c r="M260" t="n">
        <v>0</v>
      </c>
      <c r="N260" t="n">
        <v>0</v>
      </c>
      <c r="O260" t="n">
        <v>0</v>
      </c>
      <c r="P260" t="n">
        <v>0</v>
      </c>
      <c r="Q260" t="n">
        <v>0</v>
      </c>
      <c r="R260" s="2" t="inlineStr"/>
    </row>
    <row r="261" ht="15" customHeight="1">
      <c r="A261" t="inlineStr">
        <is>
          <t>A 19398-2025</t>
        </is>
      </c>
      <c r="B261" s="1" t="n">
        <v>45769</v>
      </c>
      <c r="C261" s="1" t="n">
        <v>45892</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42416-2022</t>
        </is>
      </c>
      <c r="B262" s="1" t="n">
        <v>44831</v>
      </c>
      <c r="C262" s="1" t="n">
        <v>45892</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6135-2023</t>
        </is>
      </c>
      <c r="B263" s="1" t="n">
        <v>44964.62628472222</v>
      </c>
      <c r="C263" s="1" t="n">
        <v>45892</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16693-2023</t>
        </is>
      </c>
      <c r="B264" s="1" t="n">
        <v>45028</v>
      </c>
      <c r="C264" s="1" t="n">
        <v>45892</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8285-2025</t>
        </is>
      </c>
      <c r="B265" s="1" t="n">
        <v>45708</v>
      </c>
      <c r="C265" s="1" t="n">
        <v>45892</v>
      </c>
      <c r="D265" t="inlineStr">
        <is>
          <t>VÄSTMANLANDS LÄN</t>
        </is>
      </c>
      <c r="E265" t="inlineStr">
        <is>
          <t>SALA</t>
        </is>
      </c>
      <c r="G265" t="n">
        <v>5.7</v>
      </c>
      <c r="H265" t="n">
        <v>0</v>
      </c>
      <c r="I265" t="n">
        <v>0</v>
      </c>
      <c r="J265" t="n">
        <v>0</v>
      </c>
      <c r="K265" t="n">
        <v>0</v>
      </c>
      <c r="L265" t="n">
        <v>0</v>
      </c>
      <c r="M265" t="n">
        <v>0</v>
      </c>
      <c r="N265" t="n">
        <v>0</v>
      </c>
      <c r="O265" t="n">
        <v>0</v>
      </c>
      <c r="P265" t="n">
        <v>0</v>
      </c>
      <c r="Q265" t="n">
        <v>0</v>
      </c>
      <c r="R265" s="2" t="inlineStr"/>
    </row>
    <row r="266" ht="15" customHeight="1">
      <c r="A266" t="inlineStr">
        <is>
          <t>A 4797-2023</t>
        </is>
      </c>
      <c r="B266" s="1" t="n">
        <v>44957</v>
      </c>
      <c r="C266" s="1" t="n">
        <v>45892</v>
      </c>
      <c r="D266" t="inlineStr">
        <is>
          <t>VÄSTMANLANDS LÄN</t>
        </is>
      </c>
      <c r="E266" t="inlineStr">
        <is>
          <t>SALA</t>
        </is>
      </c>
      <c r="G266" t="n">
        <v>5.7</v>
      </c>
      <c r="H266" t="n">
        <v>0</v>
      </c>
      <c r="I266" t="n">
        <v>0</v>
      </c>
      <c r="J266" t="n">
        <v>0</v>
      </c>
      <c r="K266" t="n">
        <v>0</v>
      </c>
      <c r="L266" t="n">
        <v>0</v>
      </c>
      <c r="M266" t="n">
        <v>0</v>
      </c>
      <c r="N266" t="n">
        <v>0</v>
      </c>
      <c r="O266" t="n">
        <v>0</v>
      </c>
      <c r="P266" t="n">
        <v>0</v>
      </c>
      <c r="Q266" t="n">
        <v>0</v>
      </c>
      <c r="R266" s="2" t="inlineStr"/>
    </row>
    <row r="267" ht="15" customHeight="1">
      <c r="A267" t="inlineStr">
        <is>
          <t>A 22961-2023</t>
        </is>
      </c>
      <c r="B267" s="1" t="n">
        <v>45072</v>
      </c>
      <c r="C267" s="1" t="n">
        <v>45892</v>
      </c>
      <c r="D267" t="inlineStr">
        <is>
          <t>VÄSTMANLANDS LÄN</t>
        </is>
      </c>
      <c r="E267" t="inlineStr">
        <is>
          <t>SALA</t>
        </is>
      </c>
      <c r="G267" t="n">
        <v>2.7</v>
      </c>
      <c r="H267" t="n">
        <v>0</v>
      </c>
      <c r="I267" t="n">
        <v>0</v>
      </c>
      <c r="J267" t="n">
        <v>0</v>
      </c>
      <c r="K267" t="n">
        <v>0</v>
      </c>
      <c r="L267" t="n">
        <v>0</v>
      </c>
      <c r="M267" t="n">
        <v>0</v>
      </c>
      <c r="N267" t="n">
        <v>0</v>
      </c>
      <c r="O267" t="n">
        <v>0</v>
      </c>
      <c r="P267" t="n">
        <v>0</v>
      </c>
      <c r="Q267" t="n">
        <v>0</v>
      </c>
      <c r="R267" s="2" t="inlineStr"/>
    </row>
    <row r="268" ht="15" customHeight="1">
      <c r="A268" t="inlineStr">
        <is>
          <t>A 22963-2023</t>
        </is>
      </c>
      <c r="B268" s="1" t="n">
        <v>45072</v>
      </c>
      <c r="C268" s="1" t="n">
        <v>45892</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45892</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54960-2024</t>
        </is>
      </c>
      <c r="B270" s="1" t="n">
        <v>45619.85208333333</v>
      </c>
      <c r="C270" s="1" t="n">
        <v>45892</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45892</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45892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17985-2025</t>
        </is>
      </c>
      <c r="B273" s="1" t="n">
        <v>45761</v>
      </c>
      <c r="C273" s="1" t="n">
        <v>45892</v>
      </c>
      <c r="D273" t="inlineStr">
        <is>
          <t>VÄSTMANLANDS LÄN</t>
        </is>
      </c>
      <c r="E273" t="inlineStr">
        <is>
          <t>SALA</t>
        </is>
      </c>
      <c r="G273" t="n">
        <v>12.5</v>
      </c>
      <c r="H273" t="n">
        <v>0</v>
      </c>
      <c r="I273" t="n">
        <v>0</v>
      </c>
      <c r="J273" t="n">
        <v>0</v>
      </c>
      <c r="K273" t="n">
        <v>0</v>
      </c>
      <c r="L273" t="n">
        <v>0</v>
      </c>
      <c r="M273" t="n">
        <v>0</v>
      </c>
      <c r="N273" t="n">
        <v>0</v>
      </c>
      <c r="O273" t="n">
        <v>0</v>
      </c>
      <c r="P273" t="n">
        <v>0</v>
      </c>
      <c r="Q273" t="n">
        <v>0</v>
      </c>
      <c r="R273" s="2" t="inlineStr"/>
    </row>
    <row r="274" ht="15" customHeight="1">
      <c r="A274" t="inlineStr">
        <is>
          <t>A 27228-2023</t>
        </is>
      </c>
      <c r="B274" s="1" t="n">
        <v>45096.59189814814</v>
      </c>
      <c r="C274" s="1" t="n">
        <v>45892</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26507-2023</t>
        </is>
      </c>
      <c r="B275" s="1" t="n">
        <v>45092</v>
      </c>
      <c r="C275" s="1" t="n">
        <v>45892</v>
      </c>
      <c r="D275" t="inlineStr">
        <is>
          <t>VÄSTMANLANDS LÄN</t>
        </is>
      </c>
      <c r="E275" t="inlineStr">
        <is>
          <t>SALA</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15650-2025</t>
        </is>
      </c>
      <c r="B276" s="1" t="n">
        <v>45748.40172453703</v>
      </c>
      <c r="C276" s="1" t="n">
        <v>45892</v>
      </c>
      <c r="D276" t="inlineStr">
        <is>
          <t>VÄSTMANLANDS LÄN</t>
        </is>
      </c>
      <c r="E276" t="inlineStr">
        <is>
          <t>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6183-2025</t>
        </is>
      </c>
      <c r="B277" s="1" t="n">
        <v>45698</v>
      </c>
      <c r="C277" s="1" t="n">
        <v>45892</v>
      </c>
      <c r="D277" t="inlineStr">
        <is>
          <t>VÄSTMANLANDS LÄN</t>
        </is>
      </c>
      <c r="E277" t="inlineStr">
        <is>
          <t>SALA</t>
        </is>
      </c>
      <c r="F277" t="inlineStr">
        <is>
          <t>Bergvik skog öst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16543-2023</t>
        </is>
      </c>
      <c r="B278" s="1" t="n">
        <v>45029</v>
      </c>
      <c r="C278" s="1" t="n">
        <v>45892</v>
      </c>
      <c r="D278" t="inlineStr">
        <is>
          <t>VÄSTMANLANDS LÄN</t>
        </is>
      </c>
      <c r="E278" t="inlineStr">
        <is>
          <t>SALA</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15972-2024</t>
        </is>
      </c>
      <c r="B279" s="1" t="n">
        <v>45405.56498842593</v>
      </c>
      <c r="C279" s="1" t="n">
        <v>45892</v>
      </c>
      <c r="D279" t="inlineStr">
        <is>
          <t>VÄSTMANLANDS LÄN</t>
        </is>
      </c>
      <c r="E279" t="inlineStr">
        <is>
          <t>SALA</t>
        </is>
      </c>
      <c r="G279" t="n">
        <v>1.8</v>
      </c>
      <c r="H279" t="n">
        <v>0</v>
      </c>
      <c r="I279" t="n">
        <v>0</v>
      </c>
      <c r="J279" t="n">
        <v>0</v>
      </c>
      <c r="K279" t="n">
        <v>0</v>
      </c>
      <c r="L279" t="n">
        <v>0</v>
      </c>
      <c r="M279" t="n">
        <v>0</v>
      </c>
      <c r="N279" t="n">
        <v>0</v>
      </c>
      <c r="O279" t="n">
        <v>0</v>
      </c>
      <c r="P279" t="n">
        <v>0</v>
      </c>
      <c r="Q279" t="n">
        <v>0</v>
      </c>
      <c r="R279" s="2" t="inlineStr"/>
    </row>
    <row r="280" ht="15" customHeight="1">
      <c r="A280" t="inlineStr">
        <is>
          <t>A 43176-2023</t>
        </is>
      </c>
      <c r="B280" s="1" t="n">
        <v>45183</v>
      </c>
      <c r="C280" s="1" t="n">
        <v>45892</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37624-2024</t>
        </is>
      </c>
      <c r="B281" s="1" t="n">
        <v>45541</v>
      </c>
      <c r="C281" s="1" t="n">
        <v>45892</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57895-2024</t>
        </is>
      </c>
      <c r="B282" s="1" t="n">
        <v>45631</v>
      </c>
      <c r="C282" s="1" t="n">
        <v>45892</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47086-2022</t>
        </is>
      </c>
      <c r="B283" s="1" t="n">
        <v>44852</v>
      </c>
      <c r="C283" s="1" t="n">
        <v>45892</v>
      </c>
      <c r="D283" t="inlineStr">
        <is>
          <t>VÄSTMANLANDS LÄN</t>
        </is>
      </c>
      <c r="E283" t="inlineStr">
        <is>
          <t>SALA</t>
        </is>
      </c>
      <c r="G283" t="n">
        <v>12.5</v>
      </c>
      <c r="H283" t="n">
        <v>0</v>
      </c>
      <c r="I283" t="n">
        <v>0</v>
      </c>
      <c r="J283" t="n">
        <v>0</v>
      </c>
      <c r="K283" t="n">
        <v>0</v>
      </c>
      <c r="L283" t="n">
        <v>0</v>
      </c>
      <c r="M283" t="n">
        <v>0</v>
      </c>
      <c r="N283" t="n">
        <v>0</v>
      </c>
      <c r="O283" t="n">
        <v>0</v>
      </c>
      <c r="P283" t="n">
        <v>0</v>
      </c>
      <c r="Q283" t="n">
        <v>0</v>
      </c>
      <c r="R283" s="2" t="inlineStr"/>
    </row>
    <row r="284" ht="15" customHeight="1">
      <c r="A284" t="inlineStr">
        <is>
          <t>A 37958-2024</t>
        </is>
      </c>
      <c r="B284" s="1" t="n">
        <v>45544</v>
      </c>
      <c r="C284" s="1" t="n">
        <v>45892</v>
      </c>
      <c r="D284" t="inlineStr">
        <is>
          <t>VÄSTMANLANDS LÄN</t>
        </is>
      </c>
      <c r="E284" t="inlineStr">
        <is>
          <t>SALA</t>
        </is>
      </c>
      <c r="G284" t="n">
        <v>5.6</v>
      </c>
      <c r="H284" t="n">
        <v>0</v>
      </c>
      <c r="I284" t="n">
        <v>0</v>
      </c>
      <c r="J284" t="n">
        <v>0</v>
      </c>
      <c r="K284" t="n">
        <v>0</v>
      </c>
      <c r="L284" t="n">
        <v>0</v>
      </c>
      <c r="M284" t="n">
        <v>0</v>
      </c>
      <c r="N284" t="n">
        <v>0</v>
      </c>
      <c r="O284" t="n">
        <v>0</v>
      </c>
      <c r="P284" t="n">
        <v>0</v>
      </c>
      <c r="Q284" t="n">
        <v>0</v>
      </c>
      <c r="R284" s="2" t="inlineStr"/>
    </row>
    <row r="285" ht="15" customHeight="1">
      <c r="A285" t="inlineStr">
        <is>
          <t>A 18340-2025</t>
        </is>
      </c>
      <c r="B285" s="1" t="n">
        <v>45762</v>
      </c>
      <c r="C285" s="1" t="n">
        <v>45892</v>
      </c>
      <c r="D285" t="inlineStr">
        <is>
          <t>VÄSTMANLANDS LÄN</t>
        </is>
      </c>
      <c r="E285" t="inlineStr">
        <is>
          <t>SALA</t>
        </is>
      </c>
      <c r="G285" t="n">
        <v>2.1</v>
      </c>
      <c r="H285" t="n">
        <v>0</v>
      </c>
      <c r="I285" t="n">
        <v>0</v>
      </c>
      <c r="J285" t="n">
        <v>0</v>
      </c>
      <c r="K285" t="n">
        <v>0</v>
      </c>
      <c r="L285" t="n">
        <v>0</v>
      </c>
      <c r="M285" t="n">
        <v>0</v>
      </c>
      <c r="N285" t="n">
        <v>0</v>
      </c>
      <c r="O285" t="n">
        <v>0</v>
      </c>
      <c r="P285" t="n">
        <v>0</v>
      </c>
      <c r="Q285" t="n">
        <v>0</v>
      </c>
      <c r="R285" s="2" t="inlineStr"/>
    </row>
    <row r="286" ht="15" customHeight="1">
      <c r="A286" t="inlineStr">
        <is>
          <t>A 56706-2022</t>
        </is>
      </c>
      <c r="B286" s="1" t="n">
        <v>44893.78893518518</v>
      </c>
      <c r="C286" s="1" t="n">
        <v>45892</v>
      </c>
      <c r="D286" t="inlineStr">
        <is>
          <t>VÄSTMANLANDS LÄN</t>
        </is>
      </c>
      <c r="E286" t="inlineStr">
        <is>
          <t>SALA</t>
        </is>
      </c>
      <c r="G286" t="n">
        <v>4.5</v>
      </c>
      <c r="H286" t="n">
        <v>0</v>
      </c>
      <c r="I286" t="n">
        <v>0</v>
      </c>
      <c r="J286" t="n">
        <v>0</v>
      </c>
      <c r="K286" t="n">
        <v>0</v>
      </c>
      <c r="L286" t="n">
        <v>0</v>
      </c>
      <c r="M286" t="n">
        <v>0</v>
      </c>
      <c r="N286" t="n">
        <v>0</v>
      </c>
      <c r="O286" t="n">
        <v>0</v>
      </c>
      <c r="P286" t="n">
        <v>0</v>
      </c>
      <c r="Q286" t="n">
        <v>0</v>
      </c>
      <c r="R286" s="2" t="inlineStr"/>
    </row>
    <row r="287" ht="15" customHeight="1">
      <c r="A287" t="inlineStr">
        <is>
          <t>A 56707-2022</t>
        </is>
      </c>
      <c r="B287" s="1" t="n">
        <v>44893.79412037037</v>
      </c>
      <c r="C287" s="1" t="n">
        <v>45892</v>
      </c>
      <c r="D287" t="inlineStr">
        <is>
          <t>VÄSTMANLANDS LÄN</t>
        </is>
      </c>
      <c r="E287" t="inlineStr">
        <is>
          <t>SALA</t>
        </is>
      </c>
      <c r="G287" t="n">
        <v>1</v>
      </c>
      <c r="H287" t="n">
        <v>0</v>
      </c>
      <c r="I287" t="n">
        <v>0</v>
      </c>
      <c r="J287" t="n">
        <v>0</v>
      </c>
      <c r="K287" t="n">
        <v>0</v>
      </c>
      <c r="L287" t="n">
        <v>0</v>
      </c>
      <c r="M287" t="n">
        <v>0</v>
      </c>
      <c r="N287" t="n">
        <v>0</v>
      </c>
      <c r="O287" t="n">
        <v>0</v>
      </c>
      <c r="P287" t="n">
        <v>0</v>
      </c>
      <c r="Q287" t="n">
        <v>0</v>
      </c>
      <c r="R287" s="2" t="inlineStr"/>
    </row>
    <row r="288" ht="15" customHeight="1">
      <c r="A288" t="inlineStr">
        <is>
          <t>A 14010-2021</t>
        </is>
      </c>
      <c r="B288" s="1" t="n">
        <v>44277.63396990741</v>
      </c>
      <c r="C288" s="1" t="n">
        <v>45892</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54768-2024</t>
        </is>
      </c>
      <c r="B289" s="1" t="n">
        <v>45618</v>
      </c>
      <c r="C289" s="1" t="n">
        <v>45892</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1555-2024</t>
        </is>
      </c>
      <c r="B290" s="1" t="n">
        <v>45306</v>
      </c>
      <c r="C290" s="1" t="n">
        <v>45892</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56687-2024</t>
        </is>
      </c>
      <c r="B291" s="1" t="n">
        <v>45627.63271990741</v>
      </c>
      <c r="C291" s="1" t="n">
        <v>45892</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54347-2024</t>
        </is>
      </c>
      <c r="B292" s="1" t="n">
        <v>45617.39325231482</v>
      </c>
      <c r="C292" s="1" t="n">
        <v>45892</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48571-2024</t>
        </is>
      </c>
      <c r="B293" s="1" t="n">
        <v>45591</v>
      </c>
      <c r="C293" s="1" t="n">
        <v>45892</v>
      </c>
      <c r="D293" t="inlineStr">
        <is>
          <t>VÄSTMANLANDS LÄN</t>
        </is>
      </c>
      <c r="E293" t="inlineStr">
        <is>
          <t>SALA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64693-2023</t>
        </is>
      </c>
      <c r="B294" s="1" t="n">
        <v>45281.63850694444</v>
      </c>
      <c r="C294" s="1" t="n">
        <v>45892</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64695-2023</t>
        </is>
      </c>
      <c r="B295" s="1" t="n">
        <v>45281.64099537037</v>
      </c>
      <c r="C295" s="1" t="n">
        <v>45892</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13188-2025</t>
        </is>
      </c>
      <c r="B296" s="1" t="n">
        <v>45735.39246527778</v>
      </c>
      <c r="C296" s="1" t="n">
        <v>45892</v>
      </c>
      <c r="D296" t="inlineStr">
        <is>
          <t>VÄSTMANLANDS LÄN</t>
        </is>
      </c>
      <c r="E296" t="inlineStr">
        <is>
          <t>SALA</t>
        </is>
      </c>
      <c r="F296" t="inlineStr">
        <is>
          <t>Naturvårdsverket</t>
        </is>
      </c>
      <c r="G296" t="n">
        <v>18.4</v>
      </c>
      <c r="H296" t="n">
        <v>0</v>
      </c>
      <c r="I296" t="n">
        <v>0</v>
      </c>
      <c r="J296" t="n">
        <v>0</v>
      </c>
      <c r="K296" t="n">
        <v>0</v>
      </c>
      <c r="L296" t="n">
        <v>0</v>
      </c>
      <c r="M296" t="n">
        <v>0</v>
      </c>
      <c r="N296" t="n">
        <v>0</v>
      </c>
      <c r="O296" t="n">
        <v>0</v>
      </c>
      <c r="P296" t="n">
        <v>0</v>
      </c>
      <c r="Q296" t="n">
        <v>0</v>
      </c>
      <c r="R296" s="2" t="inlineStr"/>
    </row>
    <row r="297" ht="15" customHeight="1">
      <c r="A297" t="inlineStr">
        <is>
          <t>A 27486-2022</t>
        </is>
      </c>
      <c r="B297" s="1" t="n">
        <v>44742.60846064815</v>
      </c>
      <c r="C297" s="1" t="n">
        <v>45892</v>
      </c>
      <c r="D297" t="inlineStr">
        <is>
          <t>VÄSTMANLANDS LÄN</t>
        </is>
      </c>
      <c r="E297" t="inlineStr">
        <is>
          <t>SALA</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50801-2020</t>
        </is>
      </c>
      <c r="B298" s="1" t="n">
        <v>44111</v>
      </c>
      <c r="C298" s="1" t="n">
        <v>45892</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35003-2024</t>
        </is>
      </c>
      <c r="B299" s="1" t="n">
        <v>45527.56790509259</v>
      </c>
      <c r="C299" s="1" t="n">
        <v>45892</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57800-2020</t>
        </is>
      </c>
      <c r="B300" s="1" t="n">
        <v>44141</v>
      </c>
      <c r="C300" s="1" t="n">
        <v>45892</v>
      </c>
      <c r="D300" t="inlineStr">
        <is>
          <t>VÄSTMANLANDS LÄN</t>
        </is>
      </c>
      <c r="E300" t="inlineStr">
        <is>
          <t>SALA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15756-2025</t>
        </is>
      </c>
      <c r="B301" s="1" t="n">
        <v>45748.56810185185</v>
      </c>
      <c r="C301" s="1" t="n">
        <v>45892</v>
      </c>
      <c r="D301" t="inlineStr">
        <is>
          <t>VÄSTMANLANDS LÄN</t>
        </is>
      </c>
      <c r="E301" t="inlineStr">
        <is>
          <t>SALA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48688-2024</t>
        </is>
      </c>
      <c r="B302" s="1" t="n">
        <v>45593.50541666667</v>
      </c>
      <c r="C302" s="1" t="n">
        <v>45892</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15354-2021</t>
        </is>
      </c>
      <c r="B303" s="1" t="n">
        <v>44284</v>
      </c>
      <c r="C303" s="1" t="n">
        <v>45892</v>
      </c>
      <c r="D303" t="inlineStr">
        <is>
          <t>VÄSTMANLANDS LÄN</t>
        </is>
      </c>
      <c r="E303" t="inlineStr">
        <is>
          <t>SALA</t>
        </is>
      </c>
      <c r="F303" t="inlineStr">
        <is>
          <t>Kyrkan</t>
        </is>
      </c>
      <c r="G303" t="n">
        <v>8.5</v>
      </c>
      <c r="H303" t="n">
        <v>0</v>
      </c>
      <c r="I303" t="n">
        <v>0</v>
      </c>
      <c r="J303" t="n">
        <v>0</v>
      </c>
      <c r="K303" t="n">
        <v>0</v>
      </c>
      <c r="L303" t="n">
        <v>0</v>
      </c>
      <c r="M303" t="n">
        <v>0</v>
      </c>
      <c r="N303" t="n">
        <v>0</v>
      </c>
      <c r="O303" t="n">
        <v>0</v>
      </c>
      <c r="P303" t="n">
        <v>0</v>
      </c>
      <c r="Q303" t="n">
        <v>0</v>
      </c>
      <c r="R303" s="2" t="inlineStr"/>
    </row>
    <row r="304" ht="15" customHeight="1">
      <c r="A304" t="inlineStr">
        <is>
          <t>A 63933-2023</t>
        </is>
      </c>
      <c r="B304" s="1" t="n">
        <v>45278</v>
      </c>
      <c r="C304" s="1" t="n">
        <v>45892</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44746-2024</t>
        </is>
      </c>
      <c r="B305" s="1" t="n">
        <v>45574.59813657407</v>
      </c>
      <c r="C305" s="1" t="n">
        <v>45892</v>
      </c>
      <c r="D305" t="inlineStr">
        <is>
          <t>VÄSTMANLANDS LÄN</t>
        </is>
      </c>
      <c r="E305" t="inlineStr">
        <is>
          <t>SALA</t>
        </is>
      </c>
      <c r="G305" t="n">
        <v>6.7</v>
      </c>
      <c r="H305" t="n">
        <v>0</v>
      </c>
      <c r="I305" t="n">
        <v>0</v>
      </c>
      <c r="J305" t="n">
        <v>0</v>
      </c>
      <c r="K305" t="n">
        <v>0</v>
      </c>
      <c r="L305" t="n">
        <v>0</v>
      </c>
      <c r="M305" t="n">
        <v>0</v>
      </c>
      <c r="N305" t="n">
        <v>0</v>
      </c>
      <c r="O305" t="n">
        <v>0</v>
      </c>
      <c r="P305" t="n">
        <v>0</v>
      </c>
      <c r="Q305" t="n">
        <v>0</v>
      </c>
      <c r="R305" s="2" t="inlineStr"/>
    </row>
    <row r="306" ht="15" customHeight="1">
      <c r="A306" t="inlineStr">
        <is>
          <t>A 33273-2023</t>
        </is>
      </c>
      <c r="B306" s="1" t="n">
        <v>45127</v>
      </c>
      <c r="C306" s="1" t="n">
        <v>45892</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31000-2022</t>
        </is>
      </c>
      <c r="B307" s="1" t="n">
        <v>44768</v>
      </c>
      <c r="C307" s="1" t="n">
        <v>45892</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11696-2025</t>
        </is>
      </c>
      <c r="B308" s="1" t="n">
        <v>45727</v>
      </c>
      <c r="C308" s="1" t="n">
        <v>45892</v>
      </c>
      <c r="D308" t="inlineStr">
        <is>
          <t>VÄSTMANLANDS LÄN</t>
        </is>
      </c>
      <c r="E308" t="inlineStr">
        <is>
          <t>SALA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37183-2024</t>
        </is>
      </c>
      <c r="B309" s="1" t="n">
        <v>45539</v>
      </c>
      <c r="C309" s="1" t="n">
        <v>45892</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27229-2022</t>
        </is>
      </c>
      <c r="B310" s="1" t="n">
        <v>44741</v>
      </c>
      <c r="C310" s="1" t="n">
        <v>45892</v>
      </c>
      <c r="D310" t="inlineStr">
        <is>
          <t>VÄSTMANLANDS LÄN</t>
        </is>
      </c>
      <c r="E310" t="inlineStr">
        <is>
          <t>SALA</t>
        </is>
      </c>
      <c r="F310" t="inlineStr">
        <is>
          <t>Kommuner</t>
        </is>
      </c>
      <c r="G310" t="n">
        <v>1.4</v>
      </c>
      <c r="H310" t="n">
        <v>0</v>
      </c>
      <c r="I310" t="n">
        <v>0</v>
      </c>
      <c r="J310" t="n">
        <v>0</v>
      </c>
      <c r="K310" t="n">
        <v>0</v>
      </c>
      <c r="L310" t="n">
        <v>0</v>
      </c>
      <c r="M310" t="n">
        <v>0</v>
      </c>
      <c r="N310" t="n">
        <v>0</v>
      </c>
      <c r="O310" t="n">
        <v>0</v>
      </c>
      <c r="P310" t="n">
        <v>0</v>
      </c>
      <c r="Q310" t="n">
        <v>0</v>
      </c>
      <c r="R310" s="2" t="inlineStr"/>
    </row>
    <row r="311" ht="15" customHeight="1">
      <c r="A311" t="inlineStr">
        <is>
          <t>A 1793-2023</t>
        </is>
      </c>
      <c r="B311" s="1" t="n">
        <v>44937</v>
      </c>
      <c r="C311" s="1" t="n">
        <v>45892</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60545-2024</t>
        </is>
      </c>
      <c r="B312" s="1" t="n">
        <v>45643</v>
      </c>
      <c r="C312" s="1" t="n">
        <v>45892</v>
      </c>
      <c r="D312" t="inlineStr">
        <is>
          <t>VÄSTMANLANDS LÄN</t>
        </is>
      </c>
      <c r="E312" t="inlineStr">
        <is>
          <t>SALA</t>
        </is>
      </c>
      <c r="G312" t="n">
        <v>3.3</v>
      </c>
      <c r="H312" t="n">
        <v>0</v>
      </c>
      <c r="I312" t="n">
        <v>0</v>
      </c>
      <c r="J312" t="n">
        <v>0</v>
      </c>
      <c r="K312" t="n">
        <v>0</v>
      </c>
      <c r="L312" t="n">
        <v>0</v>
      </c>
      <c r="M312" t="n">
        <v>0</v>
      </c>
      <c r="N312" t="n">
        <v>0</v>
      </c>
      <c r="O312" t="n">
        <v>0</v>
      </c>
      <c r="P312" t="n">
        <v>0</v>
      </c>
      <c r="Q312" t="n">
        <v>0</v>
      </c>
      <c r="R312" s="2" t="inlineStr"/>
    </row>
    <row r="313" ht="15" customHeight="1">
      <c r="A313" t="inlineStr">
        <is>
          <t>A 60547-2024</t>
        </is>
      </c>
      <c r="B313" s="1" t="n">
        <v>45643</v>
      </c>
      <c r="C313" s="1" t="n">
        <v>45892</v>
      </c>
      <c r="D313" t="inlineStr">
        <is>
          <t>VÄSTMANLANDS LÄN</t>
        </is>
      </c>
      <c r="E313" t="inlineStr">
        <is>
          <t>SALA</t>
        </is>
      </c>
      <c r="G313" t="n">
        <v>0.6</v>
      </c>
      <c r="H313" t="n">
        <v>0</v>
      </c>
      <c r="I313" t="n">
        <v>0</v>
      </c>
      <c r="J313" t="n">
        <v>0</v>
      </c>
      <c r="K313" t="n">
        <v>0</v>
      </c>
      <c r="L313" t="n">
        <v>0</v>
      </c>
      <c r="M313" t="n">
        <v>0</v>
      </c>
      <c r="N313" t="n">
        <v>0</v>
      </c>
      <c r="O313" t="n">
        <v>0</v>
      </c>
      <c r="P313" t="n">
        <v>0</v>
      </c>
      <c r="Q313" t="n">
        <v>0</v>
      </c>
      <c r="R313" s="2" t="inlineStr"/>
    </row>
    <row r="314" ht="15" customHeight="1">
      <c r="A314" t="inlineStr">
        <is>
          <t>A 23431-2024</t>
        </is>
      </c>
      <c r="B314" s="1" t="n">
        <v>45453</v>
      </c>
      <c r="C314" s="1" t="n">
        <v>45892</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29248-2022</t>
        </is>
      </c>
      <c r="B315" s="1" t="n">
        <v>44750</v>
      </c>
      <c r="C315" s="1" t="n">
        <v>45892</v>
      </c>
      <c r="D315" t="inlineStr">
        <is>
          <t>VÄSTMANLANDS LÄN</t>
        </is>
      </c>
      <c r="E315" t="inlineStr">
        <is>
          <t>SALA</t>
        </is>
      </c>
      <c r="G315" t="n">
        <v>1.6</v>
      </c>
      <c r="H315" t="n">
        <v>0</v>
      </c>
      <c r="I315" t="n">
        <v>0</v>
      </c>
      <c r="J315" t="n">
        <v>0</v>
      </c>
      <c r="K315" t="n">
        <v>0</v>
      </c>
      <c r="L315" t="n">
        <v>0</v>
      </c>
      <c r="M315" t="n">
        <v>0</v>
      </c>
      <c r="N315" t="n">
        <v>0</v>
      </c>
      <c r="O315" t="n">
        <v>0</v>
      </c>
      <c r="P315" t="n">
        <v>0</v>
      </c>
      <c r="Q315" t="n">
        <v>0</v>
      </c>
      <c r="R315" s="2" t="inlineStr"/>
    </row>
    <row r="316" ht="15" customHeight="1">
      <c r="A316" t="inlineStr">
        <is>
          <t>A 21168-2025</t>
        </is>
      </c>
      <c r="B316" s="1" t="n">
        <v>45777</v>
      </c>
      <c r="C316" s="1" t="n">
        <v>45892</v>
      </c>
      <c r="D316" t="inlineStr">
        <is>
          <t>VÄSTMANLANDS LÄN</t>
        </is>
      </c>
      <c r="E316" t="inlineStr">
        <is>
          <t>SALA</t>
        </is>
      </c>
      <c r="G316" t="n">
        <v>4.5</v>
      </c>
      <c r="H316" t="n">
        <v>0</v>
      </c>
      <c r="I316" t="n">
        <v>0</v>
      </c>
      <c r="J316" t="n">
        <v>0</v>
      </c>
      <c r="K316" t="n">
        <v>0</v>
      </c>
      <c r="L316" t="n">
        <v>0</v>
      </c>
      <c r="M316" t="n">
        <v>0</v>
      </c>
      <c r="N316" t="n">
        <v>0</v>
      </c>
      <c r="O316" t="n">
        <v>0</v>
      </c>
      <c r="P316" t="n">
        <v>0</v>
      </c>
      <c r="Q316" t="n">
        <v>0</v>
      </c>
      <c r="R316" s="2" t="inlineStr"/>
    </row>
    <row r="317" ht="15" customHeight="1">
      <c r="A317" t="inlineStr">
        <is>
          <t>A 22397-2022</t>
        </is>
      </c>
      <c r="B317" s="1" t="n">
        <v>44713</v>
      </c>
      <c r="C317" s="1" t="n">
        <v>45892</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1985-2022</t>
        </is>
      </c>
      <c r="B318" s="1" t="n">
        <v>44575</v>
      </c>
      <c r="C318" s="1" t="n">
        <v>45892</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28863-2022</t>
        </is>
      </c>
      <c r="B319" s="1" t="n">
        <v>44749.50649305555</v>
      </c>
      <c r="C319" s="1" t="n">
        <v>45892</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27261-2024</t>
        </is>
      </c>
      <c r="B320" s="1" t="n">
        <v>45471</v>
      </c>
      <c r="C320" s="1" t="n">
        <v>45892</v>
      </c>
      <c r="D320" t="inlineStr">
        <is>
          <t>VÄSTMANLANDS LÄN</t>
        </is>
      </c>
      <c r="E320" t="inlineStr">
        <is>
          <t>SALA</t>
        </is>
      </c>
      <c r="G320" t="n">
        <v>6.1</v>
      </c>
      <c r="H320" t="n">
        <v>0</v>
      </c>
      <c r="I320" t="n">
        <v>0</v>
      </c>
      <c r="J320" t="n">
        <v>0</v>
      </c>
      <c r="K320" t="n">
        <v>0</v>
      </c>
      <c r="L320" t="n">
        <v>0</v>
      </c>
      <c r="M320" t="n">
        <v>0</v>
      </c>
      <c r="N320" t="n">
        <v>0</v>
      </c>
      <c r="O320" t="n">
        <v>0</v>
      </c>
      <c r="P320" t="n">
        <v>0</v>
      </c>
      <c r="Q320" t="n">
        <v>0</v>
      </c>
      <c r="R320" s="2" t="inlineStr"/>
    </row>
    <row r="321" ht="15" customHeight="1">
      <c r="A321" t="inlineStr">
        <is>
          <t>A 21738-2025</t>
        </is>
      </c>
      <c r="B321" s="1" t="n">
        <v>45783.59173611111</v>
      </c>
      <c r="C321" s="1" t="n">
        <v>45892</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21721-2025</t>
        </is>
      </c>
      <c r="B322" s="1" t="n">
        <v>45783</v>
      </c>
      <c r="C322" s="1" t="n">
        <v>45892</v>
      </c>
      <c r="D322" t="inlineStr">
        <is>
          <t>VÄSTMANLANDS LÄN</t>
        </is>
      </c>
      <c r="E322" t="inlineStr">
        <is>
          <t>SALA</t>
        </is>
      </c>
      <c r="G322" t="n">
        <v>6.1</v>
      </c>
      <c r="H322" t="n">
        <v>0</v>
      </c>
      <c r="I322" t="n">
        <v>0</v>
      </c>
      <c r="J322" t="n">
        <v>0</v>
      </c>
      <c r="K322" t="n">
        <v>0</v>
      </c>
      <c r="L322" t="n">
        <v>0</v>
      </c>
      <c r="M322" t="n">
        <v>0</v>
      </c>
      <c r="N322" t="n">
        <v>0</v>
      </c>
      <c r="O322" t="n">
        <v>0</v>
      </c>
      <c r="P322" t="n">
        <v>0</v>
      </c>
      <c r="Q322" t="n">
        <v>0</v>
      </c>
      <c r="R322" s="2" t="inlineStr"/>
    </row>
    <row r="323" ht="15" customHeight="1">
      <c r="A323" t="inlineStr">
        <is>
          <t>A 7681-2021</t>
        </is>
      </c>
      <c r="B323" s="1" t="n">
        <v>44242</v>
      </c>
      <c r="C323" s="1" t="n">
        <v>45892</v>
      </c>
      <c r="D323" t="inlineStr">
        <is>
          <t>VÄSTMANLANDS LÄN</t>
        </is>
      </c>
      <c r="E323" t="inlineStr">
        <is>
          <t>SALA</t>
        </is>
      </c>
      <c r="F323" t="inlineStr">
        <is>
          <t>Sveaskog</t>
        </is>
      </c>
      <c r="G323" t="n">
        <v>16.1</v>
      </c>
      <c r="H323" t="n">
        <v>0</v>
      </c>
      <c r="I323" t="n">
        <v>0</v>
      </c>
      <c r="J323" t="n">
        <v>0</v>
      </c>
      <c r="K323" t="n">
        <v>0</v>
      </c>
      <c r="L323" t="n">
        <v>0</v>
      </c>
      <c r="M323" t="n">
        <v>0</v>
      </c>
      <c r="N323" t="n">
        <v>0</v>
      </c>
      <c r="O323" t="n">
        <v>0</v>
      </c>
      <c r="P323" t="n">
        <v>0</v>
      </c>
      <c r="Q323" t="n">
        <v>0</v>
      </c>
      <c r="R323" s="2" t="inlineStr"/>
    </row>
    <row r="324" ht="15" customHeight="1">
      <c r="A324" t="inlineStr">
        <is>
          <t>A 14919-2025</t>
        </is>
      </c>
      <c r="B324" s="1" t="n">
        <v>45743.54256944444</v>
      </c>
      <c r="C324" s="1" t="n">
        <v>45892</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14920-2025</t>
        </is>
      </c>
      <c r="B325" s="1" t="n">
        <v>45743</v>
      </c>
      <c r="C325" s="1" t="n">
        <v>45892</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45892</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56098-2020</t>
        </is>
      </c>
      <c r="B327" s="1" t="n">
        <v>44132</v>
      </c>
      <c r="C327" s="1" t="n">
        <v>45892</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21754-2025</t>
        </is>
      </c>
      <c r="B328" s="1" t="n">
        <v>45783.61837962963</v>
      </c>
      <c r="C328" s="1" t="n">
        <v>45892</v>
      </c>
      <c r="D328" t="inlineStr">
        <is>
          <t>VÄSTMANLANDS LÄN</t>
        </is>
      </c>
      <c r="E328" t="inlineStr">
        <is>
          <t>SALA</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21751-2025</t>
        </is>
      </c>
      <c r="B329" s="1" t="n">
        <v>45783.61372685185</v>
      </c>
      <c r="C329" s="1" t="n">
        <v>45892</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45892</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2900-2023</t>
        </is>
      </c>
      <c r="B331" s="1" t="n">
        <v>44943</v>
      </c>
      <c r="C331" s="1" t="n">
        <v>45892</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6030-2024</t>
        </is>
      </c>
      <c r="B332" s="1" t="n">
        <v>45336.62782407407</v>
      </c>
      <c r="C332" s="1" t="n">
        <v>45892</v>
      </c>
      <c r="D332" t="inlineStr">
        <is>
          <t>VÄSTMANLANDS LÄN</t>
        </is>
      </c>
      <c r="E332" t="inlineStr">
        <is>
          <t>SALA</t>
        </is>
      </c>
      <c r="G332" t="n">
        <v>3.9</v>
      </c>
      <c r="H332" t="n">
        <v>0</v>
      </c>
      <c r="I332" t="n">
        <v>0</v>
      </c>
      <c r="J332" t="n">
        <v>0</v>
      </c>
      <c r="K332" t="n">
        <v>0</v>
      </c>
      <c r="L332" t="n">
        <v>0</v>
      </c>
      <c r="M332" t="n">
        <v>0</v>
      </c>
      <c r="N332" t="n">
        <v>0</v>
      </c>
      <c r="O332" t="n">
        <v>0</v>
      </c>
      <c r="P332" t="n">
        <v>0</v>
      </c>
      <c r="Q332" t="n">
        <v>0</v>
      </c>
      <c r="R332" s="2" t="inlineStr"/>
    </row>
    <row r="333" ht="15" customHeight="1">
      <c r="A333" t="inlineStr">
        <is>
          <t>A 35976-2024</t>
        </is>
      </c>
      <c r="B333" s="1" t="n">
        <v>45533.49555555556</v>
      </c>
      <c r="C333" s="1" t="n">
        <v>45892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37587-2024</t>
        </is>
      </c>
      <c r="B334" s="1" t="n">
        <v>45541</v>
      </c>
      <c r="C334" s="1" t="n">
        <v>45892</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55556-2023</t>
        </is>
      </c>
      <c r="B335" s="1" t="n">
        <v>45232</v>
      </c>
      <c r="C335" s="1" t="n">
        <v>45892</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52630-2022</t>
        </is>
      </c>
      <c r="B336" s="1" t="n">
        <v>44874</v>
      </c>
      <c r="C336" s="1" t="n">
        <v>45892</v>
      </c>
      <c r="D336" t="inlineStr">
        <is>
          <t>VÄSTMANLANDS LÄN</t>
        </is>
      </c>
      <c r="E336" t="inlineStr">
        <is>
          <t>SALA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57650-2024</t>
        </is>
      </c>
      <c r="B337" s="1" t="n">
        <v>45630</v>
      </c>
      <c r="C337" s="1" t="n">
        <v>45892</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50479-2022</t>
        </is>
      </c>
      <c r="B338" s="1" t="n">
        <v>44861</v>
      </c>
      <c r="C338" s="1" t="n">
        <v>45892</v>
      </c>
      <c r="D338" t="inlineStr">
        <is>
          <t>VÄSTMANLANDS LÄN</t>
        </is>
      </c>
      <c r="E338" t="inlineStr">
        <is>
          <t>SALA</t>
        </is>
      </c>
      <c r="G338" t="n">
        <v>0.9</v>
      </c>
      <c r="H338" t="n">
        <v>0</v>
      </c>
      <c r="I338" t="n">
        <v>0</v>
      </c>
      <c r="J338" t="n">
        <v>0</v>
      </c>
      <c r="K338" t="n">
        <v>0</v>
      </c>
      <c r="L338" t="n">
        <v>0</v>
      </c>
      <c r="M338" t="n">
        <v>0</v>
      </c>
      <c r="N338" t="n">
        <v>0</v>
      </c>
      <c r="O338" t="n">
        <v>0</v>
      </c>
      <c r="P338" t="n">
        <v>0</v>
      </c>
      <c r="Q338" t="n">
        <v>0</v>
      </c>
      <c r="R338" s="2" t="inlineStr"/>
    </row>
    <row r="339" ht="15" customHeight="1">
      <c r="A339" t="inlineStr">
        <is>
          <t>A 45790-2023</t>
        </is>
      </c>
      <c r="B339" s="1" t="n">
        <v>45195.45958333334</v>
      </c>
      <c r="C339" s="1" t="n">
        <v>45892</v>
      </c>
      <c r="D339" t="inlineStr">
        <is>
          <t>VÄSTMANLANDS LÄN</t>
        </is>
      </c>
      <c r="E339" t="inlineStr">
        <is>
          <t>SALA</t>
        </is>
      </c>
      <c r="G339" t="n">
        <v>5.7</v>
      </c>
      <c r="H339" t="n">
        <v>0</v>
      </c>
      <c r="I339" t="n">
        <v>0</v>
      </c>
      <c r="J339" t="n">
        <v>0</v>
      </c>
      <c r="K339" t="n">
        <v>0</v>
      </c>
      <c r="L339" t="n">
        <v>0</v>
      </c>
      <c r="M339" t="n">
        <v>0</v>
      </c>
      <c r="N339" t="n">
        <v>0</v>
      </c>
      <c r="O339" t="n">
        <v>0</v>
      </c>
      <c r="P339" t="n">
        <v>0</v>
      </c>
      <c r="Q339" t="n">
        <v>0</v>
      </c>
      <c r="R339" s="2" t="inlineStr"/>
    </row>
    <row r="340" ht="15" customHeight="1">
      <c r="A340" t="inlineStr">
        <is>
          <t>A 64724-2023</t>
        </is>
      </c>
      <c r="B340" s="1" t="n">
        <v>45281.7602662037</v>
      </c>
      <c r="C340" s="1" t="n">
        <v>45892</v>
      </c>
      <c r="D340" t="inlineStr">
        <is>
          <t>VÄSTMANLANDS LÄN</t>
        </is>
      </c>
      <c r="E340" t="inlineStr">
        <is>
          <t>SALA</t>
        </is>
      </c>
      <c r="G340" t="n">
        <v>2.3</v>
      </c>
      <c r="H340" t="n">
        <v>0</v>
      </c>
      <c r="I340" t="n">
        <v>0</v>
      </c>
      <c r="J340" t="n">
        <v>0</v>
      </c>
      <c r="K340" t="n">
        <v>0</v>
      </c>
      <c r="L340" t="n">
        <v>0</v>
      </c>
      <c r="M340" t="n">
        <v>0</v>
      </c>
      <c r="N340" t="n">
        <v>0</v>
      </c>
      <c r="O340" t="n">
        <v>0</v>
      </c>
      <c r="P340" t="n">
        <v>0</v>
      </c>
      <c r="Q340" t="n">
        <v>0</v>
      </c>
      <c r="R340" s="2" t="inlineStr"/>
    </row>
    <row r="341" ht="15" customHeight="1">
      <c r="A341" t="inlineStr">
        <is>
          <t>A 12922-2025</t>
        </is>
      </c>
      <c r="B341" s="1" t="n">
        <v>45734.28572916667</v>
      </c>
      <c r="C341" s="1" t="n">
        <v>45892</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14690-2025</t>
        </is>
      </c>
      <c r="B342" s="1" t="n">
        <v>45742.58212962963</v>
      </c>
      <c r="C342" s="1" t="n">
        <v>45892</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2928-2024</t>
        </is>
      </c>
      <c r="B343" s="1" t="n">
        <v>45315.59041666667</v>
      </c>
      <c r="C343" s="1" t="n">
        <v>45892</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73673-2021</t>
        </is>
      </c>
      <c r="B344" s="1" t="n">
        <v>44552.46501157407</v>
      </c>
      <c r="C344" s="1" t="n">
        <v>45892</v>
      </c>
      <c r="D344" t="inlineStr">
        <is>
          <t>VÄSTMANLANDS LÄN</t>
        </is>
      </c>
      <c r="E344" t="inlineStr">
        <is>
          <t>SALA</t>
        </is>
      </c>
      <c r="G344" t="n">
        <v>11.4</v>
      </c>
      <c r="H344" t="n">
        <v>0</v>
      </c>
      <c r="I344" t="n">
        <v>0</v>
      </c>
      <c r="J344" t="n">
        <v>0</v>
      </c>
      <c r="K344" t="n">
        <v>0</v>
      </c>
      <c r="L344" t="n">
        <v>0</v>
      </c>
      <c r="M344" t="n">
        <v>0</v>
      </c>
      <c r="N344" t="n">
        <v>0</v>
      </c>
      <c r="O344" t="n">
        <v>0</v>
      </c>
      <c r="P344" t="n">
        <v>0</v>
      </c>
      <c r="Q344" t="n">
        <v>0</v>
      </c>
      <c r="R344" s="2" t="inlineStr"/>
    </row>
    <row r="345" ht="15" customHeight="1">
      <c r="A345" t="inlineStr">
        <is>
          <t>A 7176-2023</t>
        </is>
      </c>
      <c r="B345" s="1" t="n">
        <v>44970</v>
      </c>
      <c r="C345" s="1" t="n">
        <v>45892</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2521-2025</t>
        </is>
      </c>
      <c r="B346" s="1" t="n">
        <v>45674</v>
      </c>
      <c r="C346" s="1" t="n">
        <v>45892</v>
      </c>
      <c r="D346" t="inlineStr">
        <is>
          <t>VÄSTMANLANDS LÄN</t>
        </is>
      </c>
      <c r="E346" t="inlineStr">
        <is>
          <t>SALA</t>
        </is>
      </c>
      <c r="G346" t="n">
        <v>3.5</v>
      </c>
      <c r="H346" t="n">
        <v>0</v>
      </c>
      <c r="I346" t="n">
        <v>0</v>
      </c>
      <c r="J346" t="n">
        <v>0</v>
      </c>
      <c r="K346" t="n">
        <v>0</v>
      </c>
      <c r="L346" t="n">
        <v>0</v>
      </c>
      <c r="M346" t="n">
        <v>0</v>
      </c>
      <c r="N346" t="n">
        <v>0</v>
      </c>
      <c r="O346" t="n">
        <v>0</v>
      </c>
      <c r="P346" t="n">
        <v>0</v>
      </c>
      <c r="Q346" t="n">
        <v>0</v>
      </c>
      <c r="R346" s="2" t="inlineStr"/>
    </row>
    <row r="347" ht="15" customHeight="1">
      <c r="A347" t="inlineStr">
        <is>
          <t>A 39364-2024</t>
        </is>
      </c>
      <c r="B347" s="1" t="n">
        <v>45551.46748842593</v>
      </c>
      <c r="C347" s="1" t="n">
        <v>45892</v>
      </c>
      <c r="D347" t="inlineStr">
        <is>
          <t>VÄSTMANLANDS LÄN</t>
        </is>
      </c>
      <c r="E347" t="inlineStr">
        <is>
          <t>SALA</t>
        </is>
      </c>
      <c r="G347" t="n">
        <v>2.8</v>
      </c>
      <c r="H347" t="n">
        <v>0</v>
      </c>
      <c r="I347" t="n">
        <v>0</v>
      </c>
      <c r="J347" t="n">
        <v>0</v>
      </c>
      <c r="K347" t="n">
        <v>0</v>
      </c>
      <c r="L347" t="n">
        <v>0</v>
      </c>
      <c r="M347" t="n">
        <v>0</v>
      </c>
      <c r="N347" t="n">
        <v>0</v>
      </c>
      <c r="O347" t="n">
        <v>0</v>
      </c>
      <c r="P347" t="n">
        <v>0</v>
      </c>
      <c r="Q347" t="n">
        <v>0</v>
      </c>
      <c r="R347" s="2" t="inlineStr"/>
    </row>
    <row r="348" ht="15" customHeight="1">
      <c r="A348" t="inlineStr">
        <is>
          <t>A 4736-2021</t>
        </is>
      </c>
      <c r="B348" s="1" t="n">
        <v>44225</v>
      </c>
      <c r="C348" s="1" t="n">
        <v>45892</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43600-2024</t>
        </is>
      </c>
      <c r="B349" s="1" t="n">
        <v>45569</v>
      </c>
      <c r="C349" s="1" t="n">
        <v>45892</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31405-2024</t>
        </is>
      </c>
      <c r="B350" s="1" t="n">
        <v>45505.5490625</v>
      </c>
      <c r="C350" s="1" t="n">
        <v>45892</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60548-2024</t>
        </is>
      </c>
      <c r="B351" s="1" t="n">
        <v>45643.80978009259</v>
      </c>
      <c r="C351" s="1" t="n">
        <v>45892</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40871-2021</t>
        </is>
      </c>
      <c r="B352" s="1" t="n">
        <v>44421</v>
      </c>
      <c r="C352" s="1" t="n">
        <v>45892</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22616-2025</t>
        </is>
      </c>
      <c r="B353" s="1" t="n">
        <v>45789.42752314815</v>
      </c>
      <c r="C353" s="1" t="n">
        <v>45892</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22353-2025</t>
        </is>
      </c>
      <c r="B354" s="1" t="n">
        <v>45786</v>
      </c>
      <c r="C354" s="1" t="n">
        <v>45892</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14271-2025</t>
        </is>
      </c>
      <c r="B355" s="1" t="n">
        <v>45740.64129629629</v>
      </c>
      <c r="C355" s="1" t="n">
        <v>45892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26761-2023</t>
        </is>
      </c>
      <c r="B356" s="1" t="n">
        <v>45093</v>
      </c>
      <c r="C356" s="1" t="n">
        <v>45892</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22383-2025</t>
        </is>
      </c>
      <c r="B357" s="1" t="n">
        <v>45786</v>
      </c>
      <c r="C357" s="1" t="n">
        <v>45892</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54199-2024</t>
        </is>
      </c>
      <c r="B358" s="1" t="n">
        <v>45616.64703703704</v>
      </c>
      <c r="C358" s="1" t="n">
        <v>45892</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55035-2023</t>
        </is>
      </c>
      <c r="B359" s="1" t="n">
        <v>45229</v>
      </c>
      <c r="C359" s="1" t="n">
        <v>45892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60249-2023</t>
        </is>
      </c>
      <c r="B360" s="1" t="n">
        <v>45258</v>
      </c>
      <c r="C360" s="1" t="n">
        <v>45892</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6312-2025</t>
        </is>
      </c>
      <c r="B361" s="1" t="n">
        <v>45698</v>
      </c>
      <c r="C361" s="1" t="n">
        <v>45892</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22624-2025</t>
        </is>
      </c>
      <c r="B362" s="1" t="n">
        <v>45789.43327546296</v>
      </c>
      <c r="C362" s="1" t="n">
        <v>45892</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22370-2025</t>
        </is>
      </c>
      <c r="B363" s="1" t="n">
        <v>45786</v>
      </c>
      <c r="C363" s="1" t="n">
        <v>45892</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25868-2024</t>
        </is>
      </c>
      <c r="B364" s="1" t="n">
        <v>45467.47506944444</v>
      </c>
      <c r="C364" s="1" t="n">
        <v>45892</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44857-2023</t>
        </is>
      </c>
      <c r="B365" s="1" t="n">
        <v>45190.58479166667</v>
      </c>
      <c r="C365" s="1" t="n">
        <v>45892</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13130-2025</t>
        </is>
      </c>
      <c r="B366" s="1" t="n">
        <v>45734</v>
      </c>
      <c r="C366" s="1" t="n">
        <v>45892</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62654-2022</t>
        </is>
      </c>
      <c r="B367" s="1" t="n">
        <v>44917</v>
      </c>
      <c r="C367" s="1" t="n">
        <v>45892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43188-2023</t>
        </is>
      </c>
      <c r="B368" s="1" t="n">
        <v>45183</v>
      </c>
      <c r="C368" s="1" t="n">
        <v>45892</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43205-2023</t>
        </is>
      </c>
      <c r="B369" s="1" t="n">
        <v>45183</v>
      </c>
      <c r="C369" s="1" t="n">
        <v>45892</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61892-2021</t>
        </is>
      </c>
      <c r="B370" s="1" t="n">
        <v>44502</v>
      </c>
      <c r="C370" s="1" t="n">
        <v>45892</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29213-2022</t>
        </is>
      </c>
      <c r="B371" s="1" t="n">
        <v>44750.57474537037</v>
      </c>
      <c r="C371" s="1" t="n">
        <v>45892</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59483-2022</t>
        </is>
      </c>
      <c r="B372" s="1" t="n">
        <v>44907.45679398148</v>
      </c>
      <c r="C372" s="1" t="n">
        <v>45892</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31597-2024</t>
        </is>
      </c>
      <c r="B373" s="1" t="n">
        <v>45506</v>
      </c>
      <c r="C373" s="1" t="n">
        <v>45892</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45892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45892</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45892</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45892</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52500-2024</t>
        </is>
      </c>
      <c r="B378" s="1" t="n">
        <v>45609</v>
      </c>
      <c r="C378" s="1" t="n">
        <v>45892</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16160-2024</t>
        </is>
      </c>
      <c r="B379" s="1" t="n">
        <v>45406</v>
      </c>
      <c r="C379" s="1" t="n">
        <v>45892</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23804-2025</t>
        </is>
      </c>
      <c r="B380" s="1" t="n">
        <v>45793.55995370371</v>
      </c>
      <c r="C380" s="1" t="n">
        <v>45892</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22126-2025</t>
        </is>
      </c>
      <c r="B381" s="1" t="n">
        <v>45785</v>
      </c>
      <c r="C381" s="1" t="n">
        <v>45892</v>
      </c>
      <c r="D381" t="inlineStr">
        <is>
          <t>VÄSTMANLANDS LÄN</t>
        </is>
      </c>
      <c r="E381" t="inlineStr">
        <is>
          <t>SALA</t>
        </is>
      </c>
      <c r="G381" t="n">
        <v>10.6</v>
      </c>
      <c r="H381" t="n">
        <v>0</v>
      </c>
      <c r="I381" t="n">
        <v>0</v>
      </c>
      <c r="J381" t="n">
        <v>0</v>
      </c>
      <c r="K381" t="n">
        <v>0</v>
      </c>
      <c r="L381" t="n">
        <v>0</v>
      </c>
      <c r="M381" t="n">
        <v>0</v>
      </c>
      <c r="N381" t="n">
        <v>0</v>
      </c>
      <c r="O381" t="n">
        <v>0</v>
      </c>
      <c r="P381" t="n">
        <v>0</v>
      </c>
      <c r="Q381" t="n">
        <v>0</v>
      </c>
      <c r="R381" s="2" t="inlineStr"/>
    </row>
    <row r="382" ht="15" customHeight="1">
      <c r="A382" t="inlineStr">
        <is>
          <t>A 19297-2025</t>
        </is>
      </c>
      <c r="B382" s="1" t="n">
        <v>45769.56261574074</v>
      </c>
      <c r="C382" s="1" t="n">
        <v>45892</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23810-2025</t>
        </is>
      </c>
      <c r="B383" s="1" t="n">
        <v>45793.56989583333</v>
      </c>
      <c r="C383" s="1" t="n">
        <v>45892</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45892</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39597-2022</t>
        </is>
      </c>
      <c r="B385" s="1" t="n">
        <v>44818</v>
      </c>
      <c r="C385" s="1" t="n">
        <v>45892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24169-2025</t>
        </is>
      </c>
      <c r="B386" s="1" t="n">
        <v>45796</v>
      </c>
      <c r="C386" s="1" t="n">
        <v>45892</v>
      </c>
      <c r="D386" t="inlineStr">
        <is>
          <t>VÄSTMANLANDS LÄN</t>
        </is>
      </c>
      <c r="E386" t="inlineStr">
        <is>
          <t>SALA</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11210-2025</t>
        </is>
      </c>
      <c r="B387" s="1" t="n">
        <v>45726</v>
      </c>
      <c r="C387" s="1" t="n">
        <v>45892</v>
      </c>
      <c r="D387" t="inlineStr">
        <is>
          <t>VÄSTMANLANDS LÄN</t>
        </is>
      </c>
      <c r="E387" t="inlineStr">
        <is>
          <t>SALA</t>
        </is>
      </c>
      <c r="G387" t="n">
        <v>4.1</v>
      </c>
      <c r="H387" t="n">
        <v>0</v>
      </c>
      <c r="I387" t="n">
        <v>0</v>
      </c>
      <c r="J387" t="n">
        <v>0</v>
      </c>
      <c r="K387" t="n">
        <v>0</v>
      </c>
      <c r="L387" t="n">
        <v>0</v>
      </c>
      <c r="M387" t="n">
        <v>0</v>
      </c>
      <c r="N387" t="n">
        <v>0</v>
      </c>
      <c r="O387" t="n">
        <v>0</v>
      </c>
      <c r="P387" t="n">
        <v>0</v>
      </c>
      <c r="Q387" t="n">
        <v>0</v>
      </c>
      <c r="R387" s="2" t="inlineStr"/>
    </row>
    <row r="388" ht="15" customHeight="1">
      <c r="A388" t="inlineStr">
        <is>
          <t>A 22921-2023</t>
        </is>
      </c>
      <c r="B388" s="1" t="n">
        <v>45070</v>
      </c>
      <c r="C388" s="1" t="n">
        <v>45892</v>
      </c>
      <c r="D388" t="inlineStr">
        <is>
          <t>VÄSTMANLANDS LÄN</t>
        </is>
      </c>
      <c r="E388" t="inlineStr">
        <is>
          <t>SALA</t>
        </is>
      </c>
      <c r="G388" t="n">
        <v>1.3</v>
      </c>
      <c r="H388" t="n">
        <v>0</v>
      </c>
      <c r="I388" t="n">
        <v>0</v>
      </c>
      <c r="J388" t="n">
        <v>0</v>
      </c>
      <c r="K388" t="n">
        <v>0</v>
      </c>
      <c r="L388" t="n">
        <v>0</v>
      </c>
      <c r="M388" t="n">
        <v>0</v>
      </c>
      <c r="N388" t="n">
        <v>0</v>
      </c>
      <c r="O388" t="n">
        <v>0</v>
      </c>
      <c r="P388" t="n">
        <v>0</v>
      </c>
      <c r="Q388" t="n">
        <v>0</v>
      </c>
      <c r="R388" s="2" t="inlineStr"/>
    </row>
    <row r="389" ht="15" customHeight="1">
      <c r="A389" t="inlineStr">
        <is>
          <t>A 53164-2024</t>
        </is>
      </c>
      <c r="B389" s="1" t="n">
        <v>45611.64887731482</v>
      </c>
      <c r="C389" s="1" t="n">
        <v>45892</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36858-2023</t>
        </is>
      </c>
      <c r="B390" s="1" t="n">
        <v>45154.55184027777</v>
      </c>
      <c r="C390" s="1" t="n">
        <v>45892</v>
      </c>
      <c r="D390" t="inlineStr">
        <is>
          <t>VÄSTMANLANDS LÄN</t>
        </is>
      </c>
      <c r="E390" t="inlineStr">
        <is>
          <t>SALA</t>
        </is>
      </c>
      <c r="G390" t="n">
        <v>2.1</v>
      </c>
      <c r="H390" t="n">
        <v>0</v>
      </c>
      <c r="I390" t="n">
        <v>0</v>
      </c>
      <c r="J390" t="n">
        <v>0</v>
      </c>
      <c r="K390" t="n">
        <v>0</v>
      </c>
      <c r="L390" t="n">
        <v>0</v>
      </c>
      <c r="M390" t="n">
        <v>0</v>
      </c>
      <c r="N390" t="n">
        <v>0</v>
      </c>
      <c r="O390" t="n">
        <v>0</v>
      </c>
      <c r="P390" t="n">
        <v>0</v>
      </c>
      <c r="Q390" t="n">
        <v>0</v>
      </c>
      <c r="R390" s="2" t="inlineStr"/>
    </row>
    <row r="391" ht="15" customHeight="1">
      <c r="A391" t="inlineStr">
        <is>
          <t>A 24944-2023</t>
        </is>
      </c>
      <c r="B391" s="1" t="n">
        <v>45085</v>
      </c>
      <c r="C391" s="1" t="n">
        <v>45892</v>
      </c>
      <c r="D391" t="inlineStr">
        <is>
          <t>VÄSTMANLANDS LÄN</t>
        </is>
      </c>
      <c r="E391" t="inlineStr">
        <is>
          <t>SALA</t>
        </is>
      </c>
      <c r="G391" t="n">
        <v>3.8</v>
      </c>
      <c r="H391" t="n">
        <v>0</v>
      </c>
      <c r="I391" t="n">
        <v>0</v>
      </c>
      <c r="J391" t="n">
        <v>0</v>
      </c>
      <c r="K391" t="n">
        <v>0</v>
      </c>
      <c r="L391" t="n">
        <v>0</v>
      </c>
      <c r="M391" t="n">
        <v>0</v>
      </c>
      <c r="N391" t="n">
        <v>0</v>
      </c>
      <c r="O391" t="n">
        <v>0</v>
      </c>
      <c r="P391" t="n">
        <v>0</v>
      </c>
      <c r="Q391" t="n">
        <v>0</v>
      </c>
      <c r="R391" s="2" t="inlineStr"/>
    </row>
    <row r="392" ht="15" customHeight="1">
      <c r="A392" t="inlineStr">
        <is>
          <t>A 96-2024</t>
        </is>
      </c>
      <c r="B392" s="1" t="n">
        <v>45293.85872685185</v>
      </c>
      <c r="C392" s="1" t="n">
        <v>45892</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55024-2023</t>
        </is>
      </c>
      <c r="B393" s="1" t="n">
        <v>45229</v>
      </c>
      <c r="C393" s="1" t="n">
        <v>45892</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55032-2023</t>
        </is>
      </c>
      <c r="B394" s="1" t="n">
        <v>45229</v>
      </c>
      <c r="C394" s="1" t="n">
        <v>45892</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54118-2023</t>
        </is>
      </c>
      <c r="B395" s="1" t="n">
        <v>45232</v>
      </c>
      <c r="C395" s="1" t="n">
        <v>45892</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20352-2022</t>
        </is>
      </c>
      <c r="B396" s="1" t="n">
        <v>44699.37318287037</v>
      </c>
      <c r="C396" s="1" t="n">
        <v>45892</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5032-2025</t>
        </is>
      </c>
      <c r="B397" s="1" t="n">
        <v>45691</v>
      </c>
      <c r="C397" s="1" t="n">
        <v>45892</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17117-2023</t>
        </is>
      </c>
      <c r="B398" s="1" t="n">
        <v>45034</v>
      </c>
      <c r="C398" s="1" t="n">
        <v>45892</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19243-2025</t>
        </is>
      </c>
      <c r="B399" s="1" t="n">
        <v>45769</v>
      </c>
      <c r="C399" s="1" t="n">
        <v>45892</v>
      </c>
      <c r="D399" t="inlineStr">
        <is>
          <t>VÄSTMANLANDS LÄN</t>
        </is>
      </c>
      <c r="E399" t="inlineStr">
        <is>
          <t>SALA</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34814-2021</t>
        </is>
      </c>
      <c r="B400" s="1" t="n">
        <v>44383</v>
      </c>
      <c r="C400" s="1" t="n">
        <v>45892</v>
      </c>
      <c r="D400" t="inlineStr">
        <is>
          <t>VÄSTMANLANDS LÄN</t>
        </is>
      </c>
      <c r="E400" t="inlineStr">
        <is>
          <t>SALA</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25748-2022</t>
        </is>
      </c>
      <c r="B401" s="1" t="n">
        <v>44732</v>
      </c>
      <c r="C401" s="1" t="n">
        <v>45892</v>
      </c>
      <c r="D401" t="inlineStr">
        <is>
          <t>VÄSTMANLANDS LÄN</t>
        </is>
      </c>
      <c r="E401" t="inlineStr">
        <is>
          <t>SALA</t>
        </is>
      </c>
      <c r="G401" t="n">
        <v>7.7</v>
      </c>
      <c r="H401" t="n">
        <v>0</v>
      </c>
      <c r="I401" t="n">
        <v>0</v>
      </c>
      <c r="J401" t="n">
        <v>0</v>
      </c>
      <c r="K401" t="n">
        <v>0</v>
      </c>
      <c r="L401" t="n">
        <v>0</v>
      </c>
      <c r="M401" t="n">
        <v>0</v>
      </c>
      <c r="N401" t="n">
        <v>0</v>
      </c>
      <c r="O401" t="n">
        <v>0</v>
      </c>
      <c r="P401" t="n">
        <v>0</v>
      </c>
      <c r="Q401" t="n">
        <v>0</v>
      </c>
      <c r="R401" s="2" t="inlineStr"/>
    </row>
    <row r="402" ht="15" customHeight="1">
      <c r="A402" t="inlineStr">
        <is>
          <t>A 21968-2024</t>
        </is>
      </c>
      <c r="B402" s="1" t="n">
        <v>45443</v>
      </c>
      <c r="C402" s="1" t="n">
        <v>45892</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3733-2023</t>
        </is>
      </c>
      <c r="B403" s="1" t="n">
        <v>44951.42501157407</v>
      </c>
      <c r="C403" s="1" t="n">
        <v>45892</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24460-2025</t>
        </is>
      </c>
      <c r="B404" s="1" t="n">
        <v>45798</v>
      </c>
      <c r="C404" s="1" t="n">
        <v>45892</v>
      </c>
      <c r="D404" t="inlineStr">
        <is>
          <t>VÄSTMANLANDS LÄN</t>
        </is>
      </c>
      <c r="E404" t="inlineStr">
        <is>
          <t>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6136-2025</t>
        </is>
      </c>
      <c r="B405" s="1" t="n">
        <v>45698.37601851852</v>
      </c>
      <c r="C405" s="1" t="n">
        <v>45892</v>
      </c>
      <c r="D405" t="inlineStr">
        <is>
          <t>VÄSTMANLANDS LÄN</t>
        </is>
      </c>
      <c r="E405" t="inlineStr">
        <is>
          <t>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6190-2025</t>
        </is>
      </c>
      <c r="B406" s="1" t="n">
        <v>45698</v>
      </c>
      <c r="C406" s="1" t="n">
        <v>45892</v>
      </c>
      <c r="D406" t="inlineStr">
        <is>
          <t>VÄSTMANLANDS LÄN</t>
        </is>
      </c>
      <c r="E406" t="inlineStr">
        <is>
          <t>SALA</t>
        </is>
      </c>
      <c r="F406" t="inlineStr">
        <is>
          <t>Bergvik skog öst AB</t>
        </is>
      </c>
      <c r="G406" t="n">
        <v>4.6</v>
      </c>
      <c r="H406" t="n">
        <v>0</v>
      </c>
      <c r="I406" t="n">
        <v>0</v>
      </c>
      <c r="J406" t="n">
        <v>0</v>
      </c>
      <c r="K406" t="n">
        <v>0</v>
      </c>
      <c r="L406" t="n">
        <v>0</v>
      </c>
      <c r="M406" t="n">
        <v>0</v>
      </c>
      <c r="N406" t="n">
        <v>0</v>
      </c>
      <c r="O406" t="n">
        <v>0</v>
      </c>
      <c r="P406" t="n">
        <v>0</v>
      </c>
      <c r="Q406" t="n">
        <v>0</v>
      </c>
      <c r="R406" s="2" t="inlineStr"/>
    </row>
    <row r="407" ht="15" customHeight="1">
      <c r="A407" t="inlineStr">
        <is>
          <t>A 24463-2025</t>
        </is>
      </c>
      <c r="B407" s="1" t="n">
        <v>45798</v>
      </c>
      <c r="C407" s="1" t="n">
        <v>45892</v>
      </c>
      <c r="D407" t="inlineStr">
        <is>
          <t>VÄSTMANLANDS LÄN</t>
        </is>
      </c>
      <c r="E407" t="inlineStr">
        <is>
          <t>SALA</t>
        </is>
      </c>
      <c r="F407" t="inlineStr">
        <is>
          <t>Bergvik skog öst AB</t>
        </is>
      </c>
      <c r="G407" t="n">
        <v>1.5</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45892</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36393-2023</t>
        </is>
      </c>
      <c r="B409" s="1" t="n">
        <v>45152</v>
      </c>
      <c r="C409" s="1" t="n">
        <v>45892</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16760-2024</t>
        </is>
      </c>
      <c r="B410" s="1" t="n">
        <v>45411</v>
      </c>
      <c r="C410" s="1" t="n">
        <v>45892</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26416-2023</t>
        </is>
      </c>
      <c r="B411" s="1" t="n">
        <v>45092.38087962963</v>
      </c>
      <c r="C411" s="1" t="n">
        <v>45892</v>
      </c>
      <c r="D411" t="inlineStr">
        <is>
          <t>VÄSTMANLANDS LÄN</t>
        </is>
      </c>
      <c r="E411" t="inlineStr">
        <is>
          <t>SALA</t>
        </is>
      </c>
      <c r="G411" t="n">
        <v>2.9</v>
      </c>
      <c r="H411" t="n">
        <v>0</v>
      </c>
      <c r="I411" t="n">
        <v>0</v>
      </c>
      <c r="J411" t="n">
        <v>0</v>
      </c>
      <c r="K411" t="n">
        <v>0</v>
      </c>
      <c r="L411" t="n">
        <v>0</v>
      </c>
      <c r="M411" t="n">
        <v>0</v>
      </c>
      <c r="N411" t="n">
        <v>0</v>
      </c>
      <c r="O411" t="n">
        <v>0</v>
      </c>
      <c r="P411" t="n">
        <v>0</v>
      </c>
      <c r="Q411" t="n">
        <v>0</v>
      </c>
      <c r="R411" s="2" t="inlineStr"/>
    </row>
    <row r="412" ht="15" customHeight="1">
      <c r="A412" t="inlineStr">
        <is>
          <t>A 6127-2025</t>
        </is>
      </c>
      <c r="B412" s="1" t="n">
        <v>45698</v>
      </c>
      <c r="C412" s="1" t="n">
        <v>45892</v>
      </c>
      <c r="D412" t="inlineStr">
        <is>
          <t>VÄSTMANLANDS LÄN</t>
        </is>
      </c>
      <c r="E412" t="inlineStr">
        <is>
          <t>SALA</t>
        </is>
      </c>
      <c r="F412" t="inlineStr">
        <is>
          <t>Bergvik skog öst AB</t>
        </is>
      </c>
      <c r="G412" t="n">
        <v>4.3</v>
      </c>
      <c r="H412" t="n">
        <v>0</v>
      </c>
      <c r="I412" t="n">
        <v>0</v>
      </c>
      <c r="J412" t="n">
        <v>0</v>
      </c>
      <c r="K412" t="n">
        <v>0</v>
      </c>
      <c r="L412" t="n">
        <v>0</v>
      </c>
      <c r="M412" t="n">
        <v>0</v>
      </c>
      <c r="N412" t="n">
        <v>0</v>
      </c>
      <c r="O412" t="n">
        <v>0</v>
      </c>
      <c r="P412" t="n">
        <v>0</v>
      </c>
      <c r="Q412" t="n">
        <v>0</v>
      </c>
      <c r="R412" s="2" t="inlineStr"/>
    </row>
    <row r="413" ht="15" customHeight="1">
      <c r="A413" t="inlineStr">
        <is>
          <t>A 988-2025</t>
        </is>
      </c>
      <c r="B413" s="1" t="n">
        <v>45666.44038194444</v>
      </c>
      <c r="C413" s="1" t="n">
        <v>45892</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60328-2024</t>
        </is>
      </c>
      <c r="B414" s="1" t="n">
        <v>45643.38416666666</v>
      </c>
      <c r="C414" s="1" t="n">
        <v>45892</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35016-2024</t>
        </is>
      </c>
      <c r="B415" s="1" t="n">
        <v>45527.59115740741</v>
      </c>
      <c r="C415" s="1" t="n">
        <v>45892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25897-2024</t>
        </is>
      </c>
      <c r="B416" s="1" t="n">
        <v>45467.54435185185</v>
      </c>
      <c r="C416" s="1" t="n">
        <v>45892</v>
      </c>
      <c r="D416" t="inlineStr">
        <is>
          <t>VÄSTMANLANDS LÄN</t>
        </is>
      </c>
      <c r="E416" t="inlineStr">
        <is>
          <t>SALA</t>
        </is>
      </c>
      <c r="G416" t="n">
        <v>9.9</v>
      </c>
      <c r="H416" t="n">
        <v>0</v>
      </c>
      <c r="I416" t="n">
        <v>0</v>
      </c>
      <c r="J416" t="n">
        <v>0</v>
      </c>
      <c r="K416" t="n">
        <v>0</v>
      </c>
      <c r="L416" t="n">
        <v>0</v>
      </c>
      <c r="M416" t="n">
        <v>0</v>
      </c>
      <c r="N416" t="n">
        <v>0</v>
      </c>
      <c r="O416" t="n">
        <v>0</v>
      </c>
      <c r="P416" t="n">
        <v>0</v>
      </c>
      <c r="Q416" t="n">
        <v>0</v>
      </c>
      <c r="R416" s="2" t="inlineStr"/>
    </row>
    <row r="417" ht="15" customHeight="1">
      <c r="A417" t="inlineStr">
        <is>
          <t>A 31072-2021</t>
        </is>
      </c>
      <c r="B417" s="1" t="n">
        <v>44368</v>
      </c>
      <c r="C417" s="1" t="n">
        <v>45892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66821-2020</t>
        </is>
      </c>
      <c r="B418" s="1" t="n">
        <v>44179.88008101852</v>
      </c>
      <c r="C418" s="1" t="n">
        <v>45892</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28661-2024</t>
        </is>
      </c>
      <c r="B419" s="1" t="n">
        <v>45478</v>
      </c>
      <c r="C419" s="1" t="n">
        <v>45892</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57371-2022</t>
        </is>
      </c>
      <c r="B420" s="1" t="n">
        <v>44896.43832175926</v>
      </c>
      <c r="C420" s="1" t="n">
        <v>45892</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27255-2023</t>
        </is>
      </c>
      <c r="B421" s="1" t="n">
        <v>45096</v>
      </c>
      <c r="C421" s="1" t="n">
        <v>45892</v>
      </c>
      <c r="D421" t="inlineStr">
        <is>
          <t>VÄSTMANLANDS LÄN</t>
        </is>
      </c>
      <c r="E421" t="inlineStr">
        <is>
          <t>SALA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22019-2021</t>
        </is>
      </c>
      <c r="B422" s="1" t="n">
        <v>44323</v>
      </c>
      <c r="C422" s="1" t="n">
        <v>45892</v>
      </c>
      <c r="D422" t="inlineStr">
        <is>
          <t>VÄSTMANLANDS LÄN</t>
        </is>
      </c>
      <c r="E422" t="inlineStr">
        <is>
          <t>SALA</t>
        </is>
      </c>
      <c r="G422" t="n">
        <v>1.9</v>
      </c>
      <c r="H422" t="n">
        <v>0</v>
      </c>
      <c r="I422" t="n">
        <v>0</v>
      </c>
      <c r="J422" t="n">
        <v>0</v>
      </c>
      <c r="K422" t="n">
        <v>0</v>
      </c>
      <c r="L422" t="n">
        <v>0</v>
      </c>
      <c r="M422" t="n">
        <v>0</v>
      </c>
      <c r="N422" t="n">
        <v>0</v>
      </c>
      <c r="O422" t="n">
        <v>0</v>
      </c>
      <c r="P422" t="n">
        <v>0</v>
      </c>
      <c r="Q422" t="n">
        <v>0</v>
      </c>
      <c r="R422" s="2" t="inlineStr"/>
    </row>
    <row r="423" ht="15" customHeight="1">
      <c r="A423" t="inlineStr">
        <is>
          <t>A 55065-2024</t>
        </is>
      </c>
      <c r="B423" s="1" t="n">
        <v>45618</v>
      </c>
      <c r="C423" s="1" t="n">
        <v>45892</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55784-2024</t>
        </is>
      </c>
      <c r="B424" s="1" t="n">
        <v>45623</v>
      </c>
      <c r="C424" s="1" t="n">
        <v>45892</v>
      </c>
      <c r="D424" t="inlineStr">
        <is>
          <t>VÄSTMANLANDS LÄN</t>
        </is>
      </c>
      <c r="E424" t="inlineStr">
        <is>
          <t>SALA</t>
        </is>
      </c>
      <c r="F424" t="inlineStr">
        <is>
          <t>Bergvik skog öst AB</t>
        </is>
      </c>
      <c r="G424" t="n">
        <v>28.4</v>
      </c>
      <c r="H424" t="n">
        <v>0</v>
      </c>
      <c r="I424" t="n">
        <v>0</v>
      </c>
      <c r="J424" t="n">
        <v>0</v>
      </c>
      <c r="K424" t="n">
        <v>0</v>
      </c>
      <c r="L424" t="n">
        <v>0</v>
      </c>
      <c r="M424" t="n">
        <v>0</v>
      </c>
      <c r="N424" t="n">
        <v>0</v>
      </c>
      <c r="O424" t="n">
        <v>0</v>
      </c>
      <c r="P424" t="n">
        <v>0</v>
      </c>
      <c r="Q424" t="n">
        <v>0</v>
      </c>
      <c r="R424" s="2" t="inlineStr"/>
    </row>
    <row r="425" ht="15" customHeight="1">
      <c r="A425" t="inlineStr">
        <is>
          <t>A 16651-2021</t>
        </is>
      </c>
      <c r="B425" s="1" t="n">
        <v>44294.50096064815</v>
      </c>
      <c r="C425" s="1" t="n">
        <v>45892</v>
      </c>
      <c r="D425" t="inlineStr">
        <is>
          <t>VÄSTMANLANDS LÄN</t>
        </is>
      </c>
      <c r="E425" t="inlineStr">
        <is>
          <t>SALA</t>
        </is>
      </c>
      <c r="G425" t="n">
        <v>7.7</v>
      </c>
      <c r="H425" t="n">
        <v>0</v>
      </c>
      <c r="I425" t="n">
        <v>0</v>
      </c>
      <c r="J425" t="n">
        <v>0</v>
      </c>
      <c r="K425" t="n">
        <v>0</v>
      </c>
      <c r="L425" t="n">
        <v>0</v>
      </c>
      <c r="M425" t="n">
        <v>0</v>
      </c>
      <c r="N425" t="n">
        <v>0</v>
      </c>
      <c r="O425" t="n">
        <v>0</v>
      </c>
      <c r="P425" t="n">
        <v>0</v>
      </c>
      <c r="Q425" t="n">
        <v>0</v>
      </c>
      <c r="R425" s="2" t="inlineStr"/>
    </row>
    <row r="426" ht="15" customHeight="1">
      <c r="A426" t="inlineStr">
        <is>
          <t>A 24907-2025</t>
        </is>
      </c>
      <c r="B426" s="1" t="n">
        <v>45799</v>
      </c>
      <c r="C426" s="1" t="n">
        <v>45892</v>
      </c>
      <c r="D426" t="inlineStr">
        <is>
          <t>VÄSTMANLANDS LÄN</t>
        </is>
      </c>
      <c r="E426" t="inlineStr">
        <is>
          <t>SALA</t>
        </is>
      </c>
      <c r="G426" t="n">
        <v>3.5</v>
      </c>
      <c r="H426" t="n">
        <v>0</v>
      </c>
      <c r="I426" t="n">
        <v>0</v>
      </c>
      <c r="J426" t="n">
        <v>0</v>
      </c>
      <c r="K426" t="n">
        <v>0</v>
      </c>
      <c r="L426" t="n">
        <v>0</v>
      </c>
      <c r="M426" t="n">
        <v>0</v>
      </c>
      <c r="N426" t="n">
        <v>0</v>
      </c>
      <c r="O426" t="n">
        <v>0</v>
      </c>
      <c r="P426" t="n">
        <v>0</v>
      </c>
      <c r="Q426" t="n">
        <v>0</v>
      </c>
      <c r="R426" s="2" t="inlineStr"/>
    </row>
    <row r="427" ht="15" customHeight="1">
      <c r="A427" t="inlineStr">
        <is>
          <t>A 24910-2025</t>
        </is>
      </c>
      <c r="B427" s="1" t="n">
        <v>45799.53775462963</v>
      </c>
      <c r="C427" s="1" t="n">
        <v>45892</v>
      </c>
      <c r="D427" t="inlineStr">
        <is>
          <t>VÄSTMANLANDS LÄN</t>
        </is>
      </c>
      <c r="E427" t="inlineStr">
        <is>
          <t>SALA</t>
        </is>
      </c>
      <c r="G427" t="n">
        <v>3.5</v>
      </c>
      <c r="H427" t="n">
        <v>0</v>
      </c>
      <c r="I427" t="n">
        <v>0</v>
      </c>
      <c r="J427" t="n">
        <v>0</v>
      </c>
      <c r="K427" t="n">
        <v>0</v>
      </c>
      <c r="L427" t="n">
        <v>0</v>
      </c>
      <c r="M427" t="n">
        <v>0</v>
      </c>
      <c r="N427" t="n">
        <v>0</v>
      </c>
      <c r="O427" t="n">
        <v>0</v>
      </c>
      <c r="P427" t="n">
        <v>0</v>
      </c>
      <c r="Q427" t="n">
        <v>0</v>
      </c>
      <c r="R427" s="2" t="inlineStr"/>
    </row>
    <row r="428" ht="15" customHeight="1">
      <c r="A428" t="inlineStr">
        <is>
          <t>A 19803-2024</t>
        </is>
      </c>
      <c r="B428" s="1" t="n">
        <v>45432</v>
      </c>
      <c r="C428" s="1" t="n">
        <v>45892</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7197-2025</t>
        </is>
      </c>
      <c r="B429" s="1" t="n">
        <v>45702</v>
      </c>
      <c r="C429" s="1" t="n">
        <v>45892</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12921-2025</t>
        </is>
      </c>
      <c r="B430" s="1" t="n">
        <v>45734.28016203704</v>
      </c>
      <c r="C430" s="1" t="n">
        <v>45892</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39604-2023</t>
        </is>
      </c>
      <c r="B431" s="1" t="n">
        <v>45163</v>
      </c>
      <c r="C431" s="1" t="n">
        <v>45892</v>
      </c>
      <c r="D431" t="inlineStr">
        <is>
          <t>VÄSTMANLANDS LÄN</t>
        </is>
      </c>
      <c r="E431" t="inlineStr">
        <is>
          <t>SALA</t>
        </is>
      </c>
      <c r="G431" t="n">
        <v>2.7</v>
      </c>
      <c r="H431" t="n">
        <v>0</v>
      </c>
      <c r="I431" t="n">
        <v>0</v>
      </c>
      <c r="J431" t="n">
        <v>0</v>
      </c>
      <c r="K431" t="n">
        <v>0</v>
      </c>
      <c r="L431" t="n">
        <v>0</v>
      </c>
      <c r="M431" t="n">
        <v>0</v>
      </c>
      <c r="N431" t="n">
        <v>0</v>
      </c>
      <c r="O431" t="n">
        <v>0</v>
      </c>
      <c r="P431" t="n">
        <v>0</v>
      </c>
      <c r="Q431" t="n">
        <v>0</v>
      </c>
      <c r="R431" s="2" t="inlineStr"/>
    </row>
    <row r="432" ht="15" customHeight="1">
      <c r="A432" t="inlineStr">
        <is>
          <t>A 7196-2025</t>
        </is>
      </c>
      <c r="B432" s="1" t="n">
        <v>45702</v>
      </c>
      <c r="C432" s="1" t="n">
        <v>45892</v>
      </c>
      <c r="D432" t="inlineStr">
        <is>
          <t>VÄSTMANLANDS LÄN</t>
        </is>
      </c>
      <c r="E432" t="inlineStr">
        <is>
          <t>SALA</t>
        </is>
      </c>
      <c r="G432" t="n">
        <v>1.3</v>
      </c>
      <c r="H432" t="n">
        <v>0</v>
      </c>
      <c r="I432" t="n">
        <v>0</v>
      </c>
      <c r="J432" t="n">
        <v>0</v>
      </c>
      <c r="K432" t="n">
        <v>0</v>
      </c>
      <c r="L432" t="n">
        <v>0</v>
      </c>
      <c r="M432" t="n">
        <v>0</v>
      </c>
      <c r="N432" t="n">
        <v>0</v>
      </c>
      <c r="O432" t="n">
        <v>0</v>
      </c>
      <c r="P432" t="n">
        <v>0</v>
      </c>
      <c r="Q432" t="n">
        <v>0</v>
      </c>
      <c r="R432" s="2" t="inlineStr"/>
    </row>
    <row r="433" ht="15" customHeight="1">
      <c r="A433" t="inlineStr">
        <is>
          <t>A 13752-2025</t>
        </is>
      </c>
      <c r="B433" s="1" t="n">
        <v>45737.41416666667</v>
      </c>
      <c r="C433" s="1" t="n">
        <v>45892</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40597-2022</t>
        </is>
      </c>
      <c r="B434" s="1" t="n">
        <v>44823.84862268518</v>
      </c>
      <c r="C434" s="1" t="n">
        <v>45892</v>
      </c>
      <c r="D434" t="inlineStr">
        <is>
          <t>VÄSTMANLANDS LÄN</t>
        </is>
      </c>
      <c r="E434" t="inlineStr">
        <is>
          <t>SALA</t>
        </is>
      </c>
      <c r="G434" t="n">
        <v>3.5</v>
      </c>
      <c r="H434" t="n">
        <v>0</v>
      </c>
      <c r="I434" t="n">
        <v>0</v>
      </c>
      <c r="J434" t="n">
        <v>0</v>
      </c>
      <c r="K434" t="n">
        <v>0</v>
      </c>
      <c r="L434" t="n">
        <v>0</v>
      </c>
      <c r="M434" t="n">
        <v>0</v>
      </c>
      <c r="N434" t="n">
        <v>0</v>
      </c>
      <c r="O434" t="n">
        <v>0</v>
      </c>
      <c r="P434" t="n">
        <v>0</v>
      </c>
      <c r="Q434" t="n">
        <v>0</v>
      </c>
      <c r="R434" s="2" t="inlineStr"/>
    </row>
    <row r="435" ht="15" customHeight="1">
      <c r="A435" t="inlineStr">
        <is>
          <t>A 2927-2024</t>
        </is>
      </c>
      <c r="B435" s="1" t="n">
        <v>45315.58989583333</v>
      </c>
      <c r="C435" s="1" t="n">
        <v>45892</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10909-2024</t>
        </is>
      </c>
      <c r="B436" s="1" t="n">
        <v>45370</v>
      </c>
      <c r="C436" s="1" t="n">
        <v>45892</v>
      </c>
      <c r="D436" t="inlineStr">
        <is>
          <t>VÄSTMANLANDS LÄN</t>
        </is>
      </c>
      <c r="E436" t="inlineStr">
        <is>
          <t>SALA</t>
        </is>
      </c>
      <c r="G436" t="n">
        <v>3.3</v>
      </c>
      <c r="H436" t="n">
        <v>0</v>
      </c>
      <c r="I436" t="n">
        <v>0</v>
      </c>
      <c r="J436" t="n">
        <v>0</v>
      </c>
      <c r="K436" t="n">
        <v>0</v>
      </c>
      <c r="L436" t="n">
        <v>0</v>
      </c>
      <c r="M436" t="n">
        <v>0</v>
      </c>
      <c r="N436" t="n">
        <v>0</v>
      </c>
      <c r="O436" t="n">
        <v>0</v>
      </c>
      <c r="P436" t="n">
        <v>0</v>
      </c>
      <c r="Q436" t="n">
        <v>0</v>
      </c>
      <c r="R436" s="2" t="inlineStr"/>
    </row>
    <row r="437" ht="15" customHeight="1">
      <c r="A437" t="inlineStr">
        <is>
          <t>A 26854-2024</t>
        </is>
      </c>
      <c r="B437" s="1" t="n">
        <v>45470</v>
      </c>
      <c r="C437" s="1" t="n">
        <v>45892</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17722-2025</t>
        </is>
      </c>
      <c r="B438" s="1" t="n">
        <v>45758</v>
      </c>
      <c r="C438" s="1" t="n">
        <v>45892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6154-2025</t>
        </is>
      </c>
      <c r="B439" s="1" t="n">
        <v>45698.40719907408</v>
      </c>
      <c r="C439" s="1" t="n">
        <v>45892</v>
      </c>
      <c r="D439" t="inlineStr">
        <is>
          <t>VÄSTMANLANDS LÄN</t>
        </is>
      </c>
      <c r="E439" t="inlineStr">
        <is>
          <t>SALA</t>
        </is>
      </c>
      <c r="F439" t="inlineStr">
        <is>
          <t>Bergvik skog öst AB</t>
        </is>
      </c>
      <c r="G439" t="n">
        <v>3.9</v>
      </c>
      <c r="H439" t="n">
        <v>0</v>
      </c>
      <c r="I439" t="n">
        <v>0</v>
      </c>
      <c r="J439" t="n">
        <v>0</v>
      </c>
      <c r="K439" t="n">
        <v>0</v>
      </c>
      <c r="L439" t="n">
        <v>0</v>
      </c>
      <c r="M439" t="n">
        <v>0</v>
      </c>
      <c r="N439" t="n">
        <v>0</v>
      </c>
      <c r="O439" t="n">
        <v>0</v>
      </c>
      <c r="P439" t="n">
        <v>0</v>
      </c>
      <c r="Q439" t="n">
        <v>0</v>
      </c>
      <c r="R439" s="2" t="inlineStr"/>
    </row>
    <row r="440" ht="15" customHeight="1">
      <c r="A440" t="inlineStr">
        <is>
          <t>A 48570-2024</t>
        </is>
      </c>
      <c r="B440" s="1" t="n">
        <v>45591</v>
      </c>
      <c r="C440" s="1" t="n">
        <v>45892</v>
      </c>
      <c r="D440" t="inlineStr">
        <is>
          <t>VÄSTMANLANDS LÄN</t>
        </is>
      </c>
      <c r="E440" t="inlineStr">
        <is>
          <t>SALA</t>
        </is>
      </c>
      <c r="G440" t="n">
        <v>3</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45892</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64925-2023</t>
        </is>
      </c>
      <c r="B442" s="1" t="n">
        <v>45282</v>
      </c>
      <c r="C442" s="1" t="n">
        <v>45892</v>
      </c>
      <c r="D442" t="inlineStr">
        <is>
          <t>VÄSTMANLANDS LÄN</t>
        </is>
      </c>
      <c r="E442" t="inlineStr">
        <is>
          <t>SALA</t>
        </is>
      </c>
      <c r="G442" t="n">
        <v>2.5</v>
      </c>
      <c r="H442" t="n">
        <v>0</v>
      </c>
      <c r="I442" t="n">
        <v>0</v>
      </c>
      <c r="J442" t="n">
        <v>0</v>
      </c>
      <c r="K442" t="n">
        <v>0</v>
      </c>
      <c r="L442" t="n">
        <v>0</v>
      </c>
      <c r="M442" t="n">
        <v>0</v>
      </c>
      <c r="N442" t="n">
        <v>0</v>
      </c>
      <c r="O442" t="n">
        <v>0</v>
      </c>
      <c r="P442" t="n">
        <v>0</v>
      </c>
      <c r="Q442" t="n">
        <v>0</v>
      </c>
      <c r="R442" s="2" t="inlineStr"/>
    </row>
    <row r="443" ht="15" customHeight="1">
      <c r="A443" t="inlineStr">
        <is>
          <t>A 57883-2024</t>
        </is>
      </c>
      <c r="B443" s="1" t="n">
        <v>45630</v>
      </c>
      <c r="C443" s="1" t="n">
        <v>45892</v>
      </c>
      <c r="D443" t="inlineStr">
        <is>
          <t>VÄSTMANLANDS LÄN</t>
        </is>
      </c>
      <c r="E443" t="inlineStr">
        <is>
          <t>SALA</t>
        </is>
      </c>
      <c r="G443" t="n">
        <v>5.4</v>
      </c>
      <c r="H443" t="n">
        <v>0</v>
      </c>
      <c r="I443" t="n">
        <v>0</v>
      </c>
      <c r="J443" t="n">
        <v>0</v>
      </c>
      <c r="K443" t="n">
        <v>0</v>
      </c>
      <c r="L443" t="n">
        <v>0</v>
      </c>
      <c r="M443" t="n">
        <v>0</v>
      </c>
      <c r="N443" t="n">
        <v>0</v>
      </c>
      <c r="O443" t="n">
        <v>0</v>
      </c>
      <c r="P443" t="n">
        <v>0</v>
      </c>
      <c r="Q443" t="n">
        <v>0</v>
      </c>
      <c r="R443" s="2" t="inlineStr"/>
    </row>
    <row r="444" ht="15" customHeight="1">
      <c r="A444" t="inlineStr">
        <is>
          <t>A 23406-2024</t>
        </is>
      </c>
      <c r="B444" s="1" t="n">
        <v>45453.58296296297</v>
      </c>
      <c r="C444" s="1" t="n">
        <v>45892</v>
      </c>
      <c r="D444" t="inlineStr">
        <is>
          <t>VÄSTMANLANDS LÄN</t>
        </is>
      </c>
      <c r="E444" t="inlineStr">
        <is>
          <t>SALA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16769-2024</t>
        </is>
      </c>
      <c r="B445" s="1" t="n">
        <v>45411.38738425926</v>
      </c>
      <c r="C445" s="1" t="n">
        <v>45892</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18877-2023</t>
        </is>
      </c>
      <c r="B446" s="1" t="n">
        <v>45044</v>
      </c>
      <c r="C446" s="1" t="n">
        <v>45892</v>
      </c>
      <c r="D446" t="inlineStr">
        <is>
          <t>VÄSTMANLANDS LÄN</t>
        </is>
      </c>
      <c r="E446" t="inlineStr">
        <is>
          <t>SALA</t>
        </is>
      </c>
      <c r="F446" t="inlineStr">
        <is>
          <t>Kommuner</t>
        </is>
      </c>
      <c r="G446" t="n">
        <v>4.4</v>
      </c>
      <c r="H446" t="n">
        <v>0</v>
      </c>
      <c r="I446" t="n">
        <v>0</v>
      </c>
      <c r="J446" t="n">
        <v>0</v>
      </c>
      <c r="K446" t="n">
        <v>0</v>
      </c>
      <c r="L446" t="n">
        <v>0</v>
      </c>
      <c r="M446" t="n">
        <v>0</v>
      </c>
      <c r="N446" t="n">
        <v>0</v>
      </c>
      <c r="O446" t="n">
        <v>0</v>
      </c>
      <c r="P446" t="n">
        <v>0</v>
      </c>
      <c r="Q446" t="n">
        <v>0</v>
      </c>
      <c r="R446" s="2" t="inlineStr"/>
    </row>
    <row r="447" ht="15" customHeight="1">
      <c r="A447" t="inlineStr">
        <is>
          <t>A 16133-2025</t>
        </is>
      </c>
      <c r="B447" s="1" t="n">
        <v>45750</v>
      </c>
      <c r="C447" s="1" t="n">
        <v>45892</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15099-2025</t>
        </is>
      </c>
      <c r="B448" s="1" t="n">
        <v>45744.3434837963</v>
      </c>
      <c r="C448" s="1" t="n">
        <v>45892</v>
      </c>
      <c r="D448" t="inlineStr">
        <is>
          <t>VÄSTMANLANDS LÄN</t>
        </is>
      </c>
      <c r="E448" t="inlineStr">
        <is>
          <t>SALA</t>
        </is>
      </c>
      <c r="F448" t="inlineStr">
        <is>
          <t>Sveaskog</t>
        </is>
      </c>
      <c r="G448" t="n">
        <v>14.4</v>
      </c>
      <c r="H448" t="n">
        <v>0</v>
      </c>
      <c r="I448" t="n">
        <v>0</v>
      </c>
      <c r="J448" t="n">
        <v>0</v>
      </c>
      <c r="K448" t="n">
        <v>0</v>
      </c>
      <c r="L448" t="n">
        <v>0</v>
      </c>
      <c r="M448" t="n">
        <v>0</v>
      </c>
      <c r="N448" t="n">
        <v>0</v>
      </c>
      <c r="O448" t="n">
        <v>0</v>
      </c>
      <c r="P448" t="n">
        <v>0</v>
      </c>
      <c r="Q448" t="n">
        <v>0</v>
      </c>
      <c r="R448" s="2" t="inlineStr"/>
    </row>
    <row r="449" ht="15" customHeight="1">
      <c r="A449" t="inlineStr">
        <is>
          <t>A 44544-2024</t>
        </is>
      </c>
      <c r="B449" s="1" t="n">
        <v>45574.46119212963</v>
      </c>
      <c r="C449" s="1" t="n">
        <v>45892</v>
      </c>
      <c r="D449" t="inlineStr">
        <is>
          <t>VÄSTMANLANDS LÄN</t>
        </is>
      </c>
      <c r="E449" t="inlineStr">
        <is>
          <t>SALA</t>
        </is>
      </c>
      <c r="G449" t="n">
        <v>3.3</v>
      </c>
      <c r="H449" t="n">
        <v>0</v>
      </c>
      <c r="I449" t="n">
        <v>0</v>
      </c>
      <c r="J449" t="n">
        <v>0</v>
      </c>
      <c r="K449" t="n">
        <v>0</v>
      </c>
      <c r="L449" t="n">
        <v>0</v>
      </c>
      <c r="M449" t="n">
        <v>0</v>
      </c>
      <c r="N449" t="n">
        <v>0</v>
      </c>
      <c r="O449" t="n">
        <v>0</v>
      </c>
      <c r="P449" t="n">
        <v>0</v>
      </c>
      <c r="Q449" t="n">
        <v>0</v>
      </c>
      <c r="R449" s="2" t="inlineStr"/>
    </row>
    <row r="450" ht="15" customHeight="1">
      <c r="A450" t="inlineStr">
        <is>
          <t>A 60379-2022</t>
        </is>
      </c>
      <c r="B450" s="1" t="n">
        <v>44910</v>
      </c>
      <c r="C450" s="1" t="n">
        <v>45892</v>
      </c>
      <c r="D450" t="inlineStr">
        <is>
          <t>VÄSTMANLANDS LÄN</t>
        </is>
      </c>
      <c r="E450" t="inlineStr">
        <is>
          <t>SALA</t>
        </is>
      </c>
      <c r="F450" t="inlineStr">
        <is>
          <t>Kyrkan</t>
        </is>
      </c>
      <c r="G450" t="n">
        <v>2.5</v>
      </c>
      <c r="H450" t="n">
        <v>0</v>
      </c>
      <c r="I450" t="n">
        <v>0</v>
      </c>
      <c r="J450" t="n">
        <v>0</v>
      </c>
      <c r="K450" t="n">
        <v>0</v>
      </c>
      <c r="L450" t="n">
        <v>0</v>
      </c>
      <c r="M450" t="n">
        <v>0</v>
      </c>
      <c r="N450" t="n">
        <v>0</v>
      </c>
      <c r="O450" t="n">
        <v>0</v>
      </c>
      <c r="P450" t="n">
        <v>0</v>
      </c>
      <c r="Q450" t="n">
        <v>0</v>
      </c>
      <c r="R450" s="2" t="inlineStr"/>
    </row>
    <row r="451" ht="15" customHeight="1">
      <c r="A451" t="inlineStr">
        <is>
          <t>A 56547-2022</t>
        </is>
      </c>
      <c r="B451" s="1" t="n">
        <v>44893.48284722222</v>
      </c>
      <c r="C451" s="1" t="n">
        <v>45892</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60036-2024</t>
        </is>
      </c>
      <c r="B452" s="1" t="n">
        <v>45642.46434027778</v>
      </c>
      <c r="C452" s="1" t="n">
        <v>45892</v>
      </c>
      <c r="D452" t="inlineStr">
        <is>
          <t>VÄSTMANLANDS LÄN</t>
        </is>
      </c>
      <c r="E452" t="inlineStr">
        <is>
          <t>SALA</t>
        </is>
      </c>
      <c r="G452" t="n">
        <v>2.5</v>
      </c>
      <c r="H452" t="n">
        <v>0</v>
      </c>
      <c r="I452" t="n">
        <v>0</v>
      </c>
      <c r="J452" t="n">
        <v>0</v>
      </c>
      <c r="K452" t="n">
        <v>0</v>
      </c>
      <c r="L452" t="n">
        <v>0</v>
      </c>
      <c r="M452" t="n">
        <v>0</v>
      </c>
      <c r="N452" t="n">
        <v>0</v>
      </c>
      <c r="O452" t="n">
        <v>0</v>
      </c>
      <c r="P452" t="n">
        <v>0</v>
      </c>
      <c r="Q452" t="n">
        <v>0</v>
      </c>
      <c r="R452" s="2" t="inlineStr"/>
    </row>
    <row r="453" ht="15" customHeight="1">
      <c r="A453" t="inlineStr">
        <is>
          <t>A 29542-2023</t>
        </is>
      </c>
      <c r="B453" s="1" t="n">
        <v>45098</v>
      </c>
      <c r="C453" s="1" t="n">
        <v>45892</v>
      </c>
      <c r="D453" t="inlineStr">
        <is>
          <t>VÄSTMANLANDS LÄN</t>
        </is>
      </c>
      <c r="E453" t="inlineStr">
        <is>
          <t>SALA</t>
        </is>
      </c>
      <c r="G453" t="n">
        <v>4.8</v>
      </c>
      <c r="H453" t="n">
        <v>0</v>
      </c>
      <c r="I453" t="n">
        <v>0</v>
      </c>
      <c r="J453" t="n">
        <v>0</v>
      </c>
      <c r="K453" t="n">
        <v>0</v>
      </c>
      <c r="L453" t="n">
        <v>0</v>
      </c>
      <c r="M453" t="n">
        <v>0</v>
      </c>
      <c r="N453" t="n">
        <v>0</v>
      </c>
      <c r="O453" t="n">
        <v>0</v>
      </c>
      <c r="P453" t="n">
        <v>0</v>
      </c>
      <c r="Q453" t="n">
        <v>0</v>
      </c>
      <c r="R453" s="2" t="inlineStr"/>
    </row>
    <row r="454" ht="15" customHeight="1">
      <c r="A454" t="inlineStr">
        <is>
          <t>A 52827-2024</t>
        </is>
      </c>
      <c r="B454" s="1" t="n">
        <v>45610</v>
      </c>
      <c r="C454" s="1" t="n">
        <v>45892</v>
      </c>
      <c r="D454" t="inlineStr">
        <is>
          <t>VÄSTMANLANDS LÄN</t>
        </is>
      </c>
      <c r="E454" t="inlineStr">
        <is>
          <t>SALA</t>
        </is>
      </c>
      <c r="G454" t="n">
        <v>0.2</v>
      </c>
      <c r="H454" t="n">
        <v>0</v>
      </c>
      <c r="I454" t="n">
        <v>0</v>
      </c>
      <c r="J454" t="n">
        <v>0</v>
      </c>
      <c r="K454" t="n">
        <v>0</v>
      </c>
      <c r="L454" t="n">
        <v>0</v>
      </c>
      <c r="M454" t="n">
        <v>0</v>
      </c>
      <c r="N454" t="n">
        <v>0</v>
      </c>
      <c r="O454" t="n">
        <v>0</v>
      </c>
      <c r="P454" t="n">
        <v>0</v>
      </c>
      <c r="Q454" t="n">
        <v>0</v>
      </c>
      <c r="R454" s="2" t="inlineStr"/>
    </row>
    <row r="455" ht="15" customHeight="1">
      <c r="A455" t="inlineStr">
        <is>
          <t>A 26661-2025</t>
        </is>
      </c>
      <c r="B455" s="1" t="n">
        <v>45810</v>
      </c>
      <c r="C455" s="1" t="n">
        <v>45892</v>
      </c>
      <c r="D455" t="inlineStr">
        <is>
          <t>VÄSTMANLANDS LÄN</t>
        </is>
      </c>
      <c r="E455" t="inlineStr">
        <is>
          <t>SALA</t>
        </is>
      </c>
      <c r="G455" t="n">
        <v>3.5</v>
      </c>
      <c r="H455" t="n">
        <v>0</v>
      </c>
      <c r="I455" t="n">
        <v>0</v>
      </c>
      <c r="J455" t="n">
        <v>0</v>
      </c>
      <c r="K455" t="n">
        <v>0</v>
      </c>
      <c r="L455" t="n">
        <v>0</v>
      </c>
      <c r="M455" t="n">
        <v>0</v>
      </c>
      <c r="N455" t="n">
        <v>0</v>
      </c>
      <c r="O455" t="n">
        <v>0</v>
      </c>
      <c r="P455" t="n">
        <v>0</v>
      </c>
      <c r="Q455" t="n">
        <v>0</v>
      </c>
      <c r="R455" s="2" t="inlineStr"/>
    </row>
    <row r="456" ht="15" customHeight="1">
      <c r="A456" t="inlineStr">
        <is>
          <t>A 25891-2024</t>
        </is>
      </c>
      <c r="B456" s="1" t="n">
        <v>45467.53137731482</v>
      </c>
      <c r="C456" s="1" t="n">
        <v>45892</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16328-2025</t>
        </is>
      </c>
      <c r="B457" s="1" t="n">
        <v>45751</v>
      </c>
      <c r="C457" s="1" t="n">
        <v>45892</v>
      </c>
      <c r="D457" t="inlineStr">
        <is>
          <t>VÄSTMANLANDS LÄN</t>
        </is>
      </c>
      <c r="E457" t="inlineStr">
        <is>
          <t>SALA</t>
        </is>
      </c>
      <c r="G457" t="n">
        <v>2.9</v>
      </c>
      <c r="H457" t="n">
        <v>0</v>
      </c>
      <c r="I457" t="n">
        <v>0</v>
      </c>
      <c r="J457" t="n">
        <v>0</v>
      </c>
      <c r="K457" t="n">
        <v>0</v>
      </c>
      <c r="L457" t="n">
        <v>0</v>
      </c>
      <c r="M457" t="n">
        <v>0</v>
      </c>
      <c r="N457" t="n">
        <v>0</v>
      </c>
      <c r="O457" t="n">
        <v>0</v>
      </c>
      <c r="P457" t="n">
        <v>0</v>
      </c>
      <c r="Q457" t="n">
        <v>0</v>
      </c>
      <c r="R457" s="2" t="inlineStr"/>
    </row>
    <row r="458" ht="15" customHeight="1">
      <c r="A458" t="inlineStr">
        <is>
          <t>A 16638-2023</t>
        </is>
      </c>
      <c r="B458" s="1" t="n">
        <v>45027</v>
      </c>
      <c r="C458" s="1" t="n">
        <v>45892</v>
      </c>
      <c r="D458" t="inlineStr">
        <is>
          <t>VÄSTMANLANDS LÄN</t>
        </is>
      </c>
      <c r="E458" t="inlineStr">
        <is>
          <t>SALA</t>
        </is>
      </c>
      <c r="G458" t="n">
        <v>14.8</v>
      </c>
      <c r="H458" t="n">
        <v>0</v>
      </c>
      <c r="I458" t="n">
        <v>0</v>
      </c>
      <c r="J458" t="n">
        <v>0</v>
      </c>
      <c r="K458" t="n">
        <v>0</v>
      </c>
      <c r="L458" t="n">
        <v>0</v>
      </c>
      <c r="M458" t="n">
        <v>0</v>
      </c>
      <c r="N458" t="n">
        <v>0</v>
      </c>
      <c r="O458" t="n">
        <v>0</v>
      </c>
      <c r="P458" t="n">
        <v>0</v>
      </c>
      <c r="Q458" t="n">
        <v>0</v>
      </c>
      <c r="R458" s="2" t="inlineStr"/>
    </row>
    <row r="459" ht="15" customHeight="1">
      <c r="A459" t="inlineStr">
        <is>
          <t>A 37190-2024</t>
        </is>
      </c>
      <c r="B459" s="1" t="n">
        <v>45539</v>
      </c>
      <c r="C459" s="1" t="n">
        <v>45892</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66908-2021</t>
        </is>
      </c>
      <c r="B460" s="1" t="n">
        <v>44522</v>
      </c>
      <c r="C460" s="1" t="n">
        <v>45892</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73835-2021</t>
        </is>
      </c>
      <c r="B461" s="1" t="n">
        <v>44552.92112268518</v>
      </c>
      <c r="C461" s="1" t="n">
        <v>45892</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46279-2021</t>
        </is>
      </c>
      <c r="B462" s="1" t="n">
        <v>44442.57797453704</v>
      </c>
      <c r="C462" s="1" t="n">
        <v>45892</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23222-2023</t>
        </is>
      </c>
      <c r="B463" s="1" t="n">
        <v>45075</v>
      </c>
      <c r="C463" s="1" t="n">
        <v>45892</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23224-2023</t>
        </is>
      </c>
      <c r="B464" s="1" t="n">
        <v>45075.65040509259</v>
      </c>
      <c r="C464" s="1" t="n">
        <v>45892</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3810-2023</t>
        </is>
      </c>
      <c r="B465" s="1" t="n">
        <v>44951.60454861111</v>
      </c>
      <c r="C465" s="1" t="n">
        <v>45892</v>
      </c>
      <c r="D465" t="inlineStr">
        <is>
          <t>VÄSTMANLANDS LÄN</t>
        </is>
      </c>
      <c r="E465" t="inlineStr">
        <is>
          <t>SALA</t>
        </is>
      </c>
      <c r="G465" t="n">
        <v>4.2</v>
      </c>
      <c r="H465" t="n">
        <v>0</v>
      </c>
      <c r="I465" t="n">
        <v>0</v>
      </c>
      <c r="J465" t="n">
        <v>0</v>
      </c>
      <c r="K465" t="n">
        <v>0</v>
      </c>
      <c r="L465" t="n">
        <v>0</v>
      </c>
      <c r="M465" t="n">
        <v>0</v>
      </c>
      <c r="N465" t="n">
        <v>0</v>
      </c>
      <c r="O465" t="n">
        <v>0</v>
      </c>
      <c r="P465" t="n">
        <v>0</v>
      </c>
      <c r="Q465" t="n">
        <v>0</v>
      </c>
      <c r="R465" s="2" t="inlineStr"/>
    </row>
    <row r="466" ht="15" customHeight="1">
      <c r="A466" t="inlineStr">
        <is>
          <t>A 22026-2021</t>
        </is>
      </c>
      <c r="B466" s="1" t="n">
        <v>44323</v>
      </c>
      <c r="C466" s="1" t="n">
        <v>45892</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45892</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12252-2023</t>
        </is>
      </c>
      <c r="B468" s="1" t="n">
        <v>44995</v>
      </c>
      <c r="C468" s="1" t="n">
        <v>45892</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43359-2024</t>
        </is>
      </c>
      <c r="B469" s="1" t="n">
        <v>45568.57724537037</v>
      </c>
      <c r="C469" s="1" t="n">
        <v>45892</v>
      </c>
      <c r="D469" t="inlineStr">
        <is>
          <t>VÄSTMANLANDS LÄN</t>
        </is>
      </c>
      <c r="E469" t="inlineStr">
        <is>
          <t>SALA</t>
        </is>
      </c>
      <c r="G469" t="n">
        <v>1.6</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44691.44309027777</v>
      </c>
      <c r="C470" s="1" t="n">
        <v>45892</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37612-2024</t>
        </is>
      </c>
      <c r="B471" s="1" t="n">
        <v>45541</v>
      </c>
      <c r="C471" s="1" t="n">
        <v>45892</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37615-2024</t>
        </is>
      </c>
      <c r="B472" s="1" t="n">
        <v>45541.50673611111</v>
      </c>
      <c r="C472" s="1" t="n">
        <v>45892</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18158-2025</t>
        </is>
      </c>
      <c r="B473" s="1" t="n">
        <v>45761</v>
      </c>
      <c r="C473" s="1" t="n">
        <v>45892</v>
      </c>
      <c r="D473" t="inlineStr">
        <is>
          <t>VÄSTMANLANDS LÄN</t>
        </is>
      </c>
      <c r="E473" t="inlineStr">
        <is>
          <t>SALA</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9962-2025</t>
        </is>
      </c>
      <c r="B474" s="1" t="n">
        <v>45719.37072916667</v>
      </c>
      <c r="C474" s="1" t="n">
        <v>45892</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25260-2023</t>
        </is>
      </c>
      <c r="B475" s="1" t="n">
        <v>45086</v>
      </c>
      <c r="C475" s="1" t="n">
        <v>45892</v>
      </c>
      <c r="D475" t="inlineStr">
        <is>
          <t>VÄSTMANLANDS LÄN</t>
        </is>
      </c>
      <c r="E475" t="inlineStr">
        <is>
          <t>SALA</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37602-2024</t>
        </is>
      </c>
      <c r="B476" s="1" t="n">
        <v>45541</v>
      </c>
      <c r="C476" s="1" t="n">
        <v>45892</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57404-2024</t>
        </is>
      </c>
      <c r="B477" s="1" t="n">
        <v>45629.71967592592</v>
      </c>
      <c r="C477" s="1" t="n">
        <v>45892</v>
      </c>
      <c r="D477" t="inlineStr">
        <is>
          <t>VÄSTMANLANDS LÄN</t>
        </is>
      </c>
      <c r="E477" t="inlineStr">
        <is>
          <t>SALA</t>
        </is>
      </c>
      <c r="G477" t="n">
        <v>0.3</v>
      </c>
      <c r="H477" t="n">
        <v>0</v>
      </c>
      <c r="I477" t="n">
        <v>0</v>
      </c>
      <c r="J477" t="n">
        <v>0</v>
      </c>
      <c r="K477" t="n">
        <v>0</v>
      </c>
      <c r="L477" t="n">
        <v>0</v>
      </c>
      <c r="M477" t="n">
        <v>0</v>
      </c>
      <c r="N477" t="n">
        <v>0</v>
      </c>
      <c r="O477" t="n">
        <v>0</v>
      </c>
      <c r="P477" t="n">
        <v>0</v>
      </c>
      <c r="Q477" t="n">
        <v>0</v>
      </c>
      <c r="R477" s="2" t="inlineStr"/>
    </row>
    <row r="478" ht="15" customHeight="1">
      <c r="A478" t="inlineStr">
        <is>
          <t>A 7664-2023</t>
        </is>
      </c>
      <c r="B478" s="1" t="n">
        <v>44972</v>
      </c>
      <c r="C478" s="1" t="n">
        <v>45892</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18762-2024</t>
        </is>
      </c>
      <c r="B479" s="1" t="n">
        <v>45426.55240740741</v>
      </c>
      <c r="C479" s="1" t="n">
        <v>45892</v>
      </c>
      <c r="D479" t="inlineStr">
        <is>
          <t>VÄSTMANLANDS LÄN</t>
        </is>
      </c>
      <c r="E479" t="inlineStr">
        <is>
          <t>SALA</t>
        </is>
      </c>
      <c r="G479" t="n">
        <v>6.2</v>
      </c>
      <c r="H479" t="n">
        <v>0</v>
      </c>
      <c r="I479" t="n">
        <v>0</v>
      </c>
      <c r="J479" t="n">
        <v>0</v>
      </c>
      <c r="K479" t="n">
        <v>0</v>
      </c>
      <c r="L479" t="n">
        <v>0</v>
      </c>
      <c r="M479" t="n">
        <v>0</v>
      </c>
      <c r="N479" t="n">
        <v>0</v>
      </c>
      <c r="O479" t="n">
        <v>0</v>
      </c>
      <c r="P479" t="n">
        <v>0</v>
      </c>
      <c r="Q479" t="n">
        <v>0</v>
      </c>
      <c r="R479" s="2" t="inlineStr"/>
    </row>
    <row r="480" ht="15" customHeight="1">
      <c r="A480" t="inlineStr">
        <is>
          <t>A 39011-2023</t>
        </is>
      </c>
      <c r="B480" s="1" t="n">
        <v>45162</v>
      </c>
      <c r="C480" s="1" t="n">
        <v>45892</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27989-2025</t>
        </is>
      </c>
      <c r="B481" s="1" t="n">
        <v>45817.58716435185</v>
      </c>
      <c r="C481" s="1" t="n">
        <v>45892</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13128-2023</t>
        </is>
      </c>
      <c r="B482" s="1" t="n">
        <v>45002</v>
      </c>
      <c r="C482" s="1" t="n">
        <v>45892</v>
      </c>
      <c r="D482" t="inlineStr">
        <is>
          <t>VÄSTMANLANDS LÄN</t>
        </is>
      </c>
      <c r="E482" t="inlineStr">
        <is>
          <t>SALA</t>
        </is>
      </c>
      <c r="G482" t="n">
        <v>7.9</v>
      </c>
      <c r="H482" t="n">
        <v>0</v>
      </c>
      <c r="I482" t="n">
        <v>0</v>
      </c>
      <c r="J482" t="n">
        <v>0</v>
      </c>
      <c r="K482" t="n">
        <v>0</v>
      </c>
      <c r="L482" t="n">
        <v>0</v>
      </c>
      <c r="M482" t="n">
        <v>0</v>
      </c>
      <c r="N482" t="n">
        <v>0</v>
      </c>
      <c r="O482" t="n">
        <v>0</v>
      </c>
      <c r="P482" t="n">
        <v>0</v>
      </c>
      <c r="Q482" t="n">
        <v>0</v>
      </c>
      <c r="R482" s="2" t="inlineStr"/>
    </row>
    <row r="483" ht="15" customHeight="1">
      <c r="A483" t="inlineStr">
        <is>
          <t>A 46352-2023</t>
        </is>
      </c>
      <c r="B483" s="1" t="n">
        <v>45192</v>
      </c>
      <c r="C483" s="1" t="n">
        <v>45892</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43751-2021</t>
        </is>
      </c>
      <c r="B484" s="1" t="n">
        <v>44433</v>
      </c>
      <c r="C484" s="1" t="n">
        <v>45892</v>
      </c>
      <c r="D484" t="inlineStr">
        <is>
          <t>VÄSTMANLANDS LÄN</t>
        </is>
      </c>
      <c r="E484" t="inlineStr">
        <is>
          <t>SALA</t>
        </is>
      </c>
      <c r="G484" t="n">
        <v>1.5</v>
      </c>
      <c r="H484" t="n">
        <v>0</v>
      </c>
      <c r="I484" t="n">
        <v>0</v>
      </c>
      <c r="J484" t="n">
        <v>0</v>
      </c>
      <c r="K484" t="n">
        <v>0</v>
      </c>
      <c r="L484" t="n">
        <v>0</v>
      </c>
      <c r="M484" t="n">
        <v>0</v>
      </c>
      <c r="N484" t="n">
        <v>0</v>
      </c>
      <c r="O484" t="n">
        <v>0</v>
      </c>
      <c r="P484" t="n">
        <v>0</v>
      </c>
      <c r="Q484" t="n">
        <v>0</v>
      </c>
      <c r="R484" s="2" t="inlineStr"/>
    </row>
    <row r="485" ht="15" customHeight="1">
      <c r="A485" t="inlineStr">
        <is>
          <t>A 27981-2025</t>
        </is>
      </c>
      <c r="B485" s="1" t="n">
        <v>45817.57471064815</v>
      </c>
      <c r="C485" s="1" t="n">
        <v>45892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1128-2025</t>
        </is>
      </c>
      <c r="B486" s="1" t="n">
        <v>45666.68469907407</v>
      </c>
      <c r="C486" s="1" t="n">
        <v>45892</v>
      </c>
      <c r="D486" t="inlineStr">
        <is>
          <t>VÄSTMANLANDS LÄN</t>
        </is>
      </c>
      <c r="E486" t="inlineStr">
        <is>
          <t>SALA</t>
        </is>
      </c>
      <c r="G486" t="n">
        <v>2.5</v>
      </c>
      <c r="H486" t="n">
        <v>0</v>
      </c>
      <c r="I486" t="n">
        <v>0</v>
      </c>
      <c r="J486" t="n">
        <v>0</v>
      </c>
      <c r="K486" t="n">
        <v>0</v>
      </c>
      <c r="L486" t="n">
        <v>0</v>
      </c>
      <c r="M486" t="n">
        <v>0</v>
      </c>
      <c r="N486" t="n">
        <v>0</v>
      </c>
      <c r="O486" t="n">
        <v>0</v>
      </c>
      <c r="P486" t="n">
        <v>0</v>
      </c>
      <c r="Q486" t="n">
        <v>0</v>
      </c>
      <c r="R486" s="2" t="inlineStr"/>
    </row>
    <row r="487" ht="15" customHeight="1">
      <c r="A487" t="inlineStr">
        <is>
          <t>A 35651-2025</t>
        </is>
      </c>
      <c r="B487" s="1" t="n">
        <v>45859.52435185185</v>
      </c>
      <c r="C487" s="1" t="n">
        <v>45892</v>
      </c>
      <c r="D487" t="inlineStr">
        <is>
          <t>VÄSTMANLANDS LÄN</t>
        </is>
      </c>
      <c r="E487" t="inlineStr">
        <is>
          <t>SALA</t>
        </is>
      </c>
      <c r="G487" t="n">
        <v>6.3</v>
      </c>
      <c r="H487" t="n">
        <v>0</v>
      </c>
      <c r="I487" t="n">
        <v>0</v>
      </c>
      <c r="J487" t="n">
        <v>0</v>
      </c>
      <c r="K487" t="n">
        <v>0</v>
      </c>
      <c r="L487" t="n">
        <v>0</v>
      </c>
      <c r="M487" t="n">
        <v>0</v>
      </c>
      <c r="N487" t="n">
        <v>0</v>
      </c>
      <c r="O487" t="n">
        <v>0</v>
      </c>
      <c r="P487" t="n">
        <v>0</v>
      </c>
      <c r="Q487" t="n">
        <v>0</v>
      </c>
      <c r="R487" s="2" t="inlineStr"/>
    </row>
    <row r="488" ht="15" customHeight="1">
      <c r="A488" t="inlineStr">
        <is>
          <t>A 28193-2025</t>
        </is>
      </c>
      <c r="B488" s="1" t="n">
        <v>45818.425625</v>
      </c>
      <c r="C488" s="1" t="n">
        <v>45892</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28284-2025</t>
        </is>
      </c>
      <c r="B489" s="1" t="n">
        <v>45818.58893518519</v>
      </c>
      <c r="C489" s="1" t="n">
        <v>45892</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28278-2025</t>
        </is>
      </c>
      <c r="B490" s="1" t="n">
        <v>45818.58454861111</v>
      </c>
      <c r="C490" s="1" t="n">
        <v>45892</v>
      </c>
      <c r="D490" t="inlineStr">
        <is>
          <t>VÄSTMANLANDS LÄN</t>
        </is>
      </c>
      <c r="E490" t="inlineStr">
        <is>
          <t>SALA</t>
        </is>
      </c>
      <c r="G490" t="n">
        <v>7.6</v>
      </c>
      <c r="H490" t="n">
        <v>0</v>
      </c>
      <c r="I490" t="n">
        <v>0</v>
      </c>
      <c r="J490" t="n">
        <v>0</v>
      </c>
      <c r="K490" t="n">
        <v>0</v>
      </c>
      <c r="L490" t="n">
        <v>0</v>
      </c>
      <c r="M490" t="n">
        <v>0</v>
      </c>
      <c r="N490" t="n">
        <v>0</v>
      </c>
      <c r="O490" t="n">
        <v>0</v>
      </c>
      <c r="P490" t="n">
        <v>0</v>
      </c>
      <c r="Q490" t="n">
        <v>0</v>
      </c>
      <c r="R490" s="2" t="inlineStr"/>
    </row>
    <row r="491" ht="15" customHeight="1">
      <c r="A491" t="inlineStr">
        <is>
          <t>A 24864-2024</t>
        </is>
      </c>
      <c r="B491" s="1" t="n">
        <v>45461.48888888889</v>
      </c>
      <c r="C491" s="1" t="n">
        <v>45892</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28628-2025</t>
        </is>
      </c>
      <c r="B492" s="1" t="n">
        <v>45819.62158564815</v>
      </c>
      <c r="C492" s="1" t="n">
        <v>45892</v>
      </c>
      <c r="D492" t="inlineStr">
        <is>
          <t>VÄSTMANLANDS LÄN</t>
        </is>
      </c>
      <c r="E492" t="inlineStr">
        <is>
          <t>SALA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31950-2023</t>
        </is>
      </c>
      <c r="B493" s="1" t="n">
        <v>45107</v>
      </c>
      <c r="C493" s="1" t="n">
        <v>45892</v>
      </c>
      <c r="D493" t="inlineStr">
        <is>
          <t>VÄSTMANLANDS LÄN</t>
        </is>
      </c>
      <c r="E493" t="inlineStr">
        <is>
          <t>SALA</t>
        </is>
      </c>
      <c r="G493" t="n">
        <v>0.1</v>
      </c>
      <c r="H493" t="n">
        <v>0</v>
      </c>
      <c r="I493" t="n">
        <v>0</v>
      </c>
      <c r="J493" t="n">
        <v>0</v>
      </c>
      <c r="K493" t="n">
        <v>0</v>
      </c>
      <c r="L493" t="n">
        <v>0</v>
      </c>
      <c r="M493" t="n">
        <v>0</v>
      </c>
      <c r="N493" t="n">
        <v>0</v>
      </c>
      <c r="O493" t="n">
        <v>0</v>
      </c>
      <c r="P493" t="n">
        <v>0</v>
      </c>
      <c r="Q493" t="n">
        <v>0</v>
      </c>
      <c r="R493" s="2" t="inlineStr"/>
    </row>
    <row r="494" ht="15" customHeight="1">
      <c r="A494" t="inlineStr">
        <is>
          <t>A 35715-2025</t>
        </is>
      </c>
      <c r="B494" s="1" t="n">
        <v>45860.42148148148</v>
      </c>
      <c r="C494" s="1" t="n">
        <v>45892</v>
      </c>
      <c r="D494" t="inlineStr">
        <is>
          <t>VÄSTMANLANDS LÄN</t>
        </is>
      </c>
      <c r="E494" t="inlineStr">
        <is>
          <t>SALA</t>
        </is>
      </c>
      <c r="G494" t="n">
        <v>3.8</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45892</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28632-2025</t>
        </is>
      </c>
      <c r="B496" s="1" t="n">
        <v>45819.62344907408</v>
      </c>
      <c r="C496" s="1" t="n">
        <v>45892</v>
      </c>
      <c r="D496" t="inlineStr">
        <is>
          <t>VÄSTMANLANDS LÄN</t>
        </is>
      </c>
      <c r="E496" t="inlineStr">
        <is>
          <t>SALA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35779-2025</t>
        </is>
      </c>
      <c r="B497" s="1" t="n">
        <v>45860.69495370371</v>
      </c>
      <c r="C497" s="1" t="n">
        <v>45892</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28630-2025</t>
        </is>
      </c>
      <c r="B498" s="1" t="n">
        <v>45819.62274305556</v>
      </c>
      <c r="C498" s="1" t="n">
        <v>45892</v>
      </c>
      <c r="D498" t="inlineStr">
        <is>
          <t>VÄSTMANLANDS LÄN</t>
        </is>
      </c>
      <c r="E498" t="inlineStr">
        <is>
          <t>SALA</t>
        </is>
      </c>
      <c r="F498" t="inlineStr">
        <is>
          <t>Sveaskog</t>
        </is>
      </c>
      <c r="G498" t="n">
        <v>9</v>
      </c>
      <c r="H498" t="n">
        <v>0</v>
      </c>
      <c r="I498" t="n">
        <v>0</v>
      </c>
      <c r="J498" t="n">
        <v>0</v>
      </c>
      <c r="K498" t="n">
        <v>0</v>
      </c>
      <c r="L498" t="n">
        <v>0</v>
      </c>
      <c r="M498" t="n">
        <v>0</v>
      </c>
      <c r="N498" t="n">
        <v>0</v>
      </c>
      <c r="O498" t="n">
        <v>0</v>
      </c>
      <c r="P498" t="n">
        <v>0</v>
      </c>
      <c r="Q498" t="n">
        <v>0</v>
      </c>
      <c r="R498" s="2" t="inlineStr"/>
    </row>
    <row r="499" ht="15" customHeight="1">
      <c r="A499" t="inlineStr">
        <is>
          <t>A 35776-2025</t>
        </is>
      </c>
      <c r="B499" s="1" t="n">
        <v>45860.69211805556</v>
      </c>
      <c r="C499" s="1" t="n">
        <v>45892</v>
      </c>
      <c r="D499" t="inlineStr">
        <is>
          <t>VÄSTMANLANDS LÄN</t>
        </is>
      </c>
      <c r="E499" t="inlineStr">
        <is>
          <t>SALA</t>
        </is>
      </c>
      <c r="G499" t="n">
        <v>14.2</v>
      </c>
      <c r="H499" t="n">
        <v>0</v>
      </c>
      <c r="I499" t="n">
        <v>0</v>
      </c>
      <c r="J499" t="n">
        <v>0</v>
      </c>
      <c r="K499" t="n">
        <v>0</v>
      </c>
      <c r="L499" t="n">
        <v>0</v>
      </c>
      <c r="M499" t="n">
        <v>0</v>
      </c>
      <c r="N499" t="n">
        <v>0</v>
      </c>
      <c r="O499" t="n">
        <v>0</v>
      </c>
      <c r="P499" t="n">
        <v>0</v>
      </c>
      <c r="Q499" t="n">
        <v>0</v>
      </c>
      <c r="R499" s="2" t="inlineStr"/>
    </row>
    <row r="500" ht="15" customHeight="1">
      <c r="A500" t="inlineStr">
        <is>
          <t>A 28837-2025</t>
        </is>
      </c>
      <c r="B500" s="1" t="n">
        <v>45820.56243055555</v>
      </c>
      <c r="C500" s="1" t="n">
        <v>45892</v>
      </c>
      <c r="D500" t="inlineStr">
        <is>
          <t>VÄSTMANLANDS LÄN</t>
        </is>
      </c>
      <c r="E500" t="inlineStr">
        <is>
          <t>SALA</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28849-2025</t>
        </is>
      </c>
      <c r="B501" s="1" t="n">
        <v>45820</v>
      </c>
      <c r="C501" s="1" t="n">
        <v>45892</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42344-2020</t>
        </is>
      </c>
      <c r="B502" s="1" t="n">
        <v>44076</v>
      </c>
      <c r="C502" s="1" t="n">
        <v>45892</v>
      </c>
      <c r="D502" t="inlineStr">
        <is>
          <t>VÄSTMANLANDS LÄN</t>
        </is>
      </c>
      <c r="E502" t="inlineStr">
        <is>
          <t>SALA</t>
        </is>
      </c>
      <c r="G502" t="n">
        <v>5.1</v>
      </c>
      <c r="H502" t="n">
        <v>0</v>
      </c>
      <c r="I502" t="n">
        <v>0</v>
      </c>
      <c r="J502" t="n">
        <v>0</v>
      </c>
      <c r="K502" t="n">
        <v>0</v>
      </c>
      <c r="L502" t="n">
        <v>0</v>
      </c>
      <c r="M502" t="n">
        <v>0</v>
      </c>
      <c r="N502" t="n">
        <v>0</v>
      </c>
      <c r="O502" t="n">
        <v>0</v>
      </c>
      <c r="P502" t="n">
        <v>0</v>
      </c>
      <c r="Q502" t="n">
        <v>0</v>
      </c>
      <c r="R502" s="2" t="inlineStr"/>
    </row>
    <row r="503" ht="15" customHeight="1">
      <c r="A503" t="inlineStr">
        <is>
          <t>A 42346-2020</t>
        </is>
      </c>
      <c r="B503" s="1" t="n">
        <v>44076</v>
      </c>
      <c r="C503" s="1" t="n">
        <v>45892</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56540-2024</t>
        </is>
      </c>
      <c r="B504" s="1" t="n">
        <v>45625</v>
      </c>
      <c r="C504" s="1" t="n">
        <v>45892</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6116-2023</t>
        </is>
      </c>
      <c r="B505" s="1" t="n">
        <v>44964</v>
      </c>
      <c r="C505" s="1" t="n">
        <v>45892</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24755-2021</t>
        </is>
      </c>
      <c r="B506" s="1" t="n">
        <v>44340</v>
      </c>
      <c r="C506" s="1" t="n">
        <v>45892</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35775-2025</t>
        </is>
      </c>
      <c r="B507" s="1" t="n">
        <v>45860</v>
      </c>
      <c r="C507" s="1" t="n">
        <v>45892</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25860-2024</t>
        </is>
      </c>
      <c r="B508" s="1" t="n">
        <v>45467.46278935186</v>
      </c>
      <c r="C508" s="1" t="n">
        <v>45892</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29085-2025</t>
        </is>
      </c>
      <c r="B509" s="1" t="n">
        <v>45821</v>
      </c>
      <c r="C509" s="1" t="n">
        <v>45892</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10154-2021</t>
        </is>
      </c>
      <c r="B510" s="1" t="n">
        <v>44256</v>
      </c>
      <c r="C510" s="1" t="n">
        <v>45892</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56916-2022</t>
        </is>
      </c>
      <c r="B511" s="1" t="n">
        <v>44888</v>
      </c>
      <c r="C511" s="1" t="n">
        <v>45892</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36032-2025</t>
        </is>
      </c>
      <c r="B512" s="1" t="n">
        <v>45865.48740740741</v>
      </c>
      <c r="C512" s="1" t="n">
        <v>45892</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36043-2025</t>
        </is>
      </c>
      <c r="B513" s="1" t="n">
        <v>45866.35333333333</v>
      </c>
      <c r="C513" s="1" t="n">
        <v>45892</v>
      </c>
      <c r="D513" t="inlineStr">
        <is>
          <t>VÄSTMANLANDS LÄN</t>
        </is>
      </c>
      <c r="E513" t="inlineStr">
        <is>
          <t>SALA</t>
        </is>
      </c>
      <c r="F513" t="inlineStr">
        <is>
          <t>Kommuner</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36045-2025</t>
        </is>
      </c>
      <c r="B514" s="1" t="n">
        <v>45866.36200231482</v>
      </c>
      <c r="C514" s="1" t="n">
        <v>45892</v>
      </c>
      <c r="D514" t="inlineStr">
        <is>
          <t>VÄSTMANLANDS LÄN</t>
        </is>
      </c>
      <c r="E514" t="inlineStr">
        <is>
          <t>SALA</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29691-2025</t>
        </is>
      </c>
      <c r="B515" s="1" t="n">
        <v>45825.53645833334</v>
      </c>
      <c r="C515" s="1" t="n">
        <v>45892</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60541-2024</t>
        </is>
      </c>
      <c r="B516" s="1" t="n">
        <v>45643</v>
      </c>
      <c r="C516" s="1" t="n">
        <v>45892</v>
      </c>
      <c r="D516" t="inlineStr">
        <is>
          <t>VÄSTMANLANDS LÄN</t>
        </is>
      </c>
      <c r="E516" t="inlineStr">
        <is>
          <t>SALA</t>
        </is>
      </c>
      <c r="G516" t="n">
        <v>10.6</v>
      </c>
      <c r="H516" t="n">
        <v>0</v>
      </c>
      <c r="I516" t="n">
        <v>0</v>
      </c>
      <c r="J516" t="n">
        <v>0</v>
      </c>
      <c r="K516" t="n">
        <v>0</v>
      </c>
      <c r="L516" t="n">
        <v>0</v>
      </c>
      <c r="M516" t="n">
        <v>0</v>
      </c>
      <c r="N516" t="n">
        <v>0</v>
      </c>
      <c r="O516" t="n">
        <v>0</v>
      </c>
      <c r="P516" t="n">
        <v>0</v>
      </c>
      <c r="Q516" t="n">
        <v>0</v>
      </c>
      <c r="R516" s="2" t="inlineStr"/>
    </row>
    <row r="517" ht="15" customHeight="1">
      <c r="A517" t="inlineStr">
        <is>
          <t>A 71471-2021</t>
        </is>
      </c>
      <c r="B517" s="1" t="n">
        <v>44540.53421296296</v>
      </c>
      <c r="C517" s="1" t="n">
        <v>45892</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36060-2025</t>
        </is>
      </c>
      <c r="B518" s="1" t="n">
        <v>45866.39469907407</v>
      </c>
      <c r="C518" s="1" t="n">
        <v>45892</v>
      </c>
      <c r="D518" t="inlineStr">
        <is>
          <t>VÄSTMANLANDS LÄN</t>
        </is>
      </c>
      <c r="E518" t="inlineStr">
        <is>
          <t>SALA</t>
        </is>
      </c>
      <c r="F518" t="inlineStr">
        <is>
          <t>Kommuner</t>
        </is>
      </c>
      <c r="G518" t="n">
        <v>4.3</v>
      </c>
      <c r="H518" t="n">
        <v>0</v>
      </c>
      <c r="I518" t="n">
        <v>0</v>
      </c>
      <c r="J518" t="n">
        <v>0</v>
      </c>
      <c r="K518" t="n">
        <v>0</v>
      </c>
      <c r="L518" t="n">
        <v>0</v>
      </c>
      <c r="M518" t="n">
        <v>0</v>
      </c>
      <c r="N518" t="n">
        <v>0</v>
      </c>
      <c r="O518" t="n">
        <v>0</v>
      </c>
      <c r="P518" t="n">
        <v>0</v>
      </c>
      <c r="Q518" t="n">
        <v>0</v>
      </c>
      <c r="R518" s="2" t="inlineStr"/>
    </row>
    <row r="519" ht="15" customHeight="1">
      <c r="A519" t="inlineStr">
        <is>
          <t>A 61717-2024</t>
        </is>
      </c>
      <c r="B519" s="1" t="n">
        <v>45648</v>
      </c>
      <c r="C519" s="1" t="n">
        <v>45892</v>
      </c>
      <c r="D519" t="inlineStr">
        <is>
          <t>VÄSTMANLANDS LÄN</t>
        </is>
      </c>
      <c r="E519" t="inlineStr">
        <is>
          <t>SALA</t>
        </is>
      </c>
      <c r="G519" t="n">
        <v>3.7</v>
      </c>
      <c r="H519" t="n">
        <v>0</v>
      </c>
      <c r="I519" t="n">
        <v>0</v>
      </c>
      <c r="J519" t="n">
        <v>0</v>
      </c>
      <c r="K519" t="n">
        <v>0</v>
      </c>
      <c r="L519" t="n">
        <v>0</v>
      </c>
      <c r="M519" t="n">
        <v>0</v>
      </c>
      <c r="N519" t="n">
        <v>0</v>
      </c>
      <c r="O519" t="n">
        <v>0</v>
      </c>
      <c r="P519" t="n">
        <v>0</v>
      </c>
      <c r="Q519" t="n">
        <v>0</v>
      </c>
      <c r="R519" s="2" t="inlineStr"/>
    </row>
    <row r="520" ht="15" customHeight="1">
      <c r="A520" t="inlineStr">
        <is>
          <t>A 36031-2025</t>
        </is>
      </c>
      <c r="B520" s="1" t="n">
        <v>45865.46111111111</v>
      </c>
      <c r="C520" s="1" t="n">
        <v>45892</v>
      </c>
      <c r="D520" t="inlineStr">
        <is>
          <t>VÄSTMANLANDS LÄN</t>
        </is>
      </c>
      <c r="E520" t="inlineStr">
        <is>
          <t>SALA</t>
        </is>
      </c>
      <c r="G520" t="n">
        <v>7.2</v>
      </c>
      <c r="H520" t="n">
        <v>0</v>
      </c>
      <c r="I520" t="n">
        <v>0</v>
      </c>
      <c r="J520" t="n">
        <v>0</v>
      </c>
      <c r="K520" t="n">
        <v>0</v>
      </c>
      <c r="L520" t="n">
        <v>0</v>
      </c>
      <c r="M520" t="n">
        <v>0</v>
      </c>
      <c r="N520" t="n">
        <v>0</v>
      </c>
      <c r="O520" t="n">
        <v>0</v>
      </c>
      <c r="P520" t="n">
        <v>0</v>
      </c>
      <c r="Q520" t="n">
        <v>0</v>
      </c>
      <c r="R520" s="2" t="inlineStr"/>
    </row>
    <row r="521" ht="15" customHeight="1">
      <c r="A521" t="inlineStr">
        <is>
          <t>A 36049-2025</t>
        </is>
      </c>
      <c r="B521" s="1" t="n">
        <v>45866.37065972222</v>
      </c>
      <c r="C521" s="1" t="n">
        <v>45892</v>
      </c>
      <c r="D521" t="inlineStr">
        <is>
          <t>VÄSTMANLANDS LÄN</t>
        </is>
      </c>
      <c r="E521" t="inlineStr">
        <is>
          <t>SALA</t>
        </is>
      </c>
      <c r="F521" t="inlineStr">
        <is>
          <t>Kommuner</t>
        </is>
      </c>
      <c r="G521" t="n">
        <v>1.9</v>
      </c>
      <c r="H521" t="n">
        <v>0</v>
      </c>
      <c r="I521" t="n">
        <v>0</v>
      </c>
      <c r="J521" t="n">
        <v>0</v>
      </c>
      <c r="K521" t="n">
        <v>0</v>
      </c>
      <c r="L521" t="n">
        <v>0</v>
      </c>
      <c r="M521" t="n">
        <v>0</v>
      </c>
      <c r="N521" t="n">
        <v>0</v>
      </c>
      <c r="O521" t="n">
        <v>0</v>
      </c>
      <c r="P521" t="n">
        <v>0</v>
      </c>
      <c r="Q521" t="n">
        <v>0</v>
      </c>
      <c r="R521" s="2" t="inlineStr"/>
    </row>
    <row r="522" ht="15" customHeight="1">
      <c r="A522" t="inlineStr">
        <is>
          <t>A 13987-2023</t>
        </is>
      </c>
      <c r="B522" s="1" t="n">
        <v>45007</v>
      </c>
      <c r="C522" s="1" t="n">
        <v>45892</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13990-2023</t>
        </is>
      </c>
      <c r="B523" s="1" t="n">
        <v>45007</v>
      </c>
      <c r="C523" s="1" t="n">
        <v>45892</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17495-2024</t>
        </is>
      </c>
      <c r="B524" s="1" t="n">
        <v>45415</v>
      </c>
      <c r="C524" s="1" t="n">
        <v>45892</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29826-2025</t>
        </is>
      </c>
      <c r="B525" s="1" t="n">
        <v>45825.85761574074</v>
      </c>
      <c r="C525" s="1" t="n">
        <v>45892</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29972-2025</t>
        </is>
      </c>
      <c r="B526" s="1" t="n">
        <v>45826</v>
      </c>
      <c r="C526" s="1" t="n">
        <v>45892</v>
      </c>
      <c r="D526" t="inlineStr">
        <is>
          <t>VÄSTMANLANDS LÄN</t>
        </is>
      </c>
      <c r="E526" t="inlineStr">
        <is>
          <t>SALA</t>
        </is>
      </c>
      <c r="G526" t="n">
        <v>2.7</v>
      </c>
      <c r="H526" t="n">
        <v>0</v>
      </c>
      <c r="I526" t="n">
        <v>0</v>
      </c>
      <c r="J526" t="n">
        <v>0</v>
      </c>
      <c r="K526" t="n">
        <v>0</v>
      </c>
      <c r="L526" t="n">
        <v>0</v>
      </c>
      <c r="M526" t="n">
        <v>0</v>
      </c>
      <c r="N526" t="n">
        <v>0</v>
      </c>
      <c r="O526" t="n">
        <v>0</v>
      </c>
      <c r="P526" t="n">
        <v>0</v>
      </c>
      <c r="Q526" t="n">
        <v>0</v>
      </c>
      <c r="R526" s="2" t="inlineStr"/>
    </row>
    <row r="527" ht="15" customHeight="1">
      <c r="A527" t="inlineStr">
        <is>
          <t>A 1993-2022</t>
        </is>
      </c>
      <c r="B527" s="1" t="n">
        <v>44575</v>
      </c>
      <c r="C527" s="1" t="n">
        <v>45892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17051-2025</t>
        </is>
      </c>
      <c r="B528" s="1" t="n">
        <v>45755</v>
      </c>
      <c r="C528" s="1" t="n">
        <v>45892</v>
      </c>
      <c r="D528" t="inlineStr">
        <is>
          <t>VÄSTMANLANDS LÄN</t>
        </is>
      </c>
      <c r="E528" t="inlineStr">
        <is>
          <t>SALA</t>
        </is>
      </c>
      <c r="G528" t="n">
        <v>2.9</v>
      </c>
      <c r="H528" t="n">
        <v>0</v>
      </c>
      <c r="I528" t="n">
        <v>0</v>
      </c>
      <c r="J528" t="n">
        <v>0</v>
      </c>
      <c r="K528" t="n">
        <v>0</v>
      </c>
      <c r="L528" t="n">
        <v>0</v>
      </c>
      <c r="M528" t="n">
        <v>0</v>
      </c>
      <c r="N528" t="n">
        <v>0</v>
      </c>
      <c r="O528" t="n">
        <v>0</v>
      </c>
      <c r="P528" t="n">
        <v>0</v>
      </c>
      <c r="Q528" t="n">
        <v>0</v>
      </c>
      <c r="R528" s="2" t="inlineStr"/>
    </row>
    <row r="529" ht="15" customHeight="1">
      <c r="A529" t="inlineStr">
        <is>
          <t>A 28696-2023</t>
        </is>
      </c>
      <c r="B529" s="1" t="n">
        <v>45103.71759259259</v>
      </c>
      <c r="C529" s="1" t="n">
        <v>45892</v>
      </c>
      <c r="D529" t="inlineStr">
        <is>
          <t>VÄSTMANLANDS LÄN</t>
        </is>
      </c>
      <c r="E529" t="inlineStr">
        <is>
          <t>SALA</t>
        </is>
      </c>
      <c r="F529" t="inlineStr">
        <is>
          <t>Kommuner</t>
        </is>
      </c>
      <c r="G529" t="n">
        <v>5.9</v>
      </c>
      <c r="H529" t="n">
        <v>0</v>
      </c>
      <c r="I529" t="n">
        <v>0</v>
      </c>
      <c r="J529" t="n">
        <v>0</v>
      </c>
      <c r="K529" t="n">
        <v>0</v>
      </c>
      <c r="L529" t="n">
        <v>0</v>
      </c>
      <c r="M529" t="n">
        <v>0</v>
      </c>
      <c r="N529" t="n">
        <v>0</v>
      </c>
      <c r="O529" t="n">
        <v>0</v>
      </c>
      <c r="P529" t="n">
        <v>0</v>
      </c>
      <c r="Q529" t="n">
        <v>0</v>
      </c>
      <c r="R529" s="2" t="inlineStr"/>
    </row>
    <row r="530" ht="15" customHeight="1">
      <c r="A530" t="inlineStr">
        <is>
          <t>A 43509-2021</t>
        </is>
      </c>
      <c r="B530" s="1" t="n">
        <v>44433</v>
      </c>
      <c r="C530" s="1" t="n">
        <v>45892</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54959-2024</t>
        </is>
      </c>
      <c r="B531" s="1" t="n">
        <v>45619</v>
      </c>
      <c r="C531" s="1" t="n">
        <v>45892</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56964-2023</t>
        </is>
      </c>
      <c r="B532" s="1" t="n">
        <v>45244.63140046296</v>
      </c>
      <c r="C532" s="1" t="n">
        <v>45892</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37337-2024</t>
        </is>
      </c>
      <c r="B533" s="1" t="n">
        <v>45540</v>
      </c>
      <c r="C533" s="1" t="n">
        <v>45892</v>
      </c>
      <c r="D533" t="inlineStr">
        <is>
          <t>VÄSTMANLANDS LÄN</t>
        </is>
      </c>
      <c r="E533" t="inlineStr">
        <is>
          <t>SALA</t>
        </is>
      </c>
      <c r="G533" t="n">
        <v>6.5</v>
      </c>
      <c r="H533" t="n">
        <v>0</v>
      </c>
      <c r="I533" t="n">
        <v>0</v>
      </c>
      <c r="J533" t="n">
        <v>0</v>
      </c>
      <c r="K533" t="n">
        <v>0</v>
      </c>
      <c r="L533" t="n">
        <v>0</v>
      </c>
      <c r="M533" t="n">
        <v>0</v>
      </c>
      <c r="N533" t="n">
        <v>0</v>
      </c>
      <c r="O533" t="n">
        <v>0</v>
      </c>
      <c r="P533" t="n">
        <v>0</v>
      </c>
      <c r="Q533" t="n">
        <v>0</v>
      </c>
      <c r="R533" s="2" t="inlineStr"/>
    </row>
    <row r="534" ht="15" customHeight="1">
      <c r="A534" t="inlineStr">
        <is>
          <t>A 6691-2025</t>
        </is>
      </c>
      <c r="B534" s="1" t="n">
        <v>45700.50625</v>
      </c>
      <c r="C534" s="1" t="n">
        <v>45892</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1934-2023</t>
        </is>
      </c>
      <c r="B535" s="1" t="n">
        <v>44939.43024305555</v>
      </c>
      <c r="C535" s="1" t="n">
        <v>45892</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17120-2023</t>
        </is>
      </c>
      <c r="B536" s="1" t="n">
        <v>45034</v>
      </c>
      <c r="C536" s="1" t="n">
        <v>45892</v>
      </c>
      <c r="D536" t="inlineStr">
        <is>
          <t>VÄSTMANLANDS LÄN</t>
        </is>
      </c>
      <c r="E536" t="inlineStr">
        <is>
          <t>SALA</t>
        </is>
      </c>
      <c r="G536" t="n">
        <v>0.1</v>
      </c>
      <c r="H536" t="n">
        <v>0</v>
      </c>
      <c r="I536" t="n">
        <v>0</v>
      </c>
      <c r="J536" t="n">
        <v>0</v>
      </c>
      <c r="K536" t="n">
        <v>0</v>
      </c>
      <c r="L536" t="n">
        <v>0</v>
      </c>
      <c r="M536" t="n">
        <v>0</v>
      </c>
      <c r="N536" t="n">
        <v>0</v>
      </c>
      <c r="O536" t="n">
        <v>0</v>
      </c>
      <c r="P536" t="n">
        <v>0</v>
      </c>
      <c r="Q536" t="n">
        <v>0</v>
      </c>
      <c r="R536" s="2" t="inlineStr"/>
    </row>
    <row r="537" ht="15" customHeight="1">
      <c r="A537" t="inlineStr">
        <is>
          <t>A 35519-2024</t>
        </is>
      </c>
      <c r="B537" s="1" t="n">
        <v>45531</v>
      </c>
      <c r="C537" s="1" t="n">
        <v>45892</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34494-2023</t>
        </is>
      </c>
      <c r="B538" s="1" t="n">
        <v>45133</v>
      </c>
      <c r="C538" s="1" t="n">
        <v>45892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10579-2022</t>
        </is>
      </c>
      <c r="B539" s="1" t="n">
        <v>44624</v>
      </c>
      <c r="C539" s="1" t="n">
        <v>45892</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50241-2023</t>
        </is>
      </c>
      <c r="B540" s="1" t="n">
        <v>45216</v>
      </c>
      <c r="C540" s="1" t="n">
        <v>45892</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30971-2022</t>
        </is>
      </c>
      <c r="B541" s="1" t="n">
        <v>44768.46725694444</v>
      </c>
      <c r="C541" s="1" t="n">
        <v>45892</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37103-2025</t>
        </is>
      </c>
      <c r="B542" s="1" t="n">
        <v>45875.47743055555</v>
      </c>
      <c r="C542" s="1" t="n">
        <v>45892</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9335-2022</t>
        </is>
      </c>
      <c r="B543" s="1" t="n">
        <v>44616.56579861111</v>
      </c>
      <c r="C543" s="1" t="n">
        <v>45892</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31608-2025</t>
        </is>
      </c>
      <c r="B544" s="1" t="n">
        <v>45833</v>
      </c>
      <c r="C544" s="1" t="n">
        <v>45892</v>
      </c>
      <c r="D544" t="inlineStr">
        <is>
          <t>VÄSTMANLANDS LÄN</t>
        </is>
      </c>
      <c r="E544" t="inlineStr">
        <is>
          <t>SALA</t>
        </is>
      </c>
      <c r="G544" t="n">
        <v>6.1</v>
      </c>
      <c r="H544" t="n">
        <v>0</v>
      </c>
      <c r="I544" t="n">
        <v>0</v>
      </c>
      <c r="J544" t="n">
        <v>0</v>
      </c>
      <c r="K544" t="n">
        <v>0</v>
      </c>
      <c r="L544" t="n">
        <v>0</v>
      </c>
      <c r="M544" t="n">
        <v>0</v>
      </c>
      <c r="N544" t="n">
        <v>0</v>
      </c>
      <c r="O544" t="n">
        <v>0</v>
      </c>
      <c r="P544" t="n">
        <v>0</v>
      </c>
      <c r="Q544" t="n">
        <v>0</v>
      </c>
      <c r="R544" s="2" t="inlineStr"/>
    </row>
    <row r="545" ht="15" customHeight="1">
      <c r="A545" t="inlineStr">
        <is>
          <t>A 45313-2024</t>
        </is>
      </c>
      <c r="B545" s="1" t="n">
        <v>45576</v>
      </c>
      <c r="C545" s="1" t="n">
        <v>45892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30866-2025</t>
        </is>
      </c>
      <c r="B546" s="1" t="n">
        <v>45832.3246875</v>
      </c>
      <c r="C546" s="1" t="n">
        <v>45892</v>
      </c>
      <c r="D546" t="inlineStr">
        <is>
          <t>VÄSTMANLANDS LÄN</t>
        </is>
      </c>
      <c r="E546" t="inlineStr">
        <is>
          <t>SALA</t>
        </is>
      </c>
      <c r="G546" t="n">
        <v>14.3</v>
      </c>
      <c r="H546" t="n">
        <v>0</v>
      </c>
      <c r="I546" t="n">
        <v>0</v>
      </c>
      <c r="J546" t="n">
        <v>0</v>
      </c>
      <c r="K546" t="n">
        <v>0</v>
      </c>
      <c r="L546" t="n">
        <v>0</v>
      </c>
      <c r="M546" t="n">
        <v>0</v>
      </c>
      <c r="N546" t="n">
        <v>0</v>
      </c>
      <c r="O546" t="n">
        <v>0</v>
      </c>
      <c r="P546" t="n">
        <v>0</v>
      </c>
      <c r="Q546" t="n">
        <v>0</v>
      </c>
      <c r="R546" s="2" t="inlineStr"/>
    </row>
    <row r="547" ht="15" customHeight="1">
      <c r="A547" t="inlineStr">
        <is>
          <t>A 30874-2025</t>
        </is>
      </c>
      <c r="B547" s="1" t="n">
        <v>45832.34430555555</v>
      </c>
      <c r="C547" s="1" t="n">
        <v>45892</v>
      </c>
      <c r="D547" t="inlineStr">
        <is>
          <t>VÄSTMANLANDS LÄN</t>
        </is>
      </c>
      <c r="E547" t="inlineStr">
        <is>
          <t>SALA</t>
        </is>
      </c>
      <c r="G547" t="n">
        <v>8.4</v>
      </c>
      <c r="H547" t="n">
        <v>0</v>
      </c>
      <c r="I547" t="n">
        <v>0</v>
      </c>
      <c r="J547" t="n">
        <v>0</v>
      </c>
      <c r="K547" t="n">
        <v>0</v>
      </c>
      <c r="L547" t="n">
        <v>0</v>
      </c>
      <c r="M547" t="n">
        <v>0</v>
      </c>
      <c r="N547" t="n">
        <v>0</v>
      </c>
      <c r="O547" t="n">
        <v>0</v>
      </c>
      <c r="P547" t="n">
        <v>0</v>
      </c>
      <c r="Q547" t="n">
        <v>0</v>
      </c>
      <c r="R547" s="2" t="inlineStr"/>
    </row>
    <row r="548" ht="15" customHeight="1">
      <c r="A548" t="inlineStr">
        <is>
          <t>A 35637-2022</t>
        </is>
      </c>
      <c r="B548" s="1" t="n">
        <v>44799.55194444444</v>
      </c>
      <c r="C548" s="1" t="n">
        <v>45892</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19304-2025</t>
        </is>
      </c>
      <c r="B549" s="1" t="n">
        <v>45769</v>
      </c>
      <c r="C549" s="1" t="n">
        <v>45892</v>
      </c>
      <c r="D549" t="inlineStr">
        <is>
          <t>VÄSTMANLANDS LÄN</t>
        </is>
      </c>
      <c r="E549" t="inlineStr">
        <is>
          <t>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27038-2023</t>
        </is>
      </c>
      <c r="B550" s="1" t="n">
        <v>45095</v>
      </c>
      <c r="C550" s="1" t="n">
        <v>45892</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31573-2025</t>
        </is>
      </c>
      <c r="B551" s="1" t="n">
        <v>45833</v>
      </c>
      <c r="C551" s="1" t="n">
        <v>45892</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31288-2025</t>
        </is>
      </c>
      <c r="B552" s="1" t="n">
        <v>45833</v>
      </c>
      <c r="C552" s="1" t="n">
        <v>45892</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31554-2025</t>
        </is>
      </c>
      <c r="B553" s="1" t="n">
        <v>45833</v>
      </c>
      <c r="C553" s="1" t="n">
        <v>45892</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23119-2022</t>
        </is>
      </c>
      <c r="B554" s="1" t="n">
        <v>44719.56697916667</v>
      </c>
      <c r="C554" s="1" t="n">
        <v>45892</v>
      </c>
      <c r="D554" t="inlineStr">
        <is>
          <t>VÄSTMANLANDS LÄN</t>
        </is>
      </c>
      <c r="E554" t="inlineStr">
        <is>
          <t>SALA</t>
        </is>
      </c>
      <c r="G554" t="n">
        <v>7</v>
      </c>
      <c r="H554" t="n">
        <v>0</v>
      </c>
      <c r="I554" t="n">
        <v>0</v>
      </c>
      <c r="J554" t="n">
        <v>0</v>
      </c>
      <c r="K554" t="n">
        <v>0</v>
      </c>
      <c r="L554" t="n">
        <v>0</v>
      </c>
      <c r="M554" t="n">
        <v>0</v>
      </c>
      <c r="N554" t="n">
        <v>0</v>
      </c>
      <c r="O554" t="n">
        <v>0</v>
      </c>
      <c r="P554" t="n">
        <v>0</v>
      </c>
      <c r="Q554" t="n">
        <v>0</v>
      </c>
      <c r="R554" s="2" t="inlineStr"/>
    </row>
    <row r="555" ht="15" customHeight="1">
      <c r="A555" t="inlineStr">
        <is>
          <t>A 30899-2025</t>
        </is>
      </c>
      <c r="B555" s="1" t="n">
        <v>45832.35767361111</v>
      </c>
      <c r="C555" s="1" t="n">
        <v>45892</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37017-2025</t>
        </is>
      </c>
      <c r="B556" s="1" t="n">
        <v>45874</v>
      </c>
      <c r="C556" s="1" t="n">
        <v>45892</v>
      </c>
      <c r="D556" t="inlineStr">
        <is>
          <t>VÄSTMANLANDS LÄN</t>
        </is>
      </c>
      <c r="E556" t="inlineStr">
        <is>
          <t>SALA</t>
        </is>
      </c>
      <c r="G556" t="n">
        <v>11.1</v>
      </c>
      <c r="H556" t="n">
        <v>0</v>
      </c>
      <c r="I556" t="n">
        <v>0</v>
      </c>
      <c r="J556" t="n">
        <v>0</v>
      </c>
      <c r="K556" t="n">
        <v>0</v>
      </c>
      <c r="L556" t="n">
        <v>0</v>
      </c>
      <c r="M556" t="n">
        <v>0</v>
      </c>
      <c r="N556" t="n">
        <v>0</v>
      </c>
      <c r="O556" t="n">
        <v>0</v>
      </c>
      <c r="P556" t="n">
        <v>0</v>
      </c>
      <c r="Q556" t="n">
        <v>0</v>
      </c>
      <c r="R556" s="2" t="inlineStr"/>
    </row>
    <row r="557" ht="15" customHeight="1">
      <c r="A557" t="inlineStr">
        <is>
          <t>A 23182-2022</t>
        </is>
      </c>
      <c r="B557" s="1" t="n">
        <v>44719.79707175926</v>
      </c>
      <c r="C557" s="1" t="n">
        <v>45892</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1196-2023</t>
        </is>
      </c>
      <c r="B558" s="1" t="n">
        <v>44935.82290509259</v>
      </c>
      <c r="C558" s="1" t="n">
        <v>45892</v>
      </c>
      <c r="D558" t="inlineStr">
        <is>
          <t>VÄSTMANLANDS LÄN</t>
        </is>
      </c>
      <c r="E558" t="inlineStr">
        <is>
          <t>SALA</t>
        </is>
      </c>
      <c r="G558" t="n">
        <v>4.1</v>
      </c>
      <c r="H558" t="n">
        <v>0</v>
      </c>
      <c r="I558" t="n">
        <v>0</v>
      </c>
      <c r="J558" t="n">
        <v>0</v>
      </c>
      <c r="K558" t="n">
        <v>0</v>
      </c>
      <c r="L558" t="n">
        <v>0</v>
      </c>
      <c r="M558" t="n">
        <v>0</v>
      </c>
      <c r="N558" t="n">
        <v>0</v>
      </c>
      <c r="O558" t="n">
        <v>0</v>
      </c>
      <c r="P558" t="n">
        <v>0</v>
      </c>
      <c r="Q558" t="n">
        <v>0</v>
      </c>
      <c r="R558" s="2" t="inlineStr"/>
    </row>
    <row r="559" ht="15" customHeight="1">
      <c r="A559" t="inlineStr">
        <is>
          <t>A 31065-2025</t>
        </is>
      </c>
      <c r="B559" s="1" t="n">
        <v>45832.57571759259</v>
      </c>
      <c r="C559" s="1" t="n">
        <v>45892</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31296-2025</t>
        </is>
      </c>
      <c r="B560" s="1" t="n">
        <v>45833.36765046296</v>
      </c>
      <c r="C560" s="1" t="n">
        <v>45892</v>
      </c>
      <c r="D560" t="inlineStr">
        <is>
          <t>VÄSTMANLANDS LÄN</t>
        </is>
      </c>
      <c r="E560" t="inlineStr">
        <is>
          <t>SALA</t>
        </is>
      </c>
      <c r="G560" t="n">
        <v>3.7</v>
      </c>
      <c r="H560" t="n">
        <v>0</v>
      </c>
      <c r="I560" t="n">
        <v>0</v>
      </c>
      <c r="J560" t="n">
        <v>0</v>
      </c>
      <c r="K560" t="n">
        <v>0</v>
      </c>
      <c r="L560" t="n">
        <v>0</v>
      </c>
      <c r="M560" t="n">
        <v>0</v>
      </c>
      <c r="N560" t="n">
        <v>0</v>
      </c>
      <c r="O560" t="n">
        <v>0</v>
      </c>
      <c r="P560" t="n">
        <v>0</v>
      </c>
      <c r="Q560" t="n">
        <v>0</v>
      </c>
      <c r="R560" s="2" t="inlineStr"/>
    </row>
    <row r="561" ht="15" customHeight="1">
      <c r="A561" t="inlineStr">
        <is>
          <t>A 31748-2025</t>
        </is>
      </c>
      <c r="B561" s="1" t="n">
        <v>45834</v>
      </c>
      <c r="C561" s="1" t="n">
        <v>45892</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31869-2025</t>
        </is>
      </c>
      <c r="B562" s="1" t="n">
        <v>45834.64555555556</v>
      </c>
      <c r="C562" s="1" t="n">
        <v>45892</v>
      </c>
      <c r="D562" t="inlineStr">
        <is>
          <t>VÄSTMANLANDS LÄN</t>
        </is>
      </c>
      <c r="E562" t="inlineStr">
        <is>
          <t>SALA</t>
        </is>
      </c>
      <c r="G562" t="n">
        <v>17.5</v>
      </c>
      <c r="H562" t="n">
        <v>0</v>
      </c>
      <c r="I562" t="n">
        <v>0</v>
      </c>
      <c r="J562" t="n">
        <v>0</v>
      </c>
      <c r="K562" t="n">
        <v>0</v>
      </c>
      <c r="L562" t="n">
        <v>0</v>
      </c>
      <c r="M562" t="n">
        <v>0</v>
      </c>
      <c r="N562" t="n">
        <v>0</v>
      </c>
      <c r="O562" t="n">
        <v>0</v>
      </c>
      <c r="P562" t="n">
        <v>0</v>
      </c>
      <c r="Q562" t="n">
        <v>0</v>
      </c>
      <c r="R562" s="2" t="inlineStr"/>
    </row>
    <row r="563" ht="15" customHeight="1">
      <c r="A563" t="inlineStr">
        <is>
          <t>A 52503-2024</t>
        </is>
      </c>
      <c r="B563" s="1" t="n">
        <v>45609.58806712963</v>
      </c>
      <c r="C563" s="1" t="n">
        <v>45892</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37253-2025</t>
        </is>
      </c>
      <c r="B564" s="1" t="n">
        <v>45876.42290509259</v>
      </c>
      <c r="C564" s="1" t="n">
        <v>45892</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31863-2025</t>
        </is>
      </c>
      <c r="B565" s="1" t="n">
        <v>45834.63303240741</v>
      </c>
      <c r="C565" s="1" t="n">
        <v>45892</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32210-2025</t>
        </is>
      </c>
      <c r="B566" s="1" t="n">
        <v>45835</v>
      </c>
      <c r="C566" s="1" t="n">
        <v>45892</v>
      </c>
      <c r="D566" t="inlineStr">
        <is>
          <t>VÄSTMANLANDS LÄN</t>
        </is>
      </c>
      <c r="E566" t="inlineStr">
        <is>
          <t>SALA</t>
        </is>
      </c>
      <c r="F566" t="inlineStr">
        <is>
          <t>Bergvik skog öst AB</t>
        </is>
      </c>
      <c r="G566" t="n">
        <v>1.5</v>
      </c>
      <c r="H566" t="n">
        <v>0</v>
      </c>
      <c r="I566" t="n">
        <v>0</v>
      </c>
      <c r="J566" t="n">
        <v>0</v>
      </c>
      <c r="K566" t="n">
        <v>0</v>
      </c>
      <c r="L566" t="n">
        <v>0</v>
      </c>
      <c r="M566" t="n">
        <v>0</v>
      </c>
      <c r="N566" t="n">
        <v>0</v>
      </c>
      <c r="O566" t="n">
        <v>0</v>
      </c>
      <c r="P566" t="n">
        <v>0</v>
      </c>
      <c r="Q566" t="n">
        <v>0</v>
      </c>
      <c r="R566" s="2" t="inlineStr"/>
    </row>
    <row r="567" ht="15" customHeight="1">
      <c r="A567" t="inlineStr">
        <is>
          <t>A 31859-2023</t>
        </is>
      </c>
      <c r="B567" s="1" t="n">
        <v>45118</v>
      </c>
      <c r="C567" s="1" t="n">
        <v>45892</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c r="U567">
        <f>HYPERLINK("https://klasma.github.io/Logging_1981/knärot/A 31859-2023 karta knärot.png", "A 31859-2023")</f>
        <v/>
      </c>
      <c r="V567">
        <f>HYPERLINK("https://klasma.github.io/Logging_1981/klagomål/A 31859-2023 FSC-klagomål.docx", "A 31859-2023")</f>
        <v/>
      </c>
      <c r="W567">
        <f>HYPERLINK("https://klasma.github.io/Logging_1981/klagomålsmail/A 31859-2023 FSC-klagomål mail.docx", "A 31859-2023")</f>
        <v/>
      </c>
      <c r="X567">
        <f>HYPERLINK("https://klasma.github.io/Logging_1981/tillsyn/A 31859-2023 tillsynsbegäran.docx", "A 31859-2023")</f>
        <v/>
      </c>
      <c r="Y567">
        <f>HYPERLINK("https://klasma.github.io/Logging_1981/tillsynsmail/A 31859-2023 tillsynsbegäran mail.docx", "A 31859-2023")</f>
        <v/>
      </c>
    </row>
    <row r="568" ht="15" customHeight="1">
      <c r="A568" t="inlineStr">
        <is>
          <t>A 7469-2025</t>
        </is>
      </c>
      <c r="B568" s="1" t="n">
        <v>45705</v>
      </c>
      <c r="C568" s="1" t="n">
        <v>45892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31610-2025</t>
        </is>
      </c>
      <c r="B569" s="1" t="n">
        <v>45833.78650462963</v>
      </c>
      <c r="C569" s="1" t="n">
        <v>45892</v>
      </c>
      <c r="D569" t="inlineStr">
        <is>
          <t>VÄSTMANLANDS LÄN</t>
        </is>
      </c>
      <c r="E569" t="inlineStr">
        <is>
          <t>SALA</t>
        </is>
      </c>
      <c r="G569" t="n">
        <v>8</v>
      </c>
      <c r="H569" t="n">
        <v>0</v>
      </c>
      <c r="I569" t="n">
        <v>0</v>
      </c>
      <c r="J569" t="n">
        <v>0</v>
      </c>
      <c r="K569" t="n">
        <v>0</v>
      </c>
      <c r="L569" t="n">
        <v>0</v>
      </c>
      <c r="M569" t="n">
        <v>0</v>
      </c>
      <c r="N569" t="n">
        <v>0</v>
      </c>
      <c r="O569" t="n">
        <v>0</v>
      </c>
      <c r="P569" t="n">
        <v>0</v>
      </c>
      <c r="Q569" t="n">
        <v>0</v>
      </c>
      <c r="R569" s="2" t="inlineStr"/>
    </row>
    <row r="570" ht="15" customHeight="1">
      <c r="A570" t="inlineStr">
        <is>
          <t>A 32201-2025</t>
        </is>
      </c>
      <c r="B570" s="1" t="n">
        <v>45835</v>
      </c>
      <c r="C570" s="1" t="n">
        <v>45892</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31612-2025</t>
        </is>
      </c>
      <c r="B571" s="1" t="n">
        <v>45833.80056712963</v>
      </c>
      <c r="C571" s="1" t="n">
        <v>45892</v>
      </c>
      <c r="D571" t="inlineStr">
        <is>
          <t>VÄSTMANLANDS LÄN</t>
        </is>
      </c>
      <c r="E571" t="inlineStr">
        <is>
          <t>SALA</t>
        </is>
      </c>
      <c r="G571" t="n">
        <v>6.3</v>
      </c>
      <c r="H571" t="n">
        <v>0</v>
      </c>
      <c r="I571" t="n">
        <v>0</v>
      </c>
      <c r="J571" t="n">
        <v>0</v>
      </c>
      <c r="K571" t="n">
        <v>0</v>
      </c>
      <c r="L571" t="n">
        <v>0</v>
      </c>
      <c r="M571" t="n">
        <v>0</v>
      </c>
      <c r="N571" t="n">
        <v>0</v>
      </c>
      <c r="O571" t="n">
        <v>0</v>
      </c>
      <c r="P571" t="n">
        <v>0</v>
      </c>
      <c r="Q571" t="n">
        <v>0</v>
      </c>
      <c r="R571" s="2" t="inlineStr"/>
    </row>
    <row r="572" ht="15" customHeight="1">
      <c r="A572" t="inlineStr">
        <is>
          <t>A 60034-2024</t>
        </is>
      </c>
      <c r="B572" s="1" t="n">
        <v>45642.46261574074</v>
      </c>
      <c r="C572" s="1" t="n">
        <v>45892</v>
      </c>
      <c r="D572" t="inlineStr">
        <is>
          <t>VÄSTMANLANDS LÄN</t>
        </is>
      </c>
      <c r="E572" t="inlineStr">
        <is>
          <t>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7953-2024</t>
        </is>
      </c>
      <c r="B573" s="1" t="n">
        <v>45350</v>
      </c>
      <c r="C573" s="1" t="n">
        <v>45892</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30028-2024</t>
        </is>
      </c>
      <c r="B574" s="1" t="n">
        <v>45485</v>
      </c>
      <c r="C574" s="1" t="n">
        <v>45892</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7950-2025</t>
        </is>
      </c>
      <c r="B575" s="1" t="n">
        <v>45707.41799768519</v>
      </c>
      <c r="C575" s="1" t="n">
        <v>45892</v>
      </c>
      <c r="D575" t="inlineStr">
        <is>
          <t>VÄSTMANLANDS LÄN</t>
        </is>
      </c>
      <c r="E575" t="inlineStr">
        <is>
          <t>SALA</t>
        </is>
      </c>
      <c r="G575" t="n">
        <v>3.2</v>
      </c>
      <c r="H575" t="n">
        <v>0</v>
      </c>
      <c r="I575" t="n">
        <v>0</v>
      </c>
      <c r="J575" t="n">
        <v>0</v>
      </c>
      <c r="K575" t="n">
        <v>0</v>
      </c>
      <c r="L575" t="n">
        <v>0</v>
      </c>
      <c r="M575" t="n">
        <v>0</v>
      </c>
      <c r="N575" t="n">
        <v>0</v>
      </c>
      <c r="O575" t="n">
        <v>0</v>
      </c>
      <c r="P575" t="n">
        <v>0</v>
      </c>
      <c r="Q575" t="n">
        <v>0</v>
      </c>
      <c r="R575" s="2" t="inlineStr"/>
    </row>
    <row r="576" ht="15" customHeight="1">
      <c r="A576" t="inlineStr">
        <is>
          <t>A 27657-2023</t>
        </is>
      </c>
      <c r="B576" s="1" t="n">
        <v>45097.76631944445</v>
      </c>
      <c r="C576" s="1" t="n">
        <v>45892</v>
      </c>
      <c r="D576" t="inlineStr">
        <is>
          <t>VÄSTMANLANDS LÄN</t>
        </is>
      </c>
      <c r="E576" t="inlineStr">
        <is>
          <t>SALA</t>
        </is>
      </c>
      <c r="G576" t="n">
        <v>0.1</v>
      </c>
      <c r="H576" t="n">
        <v>0</v>
      </c>
      <c r="I576" t="n">
        <v>0</v>
      </c>
      <c r="J576" t="n">
        <v>0</v>
      </c>
      <c r="K576" t="n">
        <v>0</v>
      </c>
      <c r="L576" t="n">
        <v>0</v>
      </c>
      <c r="M576" t="n">
        <v>0</v>
      </c>
      <c r="N576" t="n">
        <v>0</v>
      </c>
      <c r="O576" t="n">
        <v>0</v>
      </c>
      <c r="P576" t="n">
        <v>0</v>
      </c>
      <c r="Q576" t="n">
        <v>0</v>
      </c>
      <c r="R576" s="2" t="inlineStr"/>
    </row>
    <row r="577" ht="15" customHeight="1">
      <c r="A577" t="inlineStr">
        <is>
          <t>A 34867-2023</t>
        </is>
      </c>
      <c r="B577" s="1" t="n">
        <v>45142.33481481481</v>
      </c>
      <c r="C577" s="1" t="n">
        <v>45892</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13855-2023</t>
        </is>
      </c>
      <c r="B578" s="1" t="n">
        <v>45007</v>
      </c>
      <c r="C578" s="1" t="n">
        <v>45892</v>
      </c>
      <c r="D578" t="inlineStr">
        <is>
          <t>VÄSTMANLANDS LÄN</t>
        </is>
      </c>
      <c r="E578" t="inlineStr">
        <is>
          <t>SALA</t>
        </is>
      </c>
      <c r="G578" t="n">
        <v>2.9</v>
      </c>
      <c r="H578" t="n">
        <v>0</v>
      </c>
      <c r="I578" t="n">
        <v>0</v>
      </c>
      <c r="J578" t="n">
        <v>0</v>
      </c>
      <c r="K578" t="n">
        <v>0</v>
      </c>
      <c r="L578" t="n">
        <v>0</v>
      </c>
      <c r="M578" t="n">
        <v>0</v>
      </c>
      <c r="N578" t="n">
        <v>0</v>
      </c>
      <c r="O578" t="n">
        <v>0</v>
      </c>
      <c r="P578" t="n">
        <v>0</v>
      </c>
      <c r="Q578" t="n">
        <v>0</v>
      </c>
      <c r="R578" s="2" t="inlineStr"/>
    </row>
    <row r="579" ht="15" customHeight="1">
      <c r="A579" t="inlineStr">
        <is>
          <t>A 33309-2022</t>
        </is>
      </c>
      <c r="B579" s="1" t="n">
        <v>44788.40986111111</v>
      </c>
      <c r="C579" s="1" t="n">
        <v>45892</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11631-2023</t>
        </is>
      </c>
      <c r="B580" s="1" t="n">
        <v>44994.44001157407</v>
      </c>
      <c r="C580" s="1" t="n">
        <v>45892</v>
      </c>
      <c r="D580" t="inlineStr">
        <is>
          <t>VÄSTMANLANDS LÄN</t>
        </is>
      </c>
      <c r="E580" t="inlineStr">
        <is>
          <t>SALA</t>
        </is>
      </c>
      <c r="F580" t="inlineStr">
        <is>
          <t>Kommuner</t>
        </is>
      </c>
      <c r="G580" t="n">
        <v>1.9</v>
      </c>
      <c r="H580" t="n">
        <v>0</v>
      </c>
      <c r="I580" t="n">
        <v>0</v>
      </c>
      <c r="J580" t="n">
        <v>0</v>
      </c>
      <c r="K580" t="n">
        <v>0</v>
      </c>
      <c r="L580" t="n">
        <v>0</v>
      </c>
      <c r="M580" t="n">
        <v>0</v>
      </c>
      <c r="N580" t="n">
        <v>0</v>
      </c>
      <c r="O580" t="n">
        <v>0</v>
      </c>
      <c r="P580" t="n">
        <v>0</v>
      </c>
      <c r="Q580" t="n">
        <v>0</v>
      </c>
      <c r="R580" s="2" t="inlineStr"/>
    </row>
    <row r="581" ht="15" customHeight="1">
      <c r="A581" t="inlineStr">
        <is>
          <t>A 47909-2022</t>
        </is>
      </c>
      <c r="B581" s="1" t="n">
        <v>44855</v>
      </c>
      <c r="C581" s="1" t="n">
        <v>45892</v>
      </c>
      <c r="D581" t="inlineStr">
        <is>
          <t>VÄSTMANLANDS LÄN</t>
        </is>
      </c>
      <c r="E581" t="inlineStr">
        <is>
          <t>SALA</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3546-2025</t>
        </is>
      </c>
      <c r="B582" s="1" t="n">
        <v>45680</v>
      </c>
      <c r="C582" s="1" t="n">
        <v>45892</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31860-2025</t>
        </is>
      </c>
      <c r="B583" s="1" t="n">
        <v>45834</v>
      </c>
      <c r="C583" s="1" t="n">
        <v>45892</v>
      </c>
      <c r="D583" t="inlineStr">
        <is>
          <t>VÄSTMANLANDS LÄN</t>
        </is>
      </c>
      <c r="E583" t="inlineStr">
        <is>
          <t>SALA</t>
        </is>
      </c>
      <c r="G583" t="n">
        <v>7.4</v>
      </c>
      <c r="H583" t="n">
        <v>0</v>
      </c>
      <c r="I583" t="n">
        <v>0</v>
      </c>
      <c r="J583" t="n">
        <v>0</v>
      </c>
      <c r="K583" t="n">
        <v>0</v>
      </c>
      <c r="L583" t="n">
        <v>0</v>
      </c>
      <c r="M583" t="n">
        <v>0</v>
      </c>
      <c r="N583" t="n">
        <v>0</v>
      </c>
      <c r="O583" t="n">
        <v>0</v>
      </c>
      <c r="P583" t="n">
        <v>0</v>
      </c>
      <c r="Q583" t="n">
        <v>0</v>
      </c>
      <c r="R583" s="2" t="inlineStr"/>
    </row>
    <row r="584" ht="15" customHeight="1">
      <c r="A584" t="inlineStr">
        <is>
          <t>A 31864-2025</t>
        </is>
      </c>
      <c r="B584" s="1" t="n">
        <v>45834.63819444444</v>
      </c>
      <c r="C584" s="1" t="n">
        <v>45892</v>
      </c>
      <c r="D584" t="inlineStr">
        <is>
          <t>VÄSTMANLANDS LÄN</t>
        </is>
      </c>
      <c r="E584" t="inlineStr">
        <is>
          <t>SALA</t>
        </is>
      </c>
      <c r="G584" t="n">
        <v>6.3</v>
      </c>
      <c r="H584" t="n">
        <v>0</v>
      </c>
      <c r="I584" t="n">
        <v>0</v>
      </c>
      <c r="J584" t="n">
        <v>0</v>
      </c>
      <c r="K584" t="n">
        <v>0</v>
      </c>
      <c r="L584" t="n">
        <v>0</v>
      </c>
      <c r="M584" t="n">
        <v>0</v>
      </c>
      <c r="N584" t="n">
        <v>0</v>
      </c>
      <c r="O584" t="n">
        <v>0</v>
      </c>
      <c r="P584" t="n">
        <v>0</v>
      </c>
      <c r="Q584" t="n">
        <v>0</v>
      </c>
      <c r="R584" s="2" t="inlineStr"/>
    </row>
    <row r="585" ht="15" customHeight="1">
      <c r="A585" t="inlineStr">
        <is>
          <t>A 32207-2025</t>
        </is>
      </c>
      <c r="B585" s="1" t="n">
        <v>45835</v>
      </c>
      <c r="C585" s="1" t="n">
        <v>45892</v>
      </c>
      <c r="D585" t="inlineStr">
        <is>
          <t>VÄSTMANLANDS LÄN</t>
        </is>
      </c>
      <c r="E585" t="inlineStr">
        <is>
          <t>SALA</t>
        </is>
      </c>
      <c r="F585" t="inlineStr">
        <is>
          <t>Bergvik skog öst AB</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31762-2025</t>
        </is>
      </c>
      <c r="B586" s="1" t="n">
        <v>45834.49288194445</v>
      </c>
      <c r="C586" s="1" t="n">
        <v>45892</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31771-2025</t>
        </is>
      </c>
      <c r="B587" s="1" t="n">
        <v>45834.50910879629</v>
      </c>
      <c r="C587" s="1" t="n">
        <v>45892</v>
      </c>
      <c r="D587" t="inlineStr">
        <is>
          <t>VÄSTMANLANDS LÄN</t>
        </is>
      </c>
      <c r="E587" t="inlineStr">
        <is>
          <t>SALA</t>
        </is>
      </c>
      <c r="G587" t="n">
        <v>5.1</v>
      </c>
      <c r="H587" t="n">
        <v>0</v>
      </c>
      <c r="I587" t="n">
        <v>0</v>
      </c>
      <c r="J587" t="n">
        <v>0</v>
      </c>
      <c r="K587" t="n">
        <v>0</v>
      </c>
      <c r="L587" t="n">
        <v>0</v>
      </c>
      <c r="M587" t="n">
        <v>0</v>
      </c>
      <c r="N587" t="n">
        <v>0</v>
      </c>
      <c r="O587" t="n">
        <v>0</v>
      </c>
      <c r="P587" t="n">
        <v>0</v>
      </c>
      <c r="Q587" t="n">
        <v>0</v>
      </c>
      <c r="R587" s="2" t="inlineStr"/>
    </row>
    <row r="588" ht="15" customHeight="1">
      <c r="A588" t="inlineStr">
        <is>
          <t>A 37263-2025</t>
        </is>
      </c>
      <c r="B588" s="1" t="n">
        <v>45876.4584837963</v>
      </c>
      <c r="C588" s="1" t="n">
        <v>45892</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32205-2025</t>
        </is>
      </c>
      <c r="B589" s="1" t="n">
        <v>45835</v>
      </c>
      <c r="C589" s="1" t="n">
        <v>45892</v>
      </c>
      <c r="D589" t="inlineStr">
        <is>
          <t>VÄSTMANLANDS LÄN</t>
        </is>
      </c>
      <c r="E589" t="inlineStr">
        <is>
          <t>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37246-2025</t>
        </is>
      </c>
      <c r="B590" s="1" t="n">
        <v>45876.39435185185</v>
      </c>
      <c r="C590" s="1" t="n">
        <v>45892</v>
      </c>
      <c r="D590" t="inlineStr">
        <is>
          <t>VÄSTMANLANDS LÄN</t>
        </is>
      </c>
      <c r="E590" t="inlineStr">
        <is>
          <t>SALA</t>
        </is>
      </c>
      <c r="G590" t="n">
        <v>2.3</v>
      </c>
      <c r="H590" t="n">
        <v>0</v>
      </c>
      <c r="I590" t="n">
        <v>0</v>
      </c>
      <c r="J590" t="n">
        <v>0</v>
      </c>
      <c r="K590" t="n">
        <v>0</v>
      </c>
      <c r="L590" t="n">
        <v>0</v>
      </c>
      <c r="M590" t="n">
        <v>0</v>
      </c>
      <c r="N590" t="n">
        <v>0</v>
      </c>
      <c r="O590" t="n">
        <v>0</v>
      </c>
      <c r="P590" t="n">
        <v>0</v>
      </c>
      <c r="Q590" t="n">
        <v>0</v>
      </c>
      <c r="R590" s="2" t="inlineStr"/>
    </row>
    <row r="591" ht="15" customHeight="1">
      <c r="A591" t="inlineStr">
        <is>
          <t>A 31887-2025</t>
        </is>
      </c>
      <c r="B591" s="1" t="n">
        <v>45834.6608449074</v>
      </c>
      <c r="C591" s="1" t="n">
        <v>45892</v>
      </c>
      <c r="D591" t="inlineStr">
        <is>
          <t>VÄSTMANLANDS LÄN</t>
        </is>
      </c>
      <c r="E591" t="inlineStr">
        <is>
          <t>SALA</t>
        </is>
      </c>
      <c r="G591" t="n">
        <v>7</v>
      </c>
      <c r="H591" t="n">
        <v>0</v>
      </c>
      <c r="I591" t="n">
        <v>0</v>
      </c>
      <c r="J591" t="n">
        <v>0</v>
      </c>
      <c r="K591" t="n">
        <v>0</v>
      </c>
      <c r="L591" t="n">
        <v>0</v>
      </c>
      <c r="M591" t="n">
        <v>0</v>
      </c>
      <c r="N591" t="n">
        <v>0</v>
      </c>
      <c r="O591" t="n">
        <v>0</v>
      </c>
      <c r="P591" t="n">
        <v>0</v>
      </c>
      <c r="Q591" t="n">
        <v>0</v>
      </c>
      <c r="R591" s="2" t="inlineStr"/>
    </row>
    <row r="592" ht="15" customHeight="1">
      <c r="A592" t="inlineStr">
        <is>
          <t>A 32286-2025</t>
        </is>
      </c>
      <c r="B592" s="1" t="n">
        <v>45835</v>
      </c>
      <c r="C592" s="1" t="n">
        <v>45892</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8775-2024</t>
        </is>
      </c>
      <c r="B593" s="1" t="n">
        <v>45356</v>
      </c>
      <c r="C593" s="1" t="n">
        <v>45892</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48710-2024</t>
        </is>
      </c>
      <c r="B594" s="1" t="n">
        <v>45593.53636574074</v>
      </c>
      <c r="C594" s="1" t="n">
        <v>45892</v>
      </c>
      <c r="D594" t="inlineStr">
        <is>
          <t>VÄSTMANLANDS LÄN</t>
        </is>
      </c>
      <c r="E594" t="inlineStr">
        <is>
          <t>SALA</t>
        </is>
      </c>
      <c r="G594" t="n">
        <v>6.5</v>
      </c>
      <c r="H594" t="n">
        <v>0</v>
      </c>
      <c r="I594" t="n">
        <v>0</v>
      </c>
      <c r="J594" t="n">
        <v>0</v>
      </c>
      <c r="K594" t="n">
        <v>0</v>
      </c>
      <c r="L594" t="n">
        <v>0</v>
      </c>
      <c r="M594" t="n">
        <v>0</v>
      </c>
      <c r="N594" t="n">
        <v>0</v>
      </c>
      <c r="O594" t="n">
        <v>0</v>
      </c>
      <c r="P594" t="n">
        <v>0</v>
      </c>
      <c r="Q594" t="n">
        <v>0</v>
      </c>
      <c r="R594" s="2" t="inlineStr"/>
    </row>
    <row r="595" ht="15" customHeight="1">
      <c r="A595" t="inlineStr">
        <is>
          <t>A 15272-2025</t>
        </is>
      </c>
      <c r="B595" s="1" t="n">
        <v>45744</v>
      </c>
      <c r="C595" s="1" t="n">
        <v>45892</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16404-2022</t>
        </is>
      </c>
      <c r="B596" s="1" t="n">
        <v>44671</v>
      </c>
      <c r="C596" s="1" t="n">
        <v>45892</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11183-2023</t>
        </is>
      </c>
      <c r="B597" s="1" t="n">
        <v>44992.57782407408</v>
      </c>
      <c r="C597" s="1" t="n">
        <v>45892</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11190-2023</t>
        </is>
      </c>
      <c r="B598" s="1" t="n">
        <v>44992</v>
      </c>
      <c r="C598" s="1" t="n">
        <v>45892</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37590-2025</t>
        </is>
      </c>
      <c r="B599" s="1" t="n">
        <v>45880.41138888889</v>
      </c>
      <c r="C599" s="1" t="n">
        <v>45892</v>
      </c>
      <c r="D599" t="inlineStr">
        <is>
          <t>VÄSTMANLANDS LÄN</t>
        </is>
      </c>
      <c r="E599" t="inlineStr">
        <is>
          <t>SALA</t>
        </is>
      </c>
      <c r="G599" t="n">
        <v>2.2</v>
      </c>
      <c r="H599" t="n">
        <v>0</v>
      </c>
      <c r="I599" t="n">
        <v>0</v>
      </c>
      <c r="J599" t="n">
        <v>0</v>
      </c>
      <c r="K599" t="n">
        <v>0</v>
      </c>
      <c r="L599" t="n">
        <v>0</v>
      </c>
      <c r="M599" t="n">
        <v>0</v>
      </c>
      <c r="N599" t="n">
        <v>0</v>
      </c>
      <c r="O599" t="n">
        <v>0</v>
      </c>
      <c r="P599" t="n">
        <v>0</v>
      </c>
      <c r="Q599" t="n">
        <v>0</v>
      </c>
      <c r="R599" s="2" t="inlineStr"/>
    </row>
    <row r="600" ht="15" customHeight="1">
      <c r="A600" t="inlineStr">
        <is>
          <t>A 37593-2025</t>
        </is>
      </c>
      <c r="B600" s="1" t="n">
        <v>45880.41325231481</v>
      </c>
      <c r="C600" s="1" t="n">
        <v>45892</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50818-2020</t>
        </is>
      </c>
      <c r="B601" s="1" t="n">
        <v>44111</v>
      </c>
      <c r="C601" s="1" t="n">
        <v>45892</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53838-2022</t>
        </is>
      </c>
      <c r="B602" s="1" t="n">
        <v>44880.59363425926</v>
      </c>
      <c r="C602" s="1" t="n">
        <v>45892</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6088-2021</t>
        </is>
      </c>
      <c r="B603" s="1" t="n">
        <v>44232</v>
      </c>
      <c r="C603" s="1" t="n">
        <v>45892</v>
      </c>
      <c r="D603" t="inlineStr">
        <is>
          <t>VÄSTMANLANDS LÄN</t>
        </is>
      </c>
      <c r="E603" t="inlineStr">
        <is>
          <t>SALA</t>
        </is>
      </c>
      <c r="G603" t="n">
        <v>0.2</v>
      </c>
      <c r="H603" t="n">
        <v>0</v>
      </c>
      <c r="I603" t="n">
        <v>0</v>
      </c>
      <c r="J603" t="n">
        <v>0</v>
      </c>
      <c r="K603" t="n">
        <v>0</v>
      </c>
      <c r="L603" t="n">
        <v>0</v>
      </c>
      <c r="M603" t="n">
        <v>0</v>
      </c>
      <c r="N603" t="n">
        <v>0</v>
      </c>
      <c r="O603" t="n">
        <v>0</v>
      </c>
      <c r="P603" t="n">
        <v>0</v>
      </c>
      <c r="Q603" t="n">
        <v>0</v>
      </c>
      <c r="R603" s="2" t="inlineStr"/>
    </row>
    <row r="604" ht="15" customHeight="1">
      <c r="A604" t="inlineStr">
        <is>
          <t>A 24248-2023</t>
        </is>
      </c>
      <c r="B604" s="1" t="n">
        <v>45079</v>
      </c>
      <c r="C604" s="1" t="n">
        <v>45892</v>
      </c>
      <c r="D604" t="inlineStr">
        <is>
          <t>VÄSTMANLANDS LÄN</t>
        </is>
      </c>
      <c r="E604" t="inlineStr">
        <is>
          <t>SALA</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45892</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53166-2024</t>
        </is>
      </c>
      <c r="B606" s="1" t="n">
        <v>45611</v>
      </c>
      <c r="C606" s="1" t="n">
        <v>45892</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28827-2022</t>
        </is>
      </c>
      <c r="B607" s="1" t="n">
        <v>44749.45561342593</v>
      </c>
      <c r="C607" s="1" t="n">
        <v>45892</v>
      </c>
      <c r="D607" t="inlineStr">
        <is>
          <t>VÄSTMANLANDS LÄN</t>
        </is>
      </c>
      <c r="E607" t="inlineStr">
        <is>
          <t>SALA</t>
        </is>
      </c>
      <c r="F607" t="inlineStr">
        <is>
          <t>Kommuner</t>
        </is>
      </c>
      <c r="G607" t="n">
        <v>11.9</v>
      </c>
      <c r="H607" t="n">
        <v>0</v>
      </c>
      <c r="I607" t="n">
        <v>0</v>
      </c>
      <c r="J607" t="n">
        <v>0</v>
      </c>
      <c r="K607" t="n">
        <v>0</v>
      </c>
      <c r="L607" t="n">
        <v>0</v>
      </c>
      <c r="M607" t="n">
        <v>0</v>
      </c>
      <c r="N607" t="n">
        <v>0</v>
      </c>
      <c r="O607" t="n">
        <v>0</v>
      </c>
      <c r="P607" t="n">
        <v>0</v>
      </c>
      <c r="Q607" t="n">
        <v>0</v>
      </c>
      <c r="R607" s="2" t="inlineStr"/>
    </row>
    <row r="608" ht="15" customHeight="1">
      <c r="A608" t="inlineStr">
        <is>
          <t>A 17866-2025</t>
        </is>
      </c>
      <c r="B608" s="1" t="n">
        <v>45758</v>
      </c>
      <c r="C608" s="1" t="n">
        <v>45892</v>
      </c>
      <c r="D608" t="inlineStr">
        <is>
          <t>VÄSTMANLANDS LÄN</t>
        </is>
      </c>
      <c r="E608" t="inlineStr">
        <is>
          <t>SALA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54836-2024</t>
        </is>
      </c>
      <c r="B609" s="1" t="n">
        <v>45618</v>
      </c>
      <c r="C609" s="1" t="n">
        <v>45892</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64729-2023</t>
        </is>
      </c>
      <c r="B610" s="1" t="n">
        <v>45281</v>
      </c>
      <c r="C610" s="1" t="n">
        <v>45892</v>
      </c>
      <c r="D610" t="inlineStr">
        <is>
          <t>VÄSTMANLANDS LÄN</t>
        </is>
      </c>
      <c r="E610" t="inlineStr">
        <is>
          <t>SALA</t>
        </is>
      </c>
      <c r="G610" t="n">
        <v>1.8</v>
      </c>
      <c r="H610" t="n">
        <v>0</v>
      </c>
      <c r="I610" t="n">
        <v>0</v>
      </c>
      <c r="J610" t="n">
        <v>0</v>
      </c>
      <c r="K610" t="n">
        <v>0</v>
      </c>
      <c r="L610" t="n">
        <v>0</v>
      </c>
      <c r="M610" t="n">
        <v>0</v>
      </c>
      <c r="N610" t="n">
        <v>0</v>
      </c>
      <c r="O610" t="n">
        <v>0</v>
      </c>
      <c r="P610" t="n">
        <v>0</v>
      </c>
      <c r="Q610" t="n">
        <v>0</v>
      </c>
      <c r="R610" s="2" t="inlineStr"/>
    </row>
    <row r="611" ht="15" customHeight="1">
      <c r="A611" t="inlineStr">
        <is>
          <t>A 10559-2024</t>
        </is>
      </c>
      <c r="B611" s="1" t="n">
        <v>45366</v>
      </c>
      <c r="C611" s="1" t="n">
        <v>45892</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10585-2022</t>
        </is>
      </c>
      <c r="B612" s="1" t="n">
        <v>44624</v>
      </c>
      <c r="C612" s="1" t="n">
        <v>45892</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40214-2023</t>
        </is>
      </c>
      <c r="B613" s="1" t="n">
        <v>45169.45173611111</v>
      </c>
      <c r="C613" s="1" t="n">
        <v>45892</v>
      </c>
      <c r="D613" t="inlineStr">
        <is>
          <t>VÄSTMANLANDS LÄN</t>
        </is>
      </c>
      <c r="E613" t="inlineStr">
        <is>
          <t>SALA</t>
        </is>
      </c>
      <c r="G613" t="n">
        <v>5.5</v>
      </c>
      <c r="H613" t="n">
        <v>0</v>
      </c>
      <c r="I613" t="n">
        <v>0</v>
      </c>
      <c r="J613" t="n">
        <v>0</v>
      </c>
      <c r="K613" t="n">
        <v>0</v>
      </c>
      <c r="L613" t="n">
        <v>0</v>
      </c>
      <c r="M613" t="n">
        <v>0</v>
      </c>
      <c r="N613" t="n">
        <v>0</v>
      </c>
      <c r="O613" t="n">
        <v>0</v>
      </c>
      <c r="P613" t="n">
        <v>0</v>
      </c>
      <c r="Q613" t="n">
        <v>0</v>
      </c>
      <c r="R613" s="2" t="inlineStr"/>
    </row>
    <row r="614" ht="15" customHeight="1">
      <c r="A614" t="inlineStr">
        <is>
          <t>A 22523-2023</t>
        </is>
      </c>
      <c r="B614" s="1" t="n">
        <v>45069</v>
      </c>
      <c r="C614" s="1" t="n">
        <v>45892</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9856-2022</t>
        </is>
      </c>
      <c r="B615" s="1" t="n">
        <v>44620</v>
      </c>
      <c r="C615" s="1" t="n">
        <v>45892</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31609-2024</t>
        </is>
      </c>
      <c r="B616" s="1" t="n">
        <v>45506</v>
      </c>
      <c r="C616" s="1" t="n">
        <v>45892</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41485-2020</t>
        </is>
      </c>
      <c r="B617" s="1" t="n">
        <v>44074</v>
      </c>
      <c r="C617" s="1" t="n">
        <v>45892</v>
      </c>
      <c r="D617" t="inlineStr">
        <is>
          <t>VÄSTMANLANDS LÄN</t>
        </is>
      </c>
      <c r="E617" t="inlineStr">
        <is>
          <t>SALA</t>
        </is>
      </c>
      <c r="G617" t="n">
        <v>4.7</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45892</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56057-2023</t>
        </is>
      </c>
      <c r="B619" s="1" t="n">
        <v>45233</v>
      </c>
      <c r="C619" s="1" t="n">
        <v>45892</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41493-2020</t>
        </is>
      </c>
      <c r="B620" s="1" t="n">
        <v>44074</v>
      </c>
      <c r="C620" s="1" t="n">
        <v>45892</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38294-2025</t>
        </is>
      </c>
      <c r="B621" s="1" t="n">
        <v>45883.44854166666</v>
      </c>
      <c r="C621" s="1" t="n">
        <v>45892</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23374-2023</t>
        </is>
      </c>
      <c r="B622" s="1" t="n">
        <v>45076.4399537037</v>
      </c>
      <c r="C622" s="1" t="n">
        <v>45892</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6134-2024</t>
        </is>
      </c>
      <c r="B623" s="1" t="n">
        <v>45337</v>
      </c>
      <c r="C623" s="1" t="n">
        <v>45892</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48117-2024</t>
        </is>
      </c>
      <c r="B624" s="1" t="n">
        <v>45589</v>
      </c>
      <c r="C624" s="1" t="n">
        <v>45892</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62635-2022</t>
        </is>
      </c>
      <c r="B625" s="1" t="n">
        <v>44917</v>
      </c>
      <c r="C625" s="1" t="n">
        <v>45892</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44957.72496527778</v>
      </c>
      <c r="C626" s="1" t="n">
        <v>45892</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39714-2023</t>
        </is>
      </c>
      <c r="B627" s="1" t="n">
        <v>45167.62133101852</v>
      </c>
      <c r="C627" s="1" t="n">
        <v>45892</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38574-2025</t>
        </is>
      </c>
      <c r="B628" s="1" t="n">
        <v>45884.46390046296</v>
      </c>
      <c r="C628" s="1" t="n">
        <v>45892</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42984-2023</t>
        </is>
      </c>
      <c r="B629" s="1" t="n">
        <v>45179</v>
      </c>
      <c r="C629" s="1" t="n">
        <v>45892</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31082-2021</t>
        </is>
      </c>
      <c r="B630" s="1" t="n">
        <v>44368</v>
      </c>
      <c r="C630" s="1" t="n">
        <v>45892</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38636-2024</t>
        </is>
      </c>
      <c r="B631" s="1" t="n">
        <v>45546</v>
      </c>
      <c r="C631" s="1" t="n">
        <v>45892</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31470-2021</t>
        </is>
      </c>
      <c r="B632" s="1" t="n">
        <v>44369</v>
      </c>
      <c r="C632" s="1" t="n">
        <v>45892</v>
      </c>
      <c r="D632" t="inlineStr">
        <is>
          <t>VÄSTMANLANDS LÄN</t>
        </is>
      </c>
      <c r="E632" t="inlineStr">
        <is>
          <t>SALA</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56535-2022</t>
        </is>
      </c>
      <c r="B633" s="1" t="n">
        <v>44893.47173611111</v>
      </c>
      <c r="C633" s="1" t="n">
        <v>45892</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24175-2024</t>
        </is>
      </c>
      <c r="B634" s="1" t="n">
        <v>45456</v>
      </c>
      <c r="C634" s="1" t="n">
        <v>45892</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34069-2025</t>
        </is>
      </c>
      <c r="B635" s="1" t="n">
        <v>45845.43560185185</v>
      </c>
      <c r="C635" s="1" t="n">
        <v>45892</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c r="U635">
        <f>HYPERLINK("https://klasma.github.io/Logging_1981/knärot/A 34069-2025 karta knärot.png", "A 34069-2025")</f>
        <v/>
      </c>
      <c r="V635">
        <f>HYPERLINK("https://klasma.github.io/Logging_1981/klagomål/A 34069-2025 FSC-klagomål.docx", "A 34069-2025")</f>
        <v/>
      </c>
      <c r="W635">
        <f>HYPERLINK("https://klasma.github.io/Logging_1981/klagomålsmail/A 34069-2025 FSC-klagomål mail.docx", "A 34069-2025")</f>
        <v/>
      </c>
      <c r="X635">
        <f>HYPERLINK("https://klasma.github.io/Logging_1981/tillsyn/A 34069-2025 tillsynsbegäran.docx", "A 34069-2025")</f>
        <v/>
      </c>
      <c r="Y635">
        <f>HYPERLINK("https://klasma.github.io/Logging_1981/tillsynsmail/A 34069-2025 tillsynsbegäran mail.docx", "A 34069-2025")</f>
        <v/>
      </c>
    </row>
    <row r="636" ht="15" customHeight="1">
      <c r="A636" t="inlineStr">
        <is>
          <t>A 28328-2023</t>
        </is>
      </c>
      <c r="B636" s="1" t="n">
        <v>45099.71063657408</v>
      </c>
      <c r="C636" s="1" t="n">
        <v>45892</v>
      </c>
      <c r="D636" t="inlineStr">
        <is>
          <t>VÄSTMANLANDS LÄN</t>
        </is>
      </c>
      <c r="E636" t="inlineStr">
        <is>
          <t>SALA</t>
        </is>
      </c>
      <c r="G636" t="n">
        <v>1.8</v>
      </c>
      <c r="H636" t="n">
        <v>0</v>
      </c>
      <c r="I636" t="n">
        <v>0</v>
      </c>
      <c r="J636" t="n">
        <v>0</v>
      </c>
      <c r="K636" t="n">
        <v>0</v>
      </c>
      <c r="L636" t="n">
        <v>0</v>
      </c>
      <c r="M636" t="n">
        <v>0</v>
      </c>
      <c r="N636" t="n">
        <v>0</v>
      </c>
      <c r="O636" t="n">
        <v>0</v>
      </c>
      <c r="P636" t="n">
        <v>0</v>
      </c>
      <c r="Q636" t="n">
        <v>0</v>
      </c>
      <c r="R636" s="2" t="inlineStr"/>
    </row>
    <row r="637" ht="15" customHeight="1">
      <c r="A637" t="inlineStr">
        <is>
          <t>A 60550-2024</t>
        </is>
      </c>
      <c r="B637" s="1" t="n">
        <v>45643</v>
      </c>
      <c r="C637" s="1" t="n">
        <v>45892</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922-2025</t>
        </is>
      </c>
      <c r="B638" s="1" t="n">
        <v>45665.80069444444</v>
      </c>
      <c r="C638" s="1" t="n">
        <v>45892</v>
      </c>
      <c r="D638" t="inlineStr">
        <is>
          <t>VÄSTMANLANDS LÄN</t>
        </is>
      </c>
      <c r="E638" t="inlineStr">
        <is>
          <t>SALA</t>
        </is>
      </c>
      <c r="G638" t="n">
        <v>6.2</v>
      </c>
      <c r="H638" t="n">
        <v>0</v>
      </c>
      <c r="I638" t="n">
        <v>0</v>
      </c>
      <c r="J638" t="n">
        <v>0</v>
      </c>
      <c r="K638" t="n">
        <v>0</v>
      </c>
      <c r="L638" t="n">
        <v>0</v>
      </c>
      <c r="M638" t="n">
        <v>0</v>
      </c>
      <c r="N638" t="n">
        <v>0</v>
      </c>
      <c r="O638" t="n">
        <v>0</v>
      </c>
      <c r="P638" t="n">
        <v>0</v>
      </c>
      <c r="Q638" t="n">
        <v>0</v>
      </c>
      <c r="R638" s="2" t="inlineStr"/>
    </row>
    <row r="639" ht="15" customHeight="1">
      <c r="A639" t="inlineStr">
        <is>
          <t>A 13746-2025</t>
        </is>
      </c>
      <c r="B639" s="1" t="n">
        <v>45737.40944444444</v>
      </c>
      <c r="C639" s="1" t="n">
        <v>45892</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39182-2025</t>
        </is>
      </c>
      <c r="B640" s="1" t="n">
        <v>45888.66204861111</v>
      </c>
      <c r="C640" s="1" t="n">
        <v>45892</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15744-2025</t>
        </is>
      </c>
      <c r="B641" s="1" t="n">
        <v>45748</v>
      </c>
      <c r="C641" s="1" t="n">
        <v>45892</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39818-2020</t>
        </is>
      </c>
      <c r="B642" s="1" t="n">
        <v>44067</v>
      </c>
      <c r="C642" s="1" t="n">
        <v>45892</v>
      </c>
      <c r="D642" t="inlineStr">
        <is>
          <t>VÄSTMANLANDS LÄN</t>
        </is>
      </c>
      <c r="E642" t="inlineStr">
        <is>
          <t>SALA</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61715-2024</t>
        </is>
      </c>
      <c r="B643" s="1" t="n">
        <v>45648.89519675926</v>
      </c>
      <c r="C643" s="1" t="n">
        <v>45892</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29230-2022</t>
        </is>
      </c>
      <c r="B644" s="1" t="n">
        <v>44750</v>
      </c>
      <c r="C644" s="1" t="n">
        <v>45892</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45892</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19381-2025</t>
        </is>
      </c>
      <c r="B646" s="1" t="n">
        <v>45769</v>
      </c>
      <c r="C646" s="1" t="n">
        <v>45892</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38195-2021</t>
        </is>
      </c>
      <c r="B647" s="1" t="n">
        <v>44405</v>
      </c>
      <c r="C647" s="1" t="n">
        <v>45892</v>
      </c>
      <c r="D647" t="inlineStr">
        <is>
          <t>VÄSTMANLANDS LÄN</t>
        </is>
      </c>
      <c r="E647" t="inlineStr">
        <is>
          <t>SALA</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42938-2023</t>
        </is>
      </c>
      <c r="B648" s="1" t="n">
        <v>45179</v>
      </c>
      <c r="C648" s="1" t="n">
        <v>45892</v>
      </c>
      <c r="D648" t="inlineStr">
        <is>
          <t>VÄSTMANLANDS LÄN</t>
        </is>
      </c>
      <c r="E648" t="inlineStr">
        <is>
          <t>SALA</t>
        </is>
      </c>
      <c r="G648" t="n">
        <v>10.9</v>
      </c>
      <c r="H648" t="n">
        <v>0</v>
      </c>
      <c r="I648" t="n">
        <v>0</v>
      </c>
      <c r="J648" t="n">
        <v>0</v>
      </c>
      <c r="K648" t="n">
        <v>0</v>
      </c>
      <c r="L648" t="n">
        <v>0</v>
      </c>
      <c r="M648" t="n">
        <v>0</v>
      </c>
      <c r="N648" t="n">
        <v>0</v>
      </c>
      <c r="O648" t="n">
        <v>0</v>
      </c>
      <c r="P648" t="n">
        <v>0</v>
      </c>
      <c r="Q648" t="n">
        <v>0</v>
      </c>
      <c r="R648" s="2" t="inlineStr"/>
    </row>
    <row r="649" ht="15" customHeight="1">
      <c r="A649" t="inlineStr">
        <is>
          <t>A 19222-2025</t>
        </is>
      </c>
      <c r="B649" s="1" t="n">
        <v>45769</v>
      </c>
      <c r="C649" s="1" t="n">
        <v>45892</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19241-2025</t>
        </is>
      </c>
      <c r="B650" s="1" t="n">
        <v>45769</v>
      </c>
      <c r="C650" s="1" t="n">
        <v>45892</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6132-2025</t>
        </is>
      </c>
      <c r="B651" s="1" t="n">
        <v>45698</v>
      </c>
      <c r="C651" s="1" t="n">
        <v>45892</v>
      </c>
      <c r="D651" t="inlineStr">
        <is>
          <t>VÄSTMANLANDS LÄN</t>
        </is>
      </c>
      <c r="E651" t="inlineStr">
        <is>
          <t>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39167-2025</t>
        </is>
      </c>
      <c r="B652" s="1" t="n">
        <v>45888</v>
      </c>
      <c r="C652" s="1" t="n">
        <v>45892</v>
      </c>
      <c r="D652" t="inlineStr">
        <is>
          <t>VÄSTMANLANDS LÄN</t>
        </is>
      </c>
      <c r="E652" t="inlineStr">
        <is>
          <t>SALA</t>
        </is>
      </c>
      <c r="G652" t="n">
        <v>5.5</v>
      </c>
      <c r="H652" t="n">
        <v>0</v>
      </c>
      <c r="I652" t="n">
        <v>0</v>
      </c>
      <c r="J652" t="n">
        <v>0</v>
      </c>
      <c r="K652" t="n">
        <v>0</v>
      </c>
      <c r="L652" t="n">
        <v>0</v>
      </c>
      <c r="M652" t="n">
        <v>0</v>
      </c>
      <c r="N652" t="n">
        <v>0</v>
      </c>
      <c r="O652" t="n">
        <v>0</v>
      </c>
      <c r="P652" t="n">
        <v>0</v>
      </c>
      <c r="Q652" t="n">
        <v>0</v>
      </c>
      <c r="R652" s="2" t="inlineStr"/>
    </row>
    <row r="653" ht="15" customHeight="1">
      <c r="A653" t="inlineStr">
        <is>
          <t>A 60823-2024</t>
        </is>
      </c>
      <c r="B653" s="1" t="n">
        <v>45644</v>
      </c>
      <c r="C653" s="1" t="n">
        <v>45892</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21777-2022</t>
        </is>
      </c>
      <c r="B654" s="1" t="n">
        <v>44708.48194444444</v>
      </c>
      <c r="C654" s="1" t="n">
        <v>45892</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61681-2024</t>
        </is>
      </c>
      <c r="B655" s="1" t="n">
        <v>45647</v>
      </c>
      <c r="C655" s="1" t="n">
        <v>45892</v>
      </c>
      <c r="D655" t="inlineStr">
        <is>
          <t>VÄSTMANLANDS LÄN</t>
        </is>
      </c>
      <c r="E655" t="inlineStr">
        <is>
          <t>SALA</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11389-2024</t>
        </is>
      </c>
      <c r="B656" s="1" t="n">
        <v>45372.45016203704</v>
      </c>
      <c r="C656" s="1" t="n">
        <v>45892</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54923-2020</t>
        </is>
      </c>
      <c r="B657" s="1" t="n">
        <v>44127</v>
      </c>
      <c r="C657" s="1" t="n">
        <v>45892</v>
      </c>
      <c r="D657" t="inlineStr">
        <is>
          <t>VÄSTMANLANDS LÄN</t>
        </is>
      </c>
      <c r="E657" t="inlineStr">
        <is>
          <t>SALA</t>
        </is>
      </c>
      <c r="G657" t="n">
        <v>4.9</v>
      </c>
      <c r="H657" t="n">
        <v>0</v>
      </c>
      <c r="I657" t="n">
        <v>0</v>
      </c>
      <c r="J657" t="n">
        <v>0</v>
      </c>
      <c r="K657" t="n">
        <v>0</v>
      </c>
      <c r="L657" t="n">
        <v>0</v>
      </c>
      <c r="M657" t="n">
        <v>0</v>
      </c>
      <c r="N657" t="n">
        <v>0</v>
      </c>
      <c r="O657" t="n">
        <v>0</v>
      </c>
      <c r="P657" t="n">
        <v>0</v>
      </c>
      <c r="Q657" t="n">
        <v>0</v>
      </c>
      <c r="R657" s="2" t="inlineStr"/>
    </row>
    <row r="658" ht="15" customHeight="1">
      <c r="A658" t="inlineStr">
        <is>
          <t>A 2925-2024</t>
        </is>
      </c>
      <c r="B658" s="1" t="n">
        <v>45315.58909722222</v>
      </c>
      <c r="C658" s="1" t="n">
        <v>45892</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49661-2024</t>
        </is>
      </c>
      <c r="B659" s="1" t="n">
        <v>45596</v>
      </c>
      <c r="C659" s="1" t="n">
        <v>45892</v>
      </c>
      <c r="D659" t="inlineStr">
        <is>
          <t>VÄSTMANLANDS LÄN</t>
        </is>
      </c>
      <c r="E659" t="inlineStr">
        <is>
          <t>SALA</t>
        </is>
      </c>
      <c r="G659" t="n">
        <v>6.7</v>
      </c>
      <c r="H659" t="n">
        <v>0</v>
      </c>
      <c r="I659" t="n">
        <v>0</v>
      </c>
      <c r="J659" t="n">
        <v>0</v>
      </c>
      <c r="K659" t="n">
        <v>0</v>
      </c>
      <c r="L659" t="n">
        <v>0</v>
      </c>
      <c r="M659" t="n">
        <v>0</v>
      </c>
      <c r="N659" t="n">
        <v>0</v>
      </c>
      <c r="O659" t="n">
        <v>0</v>
      </c>
      <c r="P659" t="n">
        <v>0</v>
      </c>
      <c r="Q659" t="n">
        <v>0</v>
      </c>
      <c r="R659" s="2" t="inlineStr"/>
    </row>
    <row r="660" ht="15" customHeight="1">
      <c r="A660" t="inlineStr">
        <is>
          <t>A 59297-2023</t>
        </is>
      </c>
      <c r="B660" s="1" t="n">
        <v>45253</v>
      </c>
      <c r="C660" s="1" t="n">
        <v>45892</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39439-2021</t>
        </is>
      </c>
      <c r="B661" s="1" t="n">
        <v>44414</v>
      </c>
      <c r="C661" s="1" t="n">
        <v>45892</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15965-2024</t>
        </is>
      </c>
      <c r="B662" s="1" t="n">
        <v>45405.55740740741</v>
      </c>
      <c r="C662" s="1" t="n">
        <v>45892</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3332-2024</t>
        </is>
      </c>
      <c r="B663" s="1" t="n">
        <v>45317</v>
      </c>
      <c r="C663" s="1" t="n">
        <v>45892</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23180-2022</t>
        </is>
      </c>
      <c r="B664" s="1" t="n">
        <v>44719.79344907407</v>
      </c>
      <c r="C664" s="1" t="n">
        <v>45892</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21455-2023</t>
        </is>
      </c>
      <c r="B665" s="1" t="n">
        <v>45058</v>
      </c>
      <c r="C665" s="1" t="n">
        <v>45892</v>
      </c>
      <c r="D665" t="inlineStr">
        <is>
          <t>VÄSTMANLANDS LÄN</t>
        </is>
      </c>
      <c r="E665" t="inlineStr">
        <is>
          <t>SALA</t>
        </is>
      </c>
      <c r="G665" t="n">
        <v>6.4</v>
      </c>
      <c r="H665" t="n">
        <v>0</v>
      </c>
      <c r="I665" t="n">
        <v>0</v>
      </c>
      <c r="J665" t="n">
        <v>0</v>
      </c>
      <c r="K665" t="n">
        <v>0</v>
      </c>
      <c r="L665" t="n">
        <v>0</v>
      </c>
      <c r="M665" t="n">
        <v>0</v>
      </c>
      <c r="N665" t="n">
        <v>0</v>
      </c>
      <c r="O665" t="n">
        <v>0</v>
      </c>
      <c r="P665" t="n">
        <v>0</v>
      </c>
      <c r="Q665" t="n">
        <v>0</v>
      </c>
      <c r="R665" s="2" t="inlineStr"/>
    </row>
    <row r="666" ht="15" customHeight="1">
      <c r="A666" t="inlineStr">
        <is>
          <t>A 2529-2022</t>
        </is>
      </c>
      <c r="B666" s="1" t="n">
        <v>44579.86452546297</v>
      </c>
      <c r="C666" s="1" t="n">
        <v>45892</v>
      </c>
      <c r="D666" t="inlineStr">
        <is>
          <t>VÄSTMANLANDS LÄN</t>
        </is>
      </c>
      <c r="E666" t="inlineStr">
        <is>
          <t>SALA</t>
        </is>
      </c>
      <c r="G666" t="n">
        <v>1.7</v>
      </c>
      <c r="H666" t="n">
        <v>0</v>
      </c>
      <c r="I666" t="n">
        <v>0</v>
      </c>
      <c r="J666" t="n">
        <v>0</v>
      </c>
      <c r="K666" t="n">
        <v>0</v>
      </c>
      <c r="L666" t="n">
        <v>0</v>
      </c>
      <c r="M666" t="n">
        <v>0</v>
      </c>
      <c r="N666" t="n">
        <v>0</v>
      </c>
      <c r="O666" t="n">
        <v>0</v>
      </c>
      <c r="P666" t="n">
        <v>0</v>
      </c>
      <c r="Q666" t="n">
        <v>0</v>
      </c>
      <c r="R666" s="2" t="inlineStr"/>
    </row>
    <row r="667" ht="15" customHeight="1">
      <c r="A667" t="inlineStr">
        <is>
          <t>A 13471-2025</t>
        </is>
      </c>
      <c r="B667" s="1" t="n">
        <v>45736.40579861111</v>
      </c>
      <c r="C667" s="1" t="n">
        <v>45892</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15681-2025</t>
        </is>
      </c>
      <c r="B668" s="1" t="n">
        <v>45748.45454861111</v>
      </c>
      <c r="C668" s="1" t="n">
        <v>45892</v>
      </c>
      <c r="D668" t="inlineStr">
        <is>
          <t>VÄSTMANLANDS LÄN</t>
        </is>
      </c>
      <c r="E668" t="inlineStr">
        <is>
          <t>SALA</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18431-2023</t>
        </is>
      </c>
      <c r="B669" s="1" t="n">
        <v>45042</v>
      </c>
      <c r="C669" s="1" t="n">
        <v>45892</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27424-2023</t>
        </is>
      </c>
      <c r="B670" s="1" t="n">
        <v>45097.37690972222</v>
      </c>
      <c r="C670" s="1" t="n">
        <v>45892</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58701-2021</t>
        </is>
      </c>
      <c r="B671" s="1" t="n">
        <v>44489.46454861111</v>
      </c>
      <c r="C671" s="1" t="n">
        <v>45892</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21053-2022</t>
        </is>
      </c>
      <c r="B672" s="1" t="n">
        <v>44704</v>
      </c>
      <c r="C672" s="1" t="n">
        <v>45892</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11244-2024</t>
        </is>
      </c>
      <c r="B673" s="1" t="n">
        <v>45371</v>
      </c>
      <c r="C673" s="1" t="n">
        <v>45892</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12225-2023</t>
        </is>
      </c>
      <c r="B674" s="1" t="n">
        <v>44995</v>
      </c>
      <c r="C674" s="1" t="n">
        <v>45892</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61874-2021</t>
        </is>
      </c>
      <c r="B675" s="1" t="n">
        <v>44502</v>
      </c>
      <c r="C675" s="1" t="n">
        <v>45892</v>
      </c>
      <c r="D675" t="inlineStr">
        <is>
          <t>VÄSTMANLANDS LÄN</t>
        </is>
      </c>
      <c r="E675" t="inlineStr">
        <is>
          <t>SALA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17719-2025</t>
        </is>
      </c>
      <c r="B676" s="1" t="n">
        <v>45758.45111111111</v>
      </c>
      <c r="C676" s="1" t="n">
        <v>45892</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c r="A677" t="inlineStr">
        <is>
          <t>A 62651-2022</t>
        </is>
      </c>
      <c r="B677" s="1" t="n">
        <v>44917</v>
      </c>
      <c r="C677" s="1" t="n">
        <v>45892</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2025-08-23T08:35:46Z</dcterms:created>
  <dcterms:modified xmlns:dcterms="http://purl.org/dc/terms/" xmlns:xsi="http://www.w3.org/2001/XMLSchema-instance" xsi:type="dcterms:W3CDTF">2025-08-23T08:35:46Z</dcterms:modified>
</cp:coreProperties>
</file>