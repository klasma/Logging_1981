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45842</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45842</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45842</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45842</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45842</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45842</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45842</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45842</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45842</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45842</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45842</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45842</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45842</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45842</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45842</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45842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45842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45842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45842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45842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45842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45842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45842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45842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45842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45842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45842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45842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45842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45842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45842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45842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45842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45842</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45842</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45842</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45842</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45842</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45842</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45842</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45842</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45842</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45842</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45842</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45842</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45842</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45842</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45842</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45842</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45842</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45842</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45842</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12509-2023</t>
        </is>
      </c>
      <c r="B82" s="1" t="n">
        <v>45000</v>
      </c>
      <c r="C82" s="1" t="n">
        <v>45842</v>
      </c>
      <c r="D82" t="inlineStr">
        <is>
          <t>VÄSTMANLANDS LÄN</t>
        </is>
      </c>
      <c r="E82" t="inlineStr">
        <is>
          <t>SALA</t>
        </is>
      </c>
      <c r="G82" t="n">
        <v>13.9</v>
      </c>
      <c r="H82" t="n">
        <v>1</v>
      </c>
      <c r="I82" t="n">
        <v>0</v>
      </c>
      <c r="J82" t="n">
        <v>0</v>
      </c>
      <c r="K82" t="n">
        <v>0</v>
      </c>
      <c r="L82" t="n">
        <v>0</v>
      </c>
      <c r="M82" t="n">
        <v>0</v>
      </c>
      <c r="N82" t="n">
        <v>0</v>
      </c>
      <c r="O82" t="n">
        <v>0</v>
      </c>
      <c r="P82" t="n">
        <v>0</v>
      </c>
      <c r="Q82" t="n">
        <v>1</v>
      </c>
      <c r="R82" s="2" t="inlineStr">
        <is>
          <t>Grönvit nattviol</t>
        </is>
      </c>
      <c r="S82">
        <f>HYPERLINK("https://klasma.github.io/Logging_1981/artfynd/A 12509-2023 artfynd.xlsx", "A 12509-2023")</f>
        <v/>
      </c>
      <c r="T82">
        <f>HYPERLINK("https://klasma.github.io/Logging_1981/kartor/A 12509-2023 karta.png", "A 12509-2023")</f>
        <v/>
      </c>
      <c r="V82">
        <f>HYPERLINK("https://klasma.github.io/Logging_1981/klagomål/A 12509-2023 FSC-klagomål.docx", "A 12509-2023")</f>
        <v/>
      </c>
      <c r="W82">
        <f>HYPERLINK("https://klasma.github.io/Logging_1981/klagomålsmail/A 12509-2023 FSC-klagomål mail.docx", "A 12509-2023")</f>
        <v/>
      </c>
      <c r="X82">
        <f>HYPERLINK("https://klasma.github.io/Logging_1981/tillsyn/A 12509-2023 tillsynsbegäran.docx", "A 12509-2023")</f>
        <v/>
      </c>
      <c r="Y82">
        <f>HYPERLINK("https://klasma.github.io/Logging_1981/tillsynsmail/A 12509-2023 tillsynsbegäran mail.docx", "A 12509-2023")</f>
        <v/>
      </c>
    </row>
    <row r="83" ht="15" customHeight="1">
      <c r="A83" t="inlineStr">
        <is>
          <t>A 14775-2023</t>
        </is>
      </c>
      <c r="B83" s="1" t="n">
        <v>45014</v>
      </c>
      <c r="C83" s="1" t="n">
        <v>45842</v>
      </c>
      <c r="D83" t="inlineStr">
        <is>
          <t>VÄSTMANLANDS LÄN</t>
        </is>
      </c>
      <c r="E83" t="inlineStr">
        <is>
          <t>SALA</t>
        </is>
      </c>
      <c r="G83" t="n">
        <v>1.3</v>
      </c>
      <c r="H83" t="n">
        <v>1</v>
      </c>
      <c r="I83" t="n">
        <v>0</v>
      </c>
      <c r="J83" t="n">
        <v>0</v>
      </c>
      <c r="K83" t="n">
        <v>1</v>
      </c>
      <c r="L83" t="n">
        <v>0</v>
      </c>
      <c r="M83" t="n">
        <v>0</v>
      </c>
      <c r="N83" t="n">
        <v>0</v>
      </c>
      <c r="O83" t="n">
        <v>1</v>
      </c>
      <c r="P83" t="n">
        <v>1</v>
      </c>
      <c r="Q83" t="n">
        <v>1</v>
      </c>
      <c r="R83" s="2" t="inlineStr">
        <is>
          <t>Knärot</t>
        </is>
      </c>
      <c r="S83">
        <f>HYPERLINK("https://klasma.github.io/Logging_1981/artfynd/A 14775-2023 artfynd.xlsx", "A 14775-2023")</f>
        <v/>
      </c>
      <c r="T83">
        <f>HYPERLINK("https://klasma.github.io/Logging_1981/kartor/A 14775-2023 karta.png", "A 14775-2023")</f>
        <v/>
      </c>
      <c r="U83">
        <f>HYPERLINK("https://klasma.github.io/Logging_1981/knärot/A 14775-2023 karta knärot.png", "A 14775-2023")</f>
        <v/>
      </c>
      <c r="V83">
        <f>HYPERLINK("https://klasma.github.io/Logging_1981/klagomål/A 14775-2023 FSC-klagomål.docx", "A 14775-2023")</f>
        <v/>
      </c>
      <c r="W83">
        <f>HYPERLINK("https://klasma.github.io/Logging_1981/klagomålsmail/A 14775-2023 FSC-klagomål mail.docx", "A 14775-2023")</f>
        <v/>
      </c>
      <c r="X83">
        <f>HYPERLINK("https://klasma.github.io/Logging_1981/tillsyn/A 14775-2023 tillsynsbegäran.docx", "A 14775-2023")</f>
        <v/>
      </c>
      <c r="Y83">
        <f>HYPERLINK("https://klasma.github.io/Logging_1981/tillsynsmail/A 14775-2023 tillsynsbegäran mail.docx", "A 14775-2023")</f>
        <v/>
      </c>
    </row>
    <row r="84" ht="15" customHeight="1">
      <c r="A84" t="inlineStr">
        <is>
          <t>A 29727-2023</t>
        </is>
      </c>
      <c r="B84" s="1" t="n">
        <v>45107</v>
      </c>
      <c r="C84" s="1" t="n">
        <v>45842</v>
      </c>
      <c r="D84" t="inlineStr">
        <is>
          <t>VÄSTMANLANDS LÄN</t>
        </is>
      </c>
      <c r="E84" t="inlineStr">
        <is>
          <t>SALA</t>
        </is>
      </c>
      <c r="G84" t="n">
        <v>1.9</v>
      </c>
      <c r="H84" t="n">
        <v>0</v>
      </c>
      <c r="I84" t="n">
        <v>0</v>
      </c>
      <c r="J84" t="n">
        <v>1</v>
      </c>
      <c r="K84" t="n">
        <v>0</v>
      </c>
      <c r="L84" t="n">
        <v>0</v>
      </c>
      <c r="M84" t="n">
        <v>0</v>
      </c>
      <c r="N84" t="n">
        <v>0</v>
      </c>
      <c r="O84" t="n">
        <v>1</v>
      </c>
      <c r="P84" t="n">
        <v>0</v>
      </c>
      <c r="Q84" t="n">
        <v>1</v>
      </c>
      <c r="R84" s="2" t="inlineStr">
        <is>
          <t>Vedtrappmossa</t>
        </is>
      </c>
      <c r="S84">
        <f>HYPERLINK("https://klasma.github.io/Logging_1981/artfynd/A 29727-2023 artfynd.xlsx", "A 29727-2023")</f>
        <v/>
      </c>
      <c r="T84">
        <f>HYPERLINK("https://klasma.github.io/Logging_1981/kartor/A 29727-2023 karta.png", "A 29727-2023")</f>
        <v/>
      </c>
      <c r="V84">
        <f>HYPERLINK("https://klasma.github.io/Logging_1981/klagomål/A 29727-2023 FSC-klagomål.docx", "A 29727-2023")</f>
        <v/>
      </c>
      <c r="W84">
        <f>HYPERLINK("https://klasma.github.io/Logging_1981/klagomålsmail/A 29727-2023 FSC-klagomål mail.docx", "A 29727-2023")</f>
        <v/>
      </c>
      <c r="X84">
        <f>HYPERLINK("https://klasma.github.io/Logging_1981/tillsyn/A 29727-2023 tillsynsbegäran.docx", "A 29727-2023")</f>
        <v/>
      </c>
      <c r="Y84">
        <f>HYPERLINK("https://klasma.github.io/Logging_1981/tillsynsmail/A 29727-2023 tillsynsbegäran mail.docx", "A 29727-2023")</f>
        <v/>
      </c>
    </row>
    <row r="85" ht="15" customHeight="1">
      <c r="A85" t="inlineStr">
        <is>
          <t>A 31535-2023</t>
        </is>
      </c>
      <c r="B85" s="1" t="n">
        <v>45116</v>
      </c>
      <c r="C85" s="1" t="n">
        <v>45842</v>
      </c>
      <c r="D85" t="inlineStr">
        <is>
          <t>VÄSTMANLANDS LÄN</t>
        </is>
      </c>
      <c r="E85" t="inlineStr">
        <is>
          <t>SALA</t>
        </is>
      </c>
      <c r="G85" t="n">
        <v>0.9</v>
      </c>
      <c r="H85" t="n">
        <v>0</v>
      </c>
      <c r="I85" t="n">
        <v>0</v>
      </c>
      <c r="J85" t="n">
        <v>1</v>
      </c>
      <c r="K85" t="n">
        <v>0</v>
      </c>
      <c r="L85" t="n">
        <v>0</v>
      </c>
      <c r="M85" t="n">
        <v>0</v>
      </c>
      <c r="N85" t="n">
        <v>0</v>
      </c>
      <c r="O85" t="n">
        <v>1</v>
      </c>
      <c r="P85" t="n">
        <v>0</v>
      </c>
      <c r="Q85" t="n">
        <v>1</v>
      </c>
      <c r="R85" s="2" t="inlineStr">
        <is>
          <t>Orange taggsvamp</t>
        </is>
      </c>
      <c r="S85">
        <f>HYPERLINK("https://klasma.github.io/Logging_1981/artfynd/A 31535-2023 artfynd.xlsx", "A 31535-2023")</f>
        <v/>
      </c>
      <c r="T85">
        <f>HYPERLINK("https://klasma.github.io/Logging_1981/kartor/A 31535-2023 karta.png", "A 31535-2023")</f>
        <v/>
      </c>
      <c r="V85">
        <f>HYPERLINK("https://klasma.github.io/Logging_1981/klagomål/A 31535-2023 FSC-klagomål.docx", "A 31535-2023")</f>
        <v/>
      </c>
      <c r="W85">
        <f>HYPERLINK("https://klasma.github.io/Logging_1981/klagomålsmail/A 31535-2023 FSC-klagomål mail.docx", "A 31535-2023")</f>
        <v/>
      </c>
      <c r="X85">
        <f>HYPERLINK("https://klasma.github.io/Logging_1981/tillsyn/A 31535-2023 tillsynsbegäran.docx", "A 31535-2023")</f>
        <v/>
      </c>
      <c r="Y85">
        <f>HYPERLINK("https://klasma.github.io/Logging_1981/tillsynsmail/A 31535-2023 tillsynsbegäran mail.docx", "A 31535-2023")</f>
        <v/>
      </c>
    </row>
    <row r="86" ht="15" customHeight="1">
      <c r="A86" t="inlineStr">
        <is>
          <t>A 43175-2023</t>
        </is>
      </c>
      <c r="B86" s="1" t="n">
        <v>45183</v>
      </c>
      <c r="C86" s="1" t="n">
        <v>45842</v>
      </c>
      <c r="D86" t="inlineStr">
        <is>
          <t>VÄSTMANLANDS LÄN</t>
        </is>
      </c>
      <c r="E86" t="inlineStr">
        <is>
          <t>SALA</t>
        </is>
      </c>
      <c r="G86" t="n">
        <v>5.6</v>
      </c>
      <c r="H86" t="n">
        <v>0</v>
      </c>
      <c r="I86" t="n">
        <v>1</v>
      </c>
      <c r="J86" t="n">
        <v>0</v>
      </c>
      <c r="K86" t="n">
        <v>0</v>
      </c>
      <c r="L86" t="n">
        <v>0</v>
      </c>
      <c r="M86" t="n">
        <v>0</v>
      </c>
      <c r="N86" t="n">
        <v>0</v>
      </c>
      <c r="O86" t="n">
        <v>0</v>
      </c>
      <c r="P86" t="n">
        <v>0</v>
      </c>
      <c r="Q86" t="n">
        <v>1</v>
      </c>
      <c r="R86" s="2" t="inlineStr">
        <is>
          <t>Grönpyrola</t>
        </is>
      </c>
      <c r="S86">
        <f>HYPERLINK("https://klasma.github.io/Logging_1981/artfynd/A 43175-2023 artfynd.xlsx", "A 43175-2023")</f>
        <v/>
      </c>
      <c r="T86">
        <f>HYPERLINK("https://klasma.github.io/Logging_1981/kartor/A 43175-2023 karta.png", "A 43175-2023")</f>
        <v/>
      </c>
      <c r="V86">
        <f>HYPERLINK("https://klasma.github.io/Logging_1981/klagomål/A 43175-2023 FSC-klagomål.docx", "A 43175-2023")</f>
        <v/>
      </c>
      <c r="W86">
        <f>HYPERLINK("https://klasma.github.io/Logging_1981/klagomålsmail/A 43175-2023 FSC-klagomål mail.docx", "A 43175-2023")</f>
        <v/>
      </c>
      <c r="X86">
        <f>HYPERLINK("https://klasma.github.io/Logging_1981/tillsyn/A 43175-2023 tillsynsbegäran.docx", "A 43175-2023")</f>
        <v/>
      </c>
      <c r="Y86">
        <f>HYPERLINK("https://klasma.github.io/Logging_1981/tillsynsmail/A 43175-2023 tillsynsbegäran mail.docx", "A 43175-2023")</f>
        <v/>
      </c>
    </row>
    <row r="87" ht="15" customHeight="1">
      <c r="A87" t="inlineStr">
        <is>
          <t>A 55550-2023</t>
        </is>
      </c>
      <c r="B87" s="1" t="n">
        <v>45232</v>
      </c>
      <c r="C87" s="1" t="n">
        <v>45842</v>
      </c>
      <c r="D87" t="inlineStr">
        <is>
          <t>VÄSTMANLANDS LÄN</t>
        </is>
      </c>
      <c r="E87" t="inlineStr">
        <is>
          <t>SALA</t>
        </is>
      </c>
      <c r="G87" t="n">
        <v>9.9</v>
      </c>
      <c r="H87" t="n">
        <v>1</v>
      </c>
      <c r="I87" t="n">
        <v>0</v>
      </c>
      <c r="J87" t="n">
        <v>0</v>
      </c>
      <c r="K87" t="n">
        <v>1</v>
      </c>
      <c r="L87" t="n">
        <v>0</v>
      </c>
      <c r="M87" t="n">
        <v>0</v>
      </c>
      <c r="N87" t="n">
        <v>0</v>
      </c>
      <c r="O87" t="n">
        <v>1</v>
      </c>
      <c r="P87" t="n">
        <v>1</v>
      </c>
      <c r="Q87" t="n">
        <v>1</v>
      </c>
      <c r="R87" s="2" t="inlineStr">
        <is>
          <t>Knärot</t>
        </is>
      </c>
      <c r="S87">
        <f>HYPERLINK("https://klasma.github.io/Logging_1981/artfynd/A 55550-2023 artfynd.xlsx", "A 55550-2023")</f>
        <v/>
      </c>
      <c r="T87">
        <f>HYPERLINK("https://klasma.github.io/Logging_1981/kartor/A 55550-2023 karta.png", "A 55550-2023")</f>
        <v/>
      </c>
      <c r="U87">
        <f>HYPERLINK("https://klasma.github.io/Logging_1981/knärot/A 55550-2023 karta knärot.png", "A 55550-2023")</f>
        <v/>
      </c>
      <c r="V87">
        <f>HYPERLINK("https://klasma.github.io/Logging_1981/klagomål/A 55550-2023 FSC-klagomål.docx", "A 55550-2023")</f>
        <v/>
      </c>
      <c r="W87">
        <f>HYPERLINK("https://klasma.github.io/Logging_1981/klagomålsmail/A 55550-2023 FSC-klagomål mail.docx", "A 55550-2023")</f>
        <v/>
      </c>
      <c r="X87">
        <f>HYPERLINK("https://klasma.github.io/Logging_1981/tillsyn/A 55550-2023 tillsynsbegäran.docx", "A 55550-2023")</f>
        <v/>
      </c>
      <c r="Y87">
        <f>HYPERLINK("https://klasma.github.io/Logging_1981/tillsynsmail/A 55550-2023 tillsynsbegäran mail.docx", "A 55550-2023")</f>
        <v/>
      </c>
    </row>
    <row r="88" ht="15" customHeight="1">
      <c r="A88" t="inlineStr">
        <is>
          <t>A 3534-2024</t>
        </is>
      </c>
      <c r="B88" s="1" t="n">
        <v>45320</v>
      </c>
      <c r="C88" s="1" t="n">
        <v>45842</v>
      </c>
      <c r="D88" t="inlineStr">
        <is>
          <t>VÄSTMANLANDS LÄN</t>
        </is>
      </c>
      <c r="E88" t="inlineStr">
        <is>
          <t>SALA</t>
        </is>
      </c>
      <c r="G88" t="n">
        <v>1.9</v>
      </c>
      <c r="H88" t="n">
        <v>1</v>
      </c>
      <c r="I88" t="n">
        <v>0</v>
      </c>
      <c r="J88" t="n">
        <v>0</v>
      </c>
      <c r="K88" t="n">
        <v>0</v>
      </c>
      <c r="L88" t="n">
        <v>1</v>
      </c>
      <c r="M88" t="n">
        <v>0</v>
      </c>
      <c r="N88" t="n">
        <v>0</v>
      </c>
      <c r="O88" t="n">
        <v>1</v>
      </c>
      <c r="P88" t="n">
        <v>1</v>
      </c>
      <c r="Q88" t="n">
        <v>1</v>
      </c>
      <c r="R88" s="2" t="inlineStr">
        <is>
          <t>Mosippa</t>
        </is>
      </c>
      <c r="S88">
        <f>HYPERLINK("https://klasma.github.io/Logging_1981/artfynd/A 3534-2024 artfynd.xlsx", "A 3534-2024")</f>
        <v/>
      </c>
      <c r="T88">
        <f>HYPERLINK("https://klasma.github.io/Logging_1981/kartor/A 3534-2024 karta.png", "A 3534-2024")</f>
        <v/>
      </c>
      <c r="V88">
        <f>HYPERLINK("https://klasma.github.io/Logging_1981/klagomål/A 3534-2024 FSC-klagomål.docx", "A 3534-2024")</f>
        <v/>
      </c>
      <c r="W88">
        <f>HYPERLINK("https://klasma.github.io/Logging_1981/klagomålsmail/A 3534-2024 FSC-klagomål mail.docx", "A 3534-2024")</f>
        <v/>
      </c>
      <c r="X88">
        <f>HYPERLINK("https://klasma.github.io/Logging_1981/tillsyn/A 3534-2024 tillsynsbegäran.docx", "A 3534-2024")</f>
        <v/>
      </c>
      <c r="Y88">
        <f>HYPERLINK("https://klasma.github.io/Logging_1981/tillsynsmail/A 3534-2024 tillsynsbegäran mail.docx", "A 3534-2024")</f>
        <v/>
      </c>
    </row>
    <row r="89" ht="15" customHeight="1">
      <c r="A89" t="inlineStr">
        <is>
          <t>A 12434-2024</t>
        </is>
      </c>
      <c r="B89" s="1" t="n">
        <v>45379</v>
      </c>
      <c r="C89" s="1" t="n">
        <v>45842</v>
      </c>
      <c r="D89" t="inlineStr">
        <is>
          <t>VÄSTMANLANDS LÄN</t>
        </is>
      </c>
      <c r="E89" t="inlineStr">
        <is>
          <t>SALA</t>
        </is>
      </c>
      <c r="G89" t="n">
        <v>7.8</v>
      </c>
      <c r="H89" t="n">
        <v>1</v>
      </c>
      <c r="I89" t="n">
        <v>0</v>
      </c>
      <c r="J89" t="n">
        <v>0</v>
      </c>
      <c r="K89" t="n">
        <v>1</v>
      </c>
      <c r="L89" t="n">
        <v>0</v>
      </c>
      <c r="M89" t="n">
        <v>0</v>
      </c>
      <c r="N89" t="n">
        <v>0</v>
      </c>
      <c r="O89" t="n">
        <v>1</v>
      </c>
      <c r="P89" t="n">
        <v>1</v>
      </c>
      <c r="Q89" t="n">
        <v>1</v>
      </c>
      <c r="R89" s="2" t="inlineStr">
        <is>
          <t>Knärot</t>
        </is>
      </c>
      <c r="S89">
        <f>HYPERLINK("https://klasma.github.io/Logging_1981/artfynd/A 12434-2024 artfynd.xlsx", "A 12434-2024")</f>
        <v/>
      </c>
      <c r="T89">
        <f>HYPERLINK("https://klasma.github.io/Logging_1981/kartor/A 12434-2024 karta.png", "A 12434-2024")</f>
        <v/>
      </c>
      <c r="U89">
        <f>HYPERLINK("https://klasma.github.io/Logging_1981/knärot/A 12434-2024 karta knärot.png", "A 12434-2024")</f>
        <v/>
      </c>
      <c r="V89">
        <f>HYPERLINK("https://klasma.github.io/Logging_1981/klagomål/A 12434-2024 FSC-klagomål.docx", "A 12434-2024")</f>
        <v/>
      </c>
      <c r="W89">
        <f>HYPERLINK("https://klasma.github.io/Logging_1981/klagomålsmail/A 12434-2024 FSC-klagomål mail.docx", "A 12434-2024")</f>
        <v/>
      </c>
      <c r="X89">
        <f>HYPERLINK("https://klasma.github.io/Logging_1981/tillsyn/A 12434-2024 tillsynsbegäran.docx", "A 12434-2024")</f>
        <v/>
      </c>
      <c r="Y89">
        <f>HYPERLINK("https://klasma.github.io/Logging_1981/tillsynsmail/A 12434-2024 tillsynsbegäran mail.docx", "A 12434-2024")</f>
        <v/>
      </c>
    </row>
    <row r="90" ht="15" customHeight="1">
      <c r="A90" t="inlineStr">
        <is>
          <t>A 19716-2024</t>
        </is>
      </c>
      <c r="B90" s="1" t="n">
        <v>45432</v>
      </c>
      <c r="C90" s="1" t="n">
        <v>45842</v>
      </c>
      <c r="D90" t="inlineStr">
        <is>
          <t>VÄSTMANLANDS LÄN</t>
        </is>
      </c>
      <c r="E90" t="inlineStr">
        <is>
          <t>SALA</t>
        </is>
      </c>
      <c r="G90" t="n">
        <v>5.5</v>
      </c>
      <c r="H90" t="n">
        <v>1</v>
      </c>
      <c r="I90" t="n">
        <v>0</v>
      </c>
      <c r="J90" t="n">
        <v>0</v>
      </c>
      <c r="K90" t="n">
        <v>0</v>
      </c>
      <c r="L90" t="n">
        <v>0</v>
      </c>
      <c r="M90" t="n">
        <v>0</v>
      </c>
      <c r="N90" t="n">
        <v>0</v>
      </c>
      <c r="O90" t="n">
        <v>0</v>
      </c>
      <c r="P90" t="n">
        <v>0</v>
      </c>
      <c r="Q90" t="n">
        <v>1</v>
      </c>
      <c r="R90" s="2" t="inlineStr">
        <is>
          <t>Fläcknycklar</t>
        </is>
      </c>
      <c r="S90">
        <f>HYPERLINK("https://klasma.github.io/Logging_1981/artfynd/A 19716-2024 artfynd.xlsx", "A 19716-2024")</f>
        <v/>
      </c>
      <c r="T90">
        <f>HYPERLINK("https://klasma.github.io/Logging_1981/kartor/A 19716-2024 karta.png", "A 19716-2024")</f>
        <v/>
      </c>
      <c r="V90">
        <f>HYPERLINK("https://klasma.github.io/Logging_1981/klagomål/A 19716-2024 FSC-klagomål.docx", "A 19716-2024")</f>
        <v/>
      </c>
      <c r="W90">
        <f>HYPERLINK("https://klasma.github.io/Logging_1981/klagomålsmail/A 19716-2024 FSC-klagomål mail.docx", "A 19716-2024")</f>
        <v/>
      </c>
      <c r="X90">
        <f>HYPERLINK("https://klasma.github.io/Logging_1981/tillsyn/A 19716-2024 tillsynsbegäran.docx", "A 19716-2024")</f>
        <v/>
      </c>
      <c r="Y90">
        <f>HYPERLINK("https://klasma.github.io/Logging_1981/tillsynsmail/A 19716-2024 tillsynsbegäran mail.docx", "A 19716-2024")</f>
        <v/>
      </c>
    </row>
    <row r="91" ht="15" customHeight="1">
      <c r="A91" t="inlineStr">
        <is>
          <t>A 22350-2024</t>
        </is>
      </c>
      <c r="B91" s="1" t="n">
        <v>45446</v>
      </c>
      <c r="C91" s="1" t="n">
        <v>45842</v>
      </c>
      <c r="D91" t="inlineStr">
        <is>
          <t>VÄSTMANLANDS LÄN</t>
        </is>
      </c>
      <c r="E91" t="inlineStr">
        <is>
          <t>SALA</t>
        </is>
      </c>
      <c r="G91" t="n">
        <v>1.2</v>
      </c>
      <c r="H91" t="n">
        <v>1</v>
      </c>
      <c r="I91" t="n">
        <v>0</v>
      </c>
      <c r="J91" t="n">
        <v>0</v>
      </c>
      <c r="K91" t="n">
        <v>0</v>
      </c>
      <c r="L91" t="n">
        <v>0</v>
      </c>
      <c r="M91" t="n">
        <v>0</v>
      </c>
      <c r="N91" t="n">
        <v>0</v>
      </c>
      <c r="O91" t="n">
        <v>0</v>
      </c>
      <c r="P91" t="n">
        <v>0</v>
      </c>
      <c r="Q91" t="n">
        <v>1</v>
      </c>
      <c r="R91" s="2" t="inlineStr">
        <is>
          <t>Blåsippa</t>
        </is>
      </c>
      <c r="S91">
        <f>HYPERLINK("https://klasma.github.io/Logging_1981/artfynd/A 22350-2024 artfynd.xlsx", "A 22350-2024")</f>
        <v/>
      </c>
      <c r="T91">
        <f>HYPERLINK("https://klasma.github.io/Logging_1981/kartor/A 22350-2024 karta.png", "A 22350-2024")</f>
        <v/>
      </c>
      <c r="V91">
        <f>HYPERLINK("https://klasma.github.io/Logging_1981/klagomål/A 22350-2024 FSC-klagomål.docx", "A 22350-2024")</f>
        <v/>
      </c>
      <c r="W91">
        <f>HYPERLINK("https://klasma.github.io/Logging_1981/klagomålsmail/A 22350-2024 FSC-klagomål mail.docx", "A 22350-2024")</f>
        <v/>
      </c>
      <c r="X91">
        <f>HYPERLINK("https://klasma.github.io/Logging_1981/tillsyn/A 22350-2024 tillsynsbegäran.docx", "A 22350-2024")</f>
        <v/>
      </c>
      <c r="Y91">
        <f>HYPERLINK("https://klasma.github.io/Logging_1981/tillsynsmail/A 22350-2024 tillsynsbegäran mail.docx", "A 22350-2024")</f>
        <v/>
      </c>
    </row>
    <row r="92" ht="15" customHeight="1">
      <c r="A92" t="inlineStr">
        <is>
          <t>A 27591-2024</t>
        </is>
      </c>
      <c r="B92" s="1" t="n">
        <v>45474</v>
      </c>
      <c r="C92" s="1" t="n">
        <v>45842</v>
      </c>
      <c r="D92" t="inlineStr">
        <is>
          <t>VÄSTMANLANDS LÄN</t>
        </is>
      </c>
      <c r="E92" t="inlineStr">
        <is>
          <t>SALA</t>
        </is>
      </c>
      <c r="G92" t="n">
        <v>5.1</v>
      </c>
      <c r="H92" t="n">
        <v>1</v>
      </c>
      <c r="I92" t="n">
        <v>0</v>
      </c>
      <c r="J92" t="n">
        <v>1</v>
      </c>
      <c r="K92" t="n">
        <v>0</v>
      </c>
      <c r="L92" t="n">
        <v>0</v>
      </c>
      <c r="M92" t="n">
        <v>0</v>
      </c>
      <c r="N92" t="n">
        <v>0</v>
      </c>
      <c r="O92" t="n">
        <v>1</v>
      </c>
      <c r="P92" t="n">
        <v>0</v>
      </c>
      <c r="Q92" t="n">
        <v>1</v>
      </c>
      <c r="R92" s="2" t="inlineStr">
        <is>
          <t>Spillkråka</t>
        </is>
      </c>
      <c r="S92">
        <f>HYPERLINK("https://klasma.github.io/Logging_1981/artfynd/A 27591-2024 artfynd.xlsx", "A 27591-2024")</f>
        <v/>
      </c>
      <c r="T92">
        <f>HYPERLINK("https://klasma.github.io/Logging_1981/kartor/A 27591-2024 karta.png", "A 27591-2024")</f>
        <v/>
      </c>
      <c r="V92">
        <f>HYPERLINK("https://klasma.github.io/Logging_1981/klagomål/A 27591-2024 FSC-klagomål.docx", "A 27591-2024")</f>
        <v/>
      </c>
      <c r="W92">
        <f>HYPERLINK("https://klasma.github.io/Logging_1981/klagomålsmail/A 27591-2024 FSC-klagomål mail.docx", "A 27591-2024")</f>
        <v/>
      </c>
      <c r="X92">
        <f>HYPERLINK("https://klasma.github.io/Logging_1981/tillsyn/A 27591-2024 tillsynsbegäran.docx", "A 27591-2024")</f>
        <v/>
      </c>
      <c r="Y92">
        <f>HYPERLINK("https://klasma.github.io/Logging_1981/tillsynsmail/A 27591-2024 tillsynsbegäran mail.docx", "A 27591-2024")</f>
        <v/>
      </c>
      <c r="Z92">
        <f>HYPERLINK("https://klasma.github.io/Logging_1981/fåglar/A 27591-2024 prioriterade fågelarter.docx", "A 27591-2024")</f>
        <v/>
      </c>
    </row>
    <row r="93" ht="15" customHeight="1">
      <c r="A93" t="inlineStr">
        <is>
          <t>A 37166-2024</t>
        </is>
      </c>
      <c r="B93" s="1" t="n">
        <v>45539</v>
      </c>
      <c r="C93" s="1" t="n">
        <v>45842</v>
      </c>
      <c r="D93" t="inlineStr">
        <is>
          <t>VÄSTMANLANDS LÄN</t>
        </is>
      </c>
      <c r="E93" t="inlineStr">
        <is>
          <t>SALA</t>
        </is>
      </c>
      <c r="G93" t="n">
        <v>1.3</v>
      </c>
      <c r="H93" t="n">
        <v>1</v>
      </c>
      <c r="I93" t="n">
        <v>0</v>
      </c>
      <c r="J93" t="n">
        <v>0</v>
      </c>
      <c r="K93" t="n">
        <v>1</v>
      </c>
      <c r="L93" t="n">
        <v>0</v>
      </c>
      <c r="M93" t="n">
        <v>0</v>
      </c>
      <c r="N93" t="n">
        <v>0</v>
      </c>
      <c r="O93" t="n">
        <v>1</v>
      </c>
      <c r="P93" t="n">
        <v>1</v>
      </c>
      <c r="Q93" t="n">
        <v>1</v>
      </c>
      <c r="R93" s="2" t="inlineStr">
        <is>
          <t>Knärot</t>
        </is>
      </c>
      <c r="S93">
        <f>HYPERLINK("https://klasma.github.io/Logging_1981/artfynd/A 37166-2024 artfynd.xlsx", "A 37166-2024")</f>
        <v/>
      </c>
      <c r="T93">
        <f>HYPERLINK("https://klasma.github.io/Logging_1981/kartor/A 37166-2024 karta.png", "A 37166-2024")</f>
        <v/>
      </c>
      <c r="U93">
        <f>HYPERLINK("https://klasma.github.io/Logging_1981/knärot/A 37166-2024 karta knärot.png", "A 37166-2024")</f>
        <v/>
      </c>
      <c r="V93">
        <f>HYPERLINK("https://klasma.github.io/Logging_1981/klagomål/A 37166-2024 FSC-klagomål.docx", "A 37166-2024")</f>
        <v/>
      </c>
      <c r="W93">
        <f>HYPERLINK("https://klasma.github.io/Logging_1981/klagomålsmail/A 37166-2024 FSC-klagomål mail.docx", "A 37166-2024")</f>
        <v/>
      </c>
      <c r="X93">
        <f>HYPERLINK("https://klasma.github.io/Logging_1981/tillsyn/A 37166-2024 tillsynsbegäran.docx", "A 37166-2024")</f>
        <v/>
      </c>
      <c r="Y93">
        <f>HYPERLINK("https://klasma.github.io/Logging_1981/tillsynsmail/A 37166-2024 tillsynsbegäran mail.docx", "A 37166-2024")</f>
        <v/>
      </c>
    </row>
    <row r="94" ht="15" customHeight="1">
      <c r="A94" t="inlineStr">
        <is>
          <t>A 41270-2024</t>
        </is>
      </c>
      <c r="B94" s="1" t="n">
        <v>45559</v>
      </c>
      <c r="C94" s="1" t="n">
        <v>45842</v>
      </c>
      <c r="D94" t="inlineStr">
        <is>
          <t>VÄSTMANLANDS LÄN</t>
        </is>
      </c>
      <c r="E94" t="inlineStr">
        <is>
          <t>SALA</t>
        </is>
      </c>
      <c r="G94" t="n">
        <v>15.2</v>
      </c>
      <c r="H94" t="n">
        <v>1</v>
      </c>
      <c r="I94" t="n">
        <v>0</v>
      </c>
      <c r="J94" t="n">
        <v>1</v>
      </c>
      <c r="K94" t="n">
        <v>0</v>
      </c>
      <c r="L94" t="n">
        <v>0</v>
      </c>
      <c r="M94" t="n">
        <v>0</v>
      </c>
      <c r="N94" t="n">
        <v>0</v>
      </c>
      <c r="O94" t="n">
        <v>1</v>
      </c>
      <c r="P94" t="n">
        <v>0</v>
      </c>
      <c r="Q94" t="n">
        <v>1</v>
      </c>
      <c r="R94" s="2" t="inlineStr">
        <is>
          <t>Havsörn</t>
        </is>
      </c>
      <c r="S94">
        <f>HYPERLINK("https://klasma.github.io/Logging_1981/artfynd/A 41270-2024 artfynd.xlsx", "A 41270-2024")</f>
        <v/>
      </c>
      <c r="T94">
        <f>HYPERLINK("https://klasma.github.io/Logging_1981/kartor/A 41270-2024 karta.png", "A 41270-2024")</f>
        <v/>
      </c>
      <c r="V94">
        <f>HYPERLINK("https://klasma.github.io/Logging_1981/klagomål/A 41270-2024 FSC-klagomål.docx", "A 41270-2024")</f>
        <v/>
      </c>
      <c r="W94">
        <f>HYPERLINK("https://klasma.github.io/Logging_1981/klagomålsmail/A 41270-2024 FSC-klagomål mail.docx", "A 41270-2024")</f>
        <v/>
      </c>
      <c r="X94">
        <f>HYPERLINK("https://klasma.github.io/Logging_1981/tillsyn/A 41270-2024 tillsynsbegäran.docx", "A 41270-2024")</f>
        <v/>
      </c>
      <c r="Y94">
        <f>HYPERLINK("https://klasma.github.io/Logging_1981/tillsynsmail/A 41270-2024 tillsynsbegäran mail.docx", "A 41270-2024")</f>
        <v/>
      </c>
      <c r="Z94">
        <f>HYPERLINK("https://klasma.github.io/Logging_1981/fåglar/A 41270-2024 prioriterade fågelarter.docx", "A 41270-2024")</f>
        <v/>
      </c>
    </row>
    <row r="95" ht="15" customHeight="1">
      <c r="A95" t="inlineStr">
        <is>
          <t>A 43068-2024</t>
        </is>
      </c>
      <c r="B95" s="1" t="n">
        <v>45567</v>
      </c>
      <c r="C95" s="1" t="n">
        <v>45842</v>
      </c>
      <c r="D95" t="inlineStr">
        <is>
          <t>VÄSTMANLANDS LÄN</t>
        </is>
      </c>
      <c r="E95" t="inlineStr">
        <is>
          <t>SALA</t>
        </is>
      </c>
      <c r="G95" t="n">
        <v>1.1</v>
      </c>
      <c r="H95" t="n">
        <v>0</v>
      </c>
      <c r="I95" t="n">
        <v>1</v>
      </c>
      <c r="J95" t="n">
        <v>0</v>
      </c>
      <c r="K95" t="n">
        <v>0</v>
      </c>
      <c r="L95" t="n">
        <v>0</v>
      </c>
      <c r="M95" t="n">
        <v>0</v>
      </c>
      <c r="N95" t="n">
        <v>0</v>
      </c>
      <c r="O95" t="n">
        <v>0</v>
      </c>
      <c r="P95" t="n">
        <v>0</v>
      </c>
      <c r="Q95" t="n">
        <v>1</v>
      </c>
      <c r="R95" s="2" t="inlineStr">
        <is>
          <t>Vedticka</t>
        </is>
      </c>
      <c r="S95">
        <f>HYPERLINK("https://klasma.github.io/Logging_1981/artfynd/A 43068-2024 artfynd.xlsx", "A 43068-2024")</f>
        <v/>
      </c>
      <c r="T95">
        <f>HYPERLINK("https://klasma.github.io/Logging_1981/kartor/A 43068-2024 karta.png", "A 43068-2024")</f>
        <v/>
      </c>
      <c r="V95">
        <f>HYPERLINK("https://klasma.github.io/Logging_1981/klagomål/A 43068-2024 FSC-klagomål.docx", "A 43068-2024")</f>
        <v/>
      </c>
      <c r="W95">
        <f>HYPERLINK("https://klasma.github.io/Logging_1981/klagomålsmail/A 43068-2024 FSC-klagomål mail.docx", "A 43068-2024")</f>
        <v/>
      </c>
      <c r="X95">
        <f>HYPERLINK("https://klasma.github.io/Logging_1981/tillsyn/A 43068-2024 tillsynsbegäran.docx", "A 43068-2024")</f>
        <v/>
      </c>
      <c r="Y95">
        <f>HYPERLINK("https://klasma.github.io/Logging_1981/tillsynsmail/A 43068-2024 tillsynsbegäran mail.docx", "A 43068-2024")</f>
        <v/>
      </c>
    </row>
    <row r="96" ht="15" customHeight="1">
      <c r="A96" t="inlineStr">
        <is>
          <t>A 58711-2024</t>
        </is>
      </c>
      <c r="B96" s="1" t="n">
        <v>45635</v>
      </c>
      <c r="C96" s="1" t="n">
        <v>45842</v>
      </c>
      <c r="D96" t="inlineStr">
        <is>
          <t>VÄSTMANLANDS LÄN</t>
        </is>
      </c>
      <c r="E96" t="inlineStr">
        <is>
          <t>SALA</t>
        </is>
      </c>
      <c r="G96" t="n">
        <v>1.5</v>
      </c>
      <c r="H96" t="n">
        <v>1</v>
      </c>
      <c r="I96" t="n">
        <v>0</v>
      </c>
      <c r="J96" t="n">
        <v>0</v>
      </c>
      <c r="K96" t="n">
        <v>0</v>
      </c>
      <c r="L96" t="n">
        <v>0</v>
      </c>
      <c r="M96" t="n">
        <v>0</v>
      </c>
      <c r="N96" t="n">
        <v>0</v>
      </c>
      <c r="O96" t="n">
        <v>0</v>
      </c>
      <c r="P96" t="n">
        <v>0</v>
      </c>
      <c r="Q96" t="n">
        <v>1</v>
      </c>
      <c r="R96" s="2" t="inlineStr">
        <is>
          <t>Gröngöling</t>
        </is>
      </c>
      <c r="S96">
        <f>HYPERLINK("https://klasma.github.io/Logging_1981/artfynd/A 58711-2024 artfynd.xlsx", "A 58711-2024")</f>
        <v/>
      </c>
      <c r="T96">
        <f>HYPERLINK("https://klasma.github.io/Logging_1981/kartor/A 58711-2024 karta.png", "A 58711-2024")</f>
        <v/>
      </c>
      <c r="V96">
        <f>HYPERLINK("https://klasma.github.io/Logging_1981/klagomål/A 58711-2024 FSC-klagomål.docx", "A 58711-2024")</f>
        <v/>
      </c>
      <c r="W96">
        <f>HYPERLINK("https://klasma.github.io/Logging_1981/klagomålsmail/A 58711-2024 FSC-klagomål mail.docx", "A 58711-2024")</f>
        <v/>
      </c>
      <c r="X96">
        <f>HYPERLINK("https://klasma.github.io/Logging_1981/tillsyn/A 58711-2024 tillsynsbegäran.docx", "A 58711-2024")</f>
        <v/>
      </c>
      <c r="Y96">
        <f>HYPERLINK("https://klasma.github.io/Logging_1981/tillsynsmail/A 58711-2024 tillsynsbegäran mail.docx", "A 58711-2024")</f>
        <v/>
      </c>
      <c r="Z96">
        <f>HYPERLINK("https://klasma.github.io/Logging_1981/fåglar/A 58711-2024 prioriterade fågelarter.docx", "A 58711-2024")</f>
        <v/>
      </c>
    </row>
    <row r="97" ht="15" customHeight="1">
      <c r="A97" t="inlineStr">
        <is>
          <t>A 60852-2024</t>
        </is>
      </c>
      <c r="B97" s="1" t="n">
        <v>45644</v>
      </c>
      <c r="C97" s="1" t="n">
        <v>45842</v>
      </c>
      <c r="D97" t="inlineStr">
        <is>
          <t>VÄSTMANLANDS LÄN</t>
        </is>
      </c>
      <c r="E97" t="inlineStr">
        <is>
          <t>SALA</t>
        </is>
      </c>
      <c r="G97" t="n">
        <v>7.6</v>
      </c>
      <c r="H97" t="n">
        <v>1</v>
      </c>
      <c r="I97" t="n">
        <v>0</v>
      </c>
      <c r="J97" t="n">
        <v>0</v>
      </c>
      <c r="K97" t="n">
        <v>0</v>
      </c>
      <c r="L97" t="n">
        <v>0</v>
      </c>
      <c r="M97" t="n">
        <v>0</v>
      </c>
      <c r="N97" t="n">
        <v>0</v>
      </c>
      <c r="O97" t="n">
        <v>0</v>
      </c>
      <c r="P97" t="n">
        <v>0</v>
      </c>
      <c r="Q97" t="n">
        <v>1</v>
      </c>
      <c r="R97" s="2" t="inlineStr">
        <is>
          <t>Blåsippa</t>
        </is>
      </c>
      <c r="S97">
        <f>HYPERLINK("https://klasma.github.io/Logging_1981/artfynd/A 60852-2024 artfynd.xlsx", "A 60852-2024")</f>
        <v/>
      </c>
      <c r="T97">
        <f>HYPERLINK("https://klasma.github.io/Logging_1981/kartor/A 60852-2024 karta.png", "A 60852-2024")</f>
        <v/>
      </c>
      <c r="V97">
        <f>HYPERLINK("https://klasma.github.io/Logging_1981/klagomål/A 60852-2024 FSC-klagomål.docx", "A 60852-2024")</f>
        <v/>
      </c>
      <c r="W97">
        <f>HYPERLINK("https://klasma.github.io/Logging_1981/klagomålsmail/A 60852-2024 FSC-klagomål mail.docx", "A 60852-2024")</f>
        <v/>
      </c>
      <c r="X97">
        <f>HYPERLINK("https://klasma.github.io/Logging_1981/tillsyn/A 60852-2024 tillsynsbegäran.docx", "A 60852-2024")</f>
        <v/>
      </c>
      <c r="Y97">
        <f>HYPERLINK("https://klasma.github.io/Logging_1981/tillsynsmail/A 60852-2024 tillsynsbegäran mail.docx", "A 60852-2024")</f>
        <v/>
      </c>
    </row>
    <row r="98" ht="15" customHeight="1">
      <c r="A98" t="inlineStr">
        <is>
          <t>A 19361-2025</t>
        </is>
      </c>
      <c r="B98" s="1" t="n">
        <v>45769</v>
      </c>
      <c r="C98" s="1" t="n">
        <v>45842</v>
      </c>
      <c r="D98" t="inlineStr">
        <is>
          <t>VÄSTMANLANDS LÄN</t>
        </is>
      </c>
      <c r="E98" t="inlineStr">
        <is>
          <t>SALA</t>
        </is>
      </c>
      <c r="F98" t="inlineStr">
        <is>
          <t>Bergvik skog öst AB</t>
        </is>
      </c>
      <c r="G98" t="n">
        <v>8.9</v>
      </c>
      <c r="H98" t="n">
        <v>0</v>
      </c>
      <c r="I98" t="n">
        <v>0</v>
      </c>
      <c r="J98" t="n">
        <v>1</v>
      </c>
      <c r="K98" t="n">
        <v>0</v>
      </c>
      <c r="L98" t="n">
        <v>0</v>
      </c>
      <c r="M98" t="n">
        <v>0</v>
      </c>
      <c r="N98" t="n">
        <v>0</v>
      </c>
      <c r="O98" t="n">
        <v>1</v>
      </c>
      <c r="P98" t="n">
        <v>0</v>
      </c>
      <c r="Q98" t="n">
        <v>1</v>
      </c>
      <c r="R98" s="2" t="inlineStr">
        <is>
          <t>Garnlav</t>
        </is>
      </c>
      <c r="S98">
        <f>HYPERLINK("https://klasma.github.io/Logging_191981/artfynd/A 19361-2025 artfynd.xlsx", "A 19361-2025")</f>
        <v/>
      </c>
      <c r="T98">
        <f>HYPERLINK("https://klasma.github.io/Logging_191981/kartor/A 19361-2025 karta.png", "A 19361-2025")</f>
        <v/>
      </c>
      <c r="V98">
        <f>HYPERLINK("https://klasma.github.io/Logging_191981/klagomål/A 19361-2025 FSC-klagomål.docx", "A 19361-2025")</f>
        <v/>
      </c>
      <c r="W98">
        <f>HYPERLINK("https://klasma.github.io/Logging_191981/klagomålsmail/A 19361-2025 FSC-klagomål mail.docx", "A 19361-2025")</f>
        <v/>
      </c>
      <c r="X98">
        <f>HYPERLINK("https://klasma.github.io/Logging_191981/tillsyn/A 19361-2025 tillsynsbegäran.docx", "A 19361-2025")</f>
        <v/>
      </c>
      <c r="Y98">
        <f>HYPERLINK("https://klasma.github.io/Logging_191981/tillsynsmail/A 19361-2025 tillsynsbegäran mail.docx", "A 19361-2025")</f>
        <v/>
      </c>
    </row>
    <row r="99" ht="15" customHeight="1">
      <c r="A99" t="inlineStr">
        <is>
          <t>A 22950-2025</t>
        </is>
      </c>
      <c r="B99" s="1" t="n">
        <v>45790</v>
      </c>
      <c r="C99" s="1" t="n">
        <v>45842</v>
      </c>
      <c r="D99" t="inlineStr">
        <is>
          <t>VÄSTMANLANDS LÄN</t>
        </is>
      </c>
      <c r="E99" t="inlineStr">
        <is>
          <t>SALA</t>
        </is>
      </c>
      <c r="G99" t="n">
        <v>6.2</v>
      </c>
      <c r="H99" t="n">
        <v>1</v>
      </c>
      <c r="I99" t="n">
        <v>0</v>
      </c>
      <c r="J99" t="n">
        <v>1</v>
      </c>
      <c r="K99" t="n">
        <v>0</v>
      </c>
      <c r="L99" t="n">
        <v>0</v>
      </c>
      <c r="M99" t="n">
        <v>0</v>
      </c>
      <c r="N99" t="n">
        <v>0</v>
      </c>
      <c r="O99" t="n">
        <v>1</v>
      </c>
      <c r="P99" t="n">
        <v>0</v>
      </c>
      <c r="Q99" t="n">
        <v>1</v>
      </c>
      <c r="R99" s="2" t="inlineStr">
        <is>
          <t>Svartvit flugsnappare</t>
        </is>
      </c>
      <c r="S99">
        <f>HYPERLINK("https://klasma.github.io/Logging_191981/artfynd/A 22950-2025 artfynd.xlsx", "A 22950-2025")</f>
        <v/>
      </c>
      <c r="T99">
        <f>HYPERLINK("https://klasma.github.io/Logging_191981/kartor/A 22950-2025 karta.png", "A 22950-2025")</f>
        <v/>
      </c>
      <c r="V99">
        <f>HYPERLINK("https://klasma.github.io/Logging_191981/klagomål/A 22950-2025 FSC-klagomål.docx", "A 22950-2025")</f>
        <v/>
      </c>
      <c r="W99">
        <f>HYPERLINK("https://klasma.github.io/Logging_191981/klagomålsmail/A 22950-2025 FSC-klagomål mail.docx", "A 22950-2025")</f>
        <v/>
      </c>
      <c r="X99">
        <f>HYPERLINK("https://klasma.github.io/Logging_191981/tillsyn/A 22950-2025 tillsynsbegäran.docx", "A 22950-2025")</f>
        <v/>
      </c>
      <c r="Y99">
        <f>HYPERLINK("https://klasma.github.io/Logging_191981/tillsynsmail/A 22950-2025 tillsynsbegäran mail.docx", "A 22950-2025")</f>
        <v/>
      </c>
      <c r="Z99">
        <f>HYPERLINK("https://klasma.github.io/Logging_191981/fåglar/A 22950-2025 prioriterade fågelarter.docx", "A 22950-2025")</f>
        <v/>
      </c>
    </row>
    <row r="100" ht="15" customHeight="1">
      <c r="A100" t="inlineStr">
        <is>
          <t>A 32594-2025</t>
        </is>
      </c>
      <c r="B100" s="1" t="n">
        <v>45838</v>
      </c>
      <c r="C100" s="1" t="n">
        <v>45842</v>
      </c>
      <c r="D100" t="inlineStr">
        <is>
          <t>VÄSTMANLANDS LÄN</t>
        </is>
      </c>
      <c r="E100" t="inlineStr">
        <is>
          <t>SALA</t>
        </is>
      </c>
      <c r="F100" t="inlineStr">
        <is>
          <t>Bergvik skog öst AB</t>
        </is>
      </c>
      <c r="G100" t="n">
        <v>0.9</v>
      </c>
      <c r="H100" t="n">
        <v>1</v>
      </c>
      <c r="I100" t="n">
        <v>0</v>
      </c>
      <c r="J100" t="n">
        <v>0</v>
      </c>
      <c r="K100" t="n">
        <v>0</v>
      </c>
      <c r="L100" t="n">
        <v>0</v>
      </c>
      <c r="M100" t="n">
        <v>0</v>
      </c>
      <c r="N100" t="n">
        <v>0</v>
      </c>
      <c r="O100" t="n">
        <v>0</v>
      </c>
      <c r="P100" t="n">
        <v>0</v>
      </c>
      <c r="Q100" t="n">
        <v>1</v>
      </c>
      <c r="R100" s="2" t="inlineStr">
        <is>
          <t>Blåsippa</t>
        </is>
      </c>
      <c r="S100">
        <f>HYPERLINK("https://klasma.github.io/Logging_191981/artfynd/A 32594-2025 artfynd.xlsx", "A 32594-2025")</f>
        <v/>
      </c>
      <c r="T100">
        <f>HYPERLINK("https://klasma.github.io/Logging_191981/kartor/A 32594-2025 karta.png", "A 32594-2025")</f>
        <v/>
      </c>
      <c r="V100">
        <f>HYPERLINK("https://klasma.github.io/Logging_191981/klagomål/A 32594-2025 FSC-klagomål.docx", "A 32594-2025")</f>
        <v/>
      </c>
      <c r="W100">
        <f>HYPERLINK("https://klasma.github.io/Logging_191981/klagomålsmail/A 32594-2025 FSC-klagomål mail.docx", "A 32594-2025")</f>
        <v/>
      </c>
      <c r="X100">
        <f>HYPERLINK("https://klasma.github.io/Logging_191981/tillsyn/A 32594-2025 tillsynsbegäran.docx", "A 32594-2025")</f>
        <v/>
      </c>
      <c r="Y100">
        <f>HYPERLINK("https://klasma.github.io/Logging_191981/tillsynsmail/A 32594-2025 tillsynsbegäran mail.docx", "A 32594-2025")</f>
        <v/>
      </c>
    </row>
    <row r="101" ht="15" customHeight="1">
      <c r="A101" t="inlineStr">
        <is>
          <t>A 18255-2019</t>
        </is>
      </c>
      <c r="B101" s="1" t="n">
        <v>43558</v>
      </c>
      <c r="C101" s="1" t="n">
        <v>45842</v>
      </c>
      <c r="D101" t="inlineStr">
        <is>
          <t>VÄSTMANLANDS LÄN</t>
        </is>
      </c>
      <c r="E101" t="inlineStr">
        <is>
          <t>SALA</t>
        </is>
      </c>
      <c r="F101" t="inlineStr">
        <is>
          <t>Kommuner</t>
        </is>
      </c>
      <c r="G101" t="n">
        <v>2.2</v>
      </c>
      <c r="H101" t="n">
        <v>0</v>
      </c>
      <c r="I101" t="n">
        <v>0</v>
      </c>
      <c r="J101" t="n">
        <v>0</v>
      </c>
      <c r="K101" t="n">
        <v>0</v>
      </c>
      <c r="L101" t="n">
        <v>0</v>
      </c>
      <c r="M101" t="n">
        <v>0</v>
      </c>
      <c r="N101" t="n">
        <v>0</v>
      </c>
      <c r="O101" t="n">
        <v>0</v>
      </c>
      <c r="P101" t="n">
        <v>0</v>
      </c>
      <c r="Q101" t="n">
        <v>0</v>
      </c>
      <c r="R101" s="2" t="inlineStr"/>
    </row>
    <row r="102" ht="15" customHeight="1">
      <c r="A102" t="inlineStr">
        <is>
          <t>A 18352-2019</t>
        </is>
      </c>
      <c r="B102" s="1" t="n">
        <v>43559</v>
      </c>
      <c r="C102" s="1" t="n">
        <v>45842</v>
      </c>
      <c r="D102" t="inlineStr">
        <is>
          <t>VÄSTMANLANDS LÄN</t>
        </is>
      </c>
      <c r="E102" t="inlineStr">
        <is>
          <t>SALA</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18791-2019</t>
        </is>
      </c>
      <c r="B103" s="1" t="n">
        <v>43562</v>
      </c>
      <c r="C103" s="1" t="n">
        <v>45842</v>
      </c>
      <c r="D103" t="inlineStr">
        <is>
          <t>VÄSTMANLANDS LÄN</t>
        </is>
      </c>
      <c r="E103" t="inlineStr">
        <is>
          <t>SALA</t>
        </is>
      </c>
      <c r="G103" t="n">
        <v>3.4</v>
      </c>
      <c r="H103" t="n">
        <v>0</v>
      </c>
      <c r="I103" t="n">
        <v>0</v>
      </c>
      <c r="J103" t="n">
        <v>0</v>
      </c>
      <c r="K103" t="n">
        <v>0</v>
      </c>
      <c r="L103" t="n">
        <v>0</v>
      </c>
      <c r="M103" t="n">
        <v>0</v>
      </c>
      <c r="N103" t="n">
        <v>0</v>
      </c>
      <c r="O103" t="n">
        <v>0</v>
      </c>
      <c r="P103" t="n">
        <v>0</v>
      </c>
      <c r="Q103" t="n">
        <v>0</v>
      </c>
      <c r="R103" s="2" t="inlineStr"/>
    </row>
    <row r="104" ht="15" customHeight="1">
      <c r="A104" t="inlineStr">
        <is>
          <t>A 18961-2019</t>
        </is>
      </c>
      <c r="B104" s="1" t="n">
        <v>43563</v>
      </c>
      <c r="C104" s="1" t="n">
        <v>45842</v>
      </c>
      <c r="D104" t="inlineStr">
        <is>
          <t>VÄSTMANLANDS LÄN</t>
        </is>
      </c>
      <c r="E104" t="inlineStr">
        <is>
          <t>SALA</t>
        </is>
      </c>
      <c r="F104" t="inlineStr">
        <is>
          <t>Kommuner</t>
        </is>
      </c>
      <c r="G104" t="n">
        <v>1.5</v>
      </c>
      <c r="H104" t="n">
        <v>0</v>
      </c>
      <c r="I104" t="n">
        <v>0</v>
      </c>
      <c r="J104" t="n">
        <v>0</v>
      </c>
      <c r="K104" t="n">
        <v>0</v>
      </c>
      <c r="L104" t="n">
        <v>0</v>
      </c>
      <c r="M104" t="n">
        <v>0</v>
      </c>
      <c r="N104" t="n">
        <v>0</v>
      </c>
      <c r="O104" t="n">
        <v>0</v>
      </c>
      <c r="P104" t="n">
        <v>0</v>
      </c>
      <c r="Q104" t="n">
        <v>0</v>
      </c>
      <c r="R104" s="2" t="inlineStr"/>
    </row>
    <row r="105" ht="15" customHeight="1">
      <c r="A105" t="inlineStr">
        <is>
          <t>A 19869-2019</t>
        </is>
      </c>
      <c r="B105" s="1" t="n">
        <v>43567</v>
      </c>
      <c r="C105" s="1" t="n">
        <v>45842</v>
      </c>
      <c r="D105" t="inlineStr">
        <is>
          <t>VÄSTMANLANDS LÄN</t>
        </is>
      </c>
      <c r="E105" t="inlineStr">
        <is>
          <t>SALA</t>
        </is>
      </c>
      <c r="G105" t="n">
        <v>1.6</v>
      </c>
      <c r="H105" t="n">
        <v>0</v>
      </c>
      <c r="I105" t="n">
        <v>0</v>
      </c>
      <c r="J105" t="n">
        <v>0</v>
      </c>
      <c r="K105" t="n">
        <v>0</v>
      </c>
      <c r="L105" t="n">
        <v>0</v>
      </c>
      <c r="M105" t="n">
        <v>0</v>
      </c>
      <c r="N105" t="n">
        <v>0</v>
      </c>
      <c r="O105" t="n">
        <v>0</v>
      </c>
      <c r="P105" t="n">
        <v>0</v>
      </c>
      <c r="Q105" t="n">
        <v>0</v>
      </c>
      <c r="R105" s="2" t="inlineStr"/>
    </row>
    <row r="106" ht="15" customHeight="1">
      <c r="A106" t="inlineStr">
        <is>
          <t>A 21985-2019</t>
        </is>
      </c>
      <c r="B106" s="1" t="n">
        <v>43584</v>
      </c>
      <c r="C106" s="1" t="n">
        <v>45842</v>
      </c>
      <c r="D106" t="inlineStr">
        <is>
          <t>VÄSTMANLANDS LÄN</t>
        </is>
      </c>
      <c r="E106" t="inlineStr">
        <is>
          <t>SALA</t>
        </is>
      </c>
      <c r="G106" t="n">
        <v>1.7</v>
      </c>
      <c r="H106" t="n">
        <v>0</v>
      </c>
      <c r="I106" t="n">
        <v>0</v>
      </c>
      <c r="J106" t="n">
        <v>0</v>
      </c>
      <c r="K106" t="n">
        <v>0</v>
      </c>
      <c r="L106" t="n">
        <v>0</v>
      </c>
      <c r="M106" t="n">
        <v>0</v>
      </c>
      <c r="N106" t="n">
        <v>0</v>
      </c>
      <c r="O106" t="n">
        <v>0</v>
      </c>
      <c r="P106" t="n">
        <v>0</v>
      </c>
      <c r="Q106" t="n">
        <v>0</v>
      </c>
      <c r="R106" s="2" t="inlineStr"/>
    </row>
    <row r="107" ht="15" customHeight="1">
      <c r="A107" t="inlineStr">
        <is>
          <t>A 22249-2019</t>
        </is>
      </c>
      <c r="B107" s="1" t="n">
        <v>43585</v>
      </c>
      <c r="C107" s="1" t="n">
        <v>45842</v>
      </c>
      <c r="D107" t="inlineStr">
        <is>
          <t>VÄSTMANLANDS LÄN</t>
        </is>
      </c>
      <c r="E107" t="inlineStr">
        <is>
          <t>SALA</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22833-2019</t>
        </is>
      </c>
      <c r="B108" s="1" t="n">
        <v>43591</v>
      </c>
      <c r="C108" s="1" t="n">
        <v>45842</v>
      </c>
      <c r="D108" t="inlineStr">
        <is>
          <t>VÄSTMANLANDS LÄN</t>
        </is>
      </c>
      <c r="E108" t="inlineStr">
        <is>
          <t>SALA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25005-2019</t>
        </is>
      </c>
      <c r="B109" s="1" t="n">
        <v>43602</v>
      </c>
      <c r="C109" s="1" t="n">
        <v>45842</v>
      </c>
      <c r="D109" t="inlineStr">
        <is>
          <t>VÄSTMANLANDS LÄN</t>
        </is>
      </c>
      <c r="E109" t="inlineStr">
        <is>
          <t>SALA</t>
        </is>
      </c>
      <c r="F109" t="inlineStr">
        <is>
          <t>Kommuner</t>
        </is>
      </c>
      <c r="G109" t="n">
        <v>4.3</v>
      </c>
      <c r="H109" t="n">
        <v>0</v>
      </c>
      <c r="I109" t="n">
        <v>0</v>
      </c>
      <c r="J109" t="n">
        <v>0</v>
      </c>
      <c r="K109" t="n">
        <v>0</v>
      </c>
      <c r="L109" t="n">
        <v>0</v>
      </c>
      <c r="M109" t="n">
        <v>0</v>
      </c>
      <c r="N109" t="n">
        <v>0</v>
      </c>
      <c r="O109" t="n">
        <v>0</v>
      </c>
      <c r="P109" t="n">
        <v>0</v>
      </c>
      <c r="Q109" t="n">
        <v>0</v>
      </c>
      <c r="R109" s="2" t="inlineStr"/>
    </row>
    <row r="110" ht="15" customHeight="1">
      <c r="A110" t="inlineStr">
        <is>
          <t>A 25814-2019</t>
        </is>
      </c>
      <c r="B110" s="1" t="n">
        <v>43608</v>
      </c>
      <c r="C110" s="1" t="n">
        <v>45842</v>
      </c>
      <c r="D110" t="inlineStr">
        <is>
          <t>VÄSTMANLANDS LÄN</t>
        </is>
      </c>
      <c r="E110" t="inlineStr">
        <is>
          <t>SALA</t>
        </is>
      </c>
      <c r="G110" t="n">
        <v>2.1</v>
      </c>
      <c r="H110" t="n">
        <v>0</v>
      </c>
      <c r="I110" t="n">
        <v>0</v>
      </c>
      <c r="J110" t="n">
        <v>0</v>
      </c>
      <c r="K110" t="n">
        <v>0</v>
      </c>
      <c r="L110" t="n">
        <v>0</v>
      </c>
      <c r="M110" t="n">
        <v>0</v>
      </c>
      <c r="N110" t="n">
        <v>0</v>
      </c>
      <c r="O110" t="n">
        <v>0</v>
      </c>
      <c r="P110" t="n">
        <v>0</v>
      </c>
      <c r="Q110" t="n">
        <v>0</v>
      </c>
      <c r="R110" s="2" t="inlineStr"/>
    </row>
    <row r="111" ht="15" customHeight="1">
      <c r="A111" t="inlineStr">
        <is>
          <t>A 26861-2019</t>
        </is>
      </c>
      <c r="B111" s="1" t="n">
        <v>43613</v>
      </c>
      <c r="C111" s="1" t="n">
        <v>45842</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27164-2019</t>
        </is>
      </c>
      <c r="B112" s="1" t="n">
        <v>43614</v>
      </c>
      <c r="C112" s="1" t="n">
        <v>45842</v>
      </c>
      <c r="D112" t="inlineStr">
        <is>
          <t>VÄSTMANLANDS LÄN</t>
        </is>
      </c>
      <c r="E112" t="inlineStr">
        <is>
          <t>SALA</t>
        </is>
      </c>
      <c r="G112" t="n">
        <v>1.9</v>
      </c>
      <c r="H112" t="n">
        <v>0</v>
      </c>
      <c r="I112" t="n">
        <v>0</v>
      </c>
      <c r="J112" t="n">
        <v>0</v>
      </c>
      <c r="K112" t="n">
        <v>0</v>
      </c>
      <c r="L112" t="n">
        <v>0</v>
      </c>
      <c r="M112" t="n">
        <v>0</v>
      </c>
      <c r="N112" t="n">
        <v>0</v>
      </c>
      <c r="O112" t="n">
        <v>0</v>
      </c>
      <c r="P112" t="n">
        <v>0</v>
      </c>
      <c r="Q112" t="n">
        <v>0</v>
      </c>
      <c r="R112" s="2" t="inlineStr"/>
    </row>
    <row r="113" ht="15" customHeight="1">
      <c r="A113" t="inlineStr">
        <is>
          <t>A 27040-2019</t>
        </is>
      </c>
      <c r="B113" s="1" t="n">
        <v>43614</v>
      </c>
      <c r="C113" s="1" t="n">
        <v>45842</v>
      </c>
      <c r="D113" t="inlineStr">
        <is>
          <t>VÄSTMANLANDS LÄN</t>
        </is>
      </c>
      <c r="E113" t="inlineStr">
        <is>
          <t>SALA</t>
        </is>
      </c>
      <c r="G113" t="n">
        <v>1.4</v>
      </c>
      <c r="H113" t="n">
        <v>0</v>
      </c>
      <c r="I113" t="n">
        <v>0</v>
      </c>
      <c r="J113" t="n">
        <v>0</v>
      </c>
      <c r="K113" t="n">
        <v>0</v>
      </c>
      <c r="L113" t="n">
        <v>0</v>
      </c>
      <c r="M113" t="n">
        <v>0</v>
      </c>
      <c r="N113" t="n">
        <v>0</v>
      </c>
      <c r="O113" t="n">
        <v>0</v>
      </c>
      <c r="P113" t="n">
        <v>0</v>
      </c>
      <c r="Q113" t="n">
        <v>0</v>
      </c>
      <c r="R113" s="2" t="inlineStr"/>
    </row>
    <row r="114" ht="15" customHeight="1">
      <c r="A114" t="inlineStr">
        <is>
          <t>A 28132-2019</t>
        </is>
      </c>
      <c r="B114" s="1" t="n">
        <v>43621</v>
      </c>
      <c r="C114" s="1" t="n">
        <v>45842</v>
      </c>
      <c r="D114" t="inlineStr">
        <is>
          <t>VÄSTMANLANDS LÄN</t>
        </is>
      </c>
      <c r="E114" t="inlineStr">
        <is>
          <t>SALA</t>
        </is>
      </c>
      <c r="G114" t="n">
        <v>2.4</v>
      </c>
      <c r="H114" t="n">
        <v>0</v>
      </c>
      <c r="I114" t="n">
        <v>0</v>
      </c>
      <c r="J114" t="n">
        <v>0</v>
      </c>
      <c r="K114" t="n">
        <v>0</v>
      </c>
      <c r="L114" t="n">
        <v>0</v>
      </c>
      <c r="M114" t="n">
        <v>0</v>
      </c>
      <c r="N114" t="n">
        <v>0</v>
      </c>
      <c r="O114" t="n">
        <v>0</v>
      </c>
      <c r="P114" t="n">
        <v>0</v>
      </c>
      <c r="Q114" t="n">
        <v>0</v>
      </c>
      <c r="R114" s="2" t="inlineStr"/>
    </row>
    <row r="115" ht="15" customHeight="1">
      <c r="A115" t="inlineStr">
        <is>
          <t>A 28143-2019</t>
        </is>
      </c>
      <c r="B115" s="1" t="n">
        <v>43621</v>
      </c>
      <c r="C115" s="1" t="n">
        <v>45842</v>
      </c>
      <c r="D115" t="inlineStr">
        <is>
          <t>VÄSTMANLANDS LÄN</t>
        </is>
      </c>
      <c r="E115" t="inlineStr">
        <is>
          <t>SALA</t>
        </is>
      </c>
      <c r="G115" t="n">
        <v>2.3</v>
      </c>
      <c r="H115" t="n">
        <v>0</v>
      </c>
      <c r="I115" t="n">
        <v>0</v>
      </c>
      <c r="J115" t="n">
        <v>0</v>
      </c>
      <c r="K115" t="n">
        <v>0</v>
      </c>
      <c r="L115" t="n">
        <v>0</v>
      </c>
      <c r="M115" t="n">
        <v>0</v>
      </c>
      <c r="N115" t="n">
        <v>0</v>
      </c>
      <c r="O115" t="n">
        <v>0</v>
      </c>
      <c r="P115" t="n">
        <v>0</v>
      </c>
      <c r="Q115" t="n">
        <v>0</v>
      </c>
      <c r="R115" s="2" t="inlineStr"/>
    </row>
    <row r="116" ht="15" customHeight="1">
      <c r="A116" t="inlineStr">
        <is>
          <t>A 28162-2019</t>
        </is>
      </c>
      <c r="B116" s="1" t="n">
        <v>43621</v>
      </c>
      <c r="C116" s="1" t="n">
        <v>45842</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29023-2019</t>
        </is>
      </c>
      <c r="B117" s="1" t="n">
        <v>43628</v>
      </c>
      <c r="C117" s="1" t="n">
        <v>45842</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29331-2019</t>
        </is>
      </c>
      <c r="B118" s="1" t="n">
        <v>43629</v>
      </c>
      <c r="C118" s="1" t="n">
        <v>45842</v>
      </c>
      <c r="D118" t="inlineStr">
        <is>
          <t>VÄSTMANLANDS LÄN</t>
        </is>
      </c>
      <c r="E118" t="inlineStr">
        <is>
          <t>SALA</t>
        </is>
      </c>
      <c r="G118" t="n">
        <v>5</v>
      </c>
      <c r="H118" t="n">
        <v>0</v>
      </c>
      <c r="I118" t="n">
        <v>0</v>
      </c>
      <c r="J118" t="n">
        <v>0</v>
      </c>
      <c r="K118" t="n">
        <v>0</v>
      </c>
      <c r="L118" t="n">
        <v>0</v>
      </c>
      <c r="M118" t="n">
        <v>0</v>
      </c>
      <c r="N118" t="n">
        <v>0</v>
      </c>
      <c r="O118" t="n">
        <v>0</v>
      </c>
      <c r="P118" t="n">
        <v>0</v>
      </c>
      <c r="Q118" t="n">
        <v>0</v>
      </c>
      <c r="R118" s="2" t="inlineStr"/>
    </row>
    <row r="119" ht="15" customHeight="1">
      <c r="A119" t="inlineStr">
        <is>
          <t>A 31225-2019</t>
        </is>
      </c>
      <c r="B119" s="1" t="n">
        <v>43635</v>
      </c>
      <c r="C119" s="1" t="n">
        <v>45842</v>
      </c>
      <c r="D119" t="inlineStr">
        <is>
          <t>VÄSTMANLANDS LÄN</t>
        </is>
      </c>
      <c r="E119" t="inlineStr">
        <is>
          <t>SALA</t>
        </is>
      </c>
      <c r="G119" t="n">
        <v>1.5</v>
      </c>
      <c r="H119" t="n">
        <v>0</v>
      </c>
      <c r="I119" t="n">
        <v>0</v>
      </c>
      <c r="J119" t="n">
        <v>0</v>
      </c>
      <c r="K119" t="n">
        <v>0</v>
      </c>
      <c r="L119" t="n">
        <v>0</v>
      </c>
      <c r="M119" t="n">
        <v>0</v>
      </c>
      <c r="N119" t="n">
        <v>0</v>
      </c>
      <c r="O119" t="n">
        <v>0</v>
      </c>
      <c r="P119" t="n">
        <v>0</v>
      </c>
      <c r="Q119" t="n">
        <v>0</v>
      </c>
      <c r="R119" s="2" t="inlineStr"/>
    </row>
    <row r="120" ht="15" customHeight="1">
      <c r="A120" t="inlineStr">
        <is>
          <t>A 30974-2019</t>
        </is>
      </c>
      <c r="B120" s="1" t="n">
        <v>43639</v>
      </c>
      <c r="C120" s="1" t="n">
        <v>45842</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34709-2019</t>
        </is>
      </c>
      <c r="B121" s="1" t="n">
        <v>43648</v>
      </c>
      <c r="C121" s="1" t="n">
        <v>45842</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35690-2019</t>
        </is>
      </c>
      <c r="B122" s="1" t="n">
        <v>43664</v>
      </c>
      <c r="C122" s="1" t="n">
        <v>45842</v>
      </c>
      <c r="D122" t="inlineStr">
        <is>
          <t>VÄSTMANLANDS LÄN</t>
        </is>
      </c>
      <c r="E122" t="inlineStr">
        <is>
          <t>SALA</t>
        </is>
      </c>
      <c r="G122" t="n">
        <v>3.1</v>
      </c>
      <c r="H122" t="n">
        <v>0</v>
      </c>
      <c r="I122" t="n">
        <v>0</v>
      </c>
      <c r="J122" t="n">
        <v>0</v>
      </c>
      <c r="K122" t="n">
        <v>0</v>
      </c>
      <c r="L122" t="n">
        <v>0</v>
      </c>
      <c r="M122" t="n">
        <v>0</v>
      </c>
      <c r="N122" t="n">
        <v>0</v>
      </c>
      <c r="O122" t="n">
        <v>0</v>
      </c>
      <c r="P122" t="n">
        <v>0</v>
      </c>
      <c r="Q122" t="n">
        <v>0</v>
      </c>
      <c r="R122" s="2" t="inlineStr"/>
    </row>
    <row r="123" ht="15" customHeight="1">
      <c r="A123" t="inlineStr">
        <is>
          <t>A 36142-2019</t>
        </is>
      </c>
      <c r="B123" s="1" t="n">
        <v>43668</v>
      </c>
      <c r="C123" s="1" t="n">
        <v>45842</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36429-2019</t>
        </is>
      </c>
      <c r="B124" s="1" t="n">
        <v>43670</v>
      </c>
      <c r="C124" s="1" t="n">
        <v>45842</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36600-2019</t>
        </is>
      </c>
      <c r="B125" s="1" t="n">
        <v>43671</v>
      </c>
      <c r="C125" s="1" t="n">
        <v>45842</v>
      </c>
      <c r="D125" t="inlineStr">
        <is>
          <t>VÄSTMANLANDS LÄN</t>
        </is>
      </c>
      <c r="E125" t="inlineStr">
        <is>
          <t>SALA</t>
        </is>
      </c>
      <c r="F125" t="inlineStr">
        <is>
          <t>Kyrkan</t>
        </is>
      </c>
      <c r="G125" t="n">
        <v>4.3</v>
      </c>
      <c r="H125" t="n">
        <v>0</v>
      </c>
      <c r="I125" t="n">
        <v>0</v>
      </c>
      <c r="J125" t="n">
        <v>0</v>
      </c>
      <c r="K125" t="n">
        <v>0</v>
      </c>
      <c r="L125" t="n">
        <v>0</v>
      </c>
      <c r="M125" t="n">
        <v>0</v>
      </c>
      <c r="N125" t="n">
        <v>0</v>
      </c>
      <c r="O125" t="n">
        <v>0</v>
      </c>
      <c r="P125" t="n">
        <v>0</v>
      </c>
      <c r="Q125" t="n">
        <v>0</v>
      </c>
      <c r="R125" s="2" t="inlineStr"/>
    </row>
    <row r="126" ht="15" customHeight="1">
      <c r="A126" t="inlineStr">
        <is>
          <t>A 37186-2019</t>
        </is>
      </c>
      <c r="B126" s="1" t="n">
        <v>43677</v>
      </c>
      <c r="C126" s="1" t="n">
        <v>45842</v>
      </c>
      <c r="D126" t="inlineStr">
        <is>
          <t>VÄSTMANLANDS LÄN</t>
        </is>
      </c>
      <c r="E126" t="inlineStr">
        <is>
          <t>SALA</t>
        </is>
      </c>
      <c r="G126" t="n">
        <v>1.8</v>
      </c>
      <c r="H126" t="n">
        <v>0</v>
      </c>
      <c r="I126" t="n">
        <v>0</v>
      </c>
      <c r="J126" t="n">
        <v>0</v>
      </c>
      <c r="K126" t="n">
        <v>0</v>
      </c>
      <c r="L126" t="n">
        <v>0</v>
      </c>
      <c r="M126" t="n">
        <v>0</v>
      </c>
      <c r="N126" t="n">
        <v>0</v>
      </c>
      <c r="O126" t="n">
        <v>0</v>
      </c>
      <c r="P126" t="n">
        <v>0</v>
      </c>
      <c r="Q126" t="n">
        <v>0</v>
      </c>
      <c r="R126" s="2" t="inlineStr"/>
    </row>
    <row r="127" ht="15" customHeight="1">
      <c r="A127" t="inlineStr">
        <is>
          <t>A 37533-2019</t>
        </is>
      </c>
      <c r="B127" s="1" t="n">
        <v>43679</v>
      </c>
      <c r="C127" s="1" t="n">
        <v>45842</v>
      </c>
      <c r="D127" t="inlineStr">
        <is>
          <t>VÄSTMANLANDS LÄN</t>
        </is>
      </c>
      <c r="E127" t="inlineStr">
        <is>
          <t>SALA</t>
        </is>
      </c>
      <c r="G127" t="n">
        <v>7.9</v>
      </c>
      <c r="H127" t="n">
        <v>0</v>
      </c>
      <c r="I127" t="n">
        <v>0</v>
      </c>
      <c r="J127" t="n">
        <v>0</v>
      </c>
      <c r="K127" t="n">
        <v>0</v>
      </c>
      <c r="L127" t="n">
        <v>0</v>
      </c>
      <c r="M127" t="n">
        <v>0</v>
      </c>
      <c r="N127" t="n">
        <v>0</v>
      </c>
      <c r="O127" t="n">
        <v>0</v>
      </c>
      <c r="P127" t="n">
        <v>0</v>
      </c>
      <c r="Q127" t="n">
        <v>0</v>
      </c>
      <c r="R127" s="2" t="inlineStr"/>
    </row>
    <row r="128" ht="15" customHeight="1">
      <c r="A128" t="inlineStr">
        <is>
          <t>A 38645-2019</t>
        </is>
      </c>
      <c r="B128" s="1" t="n">
        <v>43686</v>
      </c>
      <c r="C128" s="1" t="n">
        <v>45842</v>
      </c>
      <c r="D128" t="inlineStr">
        <is>
          <t>VÄSTMANLANDS LÄN</t>
        </is>
      </c>
      <c r="E128" t="inlineStr">
        <is>
          <t>SALA</t>
        </is>
      </c>
      <c r="G128" t="n">
        <v>1.5</v>
      </c>
      <c r="H128" t="n">
        <v>0</v>
      </c>
      <c r="I128" t="n">
        <v>0</v>
      </c>
      <c r="J128" t="n">
        <v>0</v>
      </c>
      <c r="K128" t="n">
        <v>0</v>
      </c>
      <c r="L128" t="n">
        <v>0</v>
      </c>
      <c r="M128" t="n">
        <v>0</v>
      </c>
      <c r="N128" t="n">
        <v>0</v>
      </c>
      <c r="O128" t="n">
        <v>0</v>
      </c>
      <c r="P128" t="n">
        <v>0</v>
      </c>
      <c r="Q128" t="n">
        <v>0</v>
      </c>
      <c r="R128" s="2" t="inlineStr"/>
    </row>
    <row r="129" ht="15" customHeight="1">
      <c r="A129" t="inlineStr">
        <is>
          <t>A 41259-2019</t>
        </is>
      </c>
      <c r="B129" s="1" t="n">
        <v>43698</v>
      </c>
      <c r="C129" s="1" t="n">
        <v>45842</v>
      </c>
      <c r="D129" t="inlineStr">
        <is>
          <t>VÄSTMANLANDS LÄN</t>
        </is>
      </c>
      <c r="E129" t="inlineStr">
        <is>
          <t>SALA</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45302-2019</t>
        </is>
      </c>
      <c r="B130" s="1" t="n">
        <v>43707</v>
      </c>
      <c r="C130" s="1" t="n">
        <v>45842</v>
      </c>
      <c r="D130" t="inlineStr">
        <is>
          <t>VÄSTMANLANDS LÄN</t>
        </is>
      </c>
      <c r="E130" t="inlineStr">
        <is>
          <t>SALA</t>
        </is>
      </c>
      <c r="G130" t="n">
        <v>2.1</v>
      </c>
      <c r="H130" t="n">
        <v>0</v>
      </c>
      <c r="I130" t="n">
        <v>0</v>
      </c>
      <c r="J130" t="n">
        <v>0</v>
      </c>
      <c r="K130" t="n">
        <v>0</v>
      </c>
      <c r="L130" t="n">
        <v>0</v>
      </c>
      <c r="M130" t="n">
        <v>0</v>
      </c>
      <c r="N130" t="n">
        <v>0</v>
      </c>
      <c r="O130" t="n">
        <v>0</v>
      </c>
      <c r="P130" t="n">
        <v>0</v>
      </c>
      <c r="Q130" t="n">
        <v>0</v>
      </c>
      <c r="R130" s="2" t="inlineStr"/>
    </row>
    <row r="131" ht="15" customHeight="1">
      <c r="A131" t="inlineStr">
        <is>
          <t>A 46936-2019</t>
        </is>
      </c>
      <c r="B131" s="1" t="n">
        <v>43719</v>
      </c>
      <c r="C131" s="1" t="n">
        <v>45842</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48617-2019</t>
        </is>
      </c>
      <c r="B132" s="1" t="n">
        <v>43727</v>
      </c>
      <c r="C132" s="1" t="n">
        <v>45842</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48681-2019</t>
        </is>
      </c>
      <c r="B133" s="1" t="n">
        <v>43728</v>
      </c>
      <c r="C133" s="1" t="n">
        <v>45842</v>
      </c>
      <c r="D133" t="inlineStr">
        <is>
          <t>VÄSTMANLANDS LÄN</t>
        </is>
      </c>
      <c r="E133" t="inlineStr">
        <is>
          <t>SALA</t>
        </is>
      </c>
      <c r="G133" t="n">
        <v>1.9</v>
      </c>
      <c r="H133" t="n">
        <v>0</v>
      </c>
      <c r="I133" t="n">
        <v>0</v>
      </c>
      <c r="J133" t="n">
        <v>0</v>
      </c>
      <c r="K133" t="n">
        <v>0</v>
      </c>
      <c r="L133" t="n">
        <v>0</v>
      </c>
      <c r="M133" t="n">
        <v>0</v>
      </c>
      <c r="N133" t="n">
        <v>0</v>
      </c>
      <c r="O133" t="n">
        <v>0</v>
      </c>
      <c r="P133" t="n">
        <v>0</v>
      </c>
      <c r="Q133" t="n">
        <v>0</v>
      </c>
      <c r="R133" s="2" t="inlineStr"/>
    </row>
    <row r="134" ht="15" customHeight="1">
      <c r="A134" t="inlineStr">
        <is>
          <t>A 52756-2019</t>
        </is>
      </c>
      <c r="B134" s="1" t="n">
        <v>43739</v>
      </c>
      <c r="C134" s="1" t="n">
        <v>45842</v>
      </c>
      <c r="D134" t="inlineStr">
        <is>
          <t>VÄSTMANLANDS LÄN</t>
        </is>
      </c>
      <c r="E134" t="inlineStr">
        <is>
          <t>SALA</t>
        </is>
      </c>
      <c r="G134" t="n">
        <v>4.2</v>
      </c>
      <c r="H134" t="n">
        <v>0</v>
      </c>
      <c r="I134" t="n">
        <v>0</v>
      </c>
      <c r="J134" t="n">
        <v>0</v>
      </c>
      <c r="K134" t="n">
        <v>0</v>
      </c>
      <c r="L134" t="n">
        <v>0</v>
      </c>
      <c r="M134" t="n">
        <v>0</v>
      </c>
      <c r="N134" t="n">
        <v>0</v>
      </c>
      <c r="O134" t="n">
        <v>0</v>
      </c>
      <c r="P134" t="n">
        <v>0</v>
      </c>
      <c r="Q134" t="n">
        <v>0</v>
      </c>
      <c r="R134" s="2" t="inlineStr"/>
    </row>
    <row r="135" ht="15" customHeight="1">
      <c r="A135" t="inlineStr">
        <is>
          <t>A 51854-2019</t>
        </is>
      </c>
      <c r="B135" s="1" t="n">
        <v>43741</v>
      </c>
      <c r="C135" s="1" t="n">
        <v>45842</v>
      </c>
      <c r="D135" t="inlineStr">
        <is>
          <t>VÄSTMANLANDS LÄN</t>
        </is>
      </c>
      <c r="E135" t="inlineStr">
        <is>
          <t>SALA</t>
        </is>
      </c>
      <c r="G135" t="n">
        <v>2</v>
      </c>
      <c r="H135" t="n">
        <v>0</v>
      </c>
      <c r="I135" t="n">
        <v>0</v>
      </c>
      <c r="J135" t="n">
        <v>0</v>
      </c>
      <c r="K135" t="n">
        <v>0</v>
      </c>
      <c r="L135" t="n">
        <v>0</v>
      </c>
      <c r="M135" t="n">
        <v>0</v>
      </c>
      <c r="N135" t="n">
        <v>0</v>
      </c>
      <c r="O135" t="n">
        <v>0</v>
      </c>
      <c r="P135" t="n">
        <v>0</v>
      </c>
      <c r="Q135" t="n">
        <v>0</v>
      </c>
      <c r="R135" s="2" t="inlineStr"/>
    </row>
    <row r="136" ht="15" customHeight="1">
      <c r="A136" t="inlineStr">
        <is>
          <t>A 54393-2019</t>
        </is>
      </c>
      <c r="B136" s="1" t="n">
        <v>43746</v>
      </c>
      <c r="C136" s="1" t="n">
        <v>45842</v>
      </c>
      <c r="D136" t="inlineStr">
        <is>
          <t>VÄSTMANLANDS LÄN</t>
        </is>
      </c>
      <c r="E136" t="inlineStr">
        <is>
          <t>SALA</t>
        </is>
      </c>
      <c r="G136" t="n">
        <v>3.2</v>
      </c>
      <c r="H136" t="n">
        <v>0</v>
      </c>
      <c r="I136" t="n">
        <v>0</v>
      </c>
      <c r="J136" t="n">
        <v>0</v>
      </c>
      <c r="K136" t="n">
        <v>0</v>
      </c>
      <c r="L136" t="n">
        <v>0</v>
      </c>
      <c r="M136" t="n">
        <v>0</v>
      </c>
      <c r="N136" t="n">
        <v>0</v>
      </c>
      <c r="O136" t="n">
        <v>0</v>
      </c>
      <c r="P136" t="n">
        <v>0</v>
      </c>
      <c r="Q136" t="n">
        <v>0</v>
      </c>
      <c r="R136" s="2" t="inlineStr"/>
    </row>
    <row r="137" ht="15" customHeight="1">
      <c r="A137" t="inlineStr">
        <is>
          <t>A 54069-2019</t>
        </is>
      </c>
      <c r="B137" s="1" t="n">
        <v>43752</v>
      </c>
      <c r="C137" s="1" t="n">
        <v>45842</v>
      </c>
      <c r="D137" t="inlineStr">
        <is>
          <t>VÄSTMANLANDS LÄN</t>
        </is>
      </c>
      <c r="E137" t="inlineStr">
        <is>
          <t>SALA</t>
        </is>
      </c>
      <c r="G137" t="n">
        <v>3.5</v>
      </c>
      <c r="H137" t="n">
        <v>0</v>
      </c>
      <c r="I137" t="n">
        <v>0</v>
      </c>
      <c r="J137" t="n">
        <v>0</v>
      </c>
      <c r="K137" t="n">
        <v>0</v>
      </c>
      <c r="L137" t="n">
        <v>0</v>
      </c>
      <c r="M137" t="n">
        <v>0</v>
      </c>
      <c r="N137" t="n">
        <v>0</v>
      </c>
      <c r="O137" t="n">
        <v>0</v>
      </c>
      <c r="P137" t="n">
        <v>0</v>
      </c>
      <c r="Q137" t="n">
        <v>0</v>
      </c>
      <c r="R137" s="2" t="inlineStr"/>
    </row>
    <row r="138" ht="15" customHeight="1">
      <c r="A138" t="inlineStr">
        <is>
          <t>A 57743-2019</t>
        </is>
      </c>
      <c r="B138" s="1" t="n">
        <v>43768</v>
      </c>
      <c r="C138" s="1" t="n">
        <v>45842</v>
      </c>
      <c r="D138" t="inlineStr">
        <is>
          <t>VÄSTMANLANDS LÄN</t>
        </is>
      </c>
      <c r="E138" t="inlineStr">
        <is>
          <t>SALA</t>
        </is>
      </c>
      <c r="G138" t="n">
        <v>3.8</v>
      </c>
      <c r="H138" t="n">
        <v>0</v>
      </c>
      <c r="I138" t="n">
        <v>0</v>
      </c>
      <c r="J138" t="n">
        <v>0</v>
      </c>
      <c r="K138" t="n">
        <v>0</v>
      </c>
      <c r="L138" t="n">
        <v>0</v>
      </c>
      <c r="M138" t="n">
        <v>0</v>
      </c>
      <c r="N138" t="n">
        <v>0</v>
      </c>
      <c r="O138" t="n">
        <v>0</v>
      </c>
      <c r="P138" t="n">
        <v>0</v>
      </c>
      <c r="Q138" t="n">
        <v>0</v>
      </c>
      <c r="R138" s="2" t="inlineStr"/>
    </row>
    <row r="139" ht="15" customHeight="1">
      <c r="A139" t="inlineStr">
        <is>
          <t>A 58003-2019</t>
        </is>
      </c>
      <c r="B139" s="1" t="n">
        <v>43769</v>
      </c>
      <c r="C139" s="1" t="n">
        <v>45842</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58027-2019</t>
        </is>
      </c>
      <c r="B140" s="1" t="n">
        <v>43769</v>
      </c>
      <c r="C140" s="1" t="n">
        <v>45842</v>
      </c>
      <c r="D140" t="inlineStr">
        <is>
          <t>VÄSTMANLANDS LÄN</t>
        </is>
      </c>
      <c r="E140" t="inlineStr">
        <is>
          <t>SALA</t>
        </is>
      </c>
      <c r="G140" t="n">
        <v>2.4</v>
      </c>
      <c r="H140" t="n">
        <v>0</v>
      </c>
      <c r="I140" t="n">
        <v>0</v>
      </c>
      <c r="J140" t="n">
        <v>0</v>
      </c>
      <c r="K140" t="n">
        <v>0</v>
      </c>
      <c r="L140" t="n">
        <v>0</v>
      </c>
      <c r="M140" t="n">
        <v>0</v>
      </c>
      <c r="N140" t="n">
        <v>0</v>
      </c>
      <c r="O140" t="n">
        <v>0</v>
      </c>
      <c r="P140" t="n">
        <v>0</v>
      </c>
      <c r="Q140" t="n">
        <v>0</v>
      </c>
      <c r="R140" s="2" t="inlineStr"/>
    </row>
    <row r="141" ht="15" customHeight="1">
      <c r="A141" t="inlineStr">
        <is>
          <t>A 58681-2019</t>
        </is>
      </c>
      <c r="B141" s="1" t="n">
        <v>43773</v>
      </c>
      <c r="C141" s="1" t="n">
        <v>45842</v>
      </c>
      <c r="D141" t="inlineStr">
        <is>
          <t>VÄSTMANLANDS LÄN</t>
        </is>
      </c>
      <c r="E141" t="inlineStr">
        <is>
          <t>SALA</t>
        </is>
      </c>
      <c r="G141" t="n">
        <v>3</v>
      </c>
      <c r="H141" t="n">
        <v>0</v>
      </c>
      <c r="I141" t="n">
        <v>0</v>
      </c>
      <c r="J141" t="n">
        <v>0</v>
      </c>
      <c r="K141" t="n">
        <v>0</v>
      </c>
      <c r="L141" t="n">
        <v>0</v>
      </c>
      <c r="M141" t="n">
        <v>0</v>
      </c>
      <c r="N141" t="n">
        <v>0</v>
      </c>
      <c r="O141" t="n">
        <v>0</v>
      </c>
      <c r="P141" t="n">
        <v>0</v>
      </c>
      <c r="Q141" t="n">
        <v>0</v>
      </c>
      <c r="R141" s="2" t="inlineStr"/>
    </row>
    <row r="142" ht="15" customHeight="1">
      <c r="A142" t="inlineStr">
        <is>
          <t>A 58917-2019</t>
        </is>
      </c>
      <c r="B142" s="1" t="n">
        <v>43774</v>
      </c>
      <c r="C142" s="1" t="n">
        <v>45842</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59147-2019</t>
        </is>
      </c>
      <c r="B143" s="1" t="n">
        <v>43775</v>
      </c>
      <c r="C143" s="1" t="n">
        <v>45842</v>
      </c>
      <c r="D143" t="inlineStr">
        <is>
          <t>VÄSTMANLANDS LÄN</t>
        </is>
      </c>
      <c r="E143" t="inlineStr">
        <is>
          <t>SALA</t>
        </is>
      </c>
      <c r="F143" t="inlineStr">
        <is>
          <t>Övriga Aktiebolag</t>
        </is>
      </c>
      <c r="G143" t="n">
        <v>69.8</v>
      </c>
      <c r="H143" t="n">
        <v>0</v>
      </c>
      <c r="I143" t="n">
        <v>0</v>
      </c>
      <c r="J143" t="n">
        <v>0</v>
      </c>
      <c r="K143" t="n">
        <v>0</v>
      </c>
      <c r="L143" t="n">
        <v>0</v>
      </c>
      <c r="M143" t="n">
        <v>0</v>
      </c>
      <c r="N143" t="n">
        <v>0</v>
      </c>
      <c r="O143" t="n">
        <v>0</v>
      </c>
      <c r="P143" t="n">
        <v>0</v>
      </c>
      <c r="Q143" t="n">
        <v>0</v>
      </c>
      <c r="R143" s="2" t="inlineStr"/>
    </row>
    <row r="144" ht="15" customHeight="1">
      <c r="A144" t="inlineStr">
        <is>
          <t>A 60007-2019</t>
        </is>
      </c>
      <c r="B144" s="1" t="n">
        <v>43777</v>
      </c>
      <c r="C144" s="1" t="n">
        <v>45842</v>
      </c>
      <c r="D144" t="inlineStr">
        <is>
          <t>VÄSTMANLANDS LÄN</t>
        </is>
      </c>
      <c r="E144" t="inlineStr">
        <is>
          <t>SALA</t>
        </is>
      </c>
      <c r="F144" t="inlineStr">
        <is>
          <t>Kyrkan</t>
        </is>
      </c>
      <c r="G144" t="n">
        <v>5.1</v>
      </c>
      <c r="H144" t="n">
        <v>0</v>
      </c>
      <c r="I144" t="n">
        <v>0</v>
      </c>
      <c r="J144" t="n">
        <v>0</v>
      </c>
      <c r="K144" t="n">
        <v>0</v>
      </c>
      <c r="L144" t="n">
        <v>0</v>
      </c>
      <c r="M144" t="n">
        <v>0</v>
      </c>
      <c r="N144" t="n">
        <v>0</v>
      </c>
      <c r="O144" t="n">
        <v>0</v>
      </c>
      <c r="P144" t="n">
        <v>0</v>
      </c>
      <c r="Q144" t="n">
        <v>0</v>
      </c>
      <c r="R144" s="2" t="inlineStr"/>
    </row>
    <row r="145" ht="15" customHeight="1">
      <c r="A145" t="inlineStr">
        <is>
          <t>A 60012-2019</t>
        </is>
      </c>
      <c r="B145" s="1" t="n">
        <v>43777</v>
      </c>
      <c r="C145" s="1" t="n">
        <v>45842</v>
      </c>
      <c r="D145" t="inlineStr">
        <is>
          <t>VÄSTMANLANDS LÄN</t>
        </is>
      </c>
      <c r="E145" t="inlineStr">
        <is>
          <t>SALA</t>
        </is>
      </c>
      <c r="F145" t="inlineStr">
        <is>
          <t>Kyrkan</t>
        </is>
      </c>
      <c r="G145" t="n">
        <v>1.5</v>
      </c>
      <c r="H145" t="n">
        <v>0</v>
      </c>
      <c r="I145" t="n">
        <v>0</v>
      </c>
      <c r="J145" t="n">
        <v>0</v>
      </c>
      <c r="K145" t="n">
        <v>0</v>
      </c>
      <c r="L145" t="n">
        <v>0</v>
      </c>
      <c r="M145" t="n">
        <v>0</v>
      </c>
      <c r="N145" t="n">
        <v>0</v>
      </c>
      <c r="O145" t="n">
        <v>0</v>
      </c>
      <c r="P145" t="n">
        <v>0</v>
      </c>
      <c r="Q145" t="n">
        <v>0</v>
      </c>
      <c r="R145" s="2" t="inlineStr"/>
    </row>
    <row r="146" ht="15" customHeight="1">
      <c r="A146" t="inlineStr">
        <is>
          <t>A 61270-2019</t>
        </is>
      </c>
      <c r="B146" s="1" t="n">
        <v>43783</v>
      </c>
      <c r="C146" s="1" t="n">
        <v>45842</v>
      </c>
      <c r="D146" t="inlineStr">
        <is>
          <t>VÄSTMANLANDS LÄN</t>
        </is>
      </c>
      <c r="E146" t="inlineStr">
        <is>
          <t>SALA</t>
        </is>
      </c>
      <c r="G146" t="n">
        <v>3.3</v>
      </c>
      <c r="H146" t="n">
        <v>0</v>
      </c>
      <c r="I146" t="n">
        <v>0</v>
      </c>
      <c r="J146" t="n">
        <v>0</v>
      </c>
      <c r="K146" t="n">
        <v>0</v>
      </c>
      <c r="L146" t="n">
        <v>0</v>
      </c>
      <c r="M146" t="n">
        <v>0</v>
      </c>
      <c r="N146" t="n">
        <v>0</v>
      </c>
      <c r="O146" t="n">
        <v>0</v>
      </c>
      <c r="P146" t="n">
        <v>0</v>
      </c>
      <c r="Q146" t="n">
        <v>0</v>
      </c>
      <c r="R146" s="2" t="inlineStr"/>
    </row>
    <row r="147" ht="15" customHeight="1">
      <c r="A147" t="inlineStr">
        <is>
          <t>A 61394-2019</t>
        </is>
      </c>
      <c r="B147" s="1" t="n">
        <v>43783</v>
      </c>
      <c r="C147" s="1" t="n">
        <v>45842</v>
      </c>
      <c r="D147" t="inlineStr">
        <is>
          <t>VÄSTMANLANDS LÄN</t>
        </is>
      </c>
      <c r="E147" t="inlineStr">
        <is>
          <t>SALA</t>
        </is>
      </c>
      <c r="G147" t="n">
        <v>7.8</v>
      </c>
      <c r="H147" t="n">
        <v>0</v>
      </c>
      <c r="I147" t="n">
        <v>0</v>
      </c>
      <c r="J147" t="n">
        <v>0</v>
      </c>
      <c r="K147" t="n">
        <v>0</v>
      </c>
      <c r="L147" t="n">
        <v>0</v>
      </c>
      <c r="M147" t="n">
        <v>0</v>
      </c>
      <c r="N147" t="n">
        <v>0</v>
      </c>
      <c r="O147" t="n">
        <v>0</v>
      </c>
      <c r="P147" t="n">
        <v>0</v>
      </c>
      <c r="Q147" t="n">
        <v>0</v>
      </c>
      <c r="R147" s="2" t="inlineStr"/>
    </row>
    <row r="148" ht="15" customHeight="1">
      <c r="A148" t="inlineStr">
        <is>
          <t>A 61758-2019</t>
        </is>
      </c>
      <c r="B148" s="1" t="n">
        <v>43784</v>
      </c>
      <c r="C148" s="1" t="n">
        <v>45842</v>
      </c>
      <c r="D148" t="inlineStr">
        <is>
          <t>VÄSTMANLANDS LÄN</t>
        </is>
      </c>
      <c r="E148" t="inlineStr">
        <is>
          <t>SALA</t>
        </is>
      </c>
      <c r="G148" t="n">
        <v>1.3</v>
      </c>
      <c r="H148" t="n">
        <v>0</v>
      </c>
      <c r="I148" t="n">
        <v>0</v>
      </c>
      <c r="J148" t="n">
        <v>0</v>
      </c>
      <c r="K148" t="n">
        <v>0</v>
      </c>
      <c r="L148" t="n">
        <v>0</v>
      </c>
      <c r="M148" t="n">
        <v>0</v>
      </c>
      <c r="N148" t="n">
        <v>0</v>
      </c>
      <c r="O148" t="n">
        <v>0</v>
      </c>
      <c r="P148" t="n">
        <v>0</v>
      </c>
      <c r="Q148" t="n">
        <v>0</v>
      </c>
      <c r="R148" s="2" t="inlineStr"/>
    </row>
    <row r="149" ht="15" customHeight="1">
      <c r="A149" t="inlineStr">
        <is>
          <t>A 62390-2019</t>
        </is>
      </c>
      <c r="B149" s="1" t="n">
        <v>43788</v>
      </c>
      <c r="C149" s="1" t="n">
        <v>45842</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64164-2019</t>
        </is>
      </c>
      <c r="B150" s="1" t="n">
        <v>43791</v>
      </c>
      <c r="C150" s="1" t="n">
        <v>45842</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63369-2019</t>
        </is>
      </c>
      <c r="B151" s="1" t="n">
        <v>43794</v>
      </c>
      <c r="C151" s="1" t="n">
        <v>45842</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63498-2019</t>
        </is>
      </c>
      <c r="B152" s="1" t="n">
        <v>43794</v>
      </c>
      <c r="C152" s="1" t="n">
        <v>45842</v>
      </c>
      <c r="D152" t="inlineStr">
        <is>
          <t>VÄSTMANLANDS LÄN</t>
        </is>
      </c>
      <c r="E152" t="inlineStr">
        <is>
          <t>SALA</t>
        </is>
      </c>
      <c r="G152" t="n">
        <v>0.9</v>
      </c>
      <c r="H152" t="n">
        <v>0</v>
      </c>
      <c r="I152" t="n">
        <v>0</v>
      </c>
      <c r="J152" t="n">
        <v>0</v>
      </c>
      <c r="K152" t="n">
        <v>0</v>
      </c>
      <c r="L152" t="n">
        <v>0</v>
      </c>
      <c r="M152" t="n">
        <v>0</v>
      </c>
      <c r="N152" t="n">
        <v>0</v>
      </c>
      <c r="O152" t="n">
        <v>0</v>
      </c>
      <c r="P152" t="n">
        <v>0</v>
      </c>
      <c r="Q152" t="n">
        <v>0</v>
      </c>
      <c r="R152" s="2" t="inlineStr"/>
    </row>
    <row r="153" ht="15" customHeight="1">
      <c r="A153" t="inlineStr">
        <is>
          <t>A 64090-2019</t>
        </is>
      </c>
      <c r="B153" s="1" t="n">
        <v>43796</v>
      </c>
      <c r="C153" s="1" t="n">
        <v>45842</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64092-2019</t>
        </is>
      </c>
      <c r="B154" s="1" t="n">
        <v>43796</v>
      </c>
      <c r="C154" s="1" t="n">
        <v>45842</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65021-2019</t>
        </is>
      </c>
      <c r="B155" s="1" t="n">
        <v>43801</v>
      </c>
      <c r="C155" s="1" t="n">
        <v>45842</v>
      </c>
      <c r="D155" t="inlineStr">
        <is>
          <t>VÄSTMANLANDS LÄN</t>
        </is>
      </c>
      <c r="E155" t="inlineStr">
        <is>
          <t>SALA</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66089-2019</t>
        </is>
      </c>
      <c r="B156" s="1" t="n">
        <v>43807</v>
      </c>
      <c r="C156" s="1" t="n">
        <v>45842</v>
      </c>
      <c r="D156" t="inlineStr">
        <is>
          <t>VÄSTMANLANDS LÄN</t>
        </is>
      </c>
      <c r="E156" t="inlineStr">
        <is>
          <t>SALA</t>
        </is>
      </c>
      <c r="G156" t="n">
        <v>17.1</v>
      </c>
      <c r="H156" t="n">
        <v>0</v>
      </c>
      <c r="I156" t="n">
        <v>0</v>
      </c>
      <c r="J156" t="n">
        <v>0</v>
      </c>
      <c r="K156" t="n">
        <v>0</v>
      </c>
      <c r="L156" t="n">
        <v>0</v>
      </c>
      <c r="M156" t="n">
        <v>0</v>
      </c>
      <c r="N156" t="n">
        <v>0</v>
      </c>
      <c r="O156" t="n">
        <v>0</v>
      </c>
      <c r="P156" t="n">
        <v>0</v>
      </c>
      <c r="Q156" t="n">
        <v>0</v>
      </c>
      <c r="R156" s="2" t="inlineStr"/>
    </row>
    <row r="157" ht="15" customHeight="1">
      <c r="A157" t="inlineStr">
        <is>
          <t>A 66216-2019</t>
        </is>
      </c>
      <c r="B157" s="1" t="n">
        <v>43808</v>
      </c>
      <c r="C157" s="1" t="n">
        <v>45842</v>
      </c>
      <c r="D157" t="inlineStr">
        <is>
          <t>VÄSTMANLANDS LÄN</t>
        </is>
      </c>
      <c r="E157" t="inlineStr">
        <is>
          <t>SALA</t>
        </is>
      </c>
      <c r="F157" t="inlineStr">
        <is>
          <t>Kommuner</t>
        </is>
      </c>
      <c r="G157" t="n">
        <v>3.7</v>
      </c>
      <c r="H157" t="n">
        <v>0</v>
      </c>
      <c r="I157" t="n">
        <v>0</v>
      </c>
      <c r="J157" t="n">
        <v>0</v>
      </c>
      <c r="K157" t="n">
        <v>0</v>
      </c>
      <c r="L157" t="n">
        <v>0</v>
      </c>
      <c r="M157" t="n">
        <v>0</v>
      </c>
      <c r="N157" t="n">
        <v>0</v>
      </c>
      <c r="O157" t="n">
        <v>0</v>
      </c>
      <c r="P157" t="n">
        <v>0</v>
      </c>
      <c r="Q157" t="n">
        <v>0</v>
      </c>
      <c r="R157" s="2" t="inlineStr"/>
    </row>
    <row r="158" ht="15" customHeight="1">
      <c r="A158" t="inlineStr">
        <is>
          <t>A 67360-2019</t>
        </is>
      </c>
      <c r="B158" s="1" t="n">
        <v>43812</v>
      </c>
      <c r="C158" s="1" t="n">
        <v>45842</v>
      </c>
      <c r="D158" t="inlineStr">
        <is>
          <t>VÄSTMANLANDS LÄN</t>
        </is>
      </c>
      <c r="E158" t="inlineStr">
        <is>
          <t>SALA</t>
        </is>
      </c>
      <c r="G158" t="n">
        <v>4.9</v>
      </c>
      <c r="H158" t="n">
        <v>0</v>
      </c>
      <c r="I158" t="n">
        <v>0</v>
      </c>
      <c r="J158" t="n">
        <v>0</v>
      </c>
      <c r="K158" t="n">
        <v>0</v>
      </c>
      <c r="L158" t="n">
        <v>0</v>
      </c>
      <c r="M158" t="n">
        <v>0</v>
      </c>
      <c r="N158" t="n">
        <v>0</v>
      </c>
      <c r="O158" t="n">
        <v>0</v>
      </c>
      <c r="P158" t="n">
        <v>0</v>
      </c>
      <c r="Q158" t="n">
        <v>0</v>
      </c>
      <c r="R158" s="2" t="inlineStr"/>
    </row>
    <row r="159" ht="15" customHeight="1">
      <c r="A159" t="inlineStr">
        <is>
          <t>A 68398-2019</t>
        </is>
      </c>
      <c r="B159" s="1" t="n">
        <v>43818</v>
      </c>
      <c r="C159" s="1" t="n">
        <v>45842</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68394-2019</t>
        </is>
      </c>
      <c r="B160" s="1" t="n">
        <v>43818</v>
      </c>
      <c r="C160" s="1" t="n">
        <v>45842</v>
      </c>
      <c r="D160" t="inlineStr">
        <is>
          <t>VÄSTMANLANDS LÄN</t>
        </is>
      </c>
      <c r="E160" t="inlineStr">
        <is>
          <t>SALA</t>
        </is>
      </c>
      <c r="G160" t="n">
        <v>1.6</v>
      </c>
      <c r="H160" t="n">
        <v>0</v>
      </c>
      <c r="I160" t="n">
        <v>0</v>
      </c>
      <c r="J160" t="n">
        <v>0</v>
      </c>
      <c r="K160" t="n">
        <v>0</v>
      </c>
      <c r="L160" t="n">
        <v>0</v>
      </c>
      <c r="M160" t="n">
        <v>0</v>
      </c>
      <c r="N160" t="n">
        <v>0</v>
      </c>
      <c r="O160" t="n">
        <v>0</v>
      </c>
      <c r="P160" t="n">
        <v>0</v>
      </c>
      <c r="Q160" t="n">
        <v>0</v>
      </c>
      <c r="R160" s="2" t="inlineStr"/>
    </row>
    <row r="161" ht="15" customHeight="1">
      <c r="A161" t="inlineStr">
        <is>
          <t>A 1465-2020</t>
        </is>
      </c>
      <c r="B161" s="1" t="n">
        <v>43822</v>
      </c>
      <c r="C161" s="1" t="n">
        <v>45842</v>
      </c>
      <c r="D161" t="inlineStr">
        <is>
          <t>VÄSTMANLANDS LÄN</t>
        </is>
      </c>
      <c r="E161" t="inlineStr">
        <is>
          <t>SALA</t>
        </is>
      </c>
      <c r="G161" t="n">
        <v>4.1</v>
      </c>
      <c r="H161" t="n">
        <v>0</v>
      </c>
      <c r="I161" t="n">
        <v>0</v>
      </c>
      <c r="J161" t="n">
        <v>0</v>
      </c>
      <c r="K161" t="n">
        <v>0</v>
      </c>
      <c r="L161" t="n">
        <v>0</v>
      </c>
      <c r="M161" t="n">
        <v>0</v>
      </c>
      <c r="N161" t="n">
        <v>0</v>
      </c>
      <c r="O161" t="n">
        <v>0</v>
      </c>
      <c r="P161" t="n">
        <v>0</v>
      </c>
      <c r="Q161" t="n">
        <v>0</v>
      </c>
      <c r="R161" s="2" t="inlineStr"/>
    </row>
    <row r="162" ht="15" customHeight="1">
      <c r="A162" t="inlineStr">
        <is>
          <t>A 63-2020</t>
        </is>
      </c>
      <c r="B162" s="1" t="n">
        <v>43832</v>
      </c>
      <c r="C162" s="1" t="n">
        <v>45842</v>
      </c>
      <c r="D162" t="inlineStr">
        <is>
          <t>VÄSTMANLANDS LÄN</t>
        </is>
      </c>
      <c r="E162" t="inlineStr">
        <is>
          <t>SALA</t>
        </is>
      </c>
      <c r="G162" t="n">
        <v>4.6</v>
      </c>
      <c r="H162" t="n">
        <v>0</v>
      </c>
      <c r="I162" t="n">
        <v>0</v>
      </c>
      <c r="J162" t="n">
        <v>0</v>
      </c>
      <c r="K162" t="n">
        <v>0</v>
      </c>
      <c r="L162" t="n">
        <v>0</v>
      </c>
      <c r="M162" t="n">
        <v>0</v>
      </c>
      <c r="N162" t="n">
        <v>0</v>
      </c>
      <c r="O162" t="n">
        <v>0</v>
      </c>
      <c r="P162" t="n">
        <v>0</v>
      </c>
      <c r="Q162" t="n">
        <v>0</v>
      </c>
      <c r="R162" s="2" t="inlineStr"/>
    </row>
    <row r="163" ht="15" customHeight="1">
      <c r="A163" t="inlineStr">
        <is>
          <t>A 151-2020</t>
        </is>
      </c>
      <c r="B163" s="1" t="n">
        <v>43833</v>
      </c>
      <c r="C163" s="1" t="n">
        <v>45842</v>
      </c>
      <c r="D163" t="inlineStr">
        <is>
          <t>VÄSTMANLANDS LÄN</t>
        </is>
      </c>
      <c r="E163" t="inlineStr">
        <is>
          <t>SALA</t>
        </is>
      </c>
      <c r="F163" t="inlineStr">
        <is>
          <t>Kyrkan</t>
        </is>
      </c>
      <c r="G163" t="n">
        <v>6.5</v>
      </c>
      <c r="H163" t="n">
        <v>0</v>
      </c>
      <c r="I163" t="n">
        <v>0</v>
      </c>
      <c r="J163" t="n">
        <v>0</v>
      </c>
      <c r="K163" t="n">
        <v>0</v>
      </c>
      <c r="L163" t="n">
        <v>0</v>
      </c>
      <c r="M163" t="n">
        <v>0</v>
      </c>
      <c r="N163" t="n">
        <v>0</v>
      </c>
      <c r="O163" t="n">
        <v>0</v>
      </c>
      <c r="P163" t="n">
        <v>0</v>
      </c>
      <c r="Q163" t="n">
        <v>0</v>
      </c>
      <c r="R163" s="2" t="inlineStr"/>
    </row>
    <row r="164" ht="15" customHeight="1">
      <c r="A164" t="inlineStr">
        <is>
          <t>A 161-2020</t>
        </is>
      </c>
      <c r="B164" s="1" t="n">
        <v>43833</v>
      </c>
      <c r="C164" s="1" t="n">
        <v>45842</v>
      </c>
      <c r="D164" t="inlineStr">
        <is>
          <t>VÄSTMANLANDS LÄN</t>
        </is>
      </c>
      <c r="E164" t="inlineStr">
        <is>
          <t>SALA</t>
        </is>
      </c>
      <c r="F164" t="inlineStr">
        <is>
          <t>Kyrkan</t>
        </is>
      </c>
      <c r="G164" t="n">
        <v>1.6</v>
      </c>
      <c r="H164" t="n">
        <v>0</v>
      </c>
      <c r="I164" t="n">
        <v>0</v>
      </c>
      <c r="J164" t="n">
        <v>0</v>
      </c>
      <c r="K164" t="n">
        <v>0</v>
      </c>
      <c r="L164" t="n">
        <v>0</v>
      </c>
      <c r="M164" t="n">
        <v>0</v>
      </c>
      <c r="N164" t="n">
        <v>0</v>
      </c>
      <c r="O164" t="n">
        <v>0</v>
      </c>
      <c r="P164" t="n">
        <v>0</v>
      </c>
      <c r="Q164" t="n">
        <v>0</v>
      </c>
      <c r="R164" s="2" t="inlineStr"/>
    </row>
    <row r="165" ht="15" customHeight="1">
      <c r="A165" t="inlineStr">
        <is>
          <t>A 297-2020</t>
        </is>
      </c>
      <c r="B165" s="1" t="n">
        <v>43837</v>
      </c>
      <c r="C165" s="1" t="n">
        <v>45842</v>
      </c>
      <c r="D165" t="inlineStr">
        <is>
          <t>VÄSTMANLANDS LÄN</t>
        </is>
      </c>
      <c r="E165" t="inlineStr">
        <is>
          <t>SALA</t>
        </is>
      </c>
      <c r="F165" t="inlineStr">
        <is>
          <t>Kyrkan</t>
        </is>
      </c>
      <c r="G165" t="n">
        <v>0.3</v>
      </c>
      <c r="H165" t="n">
        <v>0</v>
      </c>
      <c r="I165" t="n">
        <v>0</v>
      </c>
      <c r="J165" t="n">
        <v>0</v>
      </c>
      <c r="K165" t="n">
        <v>0</v>
      </c>
      <c r="L165" t="n">
        <v>0</v>
      </c>
      <c r="M165" t="n">
        <v>0</v>
      </c>
      <c r="N165" t="n">
        <v>0</v>
      </c>
      <c r="O165" t="n">
        <v>0</v>
      </c>
      <c r="P165" t="n">
        <v>0</v>
      </c>
      <c r="Q165" t="n">
        <v>0</v>
      </c>
      <c r="R165" s="2" t="inlineStr"/>
    </row>
    <row r="166" ht="15" customHeight="1">
      <c r="A166" t="inlineStr">
        <is>
          <t>A 496-2020</t>
        </is>
      </c>
      <c r="B166" s="1" t="n">
        <v>43837</v>
      </c>
      <c r="C166" s="1" t="n">
        <v>45842</v>
      </c>
      <c r="D166" t="inlineStr">
        <is>
          <t>VÄSTMANLANDS LÄN</t>
        </is>
      </c>
      <c r="E166" t="inlineStr">
        <is>
          <t>SALA</t>
        </is>
      </c>
      <c r="G166" t="n">
        <v>1.3</v>
      </c>
      <c r="H166" t="n">
        <v>0</v>
      </c>
      <c r="I166" t="n">
        <v>0</v>
      </c>
      <c r="J166" t="n">
        <v>0</v>
      </c>
      <c r="K166" t="n">
        <v>0</v>
      </c>
      <c r="L166" t="n">
        <v>0</v>
      </c>
      <c r="M166" t="n">
        <v>0</v>
      </c>
      <c r="N166" t="n">
        <v>0</v>
      </c>
      <c r="O166" t="n">
        <v>0</v>
      </c>
      <c r="P166" t="n">
        <v>0</v>
      </c>
      <c r="Q166" t="n">
        <v>0</v>
      </c>
      <c r="R166" s="2" t="inlineStr"/>
    </row>
    <row r="167" ht="15" customHeight="1">
      <c r="A167" t="inlineStr">
        <is>
          <t>A 1005-2020</t>
        </is>
      </c>
      <c r="B167" s="1" t="n">
        <v>43839</v>
      </c>
      <c r="C167" s="1" t="n">
        <v>45842</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1272-2020</t>
        </is>
      </c>
      <c r="B168" s="1" t="n">
        <v>43841</v>
      </c>
      <c r="C168" s="1" t="n">
        <v>45842</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1346-2020</t>
        </is>
      </c>
      <c r="B169" s="1" t="n">
        <v>43843</v>
      </c>
      <c r="C169" s="1" t="n">
        <v>45842</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3935-2020</t>
        </is>
      </c>
      <c r="B170" s="1" t="n">
        <v>43846</v>
      </c>
      <c r="C170" s="1" t="n">
        <v>45842</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2588-2020</t>
        </is>
      </c>
      <c r="B171" s="1" t="n">
        <v>43847</v>
      </c>
      <c r="C171" s="1" t="n">
        <v>45842</v>
      </c>
      <c r="D171" t="inlineStr">
        <is>
          <t>VÄSTMANLANDS LÄN</t>
        </is>
      </c>
      <c r="E171" t="inlineStr">
        <is>
          <t>SALA</t>
        </is>
      </c>
      <c r="G171" t="n">
        <v>1.8</v>
      </c>
      <c r="H171" t="n">
        <v>0</v>
      </c>
      <c r="I171" t="n">
        <v>0</v>
      </c>
      <c r="J171" t="n">
        <v>0</v>
      </c>
      <c r="K171" t="n">
        <v>0</v>
      </c>
      <c r="L171" t="n">
        <v>0</v>
      </c>
      <c r="M171" t="n">
        <v>0</v>
      </c>
      <c r="N171" t="n">
        <v>0</v>
      </c>
      <c r="O171" t="n">
        <v>0</v>
      </c>
      <c r="P171" t="n">
        <v>0</v>
      </c>
      <c r="Q171" t="n">
        <v>0</v>
      </c>
      <c r="R171" s="2" t="inlineStr"/>
    </row>
    <row r="172" ht="15" customHeight="1">
      <c r="A172" t="inlineStr">
        <is>
          <t>A 4630-2020</t>
        </is>
      </c>
      <c r="B172" s="1" t="n">
        <v>43851</v>
      </c>
      <c r="C172" s="1" t="n">
        <v>45842</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3590-2020</t>
        </is>
      </c>
      <c r="B173" s="1" t="n">
        <v>43853</v>
      </c>
      <c r="C173" s="1" t="n">
        <v>45842</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4866-2020</t>
        </is>
      </c>
      <c r="B174" s="1" t="n">
        <v>43859</v>
      </c>
      <c r="C174" s="1" t="n">
        <v>45842</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5201-2020</t>
        </is>
      </c>
      <c r="B175" s="1" t="n">
        <v>43860</v>
      </c>
      <c r="C175" s="1" t="n">
        <v>45842</v>
      </c>
      <c r="D175" t="inlineStr">
        <is>
          <t>VÄSTMANLANDS LÄN</t>
        </is>
      </c>
      <c r="E175" t="inlineStr">
        <is>
          <t>SALA</t>
        </is>
      </c>
      <c r="F175" t="inlineStr">
        <is>
          <t>Kyrkan</t>
        </is>
      </c>
      <c r="G175" t="n">
        <v>5</v>
      </c>
      <c r="H175" t="n">
        <v>0</v>
      </c>
      <c r="I175" t="n">
        <v>0</v>
      </c>
      <c r="J175" t="n">
        <v>0</v>
      </c>
      <c r="K175" t="n">
        <v>0</v>
      </c>
      <c r="L175" t="n">
        <v>0</v>
      </c>
      <c r="M175" t="n">
        <v>0</v>
      </c>
      <c r="N175" t="n">
        <v>0</v>
      </c>
      <c r="O175" t="n">
        <v>0</v>
      </c>
      <c r="P175" t="n">
        <v>0</v>
      </c>
      <c r="Q175" t="n">
        <v>0</v>
      </c>
      <c r="R175" s="2" t="inlineStr"/>
    </row>
    <row r="176" ht="15" customHeight="1">
      <c r="A176" t="inlineStr">
        <is>
          <t>A 5163-2020</t>
        </is>
      </c>
      <c r="B176" s="1" t="n">
        <v>43860</v>
      </c>
      <c r="C176" s="1" t="n">
        <v>45842</v>
      </c>
      <c r="D176" t="inlineStr">
        <is>
          <t>VÄSTMANLANDS LÄN</t>
        </is>
      </c>
      <c r="E176" t="inlineStr">
        <is>
          <t>SALA</t>
        </is>
      </c>
      <c r="G176" t="n">
        <v>1.9</v>
      </c>
      <c r="H176" t="n">
        <v>0</v>
      </c>
      <c r="I176" t="n">
        <v>0</v>
      </c>
      <c r="J176" t="n">
        <v>0</v>
      </c>
      <c r="K176" t="n">
        <v>0</v>
      </c>
      <c r="L176" t="n">
        <v>0</v>
      </c>
      <c r="M176" t="n">
        <v>0</v>
      </c>
      <c r="N176" t="n">
        <v>0</v>
      </c>
      <c r="O176" t="n">
        <v>0</v>
      </c>
      <c r="P176" t="n">
        <v>0</v>
      </c>
      <c r="Q176" t="n">
        <v>0</v>
      </c>
      <c r="R176" s="2" t="inlineStr"/>
    </row>
    <row r="177" ht="15" customHeight="1">
      <c r="A177" t="inlineStr">
        <is>
          <t>A 5191-2020</t>
        </is>
      </c>
      <c r="B177" s="1" t="n">
        <v>43860</v>
      </c>
      <c r="C177" s="1" t="n">
        <v>45842</v>
      </c>
      <c r="D177" t="inlineStr">
        <is>
          <t>VÄSTMANLANDS LÄN</t>
        </is>
      </c>
      <c r="E177" t="inlineStr">
        <is>
          <t>SALA</t>
        </is>
      </c>
      <c r="F177" t="inlineStr">
        <is>
          <t>Kyrkan</t>
        </is>
      </c>
      <c r="G177" t="n">
        <v>10.9</v>
      </c>
      <c r="H177" t="n">
        <v>0</v>
      </c>
      <c r="I177" t="n">
        <v>0</v>
      </c>
      <c r="J177" t="n">
        <v>0</v>
      </c>
      <c r="K177" t="n">
        <v>0</v>
      </c>
      <c r="L177" t="n">
        <v>0</v>
      </c>
      <c r="M177" t="n">
        <v>0</v>
      </c>
      <c r="N177" t="n">
        <v>0</v>
      </c>
      <c r="O177" t="n">
        <v>0</v>
      </c>
      <c r="P177" t="n">
        <v>0</v>
      </c>
      <c r="Q177" t="n">
        <v>0</v>
      </c>
      <c r="R177" s="2" t="inlineStr"/>
    </row>
    <row r="178" ht="15" customHeight="1">
      <c r="A178" t="inlineStr">
        <is>
          <t>A 5320-2020</t>
        </is>
      </c>
      <c r="B178" s="1" t="n">
        <v>43860</v>
      </c>
      <c r="C178" s="1" t="n">
        <v>45842</v>
      </c>
      <c r="D178" t="inlineStr">
        <is>
          <t>VÄSTMANLANDS LÄN</t>
        </is>
      </c>
      <c r="E178" t="inlineStr">
        <is>
          <t>SALA</t>
        </is>
      </c>
      <c r="G178" t="n">
        <v>3.1</v>
      </c>
      <c r="H178" t="n">
        <v>0</v>
      </c>
      <c r="I178" t="n">
        <v>0</v>
      </c>
      <c r="J178" t="n">
        <v>0</v>
      </c>
      <c r="K178" t="n">
        <v>0</v>
      </c>
      <c r="L178" t="n">
        <v>0</v>
      </c>
      <c r="M178" t="n">
        <v>0</v>
      </c>
      <c r="N178" t="n">
        <v>0</v>
      </c>
      <c r="O178" t="n">
        <v>0</v>
      </c>
      <c r="P178" t="n">
        <v>0</v>
      </c>
      <c r="Q178" t="n">
        <v>0</v>
      </c>
      <c r="R178" s="2" t="inlineStr"/>
    </row>
    <row r="179" ht="15" customHeight="1">
      <c r="A179" t="inlineStr">
        <is>
          <t>A 5587-2020</t>
        </is>
      </c>
      <c r="B179" s="1" t="n">
        <v>43861</v>
      </c>
      <c r="C179" s="1" t="n">
        <v>45842</v>
      </c>
      <c r="D179" t="inlineStr">
        <is>
          <t>VÄSTMANLANDS LÄN</t>
        </is>
      </c>
      <c r="E179" t="inlineStr">
        <is>
          <t>SALA</t>
        </is>
      </c>
      <c r="G179" t="n">
        <v>9.6</v>
      </c>
      <c r="H179" t="n">
        <v>0</v>
      </c>
      <c r="I179" t="n">
        <v>0</v>
      </c>
      <c r="J179" t="n">
        <v>0</v>
      </c>
      <c r="K179" t="n">
        <v>0</v>
      </c>
      <c r="L179" t="n">
        <v>0</v>
      </c>
      <c r="M179" t="n">
        <v>0</v>
      </c>
      <c r="N179" t="n">
        <v>0</v>
      </c>
      <c r="O179" t="n">
        <v>0</v>
      </c>
      <c r="P179" t="n">
        <v>0</v>
      </c>
      <c r="Q179" t="n">
        <v>0</v>
      </c>
      <c r="R179" s="2" t="inlineStr"/>
    </row>
    <row r="180" ht="15" customHeight="1">
      <c r="A180" t="inlineStr">
        <is>
          <t>A 5750-2020</t>
        </is>
      </c>
      <c r="B180" s="1" t="n">
        <v>43864</v>
      </c>
      <c r="C180" s="1" t="n">
        <v>45842</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6185-2020</t>
        </is>
      </c>
      <c r="B181" s="1" t="n">
        <v>43865</v>
      </c>
      <c r="C181" s="1" t="n">
        <v>45842</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7190-2020</t>
        </is>
      </c>
      <c r="B182" s="1" t="n">
        <v>43868</v>
      </c>
      <c r="C182" s="1" t="n">
        <v>45842</v>
      </c>
      <c r="D182" t="inlineStr">
        <is>
          <t>VÄSTMANLANDS LÄN</t>
        </is>
      </c>
      <c r="E182" t="inlineStr">
        <is>
          <t>SALA</t>
        </is>
      </c>
      <c r="G182" t="n">
        <v>4.5</v>
      </c>
      <c r="H182" t="n">
        <v>0</v>
      </c>
      <c r="I182" t="n">
        <v>0</v>
      </c>
      <c r="J182" t="n">
        <v>0</v>
      </c>
      <c r="K182" t="n">
        <v>0</v>
      </c>
      <c r="L182" t="n">
        <v>0</v>
      </c>
      <c r="M182" t="n">
        <v>0</v>
      </c>
      <c r="N182" t="n">
        <v>0</v>
      </c>
      <c r="O182" t="n">
        <v>0</v>
      </c>
      <c r="P182" t="n">
        <v>0</v>
      </c>
      <c r="Q182" t="n">
        <v>0</v>
      </c>
      <c r="R182" s="2" t="inlineStr"/>
    </row>
    <row r="183" ht="15" customHeight="1">
      <c r="A183" t="inlineStr">
        <is>
          <t>A 10010-2020</t>
        </is>
      </c>
      <c r="B183" s="1" t="n">
        <v>43882</v>
      </c>
      <c r="C183" s="1" t="n">
        <v>45842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10276-2020</t>
        </is>
      </c>
      <c r="B184" s="1" t="n">
        <v>43885</v>
      </c>
      <c r="C184" s="1" t="n">
        <v>45842</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10811-2020</t>
        </is>
      </c>
      <c r="B185" s="1" t="n">
        <v>43888</v>
      </c>
      <c r="C185" s="1" t="n">
        <v>45842</v>
      </c>
      <c r="D185" t="inlineStr">
        <is>
          <t>VÄSTMANLANDS LÄN</t>
        </is>
      </c>
      <c r="E185" t="inlineStr">
        <is>
          <t>SALA</t>
        </is>
      </c>
      <c r="G185" t="n">
        <v>3.9</v>
      </c>
      <c r="H185" t="n">
        <v>0</v>
      </c>
      <c r="I185" t="n">
        <v>0</v>
      </c>
      <c r="J185" t="n">
        <v>0</v>
      </c>
      <c r="K185" t="n">
        <v>0</v>
      </c>
      <c r="L185" t="n">
        <v>0</v>
      </c>
      <c r="M185" t="n">
        <v>0</v>
      </c>
      <c r="N185" t="n">
        <v>0</v>
      </c>
      <c r="O185" t="n">
        <v>0</v>
      </c>
      <c r="P185" t="n">
        <v>0</v>
      </c>
      <c r="Q185" t="n">
        <v>0</v>
      </c>
      <c r="R185" s="2" t="inlineStr"/>
    </row>
    <row r="186" ht="15" customHeight="1">
      <c r="A186" t="inlineStr">
        <is>
          <t>A 14110-2020</t>
        </is>
      </c>
      <c r="B186" s="1" t="n">
        <v>43900</v>
      </c>
      <c r="C186" s="1" t="n">
        <v>45842</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13643-2020</t>
        </is>
      </c>
      <c r="B187" s="1" t="n">
        <v>43903</v>
      </c>
      <c r="C187" s="1" t="n">
        <v>45842</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45842</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45842</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45842</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45842</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45842</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45842</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45842</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45842</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45842</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45842</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45842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18772-2020</t>
        </is>
      </c>
      <c r="B199" s="1" t="n">
        <v>43930</v>
      </c>
      <c r="C199" s="1" t="n">
        <v>45842</v>
      </c>
      <c r="D199" t="inlineStr">
        <is>
          <t>VÄSTMANLANDS LÄN</t>
        </is>
      </c>
      <c r="E199" t="inlineStr">
        <is>
          <t>SALA</t>
        </is>
      </c>
      <c r="G199" t="n">
        <v>3.5</v>
      </c>
      <c r="H199" t="n">
        <v>0</v>
      </c>
      <c r="I199" t="n">
        <v>0</v>
      </c>
      <c r="J199" t="n">
        <v>0</v>
      </c>
      <c r="K199" t="n">
        <v>0</v>
      </c>
      <c r="L199" t="n">
        <v>0</v>
      </c>
      <c r="M199" t="n">
        <v>0</v>
      </c>
      <c r="N199" t="n">
        <v>0</v>
      </c>
      <c r="O199" t="n">
        <v>0</v>
      </c>
      <c r="P199" t="n">
        <v>0</v>
      </c>
      <c r="Q199" t="n">
        <v>0</v>
      </c>
      <c r="R199" s="2" t="inlineStr"/>
    </row>
    <row r="200" ht="15" customHeight="1">
      <c r="A200" t="inlineStr">
        <is>
          <t>A 19071-2020</t>
        </is>
      </c>
      <c r="B200" s="1" t="n">
        <v>43936</v>
      </c>
      <c r="C200" s="1" t="n">
        <v>45842</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19480-2020</t>
        </is>
      </c>
      <c r="B201" s="1" t="n">
        <v>43936</v>
      </c>
      <c r="C201" s="1" t="n">
        <v>45842</v>
      </c>
      <c r="D201" t="inlineStr">
        <is>
          <t>VÄSTMANLANDS LÄN</t>
        </is>
      </c>
      <c r="E201" t="inlineStr">
        <is>
          <t>SALA</t>
        </is>
      </c>
      <c r="G201" t="n">
        <v>4.8</v>
      </c>
      <c r="H201" t="n">
        <v>0</v>
      </c>
      <c r="I201" t="n">
        <v>0</v>
      </c>
      <c r="J201" t="n">
        <v>0</v>
      </c>
      <c r="K201" t="n">
        <v>0</v>
      </c>
      <c r="L201" t="n">
        <v>0</v>
      </c>
      <c r="M201" t="n">
        <v>0</v>
      </c>
      <c r="N201" t="n">
        <v>0</v>
      </c>
      <c r="O201" t="n">
        <v>0</v>
      </c>
      <c r="P201" t="n">
        <v>0</v>
      </c>
      <c r="Q201" t="n">
        <v>0</v>
      </c>
      <c r="R201" s="2" t="inlineStr"/>
    </row>
    <row r="202" ht="15" customHeight="1">
      <c r="A202" t="inlineStr">
        <is>
          <t>A 22305-2020</t>
        </is>
      </c>
      <c r="B202" s="1" t="n">
        <v>43957</v>
      </c>
      <c r="C202" s="1" t="n">
        <v>45842</v>
      </c>
      <c r="D202" t="inlineStr">
        <is>
          <t>VÄSTMANLANDS LÄN</t>
        </is>
      </c>
      <c r="E202" t="inlineStr">
        <is>
          <t>SALA</t>
        </is>
      </c>
      <c r="G202" t="n">
        <v>2.9</v>
      </c>
      <c r="H202" t="n">
        <v>0</v>
      </c>
      <c r="I202" t="n">
        <v>0</v>
      </c>
      <c r="J202" t="n">
        <v>0</v>
      </c>
      <c r="K202" t="n">
        <v>0</v>
      </c>
      <c r="L202" t="n">
        <v>0</v>
      </c>
      <c r="M202" t="n">
        <v>0</v>
      </c>
      <c r="N202" t="n">
        <v>0</v>
      </c>
      <c r="O202" t="n">
        <v>0</v>
      </c>
      <c r="P202" t="n">
        <v>0</v>
      </c>
      <c r="Q202" t="n">
        <v>0</v>
      </c>
      <c r="R202" s="2" t="inlineStr"/>
    </row>
    <row r="203" ht="15" customHeight="1">
      <c r="A203" t="inlineStr">
        <is>
          <t>A 22058-2020</t>
        </is>
      </c>
      <c r="B203" s="1" t="n">
        <v>43959</v>
      </c>
      <c r="C203" s="1" t="n">
        <v>45842</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24235-2020</t>
        </is>
      </c>
      <c r="B204" s="1" t="n">
        <v>43976</v>
      </c>
      <c r="C204" s="1" t="n">
        <v>45842</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24763-2020</t>
        </is>
      </c>
      <c r="B205" s="1" t="n">
        <v>43978</v>
      </c>
      <c r="C205" s="1" t="n">
        <v>45842</v>
      </c>
      <c r="D205" t="inlineStr">
        <is>
          <t>VÄSTMANLANDS LÄN</t>
        </is>
      </c>
      <c r="E205" t="inlineStr">
        <is>
          <t>SALA</t>
        </is>
      </c>
      <c r="G205" t="n">
        <v>3.6</v>
      </c>
      <c r="H205" t="n">
        <v>0</v>
      </c>
      <c r="I205" t="n">
        <v>0</v>
      </c>
      <c r="J205" t="n">
        <v>0</v>
      </c>
      <c r="K205" t="n">
        <v>0</v>
      </c>
      <c r="L205" t="n">
        <v>0</v>
      </c>
      <c r="M205" t="n">
        <v>0</v>
      </c>
      <c r="N205" t="n">
        <v>0</v>
      </c>
      <c r="O205" t="n">
        <v>0</v>
      </c>
      <c r="P205" t="n">
        <v>0</v>
      </c>
      <c r="Q205" t="n">
        <v>0</v>
      </c>
      <c r="R205" s="2" t="inlineStr"/>
    </row>
    <row r="206" ht="15" customHeight="1">
      <c r="A206" t="inlineStr">
        <is>
          <t>A 26098-2020</t>
        </is>
      </c>
      <c r="B206" s="1" t="n">
        <v>43985</v>
      </c>
      <c r="C206" s="1" t="n">
        <v>45842</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26425-2020</t>
        </is>
      </c>
      <c r="B207" s="1" t="n">
        <v>43987</v>
      </c>
      <c r="C207" s="1" t="n">
        <v>45842</v>
      </c>
      <c r="D207" t="inlineStr">
        <is>
          <t>VÄSTMANLANDS LÄN</t>
        </is>
      </c>
      <c r="E207" t="inlineStr">
        <is>
          <t>SALA</t>
        </is>
      </c>
      <c r="G207" t="n">
        <v>6.3</v>
      </c>
      <c r="H207" t="n">
        <v>0</v>
      </c>
      <c r="I207" t="n">
        <v>0</v>
      </c>
      <c r="J207" t="n">
        <v>0</v>
      </c>
      <c r="K207" t="n">
        <v>0</v>
      </c>
      <c r="L207" t="n">
        <v>0</v>
      </c>
      <c r="M207" t="n">
        <v>0</v>
      </c>
      <c r="N207" t="n">
        <v>0</v>
      </c>
      <c r="O207" t="n">
        <v>0</v>
      </c>
      <c r="P207" t="n">
        <v>0</v>
      </c>
      <c r="Q207" t="n">
        <v>0</v>
      </c>
      <c r="R207" s="2" t="inlineStr"/>
    </row>
    <row r="208" ht="15" customHeight="1">
      <c r="A208" t="inlineStr">
        <is>
          <t>A 26937-2020</t>
        </is>
      </c>
      <c r="B208" s="1" t="n">
        <v>43990</v>
      </c>
      <c r="C208" s="1" t="n">
        <v>45842</v>
      </c>
      <c r="D208" t="inlineStr">
        <is>
          <t>VÄSTMANLANDS LÄN</t>
        </is>
      </c>
      <c r="E208" t="inlineStr">
        <is>
          <t>SALA</t>
        </is>
      </c>
      <c r="F208" t="inlineStr">
        <is>
          <t>Bergvik skog öst AB</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27730-2020</t>
        </is>
      </c>
      <c r="B209" s="1" t="n">
        <v>43994</v>
      </c>
      <c r="C209" s="1" t="n">
        <v>45842</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29845-2020</t>
        </is>
      </c>
      <c r="B210" s="1" t="n">
        <v>44005</v>
      </c>
      <c r="C210" s="1" t="n">
        <v>45842</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29821-2020</t>
        </is>
      </c>
      <c r="B211" s="1" t="n">
        <v>44005</v>
      </c>
      <c r="C211" s="1" t="n">
        <v>45842</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29925-2020</t>
        </is>
      </c>
      <c r="B212" s="1" t="n">
        <v>44006</v>
      </c>
      <c r="C212" s="1" t="n">
        <v>45842</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30327-2020</t>
        </is>
      </c>
      <c r="B213" s="1" t="n">
        <v>44007</v>
      </c>
      <c r="C213" s="1" t="n">
        <v>45842</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32371-2020</t>
        </is>
      </c>
      <c r="B214" s="1" t="n">
        <v>44018</v>
      </c>
      <c r="C214" s="1" t="n">
        <v>45842</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32367-2020</t>
        </is>
      </c>
      <c r="B215" s="1" t="n">
        <v>44018</v>
      </c>
      <c r="C215" s="1" t="n">
        <v>45842</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32368-2020</t>
        </is>
      </c>
      <c r="B216" s="1" t="n">
        <v>44018</v>
      </c>
      <c r="C216" s="1" t="n">
        <v>45842</v>
      </c>
      <c r="D216" t="inlineStr">
        <is>
          <t>VÄSTMANLANDS LÄN</t>
        </is>
      </c>
      <c r="E216" t="inlineStr">
        <is>
          <t>SALA</t>
        </is>
      </c>
      <c r="G216" t="n">
        <v>3.4</v>
      </c>
      <c r="H216" t="n">
        <v>0</v>
      </c>
      <c r="I216" t="n">
        <v>0</v>
      </c>
      <c r="J216" t="n">
        <v>0</v>
      </c>
      <c r="K216" t="n">
        <v>0</v>
      </c>
      <c r="L216" t="n">
        <v>0</v>
      </c>
      <c r="M216" t="n">
        <v>0</v>
      </c>
      <c r="N216" t="n">
        <v>0</v>
      </c>
      <c r="O216" t="n">
        <v>0</v>
      </c>
      <c r="P216" t="n">
        <v>0</v>
      </c>
      <c r="Q216" t="n">
        <v>0</v>
      </c>
      <c r="R216" s="2" t="inlineStr"/>
    </row>
    <row r="217" ht="15" customHeight="1">
      <c r="A217" t="inlineStr">
        <is>
          <t>A 32377-2020</t>
        </is>
      </c>
      <c r="B217" s="1" t="n">
        <v>44018</v>
      </c>
      <c r="C217" s="1" t="n">
        <v>45842</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33181-2020</t>
        </is>
      </c>
      <c r="B218" s="1" t="n">
        <v>44021</v>
      </c>
      <c r="C218" s="1" t="n">
        <v>45842</v>
      </c>
      <c r="D218" t="inlineStr">
        <is>
          <t>VÄSTMANLANDS LÄN</t>
        </is>
      </c>
      <c r="E218" t="inlineStr">
        <is>
          <t>SALA</t>
        </is>
      </c>
      <c r="G218" t="n">
        <v>2.8</v>
      </c>
      <c r="H218" t="n">
        <v>0</v>
      </c>
      <c r="I218" t="n">
        <v>0</v>
      </c>
      <c r="J218" t="n">
        <v>0</v>
      </c>
      <c r="K218" t="n">
        <v>0</v>
      </c>
      <c r="L218" t="n">
        <v>0</v>
      </c>
      <c r="M218" t="n">
        <v>0</v>
      </c>
      <c r="N218" t="n">
        <v>0</v>
      </c>
      <c r="O218" t="n">
        <v>0</v>
      </c>
      <c r="P218" t="n">
        <v>0</v>
      </c>
      <c r="Q218" t="n">
        <v>0</v>
      </c>
      <c r="R218" s="2" t="inlineStr"/>
    </row>
    <row r="219" ht="15" customHeight="1">
      <c r="A219" t="inlineStr">
        <is>
          <t>A 34430-2020</t>
        </is>
      </c>
      <c r="B219" s="1" t="n">
        <v>44032</v>
      </c>
      <c r="C219" s="1" t="n">
        <v>45842</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34429-2020</t>
        </is>
      </c>
      <c r="B220" s="1" t="n">
        <v>44032</v>
      </c>
      <c r="C220" s="1" t="n">
        <v>45842</v>
      </c>
      <c r="D220" t="inlineStr">
        <is>
          <t>VÄSTMANLANDS LÄN</t>
        </is>
      </c>
      <c r="E220" t="inlineStr">
        <is>
          <t>SALA</t>
        </is>
      </c>
      <c r="G220" t="n">
        <v>3.6</v>
      </c>
      <c r="H220" t="n">
        <v>0</v>
      </c>
      <c r="I220" t="n">
        <v>0</v>
      </c>
      <c r="J220" t="n">
        <v>0</v>
      </c>
      <c r="K220" t="n">
        <v>0</v>
      </c>
      <c r="L220" t="n">
        <v>0</v>
      </c>
      <c r="M220" t="n">
        <v>0</v>
      </c>
      <c r="N220" t="n">
        <v>0</v>
      </c>
      <c r="O220" t="n">
        <v>0</v>
      </c>
      <c r="P220" t="n">
        <v>0</v>
      </c>
      <c r="Q220" t="n">
        <v>0</v>
      </c>
      <c r="R220" s="2" t="inlineStr"/>
    </row>
    <row r="221" ht="15" customHeight="1">
      <c r="A221" t="inlineStr">
        <is>
          <t>A 37008-2020</t>
        </is>
      </c>
      <c r="B221" s="1" t="n">
        <v>44054</v>
      </c>
      <c r="C221" s="1" t="n">
        <v>45842</v>
      </c>
      <c r="D221" t="inlineStr">
        <is>
          <t>VÄSTMANLANDS LÄN</t>
        </is>
      </c>
      <c r="E221" t="inlineStr">
        <is>
          <t>SALA</t>
        </is>
      </c>
      <c r="F221" t="inlineStr">
        <is>
          <t>Kommuner</t>
        </is>
      </c>
      <c r="G221" t="n">
        <v>5.5</v>
      </c>
      <c r="H221" t="n">
        <v>0</v>
      </c>
      <c r="I221" t="n">
        <v>0</v>
      </c>
      <c r="J221" t="n">
        <v>0</v>
      </c>
      <c r="K221" t="n">
        <v>0</v>
      </c>
      <c r="L221" t="n">
        <v>0</v>
      </c>
      <c r="M221" t="n">
        <v>0</v>
      </c>
      <c r="N221" t="n">
        <v>0</v>
      </c>
      <c r="O221" t="n">
        <v>0</v>
      </c>
      <c r="P221" t="n">
        <v>0</v>
      </c>
      <c r="Q221" t="n">
        <v>0</v>
      </c>
      <c r="R221" s="2" t="inlineStr"/>
    </row>
    <row r="222" ht="15" customHeight="1">
      <c r="A222" t="inlineStr">
        <is>
          <t>A 37098-2020</t>
        </is>
      </c>
      <c r="B222" s="1" t="n">
        <v>44054</v>
      </c>
      <c r="C222" s="1" t="n">
        <v>45842</v>
      </c>
      <c r="D222" t="inlineStr">
        <is>
          <t>VÄSTMANLANDS LÄN</t>
        </is>
      </c>
      <c r="E222" t="inlineStr">
        <is>
          <t>SALA</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37150-2020</t>
        </is>
      </c>
      <c r="B223" s="1" t="n">
        <v>44054</v>
      </c>
      <c r="C223" s="1" t="n">
        <v>45842</v>
      </c>
      <c r="D223" t="inlineStr">
        <is>
          <t>VÄSTMANLANDS LÄN</t>
        </is>
      </c>
      <c r="E223" t="inlineStr">
        <is>
          <t>SALA</t>
        </is>
      </c>
      <c r="F223" t="inlineStr">
        <is>
          <t>Kommuner</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38579-2020</t>
        </is>
      </c>
      <c r="B224" s="1" t="n">
        <v>44061</v>
      </c>
      <c r="C224" s="1" t="n">
        <v>45842</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38713-2020</t>
        </is>
      </c>
      <c r="B225" s="1" t="n">
        <v>44061</v>
      </c>
      <c r="C225" s="1" t="n">
        <v>45842</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39519-2020</t>
        </is>
      </c>
      <c r="B226" s="1" t="n">
        <v>44064</v>
      </c>
      <c r="C226" s="1" t="n">
        <v>45842</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39818-2020</t>
        </is>
      </c>
      <c r="B227" s="1" t="n">
        <v>44067</v>
      </c>
      <c r="C227" s="1" t="n">
        <v>45842</v>
      </c>
      <c r="D227" t="inlineStr">
        <is>
          <t>VÄSTMANLANDS LÄN</t>
        </is>
      </c>
      <c r="E227" t="inlineStr">
        <is>
          <t>SALA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41493-2020</t>
        </is>
      </c>
      <c r="B228" s="1" t="n">
        <v>44074</v>
      </c>
      <c r="C228" s="1" t="n">
        <v>45842</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41485-2020</t>
        </is>
      </c>
      <c r="B229" s="1" t="n">
        <v>44074</v>
      </c>
      <c r="C229" s="1" t="n">
        <v>45842</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42344-2020</t>
        </is>
      </c>
      <c r="B230" s="1" t="n">
        <v>44076</v>
      </c>
      <c r="C230" s="1" t="n">
        <v>45842</v>
      </c>
      <c r="D230" t="inlineStr">
        <is>
          <t>VÄSTMANLANDS LÄN</t>
        </is>
      </c>
      <c r="E230" t="inlineStr">
        <is>
          <t>SALA</t>
        </is>
      </c>
      <c r="G230" t="n">
        <v>5.1</v>
      </c>
      <c r="H230" t="n">
        <v>0</v>
      </c>
      <c r="I230" t="n">
        <v>0</v>
      </c>
      <c r="J230" t="n">
        <v>0</v>
      </c>
      <c r="K230" t="n">
        <v>0</v>
      </c>
      <c r="L230" t="n">
        <v>0</v>
      </c>
      <c r="M230" t="n">
        <v>0</v>
      </c>
      <c r="N230" t="n">
        <v>0</v>
      </c>
      <c r="O230" t="n">
        <v>0</v>
      </c>
      <c r="P230" t="n">
        <v>0</v>
      </c>
      <c r="Q230" t="n">
        <v>0</v>
      </c>
      <c r="R230" s="2" t="inlineStr"/>
    </row>
    <row r="231" ht="15" customHeight="1">
      <c r="A231" t="inlineStr">
        <is>
          <t>A 42345-2020</t>
        </is>
      </c>
      <c r="B231" s="1" t="n">
        <v>44076</v>
      </c>
      <c r="C231" s="1" t="n">
        <v>45842</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42346-2020</t>
        </is>
      </c>
      <c r="B232" s="1" t="n">
        <v>44076</v>
      </c>
      <c r="C232" s="1" t="n">
        <v>45842</v>
      </c>
      <c r="D232" t="inlineStr">
        <is>
          <t>VÄSTMANLANDS LÄN</t>
        </is>
      </c>
      <c r="E232" t="inlineStr">
        <is>
          <t>SALA</t>
        </is>
      </c>
      <c r="G232" t="n">
        <v>1.7</v>
      </c>
      <c r="H232" t="n">
        <v>0</v>
      </c>
      <c r="I232" t="n">
        <v>0</v>
      </c>
      <c r="J232" t="n">
        <v>0</v>
      </c>
      <c r="K232" t="n">
        <v>0</v>
      </c>
      <c r="L232" t="n">
        <v>0</v>
      </c>
      <c r="M232" t="n">
        <v>0</v>
      </c>
      <c r="N232" t="n">
        <v>0</v>
      </c>
      <c r="O232" t="n">
        <v>0</v>
      </c>
      <c r="P232" t="n">
        <v>0</v>
      </c>
      <c r="Q232" t="n">
        <v>0</v>
      </c>
      <c r="R232" s="2" t="inlineStr"/>
    </row>
    <row r="233" ht="15" customHeight="1">
      <c r="A233" t="inlineStr">
        <is>
          <t>A 43349-2020</t>
        </is>
      </c>
      <c r="B233" s="1" t="n">
        <v>44081</v>
      </c>
      <c r="C233" s="1" t="n">
        <v>45842</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44652-2020</t>
        </is>
      </c>
      <c r="B234" s="1" t="n">
        <v>44085</v>
      </c>
      <c r="C234" s="1" t="n">
        <v>45842</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44950-2020</t>
        </is>
      </c>
      <c r="B235" s="1" t="n">
        <v>44088</v>
      </c>
      <c r="C235" s="1" t="n">
        <v>45842</v>
      </c>
      <c r="D235" t="inlineStr">
        <is>
          <t>VÄSTMANLANDS LÄN</t>
        </is>
      </c>
      <c r="E235" t="inlineStr">
        <is>
          <t>SALA</t>
        </is>
      </c>
      <c r="G235" t="n">
        <v>9</v>
      </c>
      <c r="H235" t="n">
        <v>0</v>
      </c>
      <c r="I235" t="n">
        <v>0</v>
      </c>
      <c r="J235" t="n">
        <v>0</v>
      </c>
      <c r="K235" t="n">
        <v>0</v>
      </c>
      <c r="L235" t="n">
        <v>0</v>
      </c>
      <c r="M235" t="n">
        <v>0</v>
      </c>
      <c r="N235" t="n">
        <v>0</v>
      </c>
      <c r="O235" t="n">
        <v>0</v>
      </c>
      <c r="P235" t="n">
        <v>0</v>
      </c>
      <c r="Q235" t="n">
        <v>0</v>
      </c>
      <c r="R235" s="2" t="inlineStr"/>
    </row>
    <row r="236" ht="15" customHeight="1">
      <c r="A236" t="inlineStr">
        <is>
          <t>A 46965-2020</t>
        </is>
      </c>
      <c r="B236" s="1" t="n">
        <v>44096</v>
      </c>
      <c r="C236" s="1" t="n">
        <v>45842</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47054-2020</t>
        </is>
      </c>
      <c r="B237" s="1" t="n">
        <v>44096</v>
      </c>
      <c r="C237" s="1" t="n">
        <v>45842</v>
      </c>
      <c r="D237" t="inlineStr">
        <is>
          <t>VÄSTMANLANDS LÄN</t>
        </is>
      </c>
      <c r="E237" t="inlineStr">
        <is>
          <t>SALA</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47208-2020</t>
        </is>
      </c>
      <c r="B238" s="1" t="n">
        <v>44097</v>
      </c>
      <c r="C238" s="1" t="n">
        <v>45842</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50559-2020</t>
        </is>
      </c>
      <c r="B239" s="1" t="n">
        <v>44110</v>
      </c>
      <c r="C239" s="1" t="n">
        <v>45842</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50801-2020</t>
        </is>
      </c>
      <c r="B240" s="1" t="n">
        <v>44111</v>
      </c>
      <c r="C240" s="1" t="n">
        <v>45842</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50818-2020</t>
        </is>
      </c>
      <c r="B241" s="1" t="n">
        <v>44111</v>
      </c>
      <c r="C241" s="1" t="n">
        <v>45842</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54322-2020</t>
        </is>
      </c>
      <c r="B242" s="1" t="n">
        <v>44126</v>
      </c>
      <c r="C242" s="1" t="n">
        <v>45842</v>
      </c>
      <c r="D242" t="inlineStr">
        <is>
          <t>VÄSTMANLANDS LÄN</t>
        </is>
      </c>
      <c r="E242" t="inlineStr">
        <is>
          <t>SALA</t>
        </is>
      </c>
      <c r="G242" t="n">
        <v>2</v>
      </c>
      <c r="H242" t="n">
        <v>0</v>
      </c>
      <c r="I242" t="n">
        <v>0</v>
      </c>
      <c r="J242" t="n">
        <v>0</v>
      </c>
      <c r="K242" t="n">
        <v>0</v>
      </c>
      <c r="L242" t="n">
        <v>0</v>
      </c>
      <c r="M242" t="n">
        <v>0</v>
      </c>
      <c r="N242" t="n">
        <v>0</v>
      </c>
      <c r="O242" t="n">
        <v>0</v>
      </c>
      <c r="P242" t="n">
        <v>0</v>
      </c>
      <c r="Q242" t="n">
        <v>0</v>
      </c>
      <c r="R242" s="2" t="inlineStr"/>
    </row>
    <row r="243" ht="15" customHeight="1">
      <c r="A243" t="inlineStr">
        <is>
          <t>A 54923-2020</t>
        </is>
      </c>
      <c r="B243" s="1" t="n">
        <v>44127</v>
      </c>
      <c r="C243" s="1" t="n">
        <v>45842</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54931-2020</t>
        </is>
      </c>
      <c r="B244" s="1" t="n">
        <v>44127</v>
      </c>
      <c r="C244" s="1" t="n">
        <v>45842</v>
      </c>
      <c r="D244" t="inlineStr">
        <is>
          <t>VÄSTMANLANDS LÄN</t>
        </is>
      </c>
      <c r="E244" t="inlineStr">
        <is>
          <t>SALA</t>
        </is>
      </c>
      <c r="G244" t="n">
        <v>7</v>
      </c>
      <c r="H244" t="n">
        <v>0</v>
      </c>
      <c r="I244" t="n">
        <v>0</v>
      </c>
      <c r="J244" t="n">
        <v>0</v>
      </c>
      <c r="K244" t="n">
        <v>0</v>
      </c>
      <c r="L244" t="n">
        <v>0</v>
      </c>
      <c r="M244" t="n">
        <v>0</v>
      </c>
      <c r="N244" t="n">
        <v>0</v>
      </c>
      <c r="O244" t="n">
        <v>0</v>
      </c>
      <c r="P244" t="n">
        <v>0</v>
      </c>
      <c r="Q244" t="n">
        <v>0</v>
      </c>
      <c r="R244" s="2" t="inlineStr"/>
    </row>
    <row r="245" ht="15" customHeight="1">
      <c r="A245" t="inlineStr">
        <is>
          <t>A 55439-2020</t>
        </is>
      </c>
      <c r="B245" s="1" t="n">
        <v>44130</v>
      </c>
      <c r="C245" s="1" t="n">
        <v>45842</v>
      </c>
      <c r="D245" t="inlineStr">
        <is>
          <t>VÄSTMANLANDS LÄN</t>
        </is>
      </c>
      <c r="E245" t="inlineStr">
        <is>
          <t>SALA</t>
        </is>
      </c>
      <c r="G245" t="n">
        <v>4.3</v>
      </c>
      <c r="H245" t="n">
        <v>0</v>
      </c>
      <c r="I245" t="n">
        <v>0</v>
      </c>
      <c r="J245" t="n">
        <v>0</v>
      </c>
      <c r="K245" t="n">
        <v>0</v>
      </c>
      <c r="L245" t="n">
        <v>0</v>
      </c>
      <c r="M245" t="n">
        <v>0</v>
      </c>
      <c r="N245" t="n">
        <v>0</v>
      </c>
      <c r="O245" t="n">
        <v>0</v>
      </c>
      <c r="P245" t="n">
        <v>0</v>
      </c>
      <c r="Q245" t="n">
        <v>0</v>
      </c>
      <c r="R245" s="2" t="inlineStr"/>
    </row>
    <row r="246" ht="15" customHeight="1">
      <c r="A246" t="inlineStr">
        <is>
          <t>A 55881-2020</t>
        </is>
      </c>
      <c r="B246" s="1" t="n">
        <v>44132</v>
      </c>
      <c r="C246" s="1" t="n">
        <v>45842</v>
      </c>
      <c r="D246" t="inlineStr">
        <is>
          <t>VÄSTMANLANDS LÄN</t>
        </is>
      </c>
      <c r="E246" t="inlineStr">
        <is>
          <t>SALA</t>
        </is>
      </c>
      <c r="G246" t="n">
        <v>3</v>
      </c>
      <c r="H246" t="n">
        <v>0</v>
      </c>
      <c r="I246" t="n">
        <v>0</v>
      </c>
      <c r="J246" t="n">
        <v>0</v>
      </c>
      <c r="K246" t="n">
        <v>0</v>
      </c>
      <c r="L246" t="n">
        <v>0</v>
      </c>
      <c r="M246" t="n">
        <v>0</v>
      </c>
      <c r="N246" t="n">
        <v>0</v>
      </c>
      <c r="O246" t="n">
        <v>0</v>
      </c>
      <c r="P246" t="n">
        <v>0</v>
      </c>
      <c r="Q246" t="n">
        <v>0</v>
      </c>
      <c r="R246" s="2" t="inlineStr"/>
    </row>
    <row r="247" ht="15" customHeight="1">
      <c r="A247" t="inlineStr">
        <is>
          <t>A 56134-2020</t>
        </is>
      </c>
      <c r="B247" s="1" t="n">
        <v>44132</v>
      </c>
      <c r="C247" s="1" t="n">
        <v>45842</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56098-2020</t>
        </is>
      </c>
      <c r="B248" s="1" t="n">
        <v>44132</v>
      </c>
      <c r="C248" s="1" t="n">
        <v>45842</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57800-2020</t>
        </is>
      </c>
      <c r="B249" s="1" t="n">
        <v>44141</v>
      </c>
      <c r="C249" s="1" t="n">
        <v>45842</v>
      </c>
      <c r="D249" t="inlineStr">
        <is>
          <t>VÄSTMANLANDS LÄN</t>
        </is>
      </c>
      <c r="E249" t="inlineStr">
        <is>
          <t>SALA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58314-2020</t>
        </is>
      </c>
      <c r="B250" s="1" t="n">
        <v>44145</v>
      </c>
      <c r="C250" s="1" t="n">
        <v>45842</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58781-2020</t>
        </is>
      </c>
      <c r="B251" s="1" t="n">
        <v>44146</v>
      </c>
      <c r="C251" s="1" t="n">
        <v>45842</v>
      </c>
      <c r="D251" t="inlineStr">
        <is>
          <t>VÄSTMANLANDS LÄN</t>
        </is>
      </c>
      <c r="E251" t="inlineStr">
        <is>
          <t>SALA</t>
        </is>
      </c>
      <c r="G251" t="n">
        <v>1.2</v>
      </c>
      <c r="H251" t="n">
        <v>0</v>
      </c>
      <c r="I251" t="n">
        <v>0</v>
      </c>
      <c r="J251" t="n">
        <v>0</v>
      </c>
      <c r="K251" t="n">
        <v>0</v>
      </c>
      <c r="L251" t="n">
        <v>0</v>
      </c>
      <c r="M251" t="n">
        <v>0</v>
      </c>
      <c r="N251" t="n">
        <v>0</v>
      </c>
      <c r="O251" t="n">
        <v>0</v>
      </c>
      <c r="P251" t="n">
        <v>0</v>
      </c>
      <c r="Q251" t="n">
        <v>0</v>
      </c>
      <c r="R251" s="2" t="inlineStr"/>
    </row>
    <row r="252" ht="15" customHeight="1">
      <c r="A252" t="inlineStr">
        <is>
          <t>A 58912-2020</t>
        </is>
      </c>
      <c r="B252" s="1" t="n">
        <v>44146</v>
      </c>
      <c r="C252" s="1" t="n">
        <v>45842</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61415-2020</t>
        </is>
      </c>
      <c r="B253" s="1" t="n">
        <v>44156</v>
      </c>
      <c r="C253" s="1" t="n">
        <v>45842</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62275-2020</t>
        </is>
      </c>
      <c r="B254" s="1" t="n">
        <v>44158</v>
      </c>
      <c r="C254" s="1" t="n">
        <v>45842</v>
      </c>
      <c r="D254" t="inlineStr">
        <is>
          <t>VÄSTMANLANDS LÄN</t>
        </is>
      </c>
      <c r="E254" t="inlineStr">
        <is>
          <t>SALA</t>
        </is>
      </c>
      <c r="G254" t="n">
        <v>4.9</v>
      </c>
      <c r="H254" t="n">
        <v>0</v>
      </c>
      <c r="I254" t="n">
        <v>0</v>
      </c>
      <c r="J254" t="n">
        <v>0</v>
      </c>
      <c r="K254" t="n">
        <v>0</v>
      </c>
      <c r="L254" t="n">
        <v>0</v>
      </c>
      <c r="M254" t="n">
        <v>0</v>
      </c>
      <c r="N254" t="n">
        <v>0</v>
      </c>
      <c r="O254" t="n">
        <v>0</v>
      </c>
      <c r="P254" t="n">
        <v>0</v>
      </c>
      <c r="Q254" t="n">
        <v>0</v>
      </c>
      <c r="R254" s="2" t="inlineStr"/>
    </row>
    <row r="255" ht="15" customHeight="1">
      <c r="A255" t="inlineStr">
        <is>
          <t>A 62680-2020</t>
        </is>
      </c>
      <c r="B255" s="1" t="n">
        <v>44161</v>
      </c>
      <c r="C255" s="1" t="n">
        <v>45842</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64940-2020</t>
        </is>
      </c>
      <c r="B256" s="1" t="n">
        <v>44172</v>
      </c>
      <c r="C256" s="1" t="n">
        <v>45842</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66821-2020</t>
        </is>
      </c>
      <c r="B257" s="1" t="n">
        <v>44179</v>
      </c>
      <c r="C257" s="1" t="n">
        <v>45842</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68113-2020</t>
        </is>
      </c>
      <c r="B258" s="1" t="n">
        <v>44182</v>
      </c>
      <c r="C258" s="1" t="n">
        <v>45842</v>
      </c>
      <c r="D258" t="inlineStr">
        <is>
          <t>VÄSTMANLANDS LÄN</t>
        </is>
      </c>
      <c r="E258" t="inlineStr">
        <is>
          <t>SALA</t>
        </is>
      </c>
      <c r="G258" t="n">
        <v>3.6</v>
      </c>
      <c r="H258" t="n">
        <v>0</v>
      </c>
      <c r="I258" t="n">
        <v>0</v>
      </c>
      <c r="J258" t="n">
        <v>0</v>
      </c>
      <c r="K258" t="n">
        <v>0</v>
      </c>
      <c r="L258" t="n">
        <v>0</v>
      </c>
      <c r="M258" t="n">
        <v>0</v>
      </c>
      <c r="N258" t="n">
        <v>0</v>
      </c>
      <c r="O258" t="n">
        <v>0</v>
      </c>
      <c r="P258" t="n">
        <v>0</v>
      </c>
      <c r="Q258" t="n">
        <v>0</v>
      </c>
      <c r="R258" s="2" t="inlineStr"/>
    </row>
    <row r="259" ht="15" customHeight="1">
      <c r="A259" t="inlineStr">
        <is>
          <t>A 69194-2020</t>
        </is>
      </c>
      <c r="B259" s="1" t="n">
        <v>44191</v>
      </c>
      <c r="C259" s="1" t="n">
        <v>45842</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69192-2020</t>
        </is>
      </c>
      <c r="B260" s="1" t="n">
        <v>44191</v>
      </c>
      <c r="C260" s="1" t="n">
        <v>45842</v>
      </c>
      <c r="D260" t="inlineStr">
        <is>
          <t>VÄSTMANLANDS LÄN</t>
        </is>
      </c>
      <c r="E260" t="inlineStr">
        <is>
          <t>SALA</t>
        </is>
      </c>
      <c r="G260" t="n">
        <v>0.8</v>
      </c>
      <c r="H260" t="n">
        <v>0</v>
      </c>
      <c r="I260" t="n">
        <v>0</v>
      </c>
      <c r="J260" t="n">
        <v>0</v>
      </c>
      <c r="K260" t="n">
        <v>0</v>
      </c>
      <c r="L260" t="n">
        <v>0</v>
      </c>
      <c r="M260" t="n">
        <v>0</v>
      </c>
      <c r="N260" t="n">
        <v>0</v>
      </c>
      <c r="O260" t="n">
        <v>0</v>
      </c>
      <c r="P260" t="n">
        <v>0</v>
      </c>
      <c r="Q260" t="n">
        <v>0</v>
      </c>
      <c r="R260" s="2" t="inlineStr"/>
    </row>
    <row r="261" ht="15" customHeight="1">
      <c r="A261" t="inlineStr">
        <is>
          <t>A 69195-2020</t>
        </is>
      </c>
      <c r="B261" s="1" t="n">
        <v>44191</v>
      </c>
      <c r="C261" s="1" t="n">
        <v>45842</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69319-2020</t>
        </is>
      </c>
      <c r="B262" s="1" t="n">
        <v>44193</v>
      </c>
      <c r="C262" s="1" t="n">
        <v>45842</v>
      </c>
      <c r="D262" t="inlineStr">
        <is>
          <t>VÄSTMANLANDS LÄN</t>
        </is>
      </c>
      <c r="E262" t="inlineStr">
        <is>
          <t>SALA</t>
        </is>
      </c>
      <c r="G262" t="n">
        <v>0.9</v>
      </c>
      <c r="H262" t="n">
        <v>0</v>
      </c>
      <c r="I262" t="n">
        <v>0</v>
      </c>
      <c r="J262" t="n">
        <v>0</v>
      </c>
      <c r="K262" t="n">
        <v>0</v>
      </c>
      <c r="L262" t="n">
        <v>0</v>
      </c>
      <c r="M262" t="n">
        <v>0</v>
      </c>
      <c r="N262" t="n">
        <v>0</v>
      </c>
      <c r="O262" t="n">
        <v>0</v>
      </c>
      <c r="P262" t="n">
        <v>0</v>
      </c>
      <c r="Q262" t="n">
        <v>0</v>
      </c>
      <c r="R262" s="2" t="inlineStr"/>
    </row>
    <row r="263" ht="15" customHeight="1">
      <c r="A263" t="inlineStr">
        <is>
          <t>A 69318-2020</t>
        </is>
      </c>
      <c r="B263" s="1" t="n">
        <v>44193</v>
      </c>
      <c r="C263" s="1" t="n">
        <v>45842</v>
      </c>
      <c r="D263" t="inlineStr">
        <is>
          <t>VÄSTMANLANDS LÄN</t>
        </is>
      </c>
      <c r="E263" t="inlineStr">
        <is>
          <t>SALA</t>
        </is>
      </c>
      <c r="G263" t="n">
        <v>2.2</v>
      </c>
      <c r="H263" t="n">
        <v>0</v>
      </c>
      <c r="I263" t="n">
        <v>0</v>
      </c>
      <c r="J263" t="n">
        <v>0</v>
      </c>
      <c r="K263" t="n">
        <v>0</v>
      </c>
      <c r="L263" t="n">
        <v>0</v>
      </c>
      <c r="M263" t="n">
        <v>0</v>
      </c>
      <c r="N263" t="n">
        <v>0</v>
      </c>
      <c r="O263" t="n">
        <v>0</v>
      </c>
      <c r="P263" t="n">
        <v>0</v>
      </c>
      <c r="Q263" t="n">
        <v>0</v>
      </c>
      <c r="R263" s="2" t="inlineStr"/>
    </row>
    <row r="264" ht="15" customHeight="1">
      <c r="A264" t="inlineStr">
        <is>
          <t>A 1599-2021</t>
        </is>
      </c>
      <c r="B264" s="1" t="n">
        <v>44209</v>
      </c>
      <c r="C264" s="1" t="n">
        <v>45842</v>
      </c>
      <c r="D264" t="inlineStr">
        <is>
          <t>VÄSTMANLANDS LÄN</t>
        </is>
      </c>
      <c r="E264" t="inlineStr">
        <is>
          <t>SALA</t>
        </is>
      </c>
      <c r="G264" t="n">
        <v>9.6</v>
      </c>
      <c r="H264" t="n">
        <v>0</v>
      </c>
      <c r="I264" t="n">
        <v>0</v>
      </c>
      <c r="J264" t="n">
        <v>0</v>
      </c>
      <c r="K264" t="n">
        <v>0</v>
      </c>
      <c r="L264" t="n">
        <v>0</v>
      </c>
      <c r="M264" t="n">
        <v>0</v>
      </c>
      <c r="N264" t="n">
        <v>0</v>
      </c>
      <c r="O264" t="n">
        <v>0</v>
      </c>
      <c r="P264" t="n">
        <v>0</v>
      </c>
      <c r="Q264" t="n">
        <v>0</v>
      </c>
      <c r="R264" s="2" t="inlineStr"/>
      <c r="U264">
        <f>HYPERLINK("https://klasma.github.io/Logging_1981/knärot/A 1599-2021 karta knärot.png", "A 1599-2021")</f>
        <v/>
      </c>
      <c r="V264">
        <f>HYPERLINK("https://klasma.github.io/Logging_1981/klagomål/A 1599-2021 FSC-klagomål.docx", "A 1599-2021")</f>
        <v/>
      </c>
      <c r="W264">
        <f>HYPERLINK("https://klasma.github.io/Logging_1981/klagomålsmail/A 1599-2021 FSC-klagomål mail.docx", "A 1599-2021")</f>
        <v/>
      </c>
      <c r="X264">
        <f>HYPERLINK("https://klasma.github.io/Logging_1981/tillsyn/A 1599-2021 tillsynsbegäran.docx", "A 1599-2021")</f>
        <v/>
      </c>
      <c r="Y264">
        <f>HYPERLINK("https://klasma.github.io/Logging_1981/tillsynsmail/A 1599-2021 tillsynsbegäran mail.docx", "A 1599-2021")</f>
        <v/>
      </c>
    </row>
    <row r="265" ht="15" customHeight="1">
      <c r="A265" t="inlineStr">
        <is>
          <t>A 2443-2021</t>
        </is>
      </c>
      <c r="B265" s="1" t="n">
        <v>44214</v>
      </c>
      <c r="C265" s="1" t="n">
        <v>45842</v>
      </c>
      <c r="D265" t="inlineStr">
        <is>
          <t>VÄSTMANLANDS LÄN</t>
        </is>
      </c>
      <c r="E265" t="inlineStr">
        <is>
          <t>SALA</t>
        </is>
      </c>
      <c r="F265" t="inlineStr">
        <is>
          <t>Kyrkan</t>
        </is>
      </c>
      <c r="G265" t="n">
        <v>1</v>
      </c>
      <c r="H265" t="n">
        <v>0</v>
      </c>
      <c r="I265" t="n">
        <v>0</v>
      </c>
      <c r="J265" t="n">
        <v>0</v>
      </c>
      <c r="K265" t="n">
        <v>0</v>
      </c>
      <c r="L265" t="n">
        <v>0</v>
      </c>
      <c r="M265" t="n">
        <v>0</v>
      </c>
      <c r="N265" t="n">
        <v>0</v>
      </c>
      <c r="O265" t="n">
        <v>0</v>
      </c>
      <c r="P265" t="n">
        <v>0</v>
      </c>
      <c r="Q265" t="n">
        <v>0</v>
      </c>
      <c r="R265" s="2" t="inlineStr"/>
    </row>
    <row r="266" ht="15" customHeight="1">
      <c r="A266" t="inlineStr">
        <is>
          <t>A 4736-2021</t>
        </is>
      </c>
      <c r="B266" s="1" t="n">
        <v>44225</v>
      </c>
      <c r="C266" s="1" t="n">
        <v>45842</v>
      </c>
      <c r="D266" t="inlineStr">
        <is>
          <t>VÄSTMANLANDS LÄN</t>
        </is>
      </c>
      <c r="E266" t="inlineStr">
        <is>
          <t>SALA</t>
        </is>
      </c>
      <c r="G266" t="n">
        <v>4.2</v>
      </c>
      <c r="H266" t="n">
        <v>0</v>
      </c>
      <c r="I266" t="n">
        <v>0</v>
      </c>
      <c r="J266" t="n">
        <v>0</v>
      </c>
      <c r="K266" t="n">
        <v>0</v>
      </c>
      <c r="L266" t="n">
        <v>0</v>
      </c>
      <c r="M266" t="n">
        <v>0</v>
      </c>
      <c r="N266" t="n">
        <v>0</v>
      </c>
      <c r="O266" t="n">
        <v>0</v>
      </c>
      <c r="P266" t="n">
        <v>0</v>
      </c>
      <c r="Q266" t="n">
        <v>0</v>
      </c>
      <c r="R266" s="2" t="inlineStr"/>
    </row>
    <row r="267" ht="15" customHeight="1">
      <c r="A267" t="inlineStr">
        <is>
          <t>A 6088-2021</t>
        </is>
      </c>
      <c r="B267" s="1" t="n">
        <v>44232</v>
      </c>
      <c r="C267" s="1" t="n">
        <v>45842</v>
      </c>
      <c r="D267" t="inlineStr">
        <is>
          <t>VÄSTMANLANDS LÄN</t>
        </is>
      </c>
      <c r="E267" t="inlineStr">
        <is>
          <t>SALA</t>
        </is>
      </c>
      <c r="G267" t="n">
        <v>0.2</v>
      </c>
      <c r="H267" t="n">
        <v>0</v>
      </c>
      <c r="I267" t="n">
        <v>0</v>
      </c>
      <c r="J267" t="n">
        <v>0</v>
      </c>
      <c r="K267" t="n">
        <v>0</v>
      </c>
      <c r="L267" t="n">
        <v>0</v>
      </c>
      <c r="M267" t="n">
        <v>0</v>
      </c>
      <c r="N267" t="n">
        <v>0</v>
      </c>
      <c r="O267" t="n">
        <v>0</v>
      </c>
      <c r="P267" t="n">
        <v>0</v>
      </c>
      <c r="Q267" t="n">
        <v>0</v>
      </c>
      <c r="R267" s="2" t="inlineStr"/>
    </row>
    <row r="268" ht="15" customHeight="1">
      <c r="A268" t="inlineStr">
        <is>
          <t>A 6308-2021</t>
        </is>
      </c>
      <c r="B268" s="1" t="n">
        <v>44235</v>
      </c>
      <c r="C268" s="1" t="n">
        <v>45842</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7681-2021</t>
        </is>
      </c>
      <c r="B269" s="1" t="n">
        <v>44242</v>
      </c>
      <c r="C269" s="1" t="n">
        <v>45842</v>
      </c>
      <c r="D269" t="inlineStr">
        <is>
          <t>VÄSTMANLANDS LÄN</t>
        </is>
      </c>
      <c r="E269" t="inlineStr">
        <is>
          <t>SALA</t>
        </is>
      </c>
      <c r="F269" t="inlineStr">
        <is>
          <t>Sveaskog</t>
        </is>
      </c>
      <c r="G269" t="n">
        <v>16.1</v>
      </c>
      <c r="H269" t="n">
        <v>0</v>
      </c>
      <c r="I269" t="n">
        <v>0</v>
      </c>
      <c r="J269" t="n">
        <v>0</v>
      </c>
      <c r="K269" t="n">
        <v>0</v>
      </c>
      <c r="L269" t="n">
        <v>0</v>
      </c>
      <c r="M269" t="n">
        <v>0</v>
      </c>
      <c r="N269" t="n">
        <v>0</v>
      </c>
      <c r="O269" t="n">
        <v>0</v>
      </c>
      <c r="P269" t="n">
        <v>0</v>
      </c>
      <c r="Q269" t="n">
        <v>0</v>
      </c>
      <c r="R269" s="2" t="inlineStr"/>
    </row>
    <row r="270" ht="15" customHeight="1">
      <c r="A270" t="inlineStr">
        <is>
          <t>A 7968-2021</t>
        </is>
      </c>
      <c r="B270" s="1" t="n">
        <v>44243</v>
      </c>
      <c r="C270" s="1" t="n">
        <v>45842</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7955-2021</t>
        </is>
      </c>
      <c r="B271" s="1" t="n">
        <v>44243</v>
      </c>
      <c r="C271" s="1" t="n">
        <v>45842</v>
      </c>
      <c r="D271" t="inlineStr">
        <is>
          <t>VÄSTMANLANDS LÄN</t>
        </is>
      </c>
      <c r="E271" t="inlineStr">
        <is>
          <t>SALA</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8513-2021</t>
        </is>
      </c>
      <c r="B272" s="1" t="n">
        <v>44244</v>
      </c>
      <c r="C272" s="1" t="n">
        <v>45842</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10154-2021</t>
        </is>
      </c>
      <c r="B273" s="1" t="n">
        <v>44256</v>
      </c>
      <c r="C273" s="1" t="n">
        <v>45842</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10812-2021</t>
        </is>
      </c>
      <c r="B274" s="1" t="n">
        <v>44259</v>
      </c>
      <c r="C274" s="1" t="n">
        <v>45842</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11017-2021</t>
        </is>
      </c>
      <c r="B275" s="1" t="n">
        <v>44260</v>
      </c>
      <c r="C275" s="1" t="n">
        <v>45842</v>
      </c>
      <c r="D275" t="inlineStr">
        <is>
          <t>VÄSTMANLANDS LÄN</t>
        </is>
      </c>
      <c r="E275" t="inlineStr">
        <is>
          <t>SALA</t>
        </is>
      </c>
      <c r="F275" t="inlineStr">
        <is>
          <t>Kyrkan</t>
        </is>
      </c>
      <c r="G275" t="n">
        <v>1.2</v>
      </c>
      <c r="H275" t="n">
        <v>0</v>
      </c>
      <c r="I275" t="n">
        <v>0</v>
      </c>
      <c r="J275" t="n">
        <v>0</v>
      </c>
      <c r="K275" t="n">
        <v>0</v>
      </c>
      <c r="L275" t="n">
        <v>0</v>
      </c>
      <c r="M275" t="n">
        <v>0</v>
      </c>
      <c r="N275" t="n">
        <v>0</v>
      </c>
      <c r="O275" t="n">
        <v>0</v>
      </c>
      <c r="P275" t="n">
        <v>0</v>
      </c>
      <c r="Q275" t="n">
        <v>0</v>
      </c>
      <c r="R275" s="2" t="inlineStr"/>
    </row>
    <row r="276" ht="15" customHeight="1">
      <c r="A276" t="inlineStr">
        <is>
          <t>A 11007-2021</t>
        </is>
      </c>
      <c r="B276" s="1" t="n">
        <v>44260</v>
      </c>
      <c r="C276" s="1" t="n">
        <v>45842</v>
      </c>
      <c r="D276" t="inlineStr">
        <is>
          <t>VÄSTMANLANDS LÄN</t>
        </is>
      </c>
      <c r="E276" t="inlineStr">
        <is>
          <t>SALA</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11560-2021</t>
        </is>
      </c>
      <c r="B277" s="1" t="n">
        <v>44264</v>
      </c>
      <c r="C277" s="1" t="n">
        <v>45842</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13112-2021</t>
        </is>
      </c>
      <c r="B278" s="1" t="n">
        <v>44272</v>
      </c>
      <c r="C278" s="1" t="n">
        <v>45842</v>
      </c>
      <c r="D278" t="inlineStr">
        <is>
          <t>VÄSTMANLANDS LÄN</t>
        </is>
      </c>
      <c r="E278" t="inlineStr">
        <is>
          <t>SALA</t>
        </is>
      </c>
      <c r="G278" t="n">
        <v>3.7</v>
      </c>
      <c r="H278" t="n">
        <v>0</v>
      </c>
      <c r="I278" t="n">
        <v>0</v>
      </c>
      <c r="J278" t="n">
        <v>0</v>
      </c>
      <c r="K278" t="n">
        <v>0</v>
      </c>
      <c r="L278" t="n">
        <v>0</v>
      </c>
      <c r="M278" t="n">
        <v>0</v>
      </c>
      <c r="N278" t="n">
        <v>0</v>
      </c>
      <c r="O278" t="n">
        <v>0</v>
      </c>
      <c r="P278" t="n">
        <v>0</v>
      </c>
      <c r="Q278" t="n">
        <v>0</v>
      </c>
      <c r="R278" s="2" t="inlineStr"/>
    </row>
    <row r="279" ht="15" customHeight="1">
      <c r="A279" t="inlineStr">
        <is>
          <t>A 14010-2021</t>
        </is>
      </c>
      <c r="B279" s="1" t="n">
        <v>44277</v>
      </c>
      <c r="C279" s="1" t="n">
        <v>45842</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15354-2021</t>
        </is>
      </c>
      <c r="B280" s="1" t="n">
        <v>44284</v>
      </c>
      <c r="C280" s="1" t="n">
        <v>45842</v>
      </c>
      <c r="D280" t="inlineStr">
        <is>
          <t>VÄSTMANLANDS LÄN</t>
        </is>
      </c>
      <c r="E280" t="inlineStr">
        <is>
          <t>SALA</t>
        </is>
      </c>
      <c r="F280" t="inlineStr">
        <is>
          <t>Kyrkan</t>
        </is>
      </c>
      <c r="G280" t="n">
        <v>8.5</v>
      </c>
      <c r="H280" t="n">
        <v>0</v>
      </c>
      <c r="I280" t="n">
        <v>0</v>
      </c>
      <c r="J280" t="n">
        <v>0</v>
      </c>
      <c r="K280" t="n">
        <v>0</v>
      </c>
      <c r="L280" t="n">
        <v>0</v>
      </c>
      <c r="M280" t="n">
        <v>0</v>
      </c>
      <c r="N280" t="n">
        <v>0</v>
      </c>
      <c r="O280" t="n">
        <v>0</v>
      </c>
      <c r="P280" t="n">
        <v>0</v>
      </c>
      <c r="Q280" t="n">
        <v>0</v>
      </c>
      <c r="R280" s="2" t="inlineStr"/>
    </row>
    <row r="281" ht="15" customHeight="1">
      <c r="A281" t="inlineStr">
        <is>
          <t>A 15483-2021</t>
        </is>
      </c>
      <c r="B281" s="1" t="n">
        <v>44285</v>
      </c>
      <c r="C281" s="1" t="n">
        <v>45842</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15584-2021</t>
        </is>
      </c>
      <c r="B282" s="1" t="n">
        <v>44285</v>
      </c>
      <c r="C282" s="1" t="n">
        <v>45842</v>
      </c>
      <c r="D282" t="inlineStr">
        <is>
          <t>VÄSTMANLANDS LÄN</t>
        </is>
      </c>
      <c r="E282" t="inlineStr">
        <is>
          <t>SALA</t>
        </is>
      </c>
      <c r="G282" t="n">
        <v>3.4</v>
      </c>
      <c r="H282" t="n">
        <v>0</v>
      </c>
      <c r="I282" t="n">
        <v>0</v>
      </c>
      <c r="J282" t="n">
        <v>0</v>
      </c>
      <c r="K282" t="n">
        <v>0</v>
      </c>
      <c r="L282" t="n">
        <v>0</v>
      </c>
      <c r="M282" t="n">
        <v>0</v>
      </c>
      <c r="N282" t="n">
        <v>0</v>
      </c>
      <c r="O282" t="n">
        <v>0</v>
      </c>
      <c r="P282" t="n">
        <v>0</v>
      </c>
      <c r="Q282" t="n">
        <v>0</v>
      </c>
      <c r="R282" s="2" t="inlineStr"/>
    </row>
    <row r="283" ht="15" customHeight="1">
      <c r="A283" t="inlineStr">
        <is>
          <t>A 16651-2021</t>
        </is>
      </c>
      <c r="B283" s="1" t="n">
        <v>44294</v>
      </c>
      <c r="C283" s="1" t="n">
        <v>45842</v>
      </c>
      <c r="D283" t="inlineStr">
        <is>
          <t>VÄSTMANLANDS LÄN</t>
        </is>
      </c>
      <c r="E283" t="inlineStr">
        <is>
          <t>SALA</t>
        </is>
      </c>
      <c r="G283" t="n">
        <v>7.7</v>
      </c>
      <c r="H283" t="n">
        <v>0</v>
      </c>
      <c r="I283" t="n">
        <v>0</v>
      </c>
      <c r="J283" t="n">
        <v>0</v>
      </c>
      <c r="K283" t="n">
        <v>0</v>
      </c>
      <c r="L283" t="n">
        <v>0</v>
      </c>
      <c r="M283" t="n">
        <v>0</v>
      </c>
      <c r="N283" t="n">
        <v>0</v>
      </c>
      <c r="O283" t="n">
        <v>0</v>
      </c>
      <c r="P283" t="n">
        <v>0</v>
      </c>
      <c r="Q283" t="n">
        <v>0</v>
      </c>
      <c r="R283" s="2" t="inlineStr"/>
    </row>
    <row r="284" ht="15" customHeight="1">
      <c r="A284" t="inlineStr">
        <is>
          <t>A 18046-2021</t>
        </is>
      </c>
      <c r="B284" s="1" t="n">
        <v>44301</v>
      </c>
      <c r="C284" s="1" t="n">
        <v>45842</v>
      </c>
      <c r="D284" t="inlineStr">
        <is>
          <t>VÄSTMANLANDS LÄN</t>
        </is>
      </c>
      <c r="E284" t="inlineStr">
        <is>
          <t>SALA</t>
        </is>
      </c>
      <c r="G284" t="n">
        <v>3.5</v>
      </c>
      <c r="H284" t="n">
        <v>0</v>
      </c>
      <c r="I284" t="n">
        <v>0</v>
      </c>
      <c r="J284" t="n">
        <v>0</v>
      </c>
      <c r="K284" t="n">
        <v>0</v>
      </c>
      <c r="L284" t="n">
        <v>0</v>
      </c>
      <c r="M284" t="n">
        <v>0</v>
      </c>
      <c r="N284" t="n">
        <v>0</v>
      </c>
      <c r="O284" t="n">
        <v>0</v>
      </c>
      <c r="P284" t="n">
        <v>0</v>
      </c>
      <c r="Q284" t="n">
        <v>0</v>
      </c>
      <c r="R284" s="2" t="inlineStr"/>
    </row>
    <row r="285" ht="15" customHeight="1">
      <c r="A285" t="inlineStr">
        <is>
          <t>A 18189-2021</t>
        </is>
      </c>
      <c r="B285" s="1" t="n">
        <v>44302</v>
      </c>
      <c r="C285" s="1" t="n">
        <v>45842</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18259-2021</t>
        </is>
      </c>
      <c r="B286" s="1" t="n">
        <v>44305</v>
      </c>
      <c r="C286" s="1" t="n">
        <v>45842</v>
      </c>
      <c r="D286" t="inlineStr">
        <is>
          <t>VÄSTMANLANDS LÄN</t>
        </is>
      </c>
      <c r="E286" t="inlineStr">
        <is>
          <t>SALA</t>
        </is>
      </c>
      <c r="G286" t="n">
        <v>0</v>
      </c>
      <c r="H286" t="n">
        <v>0</v>
      </c>
      <c r="I286" t="n">
        <v>0</v>
      </c>
      <c r="J286" t="n">
        <v>0</v>
      </c>
      <c r="K286" t="n">
        <v>0</v>
      </c>
      <c r="L286" t="n">
        <v>0</v>
      </c>
      <c r="M286" t="n">
        <v>0</v>
      </c>
      <c r="N286" t="n">
        <v>0</v>
      </c>
      <c r="O286" t="n">
        <v>0</v>
      </c>
      <c r="P286" t="n">
        <v>0</v>
      </c>
      <c r="Q286" t="n">
        <v>0</v>
      </c>
      <c r="R286" s="2" t="inlineStr"/>
    </row>
    <row r="287" ht="15" customHeight="1">
      <c r="A287" t="inlineStr">
        <is>
          <t>A 18378-2021</t>
        </is>
      </c>
      <c r="B287" s="1" t="n">
        <v>44305</v>
      </c>
      <c r="C287" s="1" t="n">
        <v>45842</v>
      </c>
      <c r="D287" t="inlineStr">
        <is>
          <t>VÄSTMANLANDS LÄN</t>
        </is>
      </c>
      <c r="E287" t="inlineStr">
        <is>
          <t>SALA</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18385-2021</t>
        </is>
      </c>
      <c r="B288" s="1" t="n">
        <v>44305</v>
      </c>
      <c r="C288" s="1" t="n">
        <v>45842</v>
      </c>
      <c r="D288" t="inlineStr">
        <is>
          <t>VÄSTMANLANDS LÄN</t>
        </is>
      </c>
      <c r="E288" t="inlineStr">
        <is>
          <t>SALA</t>
        </is>
      </c>
      <c r="F288" t="inlineStr">
        <is>
          <t>Kommuner</t>
        </is>
      </c>
      <c r="G288" t="n">
        <v>0.6</v>
      </c>
      <c r="H288" t="n">
        <v>0</v>
      </c>
      <c r="I288" t="n">
        <v>0</v>
      </c>
      <c r="J288" t="n">
        <v>0</v>
      </c>
      <c r="K288" t="n">
        <v>0</v>
      </c>
      <c r="L288" t="n">
        <v>0</v>
      </c>
      <c r="M288" t="n">
        <v>0</v>
      </c>
      <c r="N288" t="n">
        <v>0</v>
      </c>
      <c r="O288" t="n">
        <v>0</v>
      </c>
      <c r="P288" t="n">
        <v>0</v>
      </c>
      <c r="Q288" t="n">
        <v>0</v>
      </c>
      <c r="R288" s="2" t="inlineStr"/>
    </row>
    <row r="289" ht="15" customHeight="1">
      <c r="A289" t="inlineStr">
        <is>
          <t>A 18951-2021</t>
        </is>
      </c>
      <c r="B289" s="1" t="n">
        <v>44308</v>
      </c>
      <c r="C289" s="1" t="n">
        <v>45842</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21458-2021</t>
        </is>
      </c>
      <c r="B290" s="1" t="n">
        <v>44321</v>
      </c>
      <c r="C290" s="1" t="n">
        <v>45842</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21478-2021</t>
        </is>
      </c>
      <c r="B291" s="1" t="n">
        <v>44321</v>
      </c>
      <c r="C291" s="1" t="n">
        <v>45842</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22019-2021</t>
        </is>
      </c>
      <c r="B292" s="1" t="n">
        <v>44323</v>
      </c>
      <c r="C292" s="1" t="n">
        <v>45842</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22026-2021</t>
        </is>
      </c>
      <c r="B293" s="1" t="n">
        <v>44323</v>
      </c>
      <c r="C293" s="1" t="n">
        <v>45842</v>
      </c>
      <c r="D293" t="inlineStr">
        <is>
          <t>VÄSTMANLANDS LÄN</t>
        </is>
      </c>
      <c r="E293" t="inlineStr">
        <is>
          <t>SALA</t>
        </is>
      </c>
      <c r="G293" t="n">
        <v>2.9</v>
      </c>
      <c r="H293" t="n">
        <v>0</v>
      </c>
      <c r="I293" t="n">
        <v>0</v>
      </c>
      <c r="J293" t="n">
        <v>0</v>
      </c>
      <c r="K293" t="n">
        <v>0</v>
      </c>
      <c r="L293" t="n">
        <v>0</v>
      </c>
      <c r="M293" t="n">
        <v>0</v>
      </c>
      <c r="N293" t="n">
        <v>0</v>
      </c>
      <c r="O293" t="n">
        <v>0</v>
      </c>
      <c r="P293" t="n">
        <v>0</v>
      </c>
      <c r="Q293" t="n">
        <v>0</v>
      </c>
      <c r="R293" s="2" t="inlineStr"/>
    </row>
    <row r="294" ht="15" customHeight="1">
      <c r="A294" t="inlineStr">
        <is>
          <t>A 22017-2021</t>
        </is>
      </c>
      <c r="B294" s="1" t="n">
        <v>44323</v>
      </c>
      <c r="C294" s="1" t="n">
        <v>45842</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22362-2021</t>
        </is>
      </c>
      <c r="B295" s="1" t="n">
        <v>44326</v>
      </c>
      <c r="C295" s="1" t="n">
        <v>45842</v>
      </c>
      <c r="D295" t="inlineStr">
        <is>
          <t>VÄSTMANLANDS LÄN</t>
        </is>
      </c>
      <c r="E295" t="inlineStr">
        <is>
          <t>SALA</t>
        </is>
      </c>
      <c r="G295" t="n">
        <v>1.7</v>
      </c>
      <c r="H295" t="n">
        <v>0</v>
      </c>
      <c r="I295" t="n">
        <v>0</v>
      </c>
      <c r="J295" t="n">
        <v>0</v>
      </c>
      <c r="K295" t="n">
        <v>0</v>
      </c>
      <c r="L295" t="n">
        <v>0</v>
      </c>
      <c r="M295" t="n">
        <v>0</v>
      </c>
      <c r="N295" t="n">
        <v>0</v>
      </c>
      <c r="O295" t="n">
        <v>0</v>
      </c>
      <c r="P295" t="n">
        <v>0</v>
      </c>
      <c r="Q295" t="n">
        <v>0</v>
      </c>
      <c r="R295" s="2" t="inlineStr"/>
    </row>
    <row r="296" ht="15" customHeight="1">
      <c r="A296" t="inlineStr">
        <is>
          <t>A 23696-2021</t>
        </is>
      </c>
      <c r="B296" s="1" t="n">
        <v>44334</v>
      </c>
      <c r="C296" s="1" t="n">
        <v>45842</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23693-2021</t>
        </is>
      </c>
      <c r="B297" s="1" t="n">
        <v>44334</v>
      </c>
      <c r="C297" s="1" t="n">
        <v>45842</v>
      </c>
      <c r="D297" t="inlineStr">
        <is>
          <t>VÄSTMANLANDS LÄN</t>
        </is>
      </c>
      <c r="E297" t="inlineStr">
        <is>
          <t>SALA</t>
        </is>
      </c>
      <c r="G297" t="n">
        <v>8.4</v>
      </c>
      <c r="H297" t="n">
        <v>0</v>
      </c>
      <c r="I297" t="n">
        <v>0</v>
      </c>
      <c r="J297" t="n">
        <v>0</v>
      </c>
      <c r="K297" t="n">
        <v>0</v>
      </c>
      <c r="L297" t="n">
        <v>0</v>
      </c>
      <c r="M297" t="n">
        <v>0</v>
      </c>
      <c r="N297" t="n">
        <v>0</v>
      </c>
      <c r="O297" t="n">
        <v>0</v>
      </c>
      <c r="P297" t="n">
        <v>0</v>
      </c>
      <c r="Q297" t="n">
        <v>0</v>
      </c>
      <c r="R297" s="2" t="inlineStr"/>
    </row>
    <row r="298" ht="15" customHeight="1">
      <c r="A298" t="inlineStr">
        <is>
          <t>A 24740-2021</t>
        </is>
      </c>
      <c r="B298" s="1" t="n">
        <v>44340</v>
      </c>
      <c r="C298" s="1" t="n">
        <v>45842</v>
      </c>
      <c r="D298" t="inlineStr">
        <is>
          <t>VÄSTMANLANDS LÄN</t>
        </is>
      </c>
      <c r="E298" t="inlineStr">
        <is>
          <t>SALA</t>
        </is>
      </c>
      <c r="G298" t="n">
        <v>2.1</v>
      </c>
      <c r="H298" t="n">
        <v>0</v>
      </c>
      <c r="I298" t="n">
        <v>0</v>
      </c>
      <c r="J298" t="n">
        <v>0</v>
      </c>
      <c r="K298" t="n">
        <v>0</v>
      </c>
      <c r="L298" t="n">
        <v>0</v>
      </c>
      <c r="M298" t="n">
        <v>0</v>
      </c>
      <c r="N298" t="n">
        <v>0</v>
      </c>
      <c r="O298" t="n">
        <v>0</v>
      </c>
      <c r="P298" t="n">
        <v>0</v>
      </c>
      <c r="Q298" t="n">
        <v>0</v>
      </c>
      <c r="R298" s="2" t="inlineStr"/>
    </row>
    <row r="299" ht="15" customHeight="1">
      <c r="A299" t="inlineStr">
        <is>
          <t>A 24823-2021</t>
        </is>
      </c>
      <c r="B299" s="1" t="n">
        <v>44340</v>
      </c>
      <c r="C299" s="1" t="n">
        <v>45842</v>
      </c>
      <c r="D299" t="inlineStr">
        <is>
          <t>VÄSTMANLANDS LÄN</t>
        </is>
      </c>
      <c r="E299" t="inlineStr">
        <is>
          <t>SALA</t>
        </is>
      </c>
      <c r="G299" t="n">
        <v>4.9</v>
      </c>
      <c r="H299" t="n">
        <v>0</v>
      </c>
      <c r="I299" t="n">
        <v>0</v>
      </c>
      <c r="J299" t="n">
        <v>0</v>
      </c>
      <c r="K299" t="n">
        <v>0</v>
      </c>
      <c r="L299" t="n">
        <v>0</v>
      </c>
      <c r="M299" t="n">
        <v>0</v>
      </c>
      <c r="N299" t="n">
        <v>0</v>
      </c>
      <c r="O299" t="n">
        <v>0</v>
      </c>
      <c r="P299" t="n">
        <v>0</v>
      </c>
      <c r="Q299" t="n">
        <v>0</v>
      </c>
      <c r="R299" s="2" t="inlineStr"/>
    </row>
    <row r="300" ht="15" customHeight="1">
      <c r="A300" t="inlineStr">
        <is>
          <t>A 24755-2021</t>
        </is>
      </c>
      <c r="B300" s="1" t="n">
        <v>44340</v>
      </c>
      <c r="C300" s="1" t="n">
        <v>45842</v>
      </c>
      <c r="D300" t="inlineStr">
        <is>
          <t>VÄSTMANLANDS LÄN</t>
        </is>
      </c>
      <c r="E300" t="inlineStr">
        <is>
          <t>SALA</t>
        </is>
      </c>
      <c r="G300" t="n">
        <v>1.2</v>
      </c>
      <c r="H300" t="n">
        <v>0</v>
      </c>
      <c r="I300" t="n">
        <v>0</v>
      </c>
      <c r="J300" t="n">
        <v>0</v>
      </c>
      <c r="K300" t="n">
        <v>0</v>
      </c>
      <c r="L300" t="n">
        <v>0</v>
      </c>
      <c r="M300" t="n">
        <v>0</v>
      </c>
      <c r="N300" t="n">
        <v>0</v>
      </c>
      <c r="O300" t="n">
        <v>0</v>
      </c>
      <c r="P300" t="n">
        <v>0</v>
      </c>
      <c r="Q300" t="n">
        <v>0</v>
      </c>
      <c r="R300" s="2" t="inlineStr"/>
    </row>
    <row r="301" ht="15" customHeight="1">
      <c r="A301" t="inlineStr">
        <is>
          <t>A 26579-2021</t>
        </is>
      </c>
      <c r="B301" s="1" t="n">
        <v>44348</v>
      </c>
      <c r="C301" s="1" t="n">
        <v>45842</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26570-2021</t>
        </is>
      </c>
      <c r="B302" s="1" t="n">
        <v>44348</v>
      </c>
      <c r="C302" s="1" t="n">
        <v>45842</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26575-2021</t>
        </is>
      </c>
      <c r="B303" s="1" t="n">
        <v>44348</v>
      </c>
      <c r="C303" s="1" t="n">
        <v>45842</v>
      </c>
      <c r="D303" t="inlineStr">
        <is>
          <t>VÄSTMANLANDS LÄN</t>
        </is>
      </c>
      <c r="E303" t="inlineStr">
        <is>
          <t>SALA</t>
        </is>
      </c>
      <c r="G303" t="n">
        <v>2.7</v>
      </c>
      <c r="H303" t="n">
        <v>0</v>
      </c>
      <c r="I303" t="n">
        <v>0</v>
      </c>
      <c r="J303" t="n">
        <v>0</v>
      </c>
      <c r="K303" t="n">
        <v>0</v>
      </c>
      <c r="L303" t="n">
        <v>0</v>
      </c>
      <c r="M303" t="n">
        <v>0</v>
      </c>
      <c r="N303" t="n">
        <v>0</v>
      </c>
      <c r="O303" t="n">
        <v>0</v>
      </c>
      <c r="P303" t="n">
        <v>0</v>
      </c>
      <c r="Q303" t="n">
        <v>0</v>
      </c>
      <c r="R303" s="2" t="inlineStr"/>
    </row>
    <row r="304" ht="15" customHeight="1">
      <c r="A304" t="inlineStr">
        <is>
          <t>A 28425-2021</t>
        </is>
      </c>
      <c r="B304" s="1" t="n">
        <v>44356</v>
      </c>
      <c r="C304" s="1" t="n">
        <v>45842</v>
      </c>
      <c r="D304" t="inlineStr">
        <is>
          <t>VÄSTMANLANDS LÄN</t>
        </is>
      </c>
      <c r="E304" t="inlineStr">
        <is>
          <t>SALA</t>
        </is>
      </c>
      <c r="G304" t="n">
        <v>3.7</v>
      </c>
      <c r="H304" t="n">
        <v>0</v>
      </c>
      <c r="I304" t="n">
        <v>0</v>
      </c>
      <c r="J304" t="n">
        <v>0</v>
      </c>
      <c r="K304" t="n">
        <v>0</v>
      </c>
      <c r="L304" t="n">
        <v>0</v>
      </c>
      <c r="M304" t="n">
        <v>0</v>
      </c>
      <c r="N304" t="n">
        <v>0</v>
      </c>
      <c r="O304" t="n">
        <v>0</v>
      </c>
      <c r="P304" t="n">
        <v>0</v>
      </c>
      <c r="Q304" t="n">
        <v>0</v>
      </c>
      <c r="R304" s="2" t="inlineStr"/>
    </row>
    <row r="305" ht="15" customHeight="1">
      <c r="A305" t="inlineStr">
        <is>
          <t>A 30170-2021</t>
        </is>
      </c>
      <c r="B305" s="1" t="n">
        <v>44363</v>
      </c>
      <c r="C305" s="1" t="n">
        <v>45842</v>
      </c>
      <c r="D305" t="inlineStr">
        <is>
          <t>VÄSTMANLANDS LÄN</t>
        </is>
      </c>
      <c r="E305" t="inlineStr">
        <is>
          <t>SALA</t>
        </is>
      </c>
      <c r="G305" t="n">
        <v>7.2</v>
      </c>
      <c r="H305" t="n">
        <v>0</v>
      </c>
      <c r="I305" t="n">
        <v>0</v>
      </c>
      <c r="J305" t="n">
        <v>0</v>
      </c>
      <c r="K305" t="n">
        <v>0</v>
      </c>
      <c r="L305" t="n">
        <v>0</v>
      </c>
      <c r="M305" t="n">
        <v>0</v>
      </c>
      <c r="N305" t="n">
        <v>0</v>
      </c>
      <c r="O305" t="n">
        <v>0</v>
      </c>
      <c r="P305" t="n">
        <v>0</v>
      </c>
      <c r="Q305" t="n">
        <v>0</v>
      </c>
      <c r="R305" s="2" t="inlineStr"/>
    </row>
    <row r="306" ht="15" customHeight="1">
      <c r="A306" t="inlineStr">
        <is>
          <t>A 30859-2021</t>
        </is>
      </c>
      <c r="B306" s="1" t="n">
        <v>44365</v>
      </c>
      <c r="C306" s="1" t="n">
        <v>45842</v>
      </c>
      <c r="D306" t="inlineStr">
        <is>
          <t>VÄSTMANLANDS LÄN</t>
        </is>
      </c>
      <c r="E306" t="inlineStr">
        <is>
          <t>SALA</t>
        </is>
      </c>
      <c r="G306" t="n">
        <v>3.1</v>
      </c>
      <c r="H306" t="n">
        <v>0</v>
      </c>
      <c r="I306" t="n">
        <v>0</v>
      </c>
      <c r="J306" t="n">
        <v>0</v>
      </c>
      <c r="K306" t="n">
        <v>0</v>
      </c>
      <c r="L306" t="n">
        <v>0</v>
      </c>
      <c r="M306" t="n">
        <v>0</v>
      </c>
      <c r="N306" t="n">
        <v>0</v>
      </c>
      <c r="O306" t="n">
        <v>0</v>
      </c>
      <c r="P306" t="n">
        <v>0</v>
      </c>
      <c r="Q306" t="n">
        <v>0</v>
      </c>
      <c r="R306" s="2" t="inlineStr"/>
    </row>
    <row r="307" ht="15" customHeight="1">
      <c r="A307" t="inlineStr">
        <is>
          <t>A 30904-2021</t>
        </is>
      </c>
      <c r="B307" s="1" t="n">
        <v>44365</v>
      </c>
      <c r="C307" s="1" t="n">
        <v>45842</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30915-2021</t>
        </is>
      </c>
      <c r="B308" s="1" t="n">
        <v>44365</v>
      </c>
      <c r="C308" s="1" t="n">
        <v>45842</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30925-2021</t>
        </is>
      </c>
      <c r="B309" s="1" t="n">
        <v>44365</v>
      </c>
      <c r="C309" s="1" t="n">
        <v>45842</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30918-2021</t>
        </is>
      </c>
      <c r="B310" s="1" t="n">
        <v>44365</v>
      </c>
      <c r="C310" s="1" t="n">
        <v>45842</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31072-2021</t>
        </is>
      </c>
      <c r="B311" s="1" t="n">
        <v>44368</v>
      </c>
      <c r="C311" s="1" t="n">
        <v>45842</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31082-2021</t>
        </is>
      </c>
      <c r="B312" s="1" t="n">
        <v>44368</v>
      </c>
      <c r="C312" s="1" t="n">
        <v>45842</v>
      </c>
      <c r="D312" t="inlineStr">
        <is>
          <t>VÄSTMANLANDS LÄN</t>
        </is>
      </c>
      <c r="E312" t="inlineStr">
        <is>
          <t>SALA</t>
        </is>
      </c>
      <c r="G312" t="n">
        <v>2</v>
      </c>
      <c r="H312" t="n">
        <v>0</v>
      </c>
      <c r="I312" t="n">
        <v>0</v>
      </c>
      <c r="J312" t="n">
        <v>0</v>
      </c>
      <c r="K312" t="n">
        <v>0</v>
      </c>
      <c r="L312" t="n">
        <v>0</v>
      </c>
      <c r="M312" t="n">
        <v>0</v>
      </c>
      <c r="N312" t="n">
        <v>0</v>
      </c>
      <c r="O312" t="n">
        <v>0</v>
      </c>
      <c r="P312" t="n">
        <v>0</v>
      </c>
      <c r="Q312" t="n">
        <v>0</v>
      </c>
      <c r="R312" s="2" t="inlineStr"/>
    </row>
    <row r="313" ht="15" customHeight="1">
      <c r="A313" t="inlineStr">
        <is>
          <t>A 31452-2021</t>
        </is>
      </c>
      <c r="B313" s="1" t="n">
        <v>44369</v>
      </c>
      <c r="C313" s="1" t="n">
        <v>45842</v>
      </c>
      <c r="D313" t="inlineStr">
        <is>
          <t>VÄSTMANLANDS LÄN</t>
        </is>
      </c>
      <c r="E313" t="inlineStr">
        <is>
          <t>SALA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31470-2021</t>
        </is>
      </c>
      <c r="B314" s="1" t="n">
        <v>44369</v>
      </c>
      <c r="C314" s="1" t="n">
        <v>45842</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31904-2021</t>
        </is>
      </c>
      <c r="B315" s="1" t="n">
        <v>44370</v>
      </c>
      <c r="C315" s="1" t="n">
        <v>45842</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32610-2021</t>
        </is>
      </c>
      <c r="B316" s="1" t="n">
        <v>44375</v>
      </c>
      <c r="C316" s="1" t="n">
        <v>45842</v>
      </c>
      <c r="D316" t="inlineStr">
        <is>
          <t>VÄSTMANLANDS LÄN</t>
        </is>
      </c>
      <c r="E316" t="inlineStr">
        <is>
          <t>SALA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45842</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34814-2021</t>
        </is>
      </c>
      <c r="B318" s="1" t="n">
        <v>44383</v>
      </c>
      <c r="C318" s="1" t="n">
        <v>45842</v>
      </c>
      <c r="D318" t="inlineStr">
        <is>
          <t>VÄSTMANLANDS LÄN</t>
        </is>
      </c>
      <c r="E318" t="inlineStr">
        <is>
          <t>SALA</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35207-2021</t>
        </is>
      </c>
      <c r="B319" s="1" t="n">
        <v>44384</v>
      </c>
      <c r="C319" s="1" t="n">
        <v>45842</v>
      </c>
      <c r="D319" t="inlineStr">
        <is>
          <t>VÄSTMANLANDS LÄN</t>
        </is>
      </c>
      <c r="E319" t="inlineStr">
        <is>
          <t>SALA</t>
        </is>
      </c>
      <c r="G319" t="n">
        <v>2.2</v>
      </c>
      <c r="H319" t="n">
        <v>0</v>
      </c>
      <c r="I319" t="n">
        <v>0</v>
      </c>
      <c r="J319" t="n">
        <v>0</v>
      </c>
      <c r="K319" t="n">
        <v>0</v>
      </c>
      <c r="L319" t="n">
        <v>0</v>
      </c>
      <c r="M319" t="n">
        <v>0</v>
      </c>
      <c r="N319" t="n">
        <v>0</v>
      </c>
      <c r="O319" t="n">
        <v>0</v>
      </c>
      <c r="P319" t="n">
        <v>0</v>
      </c>
      <c r="Q319" t="n">
        <v>0</v>
      </c>
      <c r="R319" s="2" t="inlineStr"/>
    </row>
    <row r="320" ht="15" customHeight="1">
      <c r="A320" t="inlineStr">
        <is>
          <t>A 35211-2021</t>
        </is>
      </c>
      <c r="B320" s="1" t="n">
        <v>44384</v>
      </c>
      <c r="C320" s="1" t="n">
        <v>45842</v>
      </c>
      <c r="D320" t="inlineStr">
        <is>
          <t>VÄSTMANLANDS LÄN</t>
        </is>
      </c>
      <c r="E320" t="inlineStr">
        <is>
          <t>SALA</t>
        </is>
      </c>
      <c r="G320" t="n">
        <v>1.4</v>
      </c>
      <c r="H320" t="n">
        <v>0</v>
      </c>
      <c r="I320" t="n">
        <v>0</v>
      </c>
      <c r="J320" t="n">
        <v>0</v>
      </c>
      <c r="K320" t="n">
        <v>0</v>
      </c>
      <c r="L320" t="n">
        <v>0</v>
      </c>
      <c r="M320" t="n">
        <v>0</v>
      </c>
      <c r="N320" t="n">
        <v>0</v>
      </c>
      <c r="O320" t="n">
        <v>0</v>
      </c>
      <c r="P320" t="n">
        <v>0</v>
      </c>
      <c r="Q320" t="n">
        <v>0</v>
      </c>
      <c r="R320" s="2" t="inlineStr"/>
    </row>
    <row r="321" ht="15" customHeight="1">
      <c r="A321" t="inlineStr">
        <is>
          <t>A 35451-2021</t>
        </is>
      </c>
      <c r="B321" s="1" t="n">
        <v>44384</v>
      </c>
      <c r="C321" s="1" t="n">
        <v>45842</v>
      </c>
      <c r="D321" t="inlineStr">
        <is>
          <t>VÄSTMANLANDS LÄN</t>
        </is>
      </c>
      <c r="E321" t="inlineStr">
        <is>
          <t>SALA</t>
        </is>
      </c>
      <c r="G321" t="n">
        <v>2.5</v>
      </c>
      <c r="H321" t="n">
        <v>0</v>
      </c>
      <c r="I321" t="n">
        <v>0</v>
      </c>
      <c r="J321" t="n">
        <v>0</v>
      </c>
      <c r="K321" t="n">
        <v>0</v>
      </c>
      <c r="L321" t="n">
        <v>0</v>
      </c>
      <c r="M321" t="n">
        <v>0</v>
      </c>
      <c r="N321" t="n">
        <v>0</v>
      </c>
      <c r="O321" t="n">
        <v>0</v>
      </c>
      <c r="P321" t="n">
        <v>0</v>
      </c>
      <c r="Q321" t="n">
        <v>0</v>
      </c>
      <c r="R321" s="2" t="inlineStr"/>
    </row>
    <row r="322" ht="15" customHeight="1">
      <c r="A322" t="inlineStr">
        <is>
          <t>A 35487-2021</t>
        </is>
      </c>
      <c r="B322" s="1" t="n">
        <v>44384</v>
      </c>
      <c r="C322" s="1" t="n">
        <v>45842</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35482-2021</t>
        </is>
      </c>
      <c r="B323" s="1" t="n">
        <v>44384</v>
      </c>
      <c r="C323" s="1" t="n">
        <v>45842</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35921-2021</t>
        </is>
      </c>
      <c r="B324" s="1" t="n">
        <v>44388</v>
      </c>
      <c r="C324" s="1" t="n">
        <v>45842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37703-2021</t>
        </is>
      </c>
      <c r="B325" s="1" t="n">
        <v>44400</v>
      </c>
      <c r="C325" s="1" t="n">
        <v>45842</v>
      </c>
      <c r="D325" t="inlineStr">
        <is>
          <t>VÄSTMANLANDS LÄN</t>
        </is>
      </c>
      <c r="E325" t="inlineStr">
        <is>
          <t>SALA</t>
        </is>
      </c>
      <c r="G325" t="n">
        <v>2.7</v>
      </c>
      <c r="H325" t="n">
        <v>0</v>
      </c>
      <c r="I325" t="n">
        <v>0</v>
      </c>
      <c r="J325" t="n">
        <v>0</v>
      </c>
      <c r="K325" t="n">
        <v>0</v>
      </c>
      <c r="L325" t="n">
        <v>0</v>
      </c>
      <c r="M325" t="n">
        <v>0</v>
      </c>
      <c r="N325" t="n">
        <v>0</v>
      </c>
      <c r="O325" t="n">
        <v>0</v>
      </c>
      <c r="P325" t="n">
        <v>0</v>
      </c>
      <c r="Q325" t="n">
        <v>0</v>
      </c>
      <c r="R325" s="2" t="inlineStr"/>
    </row>
    <row r="326" ht="15" customHeight="1">
      <c r="A326" t="inlineStr">
        <is>
          <t>A 37856-2021</t>
        </is>
      </c>
      <c r="B326" s="1" t="n">
        <v>44403</v>
      </c>
      <c r="C326" s="1" t="n">
        <v>45842</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37872-2021</t>
        </is>
      </c>
      <c r="B327" s="1" t="n">
        <v>44403</v>
      </c>
      <c r="C327" s="1" t="n">
        <v>45842</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37881-2021</t>
        </is>
      </c>
      <c r="B328" s="1" t="n">
        <v>44403</v>
      </c>
      <c r="C328" s="1" t="n">
        <v>45842</v>
      </c>
      <c r="D328" t="inlineStr">
        <is>
          <t>VÄSTMANLANDS LÄN</t>
        </is>
      </c>
      <c r="E328" t="inlineStr">
        <is>
          <t>SALA</t>
        </is>
      </c>
      <c r="G328" t="n">
        <v>4.6</v>
      </c>
      <c r="H328" t="n">
        <v>0</v>
      </c>
      <c r="I328" t="n">
        <v>0</v>
      </c>
      <c r="J328" t="n">
        <v>0</v>
      </c>
      <c r="K328" t="n">
        <v>0</v>
      </c>
      <c r="L328" t="n">
        <v>0</v>
      </c>
      <c r="M328" t="n">
        <v>0</v>
      </c>
      <c r="N328" t="n">
        <v>0</v>
      </c>
      <c r="O328" t="n">
        <v>0</v>
      </c>
      <c r="P328" t="n">
        <v>0</v>
      </c>
      <c r="Q328" t="n">
        <v>0</v>
      </c>
      <c r="R328" s="2" t="inlineStr"/>
    </row>
    <row r="329" ht="15" customHeight="1">
      <c r="A329" t="inlineStr">
        <is>
          <t>A 38195-2021</t>
        </is>
      </c>
      <c r="B329" s="1" t="n">
        <v>44405</v>
      </c>
      <c r="C329" s="1" t="n">
        <v>45842</v>
      </c>
      <c r="D329" t="inlineStr">
        <is>
          <t>VÄSTMANLANDS LÄN</t>
        </is>
      </c>
      <c r="E329" t="inlineStr">
        <is>
          <t>SALA</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38634-2021</t>
        </is>
      </c>
      <c r="B330" s="1" t="n">
        <v>44410</v>
      </c>
      <c r="C330" s="1" t="n">
        <v>45842</v>
      </c>
      <c r="D330" t="inlineStr">
        <is>
          <t>VÄSTMANLANDS LÄN</t>
        </is>
      </c>
      <c r="E330" t="inlineStr">
        <is>
          <t>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39439-2021</t>
        </is>
      </c>
      <c r="B331" s="1" t="n">
        <v>44414</v>
      </c>
      <c r="C331" s="1" t="n">
        <v>45842</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39807-2021</t>
        </is>
      </c>
      <c r="B332" s="1" t="n">
        <v>44417</v>
      </c>
      <c r="C332" s="1" t="n">
        <v>45842</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40157-2021</t>
        </is>
      </c>
      <c r="B333" s="1" t="n">
        <v>44418</v>
      </c>
      <c r="C333" s="1" t="n">
        <v>45842</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40153-2021</t>
        </is>
      </c>
      <c r="B334" s="1" t="n">
        <v>44418</v>
      </c>
      <c r="C334" s="1" t="n">
        <v>45842</v>
      </c>
      <c r="D334" t="inlineStr">
        <is>
          <t>VÄSTMANLANDS LÄN</t>
        </is>
      </c>
      <c r="E334" t="inlineStr">
        <is>
          <t>SALA</t>
        </is>
      </c>
      <c r="G334" t="n">
        <v>2.8</v>
      </c>
      <c r="H334" t="n">
        <v>0</v>
      </c>
      <c r="I334" t="n">
        <v>0</v>
      </c>
      <c r="J334" t="n">
        <v>0</v>
      </c>
      <c r="K334" t="n">
        <v>0</v>
      </c>
      <c r="L334" t="n">
        <v>0</v>
      </c>
      <c r="M334" t="n">
        <v>0</v>
      </c>
      <c r="N334" t="n">
        <v>0</v>
      </c>
      <c r="O334" t="n">
        <v>0</v>
      </c>
      <c r="P334" t="n">
        <v>0</v>
      </c>
      <c r="Q334" t="n">
        <v>0</v>
      </c>
      <c r="R334" s="2" t="inlineStr"/>
    </row>
    <row r="335" ht="15" customHeight="1">
      <c r="A335" t="inlineStr">
        <is>
          <t>A 40398-2021</t>
        </is>
      </c>
      <c r="B335" s="1" t="n">
        <v>44419</v>
      </c>
      <c r="C335" s="1" t="n">
        <v>45842</v>
      </c>
      <c r="D335" t="inlineStr">
        <is>
          <t>VÄSTMANLANDS LÄN</t>
        </is>
      </c>
      <c r="E335" t="inlineStr">
        <is>
          <t>SALA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40659-2021</t>
        </is>
      </c>
      <c r="B336" s="1" t="n">
        <v>44420</v>
      </c>
      <c r="C336" s="1" t="n">
        <v>45842</v>
      </c>
      <c r="D336" t="inlineStr">
        <is>
          <t>VÄSTMANLANDS LÄN</t>
        </is>
      </c>
      <c r="E336" t="inlineStr">
        <is>
          <t>SALA</t>
        </is>
      </c>
      <c r="G336" t="n">
        <v>1.3</v>
      </c>
      <c r="H336" t="n">
        <v>0</v>
      </c>
      <c r="I336" t="n">
        <v>0</v>
      </c>
      <c r="J336" t="n">
        <v>0</v>
      </c>
      <c r="K336" t="n">
        <v>0</v>
      </c>
      <c r="L336" t="n">
        <v>0</v>
      </c>
      <c r="M336" t="n">
        <v>0</v>
      </c>
      <c r="N336" t="n">
        <v>0</v>
      </c>
      <c r="O336" t="n">
        <v>0</v>
      </c>
      <c r="P336" t="n">
        <v>0</v>
      </c>
      <c r="Q336" t="n">
        <v>0</v>
      </c>
      <c r="R336" s="2" t="inlineStr"/>
    </row>
    <row r="337" ht="15" customHeight="1">
      <c r="A337" t="inlineStr">
        <is>
          <t>A 40871-2021</t>
        </is>
      </c>
      <c r="B337" s="1" t="n">
        <v>44421</v>
      </c>
      <c r="C337" s="1" t="n">
        <v>45842</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41292-2021</t>
        </is>
      </c>
      <c r="B338" s="1" t="n">
        <v>44424</v>
      </c>
      <c r="C338" s="1" t="n">
        <v>45842</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41583-2021</t>
        </is>
      </c>
      <c r="B339" s="1" t="n">
        <v>44425</v>
      </c>
      <c r="C339" s="1" t="n">
        <v>45842</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43292-2021</t>
        </is>
      </c>
      <c r="B340" s="1" t="n">
        <v>44432</v>
      </c>
      <c r="C340" s="1" t="n">
        <v>45842</v>
      </c>
      <c r="D340" t="inlineStr">
        <is>
          <t>VÄSTMANLANDS LÄN</t>
        </is>
      </c>
      <c r="E340" t="inlineStr">
        <is>
          <t>SALA</t>
        </is>
      </c>
      <c r="G340" t="n">
        <v>15</v>
      </c>
      <c r="H340" t="n">
        <v>0</v>
      </c>
      <c r="I340" t="n">
        <v>0</v>
      </c>
      <c r="J340" t="n">
        <v>0</v>
      </c>
      <c r="K340" t="n">
        <v>0</v>
      </c>
      <c r="L340" t="n">
        <v>0</v>
      </c>
      <c r="M340" t="n">
        <v>0</v>
      </c>
      <c r="N340" t="n">
        <v>0</v>
      </c>
      <c r="O340" t="n">
        <v>0</v>
      </c>
      <c r="P340" t="n">
        <v>0</v>
      </c>
      <c r="Q340" t="n">
        <v>0</v>
      </c>
      <c r="R340" s="2" t="inlineStr"/>
    </row>
    <row r="341" ht="15" customHeight="1">
      <c r="A341" t="inlineStr">
        <is>
          <t>A 43509-2021</t>
        </is>
      </c>
      <c r="B341" s="1" t="n">
        <v>44433</v>
      </c>
      <c r="C341" s="1" t="n">
        <v>45842</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46279-2021</t>
        </is>
      </c>
      <c r="B342" s="1" t="n">
        <v>44442</v>
      </c>
      <c r="C342" s="1" t="n">
        <v>45842</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47701-2021</t>
        </is>
      </c>
      <c r="B343" s="1" t="n">
        <v>44448</v>
      </c>
      <c r="C343" s="1" t="n">
        <v>45842</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47683-2021</t>
        </is>
      </c>
      <c r="B344" s="1" t="n">
        <v>44448</v>
      </c>
      <c r="C344" s="1" t="n">
        <v>45842</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48400-2021</t>
        </is>
      </c>
      <c r="B345" s="1" t="n">
        <v>44449</v>
      </c>
      <c r="C345" s="1" t="n">
        <v>45842</v>
      </c>
      <c r="D345" t="inlineStr">
        <is>
          <t>VÄSTMANLANDS LÄN</t>
        </is>
      </c>
      <c r="E345" t="inlineStr">
        <is>
          <t>SALA</t>
        </is>
      </c>
      <c r="G345" t="n">
        <v>3</v>
      </c>
      <c r="H345" t="n">
        <v>0</v>
      </c>
      <c r="I345" t="n">
        <v>0</v>
      </c>
      <c r="J345" t="n">
        <v>0</v>
      </c>
      <c r="K345" t="n">
        <v>0</v>
      </c>
      <c r="L345" t="n">
        <v>0</v>
      </c>
      <c r="M345" t="n">
        <v>0</v>
      </c>
      <c r="N345" t="n">
        <v>0</v>
      </c>
      <c r="O345" t="n">
        <v>0</v>
      </c>
      <c r="P345" t="n">
        <v>0</v>
      </c>
      <c r="Q345" t="n">
        <v>0</v>
      </c>
      <c r="R345" s="2" t="inlineStr"/>
    </row>
    <row r="346" ht="15" customHeight="1">
      <c r="A346" t="inlineStr">
        <is>
          <t>A 50962-2021</t>
        </is>
      </c>
      <c r="B346" s="1" t="n">
        <v>44460</v>
      </c>
      <c r="C346" s="1" t="n">
        <v>45842</v>
      </c>
      <c r="D346" t="inlineStr">
        <is>
          <t>VÄSTMANLANDS LÄN</t>
        </is>
      </c>
      <c r="E346" t="inlineStr">
        <is>
          <t>SALA</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54030-2021</t>
        </is>
      </c>
      <c r="B347" s="1" t="n">
        <v>44470</v>
      </c>
      <c r="C347" s="1" t="n">
        <v>45842</v>
      </c>
      <c r="D347" t="inlineStr">
        <is>
          <t>VÄSTMANLANDS LÄN</t>
        </is>
      </c>
      <c r="E347" t="inlineStr">
        <is>
          <t>SALA</t>
        </is>
      </c>
      <c r="G347" t="n">
        <v>4.1</v>
      </c>
      <c r="H347" t="n">
        <v>0</v>
      </c>
      <c r="I347" t="n">
        <v>0</v>
      </c>
      <c r="J347" t="n">
        <v>0</v>
      </c>
      <c r="K347" t="n">
        <v>0</v>
      </c>
      <c r="L347" t="n">
        <v>0</v>
      </c>
      <c r="M347" t="n">
        <v>0</v>
      </c>
      <c r="N347" t="n">
        <v>0</v>
      </c>
      <c r="O347" t="n">
        <v>0</v>
      </c>
      <c r="P347" t="n">
        <v>0</v>
      </c>
      <c r="Q347" t="n">
        <v>0</v>
      </c>
      <c r="R347" s="2" t="inlineStr"/>
    </row>
    <row r="348" ht="15" customHeight="1">
      <c r="A348" t="inlineStr">
        <is>
          <t>A 54520-2021</t>
        </is>
      </c>
      <c r="B348" s="1" t="n">
        <v>44473</v>
      </c>
      <c r="C348" s="1" t="n">
        <v>45842</v>
      </c>
      <c r="D348" t="inlineStr">
        <is>
          <t>VÄSTMANLANDS LÄN</t>
        </is>
      </c>
      <c r="E348" t="inlineStr">
        <is>
          <t>SALA</t>
        </is>
      </c>
      <c r="G348" t="n">
        <v>5.8</v>
      </c>
      <c r="H348" t="n">
        <v>0</v>
      </c>
      <c r="I348" t="n">
        <v>0</v>
      </c>
      <c r="J348" t="n">
        <v>0</v>
      </c>
      <c r="K348" t="n">
        <v>0</v>
      </c>
      <c r="L348" t="n">
        <v>0</v>
      </c>
      <c r="M348" t="n">
        <v>0</v>
      </c>
      <c r="N348" t="n">
        <v>0</v>
      </c>
      <c r="O348" t="n">
        <v>0</v>
      </c>
      <c r="P348" t="n">
        <v>0</v>
      </c>
      <c r="Q348" t="n">
        <v>0</v>
      </c>
      <c r="R348" s="2" t="inlineStr"/>
    </row>
    <row r="349" ht="15" customHeight="1">
      <c r="A349" t="inlineStr">
        <is>
          <t>A 57049-2021</t>
        </is>
      </c>
      <c r="B349" s="1" t="n">
        <v>44482</v>
      </c>
      <c r="C349" s="1" t="n">
        <v>45842</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57056-2021</t>
        </is>
      </c>
      <c r="B350" s="1" t="n">
        <v>44482</v>
      </c>
      <c r="C350" s="1" t="n">
        <v>45842</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57000-2021</t>
        </is>
      </c>
      <c r="B351" s="1" t="n">
        <v>44482</v>
      </c>
      <c r="C351" s="1" t="n">
        <v>45842</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57131-2021</t>
        </is>
      </c>
      <c r="B352" s="1" t="n">
        <v>44482</v>
      </c>
      <c r="C352" s="1" t="n">
        <v>45842</v>
      </c>
      <c r="D352" t="inlineStr">
        <is>
          <t>VÄSTMANLANDS LÄN</t>
        </is>
      </c>
      <c r="E352" t="inlineStr">
        <is>
          <t>SALA</t>
        </is>
      </c>
      <c r="G352" t="n">
        <v>2.3</v>
      </c>
      <c r="H352" t="n">
        <v>0</v>
      </c>
      <c r="I352" t="n">
        <v>0</v>
      </c>
      <c r="J352" t="n">
        <v>0</v>
      </c>
      <c r="K352" t="n">
        <v>0</v>
      </c>
      <c r="L352" t="n">
        <v>0</v>
      </c>
      <c r="M352" t="n">
        <v>0</v>
      </c>
      <c r="N352" t="n">
        <v>0</v>
      </c>
      <c r="O352" t="n">
        <v>0</v>
      </c>
      <c r="P352" t="n">
        <v>0</v>
      </c>
      <c r="Q352" t="n">
        <v>0</v>
      </c>
      <c r="R352" s="2" t="inlineStr"/>
    </row>
    <row r="353" ht="15" customHeight="1">
      <c r="A353" t="inlineStr">
        <is>
          <t>A 57517-2021</t>
        </is>
      </c>
      <c r="B353" s="1" t="n">
        <v>44483</v>
      </c>
      <c r="C353" s="1" t="n">
        <v>45842</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57596-2021</t>
        </is>
      </c>
      <c r="B354" s="1" t="n">
        <v>44483</v>
      </c>
      <c r="C354" s="1" t="n">
        <v>45842</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58107-2021</t>
        </is>
      </c>
      <c r="B355" s="1" t="n">
        <v>44487</v>
      </c>
      <c r="C355" s="1" t="n">
        <v>45842</v>
      </c>
      <c r="D355" t="inlineStr">
        <is>
          <t>VÄSTMANLANDS LÄN</t>
        </is>
      </c>
      <c r="E355" t="inlineStr">
        <is>
          <t>SALA</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58106-2021</t>
        </is>
      </c>
      <c r="B356" s="1" t="n">
        <v>44487</v>
      </c>
      <c r="C356" s="1" t="n">
        <v>45842</v>
      </c>
      <c r="D356" t="inlineStr">
        <is>
          <t>VÄSTMANLANDS LÄN</t>
        </is>
      </c>
      <c r="E356" t="inlineStr">
        <is>
          <t>SALA</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58522-2021</t>
        </is>
      </c>
      <c r="B357" s="1" t="n">
        <v>44488</v>
      </c>
      <c r="C357" s="1" t="n">
        <v>45842</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58701-2021</t>
        </is>
      </c>
      <c r="B358" s="1" t="n">
        <v>44489</v>
      </c>
      <c r="C358" s="1" t="n">
        <v>45842</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60031-2021</t>
        </is>
      </c>
      <c r="B359" s="1" t="n">
        <v>44495</v>
      </c>
      <c r="C359" s="1" t="n">
        <v>45842</v>
      </c>
      <c r="D359" t="inlineStr">
        <is>
          <t>VÄSTMANLANDS LÄN</t>
        </is>
      </c>
      <c r="E359" t="inlineStr">
        <is>
          <t>SALA</t>
        </is>
      </c>
      <c r="G359" t="n">
        <v>4.3</v>
      </c>
      <c r="H359" t="n">
        <v>0</v>
      </c>
      <c r="I359" t="n">
        <v>0</v>
      </c>
      <c r="J359" t="n">
        <v>0</v>
      </c>
      <c r="K359" t="n">
        <v>0</v>
      </c>
      <c r="L359" t="n">
        <v>0</v>
      </c>
      <c r="M359" t="n">
        <v>0</v>
      </c>
      <c r="N359" t="n">
        <v>0</v>
      </c>
      <c r="O359" t="n">
        <v>0</v>
      </c>
      <c r="P359" t="n">
        <v>0</v>
      </c>
      <c r="Q359" t="n">
        <v>0</v>
      </c>
      <c r="R359" s="2" t="inlineStr"/>
    </row>
    <row r="360" ht="15" customHeight="1">
      <c r="A360" t="inlineStr">
        <is>
          <t>A 60951-2021</t>
        </is>
      </c>
      <c r="B360" s="1" t="n">
        <v>44497</v>
      </c>
      <c r="C360" s="1" t="n">
        <v>45842</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61892-2021</t>
        </is>
      </c>
      <c r="B361" s="1" t="n">
        <v>44502</v>
      </c>
      <c r="C361" s="1" t="n">
        <v>45842</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61874-2021</t>
        </is>
      </c>
      <c r="B362" s="1" t="n">
        <v>44502</v>
      </c>
      <c r="C362" s="1" t="n">
        <v>45842</v>
      </c>
      <c r="D362" t="inlineStr">
        <is>
          <t>VÄSTMANLANDS LÄN</t>
        </is>
      </c>
      <c r="E362" t="inlineStr">
        <is>
          <t>SALA</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61897-2021</t>
        </is>
      </c>
      <c r="B363" s="1" t="n">
        <v>44502</v>
      </c>
      <c r="C363" s="1" t="n">
        <v>45842</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v>
      </c>
      <c r="C364" s="1" t="n">
        <v>45842</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62793-2021</t>
        </is>
      </c>
      <c r="B365" s="1" t="n">
        <v>44504</v>
      </c>
      <c r="C365" s="1" t="n">
        <v>45842</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62833-2021</t>
        </is>
      </c>
      <c r="B366" s="1" t="n">
        <v>44504</v>
      </c>
      <c r="C366" s="1" t="n">
        <v>45842</v>
      </c>
      <c r="D366" t="inlineStr">
        <is>
          <t>VÄSTMANLANDS LÄN</t>
        </is>
      </c>
      <c r="E366" t="inlineStr">
        <is>
          <t>SALA</t>
        </is>
      </c>
      <c r="G366" t="n">
        <v>5</v>
      </c>
      <c r="H366" t="n">
        <v>0</v>
      </c>
      <c r="I366" t="n">
        <v>0</v>
      </c>
      <c r="J366" t="n">
        <v>0</v>
      </c>
      <c r="K366" t="n">
        <v>0</v>
      </c>
      <c r="L366" t="n">
        <v>0</v>
      </c>
      <c r="M366" t="n">
        <v>0</v>
      </c>
      <c r="N366" t="n">
        <v>0</v>
      </c>
      <c r="O366" t="n">
        <v>0</v>
      </c>
      <c r="P366" t="n">
        <v>0</v>
      </c>
      <c r="Q366" t="n">
        <v>0</v>
      </c>
      <c r="R366" s="2" t="inlineStr"/>
    </row>
    <row r="367" ht="15" customHeight="1">
      <c r="A367" t="inlineStr">
        <is>
          <t>A 62850-2021</t>
        </is>
      </c>
      <c r="B367" s="1" t="n">
        <v>44504</v>
      </c>
      <c r="C367" s="1" t="n">
        <v>45842</v>
      </c>
      <c r="D367" t="inlineStr">
        <is>
          <t>VÄSTMANLANDS LÄN</t>
        </is>
      </c>
      <c r="E367" t="inlineStr">
        <is>
          <t>SALA</t>
        </is>
      </c>
      <c r="G367" t="n">
        <v>5.2</v>
      </c>
      <c r="H367" t="n">
        <v>0</v>
      </c>
      <c r="I367" t="n">
        <v>0</v>
      </c>
      <c r="J367" t="n">
        <v>0</v>
      </c>
      <c r="K367" t="n">
        <v>0</v>
      </c>
      <c r="L367" t="n">
        <v>0</v>
      </c>
      <c r="M367" t="n">
        <v>0</v>
      </c>
      <c r="N367" t="n">
        <v>0</v>
      </c>
      <c r="O367" t="n">
        <v>0</v>
      </c>
      <c r="P367" t="n">
        <v>0</v>
      </c>
      <c r="Q367" t="n">
        <v>0</v>
      </c>
      <c r="R367" s="2" t="inlineStr"/>
    </row>
    <row r="368" ht="15" customHeight="1">
      <c r="A368" t="inlineStr">
        <is>
          <t>A 62967-2021</t>
        </is>
      </c>
      <c r="B368" s="1" t="n">
        <v>44505</v>
      </c>
      <c r="C368" s="1" t="n">
        <v>45842</v>
      </c>
      <c r="D368" t="inlineStr">
        <is>
          <t>VÄSTMANLANDS LÄN</t>
        </is>
      </c>
      <c r="E368" t="inlineStr">
        <is>
          <t>SALA</t>
        </is>
      </c>
      <c r="G368" t="n">
        <v>6.1</v>
      </c>
      <c r="H368" t="n">
        <v>0</v>
      </c>
      <c r="I368" t="n">
        <v>0</v>
      </c>
      <c r="J368" t="n">
        <v>0</v>
      </c>
      <c r="K368" t="n">
        <v>0</v>
      </c>
      <c r="L368" t="n">
        <v>0</v>
      </c>
      <c r="M368" t="n">
        <v>0</v>
      </c>
      <c r="N368" t="n">
        <v>0</v>
      </c>
      <c r="O368" t="n">
        <v>0</v>
      </c>
      <c r="P368" t="n">
        <v>0</v>
      </c>
      <c r="Q368" t="n">
        <v>0</v>
      </c>
      <c r="R368" s="2" t="inlineStr"/>
    </row>
    <row r="369" ht="15" customHeight="1">
      <c r="A369" t="inlineStr">
        <is>
          <t>A 63290-2021</t>
        </is>
      </c>
      <c r="B369" s="1" t="n">
        <v>44505</v>
      </c>
      <c r="C369" s="1" t="n">
        <v>45842</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64931-2021</t>
        </is>
      </c>
      <c r="B370" s="1" t="n">
        <v>44512</v>
      </c>
      <c r="C370" s="1" t="n">
        <v>45842</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64932-2021</t>
        </is>
      </c>
      <c r="B371" s="1" t="n">
        <v>44512</v>
      </c>
      <c r="C371" s="1" t="n">
        <v>45842</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65213-2021</t>
        </is>
      </c>
      <c r="B372" s="1" t="n">
        <v>44515</v>
      </c>
      <c r="C372" s="1" t="n">
        <v>45842</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65321-2021</t>
        </is>
      </c>
      <c r="B373" s="1" t="n">
        <v>44515</v>
      </c>
      <c r="C373" s="1" t="n">
        <v>45842</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65338-2021</t>
        </is>
      </c>
      <c r="B374" s="1" t="n">
        <v>44515</v>
      </c>
      <c r="C374" s="1" t="n">
        <v>45842</v>
      </c>
      <c r="D374" t="inlineStr">
        <is>
          <t>VÄSTMANLANDS LÄN</t>
        </is>
      </c>
      <c r="E374" t="inlineStr">
        <is>
          <t>SALA</t>
        </is>
      </c>
      <c r="G374" t="n">
        <v>0.4</v>
      </c>
      <c r="H374" t="n">
        <v>0</v>
      </c>
      <c r="I374" t="n">
        <v>0</v>
      </c>
      <c r="J374" t="n">
        <v>0</v>
      </c>
      <c r="K374" t="n">
        <v>0</v>
      </c>
      <c r="L374" t="n">
        <v>0</v>
      </c>
      <c r="M374" t="n">
        <v>0</v>
      </c>
      <c r="N374" t="n">
        <v>0</v>
      </c>
      <c r="O374" t="n">
        <v>0</v>
      </c>
      <c r="P374" t="n">
        <v>0</v>
      </c>
      <c r="Q374" t="n">
        <v>0</v>
      </c>
      <c r="R374" s="2" t="inlineStr"/>
    </row>
    <row r="375" ht="15" customHeight="1">
      <c r="A375" t="inlineStr">
        <is>
          <t>A 65353-2021</t>
        </is>
      </c>
      <c r="B375" s="1" t="n">
        <v>44515</v>
      </c>
      <c r="C375" s="1" t="n">
        <v>45842</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65490-2021</t>
        </is>
      </c>
      <c r="B376" s="1" t="n">
        <v>44515</v>
      </c>
      <c r="C376" s="1" t="n">
        <v>45842</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65856-2021</t>
        </is>
      </c>
      <c r="B377" s="1" t="n">
        <v>44517</v>
      </c>
      <c r="C377" s="1" t="n">
        <v>45842</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65818-2021</t>
        </is>
      </c>
      <c r="B378" s="1" t="n">
        <v>44517</v>
      </c>
      <c r="C378" s="1" t="n">
        <v>45842</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45842</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65860-2021</t>
        </is>
      </c>
      <c r="B380" s="1" t="n">
        <v>44517</v>
      </c>
      <c r="C380" s="1" t="n">
        <v>45842</v>
      </c>
      <c r="D380" t="inlineStr">
        <is>
          <t>VÄSTMANLANDS LÄN</t>
        </is>
      </c>
      <c r="E380" t="inlineStr">
        <is>
          <t>SALA</t>
        </is>
      </c>
      <c r="G380" t="n">
        <v>0.9</v>
      </c>
      <c r="H380" t="n">
        <v>0</v>
      </c>
      <c r="I380" t="n">
        <v>0</v>
      </c>
      <c r="J380" t="n">
        <v>0</v>
      </c>
      <c r="K380" t="n">
        <v>0</v>
      </c>
      <c r="L380" t="n">
        <v>0</v>
      </c>
      <c r="M380" t="n">
        <v>0</v>
      </c>
      <c r="N380" t="n">
        <v>0</v>
      </c>
      <c r="O380" t="n">
        <v>0</v>
      </c>
      <c r="P380" t="n">
        <v>0</v>
      </c>
      <c r="Q380" t="n">
        <v>0</v>
      </c>
      <c r="R380" s="2" t="inlineStr"/>
    </row>
    <row r="381" ht="15" customHeight="1">
      <c r="A381" t="inlineStr">
        <is>
          <t>A 66307-2021</t>
        </is>
      </c>
      <c r="B381" s="1" t="n">
        <v>44518</v>
      </c>
      <c r="C381" s="1" t="n">
        <v>45842</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66508-2021</t>
        </is>
      </c>
      <c r="B382" s="1" t="n">
        <v>44519</v>
      </c>
      <c r="C382" s="1" t="n">
        <v>45842</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66563-2021</t>
        </is>
      </c>
      <c r="B383" s="1" t="n">
        <v>44519</v>
      </c>
      <c r="C383" s="1" t="n">
        <v>45842</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66561-2021</t>
        </is>
      </c>
      <c r="B384" s="1" t="n">
        <v>44519</v>
      </c>
      <c r="C384" s="1" t="n">
        <v>45842</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66908-2021</t>
        </is>
      </c>
      <c r="B385" s="1" t="n">
        <v>44522</v>
      </c>
      <c r="C385" s="1" t="n">
        <v>45842</v>
      </c>
      <c r="D385" t="inlineStr">
        <is>
          <t>VÄSTMANLANDS LÄN</t>
        </is>
      </c>
      <c r="E385" t="inlineStr">
        <is>
          <t>SALA</t>
        </is>
      </c>
      <c r="G385" t="n">
        <v>2.6</v>
      </c>
      <c r="H385" t="n">
        <v>0</v>
      </c>
      <c r="I385" t="n">
        <v>0</v>
      </c>
      <c r="J385" t="n">
        <v>0</v>
      </c>
      <c r="K385" t="n">
        <v>0</v>
      </c>
      <c r="L385" t="n">
        <v>0</v>
      </c>
      <c r="M385" t="n">
        <v>0</v>
      </c>
      <c r="N385" t="n">
        <v>0</v>
      </c>
      <c r="O385" t="n">
        <v>0</v>
      </c>
      <c r="P385" t="n">
        <v>0</v>
      </c>
      <c r="Q385" t="n">
        <v>0</v>
      </c>
      <c r="R385" s="2" t="inlineStr"/>
    </row>
    <row r="386" ht="15" customHeight="1">
      <c r="A386" t="inlineStr">
        <is>
          <t>A 66830-2021</t>
        </is>
      </c>
      <c r="B386" s="1" t="n">
        <v>44522</v>
      </c>
      <c r="C386" s="1" t="n">
        <v>45842</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67037-2021</t>
        </is>
      </c>
      <c r="B387" s="1" t="n">
        <v>44522</v>
      </c>
      <c r="C387" s="1" t="n">
        <v>45842</v>
      </c>
      <c r="D387" t="inlineStr">
        <is>
          <t>VÄSTMANLANDS LÄN</t>
        </is>
      </c>
      <c r="E387" t="inlineStr">
        <is>
          <t>SALA</t>
        </is>
      </c>
      <c r="G387" t="n">
        <v>1.4</v>
      </c>
      <c r="H387" t="n">
        <v>0</v>
      </c>
      <c r="I387" t="n">
        <v>0</v>
      </c>
      <c r="J387" t="n">
        <v>0</v>
      </c>
      <c r="K387" t="n">
        <v>0</v>
      </c>
      <c r="L387" t="n">
        <v>0</v>
      </c>
      <c r="M387" t="n">
        <v>0</v>
      </c>
      <c r="N387" t="n">
        <v>0</v>
      </c>
      <c r="O387" t="n">
        <v>0</v>
      </c>
      <c r="P387" t="n">
        <v>0</v>
      </c>
      <c r="Q387" t="n">
        <v>0</v>
      </c>
      <c r="R387" s="2" t="inlineStr"/>
      <c r="U387">
        <f>HYPERLINK("https://klasma.github.io/Logging_1981/knärot/A 67037-2021 karta knärot.png", "A 67037-2021")</f>
        <v/>
      </c>
      <c r="V387">
        <f>HYPERLINK("https://klasma.github.io/Logging_1981/klagomål/A 67037-2021 FSC-klagomål.docx", "A 67037-2021")</f>
        <v/>
      </c>
      <c r="W387">
        <f>HYPERLINK("https://klasma.github.io/Logging_1981/klagomålsmail/A 67037-2021 FSC-klagomål mail.docx", "A 67037-2021")</f>
        <v/>
      </c>
      <c r="X387">
        <f>HYPERLINK("https://klasma.github.io/Logging_1981/tillsyn/A 67037-2021 tillsynsbegäran.docx", "A 67037-2021")</f>
        <v/>
      </c>
      <c r="Y387">
        <f>HYPERLINK("https://klasma.github.io/Logging_1981/tillsynsmail/A 67037-2021 tillsynsbegäran mail.docx", "A 67037-2021")</f>
        <v/>
      </c>
    </row>
    <row r="388" ht="15" customHeight="1">
      <c r="A388" t="inlineStr">
        <is>
          <t>A 67965-2021</t>
        </is>
      </c>
      <c r="B388" s="1" t="n">
        <v>44525</v>
      </c>
      <c r="C388" s="1" t="n">
        <v>45842</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67958-2021</t>
        </is>
      </c>
      <c r="B389" s="1" t="n">
        <v>44525</v>
      </c>
      <c r="C389" s="1" t="n">
        <v>45842</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67962-2021</t>
        </is>
      </c>
      <c r="B390" s="1" t="n">
        <v>44525</v>
      </c>
      <c r="C390" s="1" t="n">
        <v>45842</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68355-2021</t>
        </is>
      </c>
      <c r="B391" s="1" t="n">
        <v>44528</v>
      </c>
      <c r="C391" s="1" t="n">
        <v>45842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68484-2021</t>
        </is>
      </c>
      <c r="B392" s="1" t="n">
        <v>44529</v>
      </c>
      <c r="C392" s="1" t="n">
        <v>45842</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68980-2021</t>
        </is>
      </c>
      <c r="B393" s="1" t="n">
        <v>44529</v>
      </c>
      <c r="C393" s="1" t="n">
        <v>45842</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68864-2021</t>
        </is>
      </c>
      <c r="B394" s="1" t="n">
        <v>44530</v>
      </c>
      <c r="C394" s="1" t="n">
        <v>45842</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69232-2021</t>
        </is>
      </c>
      <c r="B395" s="1" t="n">
        <v>44531</v>
      </c>
      <c r="C395" s="1" t="n">
        <v>45842</v>
      </c>
      <c r="D395" t="inlineStr">
        <is>
          <t>VÄSTMANLANDS LÄN</t>
        </is>
      </c>
      <c r="E395" t="inlineStr">
        <is>
          <t>SALA</t>
        </is>
      </c>
      <c r="G395" t="n">
        <v>2.3</v>
      </c>
      <c r="H395" t="n">
        <v>0</v>
      </c>
      <c r="I395" t="n">
        <v>0</v>
      </c>
      <c r="J395" t="n">
        <v>0</v>
      </c>
      <c r="K395" t="n">
        <v>0</v>
      </c>
      <c r="L395" t="n">
        <v>0</v>
      </c>
      <c r="M395" t="n">
        <v>0</v>
      </c>
      <c r="N395" t="n">
        <v>0</v>
      </c>
      <c r="O395" t="n">
        <v>0</v>
      </c>
      <c r="P395" t="n">
        <v>0</v>
      </c>
      <c r="Q395" t="n">
        <v>0</v>
      </c>
      <c r="R395" s="2" t="inlineStr"/>
    </row>
    <row r="396" ht="15" customHeight="1">
      <c r="A396" t="inlineStr">
        <is>
          <t>A 69236-2021</t>
        </is>
      </c>
      <c r="B396" s="1" t="n">
        <v>44531</v>
      </c>
      <c r="C396" s="1" t="n">
        <v>45842</v>
      </c>
      <c r="D396" t="inlineStr">
        <is>
          <t>VÄSTMANLANDS LÄN</t>
        </is>
      </c>
      <c r="E396" t="inlineStr">
        <is>
          <t>SALA</t>
        </is>
      </c>
      <c r="G396" t="n">
        <v>2.8</v>
      </c>
      <c r="H396" t="n">
        <v>0</v>
      </c>
      <c r="I396" t="n">
        <v>0</v>
      </c>
      <c r="J396" t="n">
        <v>0</v>
      </c>
      <c r="K396" t="n">
        <v>0</v>
      </c>
      <c r="L396" t="n">
        <v>0</v>
      </c>
      <c r="M396" t="n">
        <v>0</v>
      </c>
      <c r="N396" t="n">
        <v>0</v>
      </c>
      <c r="O396" t="n">
        <v>0</v>
      </c>
      <c r="P396" t="n">
        <v>0</v>
      </c>
      <c r="Q396" t="n">
        <v>0</v>
      </c>
      <c r="R396" s="2" t="inlineStr"/>
    </row>
    <row r="397" ht="15" customHeight="1">
      <c r="A397" t="inlineStr">
        <is>
          <t>A 70218-2021</t>
        </is>
      </c>
      <c r="B397" s="1" t="n">
        <v>44535</v>
      </c>
      <c r="C397" s="1" t="n">
        <v>45842</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70319-2021</t>
        </is>
      </c>
      <c r="B398" s="1" t="n">
        <v>44536</v>
      </c>
      <c r="C398" s="1" t="n">
        <v>45842</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70655-2021</t>
        </is>
      </c>
      <c r="B399" s="1" t="n">
        <v>44537</v>
      </c>
      <c r="C399" s="1" t="n">
        <v>45842</v>
      </c>
      <c r="D399" t="inlineStr">
        <is>
          <t>VÄSTMANLANDS LÄN</t>
        </is>
      </c>
      <c r="E399" t="inlineStr">
        <is>
          <t>SALA</t>
        </is>
      </c>
      <c r="G399" t="n">
        <v>4.8</v>
      </c>
      <c r="H399" t="n">
        <v>0</v>
      </c>
      <c r="I399" t="n">
        <v>0</v>
      </c>
      <c r="J399" t="n">
        <v>0</v>
      </c>
      <c r="K399" t="n">
        <v>0</v>
      </c>
      <c r="L399" t="n">
        <v>0</v>
      </c>
      <c r="M399" t="n">
        <v>0</v>
      </c>
      <c r="N399" t="n">
        <v>0</v>
      </c>
      <c r="O399" t="n">
        <v>0</v>
      </c>
      <c r="P399" t="n">
        <v>0</v>
      </c>
      <c r="Q399" t="n">
        <v>0</v>
      </c>
      <c r="R399" s="2" t="inlineStr"/>
    </row>
    <row r="400" ht="15" customHeight="1">
      <c r="A400" t="inlineStr">
        <is>
          <t>A 70958-2021</t>
        </is>
      </c>
      <c r="B400" s="1" t="n">
        <v>44538</v>
      </c>
      <c r="C400" s="1" t="n">
        <v>45842</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71471-2021</t>
        </is>
      </c>
      <c r="B401" s="1" t="n">
        <v>44540</v>
      </c>
      <c r="C401" s="1" t="n">
        <v>45842</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71853-2021</t>
        </is>
      </c>
      <c r="B402" s="1" t="n">
        <v>44543</v>
      </c>
      <c r="C402" s="1" t="n">
        <v>45842</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72071-2021</t>
        </is>
      </c>
      <c r="B403" s="1" t="n">
        <v>44544</v>
      </c>
      <c r="C403" s="1" t="n">
        <v>45842</v>
      </c>
      <c r="D403" t="inlineStr">
        <is>
          <t>VÄSTMANLANDS LÄN</t>
        </is>
      </c>
      <c r="E403" t="inlineStr">
        <is>
          <t>SALA</t>
        </is>
      </c>
      <c r="G403" t="n">
        <v>3.5</v>
      </c>
      <c r="H403" t="n">
        <v>0</v>
      </c>
      <c r="I403" t="n">
        <v>0</v>
      </c>
      <c r="J403" t="n">
        <v>0</v>
      </c>
      <c r="K403" t="n">
        <v>0</v>
      </c>
      <c r="L403" t="n">
        <v>0</v>
      </c>
      <c r="M403" t="n">
        <v>0</v>
      </c>
      <c r="N403" t="n">
        <v>0</v>
      </c>
      <c r="O403" t="n">
        <v>0</v>
      </c>
      <c r="P403" t="n">
        <v>0</v>
      </c>
      <c r="Q403" t="n">
        <v>0</v>
      </c>
      <c r="R403" s="2" t="inlineStr"/>
    </row>
    <row r="404" ht="15" customHeight="1">
      <c r="A404" t="inlineStr">
        <is>
          <t>A 72405-2021</t>
        </is>
      </c>
      <c r="B404" s="1" t="n">
        <v>44545</v>
      </c>
      <c r="C404" s="1" t="n">
        <v>45842</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72389-2021</t>
        </is>
      </c>
      <c r="B405" s="1" t="n">
        <v>44545</v>
      </c>
      <c r="C405" s="1" t="n">
        <v>45842</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72810-2021</t>
        </is>
      </c>
      <c r="B406" s="1" t="n">
        <v>44546</v>
      </c>
      <c r="C406" s="1" t="n">
        <v>45842</v>
      </c>
      <c r="D406" t="inlineStr">
        <is>
          <t>VÄSTMANLANDS LÄN</t>
        </is>
      </c>
      <c r="E406" t="inlineStr">
        <is>
          <t>SALA</t>
        </is>
      </c>
      <c r="G406" t="n">
        <v>3.3</v>
      </c>
      <c r="H406" t="n">
        <v>0</v>
      </c>
      <c r="I406" t="n">
        <v>0</v>
      </c>
      <c r="J406" t="n">
        <v>0</v>
      </c>
      <c r="K406" t="n">
        <v>0</v>
      </c>
      <c r="L406" t="n">
        <v>0</v>
      </c>
      <c r="M406" t="n">
        <v>0</v>
      </c>
      <c r="N406" t="n">
        <v>0</v>
      </c>
      <c r="O406" t="n">
        <v>0</v>
      </c>
      <c r="P406" t="n">
        <v>0</v>
      </c>
      <c r="Q406" t="n">
        <v>0</v>
      </c>
      <c r="R406" s="2" t="inlineStr"/>
    </row>
    <row r="407" ht="15" customHeight="1">
      <c r="A407" t="inlineStr">
        <is>
          <t>A 72805-2021</t>
        </is>
      </c>
      <c r="B407" s="1" t="n">
        <v>44546</v>
      </c>
      <c r="C407" s="1" t="n">
        <v>45842</v>
      </c>
      <c r="D407" t="inlineStr">
        <is>
          <t>VÄSTMANLANDS LÄN</t>
        </is>
      </c>
      <c r="E407" t="inlineStr">
        <is>
          <t>SALA</t>
        </is>
      </c>
      <c r="G407" t="n">
        <v>7.8</v>
      </c>
      <c r="H407" t="n">
        <v>0</v>
      </c>
      <c r="I407" t="n">
        <v>0</v>
      </c>
      <c r="J407" t="n">
        <v>0</v>
      </c>
      <c r="K407" t="n">
        <v>0</v>
      </c>
      <c r="L407" t="n">
        <v>0</v>
      </c>
      <c r="M407" t="n">
        <v>0</v>
      </c>
      <c r="N407" t="n">
        <v>0</v>
      </c>
      <c r="O407" t="n">
        <v>0</v>
      </c>
      <c r="P407" t="n">
        <v>0</v>
      </c>
      <c r="Q407" t="n">
        <v>0</v>
      </c>
      <c r="R407" s="2" t="inlineStr"/>
    </row>
    <row r="408" ht="15" customHeight="1">
      <c r="A408" t="inlineStr">
        <is>
          <t>A 72808-2021</t>
        </is>
      </c>
      <c r="B408" s="1" t="n">
        <v>44546</v>
      </c>
      <c r="C408" s="1" t="n">
        <v>45842</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72776-2021</t>
        </is>
      </c>
      <c r="B409" s="1" t="n">
        <v>44547</v>
      </c>
      <c r="C409" s="1" t="n">
        <v>45842</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73029-2021</t>
        </is>
      </c>
      <c r="B410" s="1" t="n">
        <v>44550</v>
      </c>
      <c r="C410" s="1" t="n">
        <v>45842</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73124-2021</t>
        </is>
      </c>
      <c r="B411" s="1" t="n">
        <v>44550</v>
      </c>
      <c r="C411" s="1" t="n">
        <v>45842</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73219-2021</t>
        </is>
      </c>
      <c r="B412" s="1" t="n">
        <v>44550</v>
      </c>
      <c r="C412" s="1" t="n">
        <v>45842</v>
      </c>
      <c r="D412" t="inlineStr">
        <is>
          <t>VÄSTMANLANDS LÄN</t>
        </is>
      </c>
      <c r="E412" t="inlineStr">
        <is>
          <t>SALA</t>
        </is>
      </c>
      <c r="G412" t="n">
        <v>7.1</v>
      </c>
      <c r="H412" t="n">
        <v>0</v>
      </c>
      <c r="I412" t="n">
        <v>0</v>
      </c>
      <c r="J412" t="n">
        <v>0</v>
      </c>
      <c r="K412" t="n">
        <v>0</v>
      </c>
      <c r="L412" t="n">
        <v>0</v>
      </c>
      <c r="M412" t="n">
        <v>0</v>
      </c>
      <c r="N412" t="n">
        <v>0</v>
      </c>
      <c r="O412" t="n">
        <v>0</v>
      </c>
      <c r="P412" t="n">
        <v>0</v>
      </c>
      <c r="Q412" t="n">
        <v>0</v>
      </c>
      <c r="R412" s="2" t="inlineStr"/>
    </row>
    <row r="413" ht="15" customHeight="1">
      <c r="A413" t="inlineStr">
        <is>
          <t>A 73423-2021</t>
        </is>
      </c>
      <c r="B413" s="1" t="n">
        <v>44551</v>
      </c>
      <c r="C413" s="1" t="n">
        <v>45842</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73519-2021</t>
        </is>
      </c>
      <c r="B414" s="1" t="n">
        <v>44551</v>
      </c>
      <c r="C414" s="1" t="n">
        <v>45842</v>
      </c>
      <c r="D414" t="inlineStr">
        <is>
          <t>VÄSTMANLANDS LÄN</t>
        </is>
      </c>
      <c r="E414" t="inlineStr">
        <is>
          <t>SALA</t>
        </is>
      </c>
      <c r="G414" t="n">
        <v>0.3</v>
      </c>
      <c r="H414" t="n">
        <v>0</v>
      </c>
      <c r="I414" t="n">
        <v>0</v>
      </c>
      <c r="J414" t="n">
        <v>0</v>
      </c>
      <c r="K414" t="n">
        <v>0</v>
      </c>
      <c r="L414" t="n">
        <v>0</v>
      </c>
      <c r="M414" t="n">
        <v>0</v>
      </c>
      <c r="N414" t="n">
        <v>0</v>
      </c>
      <c r="O414" t="n">
        <v>0</v>
      </c>
      <c r="P414" t="n">
        <v>0</v>
      </c>
      <c r="Q414" t="n">
        <v>0</v>
      </c>
      <c r="R414" s="2" t="inlineStr"/>
    </row>
    <row r="415" ht="15" customHeight="1">
      <c r="A415" t="inlineStr">
        <is>
          <t>A 73683-2021</t>
        </is>
      </c>
      <c r="B415" s="1" t="n">
        <v>44552</v>
      </c>
      <c r="C415" s="1" t="n">
        <v>45842</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73663-2021</t>
        </is>
      </c>
      <c r="B416" s="1" t="n">
        <v>44552</v>
      </c>
      <c r="C416" s="1" t="n">
        <v>45842</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73673-2021</t>
        </is>
      </c>
      <c r="B417" s="1" t="n">
        <v>44552</v>
      </c>
      <c r="C417" s="1" t="n">
        <v>45842</v>
      </c>
      <c r="D417" t="inlineStr">
        <is>
          <t>VÄSTMANLANDS LÄN</t>
        </is>
      </c>
      <c r="E417" t="inlineStr">
        <is>
          <t>SALA</t>
        </is>
      </c>
      <c r="G417" t="n">
        <v>11.4</v>
      </c>
      <c r="H417" t="n">
        <v>0</v>
      </c>
      <c r="I417" t="n">
        <v>0</v>
      </c>
      <c r="J417" t="n">
        <v>0</v>
      </c>
      <c r="K417" t="n">
        <v>0</v>
      </c>
      <c r="L417" t="n">
        <v>0</v>
      </c>
      <c r="M417" t="n">
        <v>0</v>
      </c>
      <c r="N417" t="n">
        <v>0</v>
      </c>
      <c r="O417" t="n">
        <v>0</v>
      </c>
      <c r="P417" t="n">
        <v>0</v>
      </c>
      <c r="Q417" t="n">
        <v>0</v>
      </c>
      <c r="R417" s="2" t="inlineStr"/>
    </row>
    <row r="418" ht="15" customHeight="1">
      <c r="A418" t="inlineStr">
        <is>
          <t>A 73606-2021</t>
        </is>
      </c>
      <c r="B418" s="1" t="n">
        <v>44552</v>
      </c>
      <c r="C418" s="1" t="n">
        <v>45842</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73668-2021</t>
        </is>
      </c>
      <c r="B419" s="1" t="n">
        <v>44552</v>
      </c>
      <c r="C419" s="1" t="n">
        <v>45842</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73687-2021</t>
        </is>
      </c>
      <c r="B420" s="1" t="n">
        <v>44552</v>
      </c>
      <c r="C420" s="1" t="n">
        <v>45842</v>
      </c>
      <c r="D420" t="inlineStr">
        <is>
          <t>VÄSTMANLANDS LÄN</t>
        </is>
      </c>
      <c r="E420" t="inlineStr">
        <is>
          <t>SALA</t>
        </is>
      </c>
      <c r="G420" t="n">
        <v>5.6</v>
      </c>
      <c r="H420" t="n">
        <v>0</v>
      </c>
      <c r="I420" t="n">
        <v>0</v>
      </c>
      <c r="J420" t="n">
        <v>0</v>
      </c>
      <c r="K420" t="n">
        <v>0</v>
      </c>
      <c r="L420" t="n">
        <v>0</v>
      </c>
      <c r="M420" t="n">
        <v>0</v>
      </c>
      <c r="N420" t="n">
        <v>0</v>
      </c>
      <c r="O420" t="n">
        <v>0</v>
      </c>
      <c r="P420" t="n">
        <v>0</v>
      </c>
      <c r="Q420" t="n">
        <v>0</v>
      </c>
      <c r="R420" s="2" t="inlineStr"/>
    </row>
    <row r="421" ht="15" customHeight="1">
      <c r="A421" t="inlineStr">
        <is>
          <t>A 73788-2021</t>
        </is>
      </c>
      <c r="B421" s="1" t="n">
        <v>44552</v>
      </c>
      <c r="C421" s="1" t="n">
        <v>45842</v>
      </c>
      <c r="D421" t="inlineStr">
        <is>
          <t>VÄSTMANLANDS LÄN</t>
        </is>
      </c>
      <c r="E421" t="inlineStr">
        <is>
          <t>SALA</t>
        </is>
      </c>
      <c r="G421" t="n">
        <v>0.8</v>
      </c>
      <c r="H421" t="n">
        <v>0</v>
      </c>
      <c r="I421" t="n">
        <v>0</v>
      </c>
      <c r="J421" t="n">
        <v>0</v>
      </c>
      <c r="K421" t="n">
        <v>0</v>
      </c>
      <c r="L421" t="n">
        <v>0</v>
      </c>
      <c r="M421" t="n">
        <v>0</v>
      </c>
      <c r="N421" t="n">
        <v>0</v>
      </c>
      <c r="O421" t="n">
        <v>0</v>
      </c>
      <c r="P421" t="n">
        <v>0</v>
      </c>
      <c r="Q421" t="n">
        <v>0</v>
      </c>
      <c r="R421" s="2" t="inlineStr"/>
    </row>
    <row r="422" ht="15" customHeight="1">
      <c r="A422" t="inlineStr">
        <is>
          <t>A 73835-2021</t>
        </is>
      </c>
      <c r="B422" s="1" t="n">
        <v>44552</v>
      </c>
      <c r="C422" s="1" t="n">
        <v>45842</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74123-2021</t>
        </is>
      </c>
      <c r="B423" s="1" t="n">
        <v>44557</v>
      </c>
      <c r="C423" s="1" t="n">
        <v>45842</v>
      </c>
      <c r="D423" t="inlineStr">
        <is>
          <t>VÄSTMANLANDS LÄN</t>
        </is>
      </c>
      <c r="E423" t="inlineStr">
        <is>
          <t>SALA</t>
        </is>
      </c>
      <c r="F423" t="inlineStr">
        <is>
          <t>Kommuner</t>
        </is>
      </c>
      <c r="G423" t="n">
        <v>11.9</v>
      </c>
      <c r="H423" t="n">
        <v>0</v>
      </c>
      <c r="I423" t="n">
        <v>0</v>
      </c>
      <c r="J423" t="n">
        <v>0</v>
      </c>
      <c r="K423" t="n">
        <v>0</v>
      </c>
      <c r="L423" t="n">
        <v>0</v>
      </c>
      <c r="M423" t="n">
        <v>0</v>
      </c>
      <c r="N423" t="n">
        <v>0</v>
      </c>
      <c r="O423" t="n">
        <v>0</v>
      </c>
      <c r="P423" t="n">
        <v>0</v>
      </c>
      <c r="Q423" t="n">
        <v>0</v>
      </c>
      <c r="R423" s="2" t="inlineStr"/>
    </row>
    <row r="424" ht="15" customHeight="1">
      <c r="A424" t="inlineStr">
        <is>
          <t>A 74277-2021</t>
        </is>
      </c>
      <c r="B424" s="1" t="n">
        <v>44558</v>
      </c>
      <c r="C424" s="1" t="n">
        <v>45842</v>
      </c>
      <c r="D424" t="inlineStr">
        <is>
          <t>VÄSTMANLANDS LÄN</t>
        </is>
      </c>
      <c r="E424" t="inlineStr">
        <is>
          <t>SALA</t>
        </is>
      </c>
      <c r="F424" t="inlineStr">
        <is>
          <t>Kommuner</t>
        </is>
      </c>
      <c r="G424" t="n">
        <v>24.4</v>
      </c>
      <c r="H424" t="n">
        <v>0</v>
      </c>
      <c r="I424" t="n">
        <v>0</v>
      </c>
      <c r="J424" t="n">
        <v>0</v>
      </c>
      <c r="K424" t="n">
        <v>0</v>
      </c>
      <c r="L424" t="n">
        <v>0</v>
      </c>
      <c r="M424" t="n">
        <v>0</v>
      </c>
      <c r="N424" t="n">
        <v>0</v>
      </c>
      <c r="O424" t="n">
        <v>0</v>
      </c>
      <c r="P424" t="n">
        <v>0</v>
      </c>
      <c r="Q424" t="n">
        <v>0</v>
      </c>
      <c r="R424" s="2" t="inlineStr"/>
    </row>
    <row r="425" ht="15" customHeight="1">
      <c r="A425" t="inlineStr">
        <is>
          <t>A 617-2022</t>
        </is>
      </c>
      <c r="B425" s="1" t="n">
        <v>44567</v>
      </c>
      <c r="C425" s="1" t="n">
        <v>45842</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939-2022</t>
        </is>
      </c>
      <c r="B426" s="1" t="n">
        <v>44571</v>
      </c>
      <c r="C426" s="1" t="n">
        <v>45842</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v>
      </c>
      <c r="C427" s="1" t="n">
        <v>45842</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1162-2022</t>
        </is>
      </c>
      <c r="B428" s="1" t="n">
        <v>44572</v>
      </c>
      <c r="C428" s="1" t="n">
        <v>45842</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1985-2022</t>
        </is>
      </c>
      <c r="B429" s="1" t="n">
        <v>44575</v>
      </c>
      <c r="C429" s="1" t="n">
        <v>45842</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1993-2022</t>
        </is>
      </c>
      <c r="B430" s="1" t="n">
        <v>44575</v>
      </c>
      <c r="C430" s="1" t="n">
        <v>45842</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2529-2022</t>
        </is>
      </c>
      <c r="B431" s="1" t="n">
        <v>44579</v>
      </c>
      <c r="C431" s="1" t="n">
        <v>45842</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3050-2022</t>
        </is>
      </c>
      <c r="B432" s="1" t="n">
        <v>44582</v>
      </c>
      <c r="C432" s="1" t="n">
        <v>45842</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3201-2022</t>
        </is>
      </c>
      <c r="B433" s="1" t="n">
        <v>44582</v>
      </c>
      <c r="C433" s="1" t="n">
        <v>45842</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3204-2022</t>
        </is>
      </c>
      <c r="B434" s="1" t="n">
        <v>44582</v>
      </c>
      <c r="C434" s="1" t="n">
        <v>45842</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3647-2022</t>
        </is>
      </c>
      <c r="B435" s="1" t="n">
        <v>44586</v>
      </c>
      <c r="C435" s="1" t="n">
        <v>45842</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3888-2022</t>
        </is>
      </c>
      <c r="B436" s="1" t="n">
        <v>44587</v>
      </c>
      <c r="C436" s="1" t="n">
        <v>45842</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3920-2022</t>
        </is>
      </c>
      <c r="B437" s="1" t="n">
        <v>44587</v>
      </c>
      <c r="C437" s="1" t="n">
        <v>45842</v>
      </c>
      <c r="D437" t="inlineStr">
        <is>
          <t>VÄSTMANLANDS LÄN</t>
        </is>
      </c>
      <c r="E437" t="inlineStr">
        <is>
          <t>SALA</t>
        </is>
      </c>
      <c r="G437" t="n">
        <v>1.8</v>
      </c>
      <c r="H437" t="n">
        <v>0</v>
      </c>
      <c r="I437" t="n">
        <v>0</v>
      </c>
      <c r="J437" t="n">
        <v>0</v>
      </c>
      <c r="K437" t="n">
        <v>0</v>
      </c>
      <c r="L437" t="n">
        <v>0</v>
      </c>
      <c r="M437" t="n">
        <v>0</v>
      </c>
      <c r="N437" t="n">
        <v>0</v>
      </c>
      <c r="O437" t="n">
        <v>0</v>
      </c>
      <c r="P437" t="n">
        <v>0</v>
      </c>
      <c r="Q437" t="n">
        <v>0</v>
      </c>
      <c r="R437" s="2" t="inlineStr"/>
    </row>
    <row r="438" ht="15" customHeight="1">
      <c r="A438" t="inlineStr">
        <is>
          <t>A 4237-2022</t>
        </is>
      </c>
      <c r="B438" s="1" t="n">
        <v>44588</v>
      </c>
      <c r="C438" s="1" t="n">
        <v>45842</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4281-2022</t>
        </is>
      </c>
      <c r="B439" s="1" t="n">
        <v>44588</v>
      </c>
      <c r="C439" s="1" t="n">
        <v>45842</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4663-2022</t>
        </is>
      </c>
      <c r="B440" s="1" t="n">
        <v>44592</v>
      </c>
      <c r="C440" s="1" t="n">
        <v>45842</v>
      </c>
      <c r="D440" t="inlineStr">
        <is>
          <t>VÄSTMANLANDS LÄN</t>
        </is>
      </c>
      <c r="E440" t="inlineStr">
        <is>
          <t>SALA</t>
        </is>
      </c>
      <c r="G440" t="n">
        <v>2.5</v>
      </c>
      <c r="H440" t="n">
        <v>0</v>
      </c>
      <c r="I440" t="n">
        <v>0</v>
      </c>
      <c r="J440" t="n">
        <v>0</v>
      </c>
      <c r="K440" t="n">
        <v>0</v>
      </c>
      <c r="L440" t="n">
        <v>0</v>
      </c>
      <c r="M440" t="n">
        <v>0</v>
      </c>
      <c r="N440" t="n">
        <v>0</v>
      </c>
      <c r="O440" t="n">
        <v>0</v>
      </c>
      <c r="P440" t="n">
        <v>0</v>
      </c>
      <c r="Q440" t="n">
        <v>0</v>
      </c>
      <c r="R440" s="2" t="inlineStr"/>
    </row>
    <row r="441" ht="15" customHeight="1">
      <c r="A441" t="inlineStr">
        <is>
          <t>A 4779-2022</t>
        </is>
      </c>
      <c r="B441" s="1" t="n">
        <v>44592</v>
      </c>
      <c r="C441" s="1" t="n">
        <v>45842</v>
      </c>
      <c r="D441" t="inlineStr">
        <is>
          <t>VÄSTMANLANDS LÄN</t>
        </is>
      </c>
      <c r="E441" t="inlineStr">
        <is>
          <t>SALA</t>
        </is>
      </c>
      <c r="G441" t="n">
        <v>4.3</v>
      </c>
      <c r="H441" t="n">
        <v>0</v>
      </c>
      <c r="I441" t="n">
        <v>0</v>
      </c>
      <c r="J441" t="n">
        <v>0</v>
      </c>
      <c r="K441" t="n">
        <v>0</v>
      </c>
      <c r="L441" t="n">
        <v>0</v>
      </c>
      <c r="M441" t="n">
        <v>0</v>
      </c>
      <c r="N441" t="n">
        <v>0</v>
      </c>
      <c r="O441" t="n">
        <v>0</v>
      </c>
      <c r="P441" t="n">
        <v>0</v>
      </c>
      <c r="Q441" t="n">
        <v>0</v>
      </c>
      <c r="R441" s="2" t="inlineStr"/>
    </row>
    <row r="442" ht="15" customHeight="1">
      <c r="A442" t="inlineStr">
        <is>
          <t>A 5335-2022</t>
        </is>
      </c>
      <c r="B442" s="1" t="n">
        <v>44594</v>
      </c>
      <c r="C442" s="1" t="n">
        <v>45842</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5737-2022</t>
        </is>
      </c>
      <c r="B443" s="1" t="n">
        <v>44596</v>
      </c>
      <c r="C443" s="1" t="n">
        <v>45842</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5728-2022</t>
        </is>
      </c>
      <c r="B444" s="1" t="n">
        <v>44596</v>
      </c>
      <c r="C444" s="1" t="n">
        <v>45842</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6097-2022</t>
        </is>
      </c>
      <c r="B445" s="1" t="n">
        <v>44599</v>
      </c>
      <c r="C445" s="1" t="n">
        <v>45842</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6705-2022</t>
        </is>
      </c>
      <c r="B446" s="1" t="n">
        <v>44602</v>
      </c>
      <c r="C446" s="1" t="n">
        <v>45842</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6665-2022</t>
        </is>
      </c>
      <c r="B447" s="1" t="n">
        <v>44602</v>
      </c>
      <c r="C447" s="1" t="n">
        <v>45842</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6667-2022</t>
        </is>
      </c>
      <c r="B448" s="1" t="n">
        <v>44602</v>
      </c>
      <c r="C448" s="1" t="n">
        <v>45842</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6710-2022</t>
        </is>
      </c>
      <c r="B449" s="1" t="n">
        <v>44602</v>
      </c>
      <c r="C449" s="1" t="n">
        <v>45842</v>
      </c>
      <c r="D449" t="inlineStr">
        <is>
          <t>VÄSTMANLANDS LÄN</t>
        </is>
      </c>
      <c r="E449" t="inlineStr">
        <is>
          <t>SALA</t>
        </is>
      </c>
      <c r="G449" t="n">
        <v>6.4</v>
      </c>
      <c r="H449" t="n">
        <v>0</v>
      </c>
      <c r="I449" t="n">
        <v>0</v>
      </c>
      <c r="J449" t="n">
        <v>0</v>
      </c>
      <c r="K449" t="n">
        <v>0</v>
      </c>
      <c r="L449" t="n">
        <v>0</v>
      </c>
      <c r="M449" t="n">
        <v>0</v>
      </c>
      <c r="N449" t="n">
        <v>0</v>
      </c>
      <c r="O449" t="n">
        <v>0</v>
      </c>
      <c r="P449" t="n">
        <v>0</v>
      </c>
      <c r="Q449" t="n">
        <v>0</v>
      </c>
      <c r="R449" s="2" t="inlineStr"/>
    </row>
    <row r="450" ht="15" customHeight="1">
      <c r="A450" t="inlineStr">
        <is>
          <t>A 6957-2022</t>
        </is>
      </c>
      <c r="B450" s="1" t="n">
        <v>44603</v>
      </c>
      <c r="C450" s="1" t="n">
        <v>45842</v>
      </c>
      <c r="D450" t="inlineStr">
        <is>
          <t>VÄSTMANLANDS LÄN</t>
        </is>
      </c>
      <c r="E450" t="inlineStr">
        <is>
          <t>SALA</t>
        </is>
      </c>
      <c r="G450" t="n">
        <v>4.5</v>
      </c>
      <c r="H450" t="n">
        <v>0</v>
      </c>
      <c r="I450" t="n">
        <v>0</v>
      </c>
      <c r="J450" t="n">
        <v>0</v>
      </c>
      <c r="K450" t="n">
        <v>0</v>
      </c>
      <c r="L450" t="n">
        <v>0</v>
      </c>
      <c r="M450" t="n">
        <v>0</v>
      </c>
      <c r="N450" t="n">
        <v>0</v>
      </c>
      <c r="O450" t="n">
        <v>0</v>
      </c>
      <c r="P450" t="n">
        <v>0</v>
      </c>
      <c r="Q450" t="n">
        <v>0</v>
      </c>
      <c r="R450" s="2" t="inlineStr"/>
    </row>
    <row r="451" ht="15" customHeight="1">
      <c r="A451" t="inlineStr">
        <is>
          <t>A 7169-2022</t>
        </is>
      </c>
      <c r="B451" s="1" t="n">
        <v>44604</v>
      </c>
      <c r="C451" s="1" t="n">
        <v>45842</v>
      </c>
      <c r="D451" t="inlineStr">
        <is>
          <t>VÄSTMANLANDS LÄN</t>
        </is>
      </c>
      <c r="E451" t="inlineStr">
        <is>
          <t>SALA</t>
        </is>
      </c>
      <c r="G451" t="n">
        <v>0.9</v>
      </c>
      <c r="H451" t="n">
        <v>0</v>
      </c>
      <c r="I451" t="n">
        <v>0</v>
      </c>
      <c r="J451" t="n">
        <v>0</v>
      </c>
      <c r="K451" t="n">
        <v>0</v>
      </c>
      <c r="L451" t="n">
        <v>0</v>
      </c>
      <c r="M451" t="n">
        <v>0</v>
      </c>
      <c r="N451" t="n">
        <v>0</v>
      </c>
      <c r="O451" t="n">
        <v>0</v>
      </c>
      <c r="P451" t="n">
        <v>0</v>
      </c>
      <c r="Q451" t="n">
        <v>0</v>
      </c>
      <c r="R451" s="2" t="inlineStr"/>
    </row>
    <row r="452" ht="15" customHeight="1">
      <c r="A452" t="inlineStr">
        <is>
          <t>A 8130-2022</t>
        </is>
      </c>
      <c r="B452" s="1" t="n">
        <v>44609</v>
      </c>
      <c r="C452" s="1" t="n">
        <v>45842</v>
      </c>
      <c r="D452" t="inlineStr">
        <is>
          <t>VÄSTMANLANDS LÄN</t>
        </is>
      </c>
      <c r="E452" t="inlineStr">
        <is>
          <t>SALA</t>
        </is>
      </c>
      <c r="G452" t="n">
        <v>3.5</v>
      </c>
      <c r="H452" t="n">
        <v>0</v>
      </c>
      <c r="I452" t="n">
        <v>0</v>
      </c>
      <c r="J452" t="n">
        <v>0</v>
      </c>
      <c r="K452" t="n">
        <v>0</v>
      </c>
      <c r="L452" t="n">
        <v>0</v>
      </c>
      <c r="M452" t="n">
        <v>0</v>
      </c>
      <c r="N452" t="n">
        <v>0</v>
      </c>
      <c r="O452" t="n">
        <v>0</v>
      </c>
      <c r="P452" t="n">
        <v>0</v>
      </c>
      <c r="Q452" t="n">
        <v>0</v>
      </c>
      <c r="R452" s="2" t="inlineStr"/>
    </row>
    <row r="453" ht="15" customHeight="1">
      <c r="A453" t="inlineStr">
        <is>
          <t>A 9048-2022</t>
        </is>
      </c>
      <c r="B453" s="1" t="n">
        <v>44615</v>
      </c>
      <c r="C453" s="1" t="n">
        <v>45842</v>
      </c>
      <c r="D453" t="inlineStr">
        <is>
          <t>VÄSTMANLANDS LÄN</t>
        </is>
      </c>
      <c r="E453" t="inlineStr">
        <is>
          <t>SALA</t>
        </is>
      </c>
      <c r="G453" t="n">
        <v>5.2</v>
      </c>
      <c r="H453" t="n">
        <v>0</v>
      </c>
      <c r="I453" t="n">
        <v>0</v>
      </c>
      <c r="J453" t="n">
        <v>0</v>
      </c>
      <c r="K453" t="n">
        <v>0</v>
      </c>
      <c r="L453" t="n">
        <v>0</v>
      </c>
      <c r="M453" t="n">
        <v>0</v>
      </c>
      <c r="N453" t="n">
        <v>0</v>
      </c>
      <c r="O453" t="n">
        <v>0</v>
      </c>
      <c r="P453" t="n">
        <v>0</v>
      </c>
      <c r="Q453" t="n">
        <v>0</v>
      </c>
      <c r="R453" s="2" t="inlineStr"/>
    </row>
    <row r="454" ht="15" customHeight="1">
      <c r="A454" t="inlineStr">
        <is>
          <t>A 9050-2022</t>
        </is>
      </c>
      <c r="B454" s="1" t="n">
        <v>44615</v>
      </c>
      <c r="C454" s="1" t="n">
        <v>45842</v>
      </c>
      <c r="D454" t="inlineStr">
        <is>
          <t>VÄSTMANLANDS LÄN</t>
        </is>
      </c>
      <c r="E454" t="inlineStr">
        <is>
          <t>SALA</t>
        </is>
      </c>
      <c r="G454" t="n">
        <v>3.1</v>
      </c>
      <c r="H454" t="n">
        <v>0</v>
      </c>
      <c r="I454" t="n">
        <v>0</v>
      </c>
      <c r="J454" t="n">
        <v>0</v>
      </c>
      <c r="K454" t="n">
        <v>0</v>
      </c>
      <c r="L454" t="n">
        <v>0</v>
      </c>
      <c r="M454" t="n">
        <v>0</v>
      </c>
      <c r="N454" t="n">
        <v>0</v>
      </c>
      <c r="O454" t="n">
        <v>0</v>
      </c>
      <c r="P454" t="n">
        <v>0</v>
      </c>
      <c r="Q454" t="n">
        <v>0</v>
      </c>
      <c r="R454" s="2" t="inlineStr"/>
    </row>
    <row r="455" ht="15" customHeight="1">
      <c r="A455" t="inlineStr">
        <is>
          <t>A 9075-2022</t>
        </is>
      </c>
      <c r="B455" s="1" t="n">
        <v>44615</v>
      </c>
      <c r="C455" s="1" t="n">
        <v>45842</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9335-2022</t>
        </is>
      </c>
      <c r="B456" s="1" t="n">
        <v>44616</v>
      </c>
      <c r="C456" s="1" t="n">
        <v>45842</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9856-2022</t>
        </is>
      </c>
      <c r="B457" s="1" t="n">
        <v>44620</v>
      </c>
      <c r="C457" s="1" t="n">
        <v>45842</v>
      </c>
      <c r="D457" t="inlineStr">
        <is>
          <t>VÄSTMANLANDS LÄN</t>
        </is>
      </c>
      <c r="E457" t="inlineStr">
        <is>
          <t>SALA</t>
        </is>
      </c>
      <c r="G457" t="n">
        <v>2.4</v>
      </c>
      <c r="H457" t="n">
        <v>0</v>
      </c>
      <c r="I457" t="n">
        <v>0</v>
      </c>
      <c r="J457" t="n">
        <v>0</v>
      </c>
      <c r="K457" t="n">
        <v>0</v>
      </c>
      <c r="L457" t="n">
        <v>0</v>
      </c>
      <c r="M457" t="n">
        <v>0</v>
      </c>
      <c r="N457" t="n">
        <v>0</v>
      </c>
      <c r="O457" t="n">
        <v>0</v>
      </c>
      <c r="P457" t="n">
        <v>0</v>
      </c>
      <c r="Q457" t="n">
        <v>0</v>
      </c>
      <c r="R457" s="2" t="inlineStr"/>
    </row>
    <row r="458" ht="15" customHeight="1">
      <c r="A458" t="inlineStr">
        <is>
          <t>A 10083-2022</t>
        </is>
      </c>
      <c r="B458" s="1" t="n">
        <v>44621</v>
      </c>
      <c r="C458" s="1" t="n">
        <v>45842</v>
      </c>
      <c r="D458" t="inlineStr">
        <is>
          <t>VÄSTMANLANDS LÄN</t>
        </is>
      </c>
      <c r="E458" t="inlineStr">
        <is>
          <t>SALA</t>
        </is>
      </c>
      <c r="G458" t="n">
        <v>7.8</v>
      </c>
      <c r="H458" t="n">
        <v>0</v>
      </c>
      <c r="I458" t="n">
        <v>0</v>
      </c>
      <c r="J458" t="n">
        <v>0</v>
      </c>
      <c r="K458" t="n">
        <v>0</v>
      </c>
      <c r="L458" t="n">
        <v>0</v>
      </c>
      <c r="M458" t="n">
        <v>0</v>
      </c>
      <c r="N458" t="n">
        <v>0</v>
      </c>
      <c r="O458" t="n">
        <v>0</v>
      </c>
      <c r="P458" t="n">
        <v>0</v>
      </c>
      <c r="Q458" t="n">
        <v>0</v>
      </c>
      <c r="R458" s="2" t="inlineStr"/>
    </row>
    <row r="459" ht="15" customHeight="1">
      <c r="A459" t="inlineStr">
        <is>
          <t>A 10168-2022</t>
        </is>
      </c>
      <c r="B459" s="1" t="n">
        <v>44622</v>
      </c>
      <c r="C459" s="1" t="n">
        <v>45842</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10434-2022</t>
        </is>
      </c>
      <c r="B460" s="1" t="n">
        <v>44623</v>
      </c>
      <c r="C460" s="1" t="n">
        <v>45842</v>
      </c>
      <c r="D460" t="inlineStr">
        <is>
          <t>VÄSTMANLANDS LÄN</t>
        </is>
      </c>
      <c r="E460" t="inlineStr">
        <is>
          <t>SALA</t>
        </is>
      </c>
      <c r="G460" t="n">
        <v>5.5</v>
      </c>
      <c r="H460" t="n">
        <v>0</v>
      </c>
      <c r="I460" t="n">
        <v>0</v>
      </c>
      <c r="J460" t="n">
        <v>0</v>
      </c>
      <c r="K460" t="n">
        <v>0</v>
      </c>
      <c r="L460" t="n">
        <v>0</v>
      </c>
      <c r="M460" t="n">
        <v>0</v>
      </c>
      <c r="N460" t="n">
        <v>0</v>
      </c>
      <c r="O460" t="n">
        <v>0</v>
      </c>
      <c r="P460" t="n">
        <v>0</v>
      </c>
      <c r="Q460" t="n">
        <v>0</v>
      </c>
      <c r="R460" s="2" t="inlineStr"/>
    </row>
    <row r="461" ht="15" customHeight="1">
      <c r="A461" t="inlineStr">
        <is>
          <t>A 10585-2022</t>
        </is>
      </c>
      <c r="B461" s="1" t="n">
        <v>44624</v>
      </c>
      <c r="C461" s="1" t="n">
        <v>45842</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10579-2022</t>
        </is>
      </c>
      <c r="B462" s="1" t="n">
        <v>44624</v>
      </c>
      <c r="C462" s="1" t="n">
        <v>45842</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11370-2022</t>
        </is>
      </c>
      <c r="B463" s="1" t="n">
        <v>44630</v>
      </c>
      <c r="C463" s="1" t="n">
        <v>45842</v>
      </c>
      <c r="D463" t="inlineStr">
        <is>
          <t>VÄSTMANLANDS LÄN</t>
        </is>
      </c>
      <c r="E463" t="inlineStr">
        <is>
          <t>SALA</t>
        </is>
      </c>
      <c r="G463" t="n">
        <v>4.3</v>
      </c>
      <c r="H463" t="n">
        <v>0</v>
      </c>
      <c r="I463" t="n">
        <v>0</v>
      </c>
      <c r="J463" t="n">
        <v>0</v>
      </c>
      <c r="K463" t="n">
        <v>0</v>
      </c>
      <c r="L463" t="n">
        <v>0</v>
      </c>
      <c r="M463" t="n">
        <v>0</v>
      </c>
      <c r="N463" t="n">
        <v>0</v>
      </c>
      <c r="O463" t="n">
        <v>0</v>
      </c>
      <c r="P463" t="n">
        <v>0</v>
      </c>
      <c r="Q463" t="n">
        <v>0</v>
      </c>
      <c r="R463" s="2" t="inlineStr"/>
    </row>
    <row r="464" ht="15" customHeight="1">
      <c r="A464" t="inlineStr">
        <is>
          <t>A 12245-2022</t>
        </is>
      </c>
      <c r="B464" s="1" t="n">
        <v>44637</v>
      </c>
      <c r="C464" s="1" t="n">
        <v>45842</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13608-2022</t>
        </is>
      </c>
      <c r="B465" s="1" t="n">
        <v>44648</v>
      </c>
      <c r="C465" s="1" t="n">
        <v>45842</v>
      </c>
      <c r="D465" t="inlineStr">
        <is>
          <t>VÄSTMANLANDS LÄN</t>
        </is>
      </c>
      <c r="E465" t="inlineStr">
        <is>
          <t>SALA</t>
        </is>
      </c>
      <c r="G465" t="n">
        <v>5.9</v>
      </c>
      <c r="H465" t="n">
        <v>0</v>
      </c>
      <c r="I465" t="n">
        <v>0</v>
      </c>
      <c r="J465" t="n">
        <v>0</v>
      </c>
      <c r="K465" t="n">
        <v>0</v>
      </c>
      <c r="L465" t="n">
        <v>0</v>
      </c>
      <c r="M465" t="n">
        <v>0</v>
      </c>
      <c r="N465" t="n">
        <v>0</v>
      </c>
      <c r="O465" t="n">
        <v>0</v>
      </c>
      <c r="P465" t="n">
        <v>0</v>
      </c>
      <c r="Q465" t="n">
        <v>0</v>
      </c>
      <c r="R465" s="2" t="inlineStr"/>
    </row>
    <row r="466" ht="15" customHeight="1">
      <c r="A466" t="inlineStr">
        <is>
          <t>A 13962-2022</t>
        </is>
      </c>
      <c r="B466" s="1" t="n">
        <v>44650</v>
      </c>
      <c r="C466" s="1" t="n">
        <v>45842</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15850-2022</t>
        </is>
      </c>
      <c r="B467" s="1" t="n">
        <v>44664</v>
      </c>
      <c r="C467" s="1" t="n">
        <v>45842</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16255-2022</t>
        </is>
      </c>
      <c r="B468" s="1" t="n">
        <v>44670</v>
      </c>
      <c r="C468" s="1" t="n">
        <v>45842</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16404-2022</t>
        </is>
      </c>
      <c r="B469" s="1" t="n">
        <v>44671</v>
      </c>
      <c r="C469" s="1" t="n">
        <v>45842</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16768-2022</t>
        </is>
      </c>
      <c r="B470" s="1" t="n">
        <v>44673</v>
      </c>
      <c r="C470" s="1" t="n">
        <v>45842</v>
      </c>
      <c r="D470" t="inlineStr">
        <is>
          <t>VÄSTMANLANDS LÄN</t>
        </is>
      </c>
      <c r="E470" t="inlineStr">
        <is>
          <t>SALA</t>
        </is>
      </c>
      <c r="G470" t="n">
        <v>4.7</v>
      </c>
      <c r="H470" t="n">
        <v>0</v>
      </c>
      <c r="I470" t="n">
        <v>0</v>
      </c>
      <c r="J470" t="n">
        <v>0</v>
      </c>
      <c r="K470" t="n">
        <v>0</v>
      </c>
      <c r="L470" t="n">
        <v>0</v>
      </c>
      <c r="M470" t="n">
        <v>0</v>
      </c>
      <c r="N470" t="n">
        <v>0</v>
      </c>
      <c r="O470" t="n">
        <v>0</v>
      </c>
      <c r="P470" t="n">
        <v>0</v>
      </c>
      <c r="Q470" t="n">
        <v>0</v>
      </c>
      <c r="R470" s="2" t="inlineStr"/>
    </row>
    <row r="471" ht="15" customHeight="1">
      <c r="A471" t="inlineStr">
        <is>
          <t>A 16905-2022</t>
        </is>
      </c>
      <c r="B471" s="1" t="n">
        <v>44676</v>
      </c>
      <c r="C471" s="1" t="n">
        <v>45842</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17897-2022</t>
        </is>
      </c>
      <c r="B472" s="1" t="n">
        <v>44683</v>
      </c>
      <c r="C472" s="1" t="n">
        <v>45842</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19058-2022</t>
        </is>
      </c>
      <c r="B473" s="1" t="n">
        <v>44691</v>
      </c>
      <c r="C473" s="1" t="n">
        <v>45842</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19065-2022</t>
        </is>
      </c>
      <c r="B474" s="1" t="n">
        <v>44691</v>
      </c>
      <c r="C474" s="1" t="n">
        <v>45842</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19751-2022</t>
        </is>
      </c>
      <c r="B475" s="1" t="n">
        <v>44694</v>
      </c>
      <c r="C475" s="1" t="n">
        <v>45842</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19760-2022</t>
        </is>
      </c>
      <c r="B476" s="1" t="n">
        <v>44694</v>
      </c>
      <c r="C476" s="1" t="n">
        <v>45842</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20344-2022</t>
        </is>
      </c>
      <c r="B477" s="1" t="n">
        <v>44699</v>
      </c>
      <c r="C477" s="1" t="n">
        <v>45842</v>
      </c>
      <c r="D477" t="inlineStr">
        <is>
          <t>VÄSTMANLANDS LÄN</t>
        </is>
      </c>
      <c r="E477" t="inlineStr">
        <is>
          <t>SALA</t>
        </is>
      </c>
      <c r="G477" t="n">
        <v>1.7</v>
      </c>
      <c r="H477" t="n">
        <v>0</v>
      </c>
      <c r="I477" t="n">
        <v>0</v>
      </c>
      <c r="J477" t="n">
        <v>0</v>
      </c>
      <c r="K477" t="n">
        <v>0</v>
      </c>
      <c r="L477" t="n">
        <v>0</v>
      </c>
      <c r="M477" t="n">
        <v>0</v>
      </c>
      <c r="N477" t="n">
        <v>0</v>
      </c>
      <c r="O477" t="n">
        <v>0</v>
      </c>
      <c r="P477" t="n">
        <v>0</v>
      </c>
      <c r="Q477" t="n">
        <v>0</v>
      </c>
      <c r="R477" s="2" t="inlineStr"/>
    </row>
    <row r="478" ht="15" customHeight="1">
      <c r="A478" t="inlineStr">
        <is>
          <t>A 20352-2022</t>
        </is>
      </c>
      <c r="B478" s="1" t="n">
        <v>44699</v>
      </c>
      <c r="C478" s="1" t="n">
        <v>45842</v>
      </c>
      <c r="D478" t="inlineStr">
        <is>
          <t>VÄSTMANLANDS LÄN</t>
        </is>
      </c>
      <c r="E478" t="inlineStr">
        <is>
          <t>SALA</t>
        </is>
      </c>
      <c r="G478" t="n">
        <v>1.3</v>
      </c>
      <c r="H478" t="n">
        <v>0</v>
      </c>
      <c r="I478" t="n">
        <v>0</v>
      </c>
      <c r="J478" t="n">
        <v>0</v>
      </c>
      <c r="K478" t="n">
        <v>0</v>
      </c>
      <c r="L478" t="n">
        <v>0</v>
      </c>
      <c r="M478" t="n">
        <v>0</v>
      </c>
      <c r="N478" t="n">
        <v>0</v>
      </c>
      <c r="O478" t="n">
        <v>0</v>
      </c>
      <c r="P478" t="n">
        <v>0</v>
      </c>
      <c r="Q478" t="n">
        <v>0</v>
      </c>
      <c r="R478" s="2" t="inlineStr"/>
    </row>
    <row r="479" ht="15" customHeight="1">
      <c r="A479" t="inlineStr">
        <is>
          <t>A 20875-2022</t>
        </is>
      </c>
      <c r="B479" s="1" t="n">
        <v>44701</v>
      </c>
      <c r="C479" s="1" t="n">
        <v>45842</v>
      </c>
      <c r="D479" t="inlineStr">
        <is>
          <t>VÄSTMANLANDS LÄN</t>
        </is>
      </c>
      <c r="E479" t="inlineStr">
        <is>
          <t>SALA</t>
        </is>
      </c>
      <c r="G479" t="n">
        <v>2.6</v>
      </c>
      <c r="H479" t="n">
        <v>0</v>
      </c>
      <c r="I479" t="n">
        <v>0</v>
      </c>
      <c r="J479" t="n">
        <v>0</v>
      </c>
      <c r="K479" t="n">
        <v>0</v>
      </c>
      <c r="L479" t="n">
        <v>0</v>
      </c>
      <c r="M479" t="n">
        <v>0</v>
      </c>
      <c r="N479" t="n">
        <v>0</v>
      </c>
      <c r="O479" t="n">
        <v>0</v>
      </c>
      <c r="P479" t="n">
        <v>0</v>
      </c>
      <c r="Q479" t="n">
        <v>0</v>
      </c>
      <c r="R479" s="2" t="inlineStr"/>
    </row>
    <row r="480" ht="15" customHeight="1">
      <c r="A480" t="inlineStr">
        <is>
          <t>A 21055-2022</t>
        </is>
      </c>
      <c r="B480" s="1" t="n">
        <v>44704</v>
      </c>
      <c r="C480" s="1" t="n">
        <v>45842</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21053-2022</t>
        </is>
      </c>
      <c r="B481" s="1" t="n">
        <v>44704</v>
      </c>
      <c r="C481" s="1" t="n">
        <v>45842</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21159-2022</t>
        </is>
      </c>
      <c r="B482" s="1" t="n">
        <v>44704</v>
      </c>
      <c r="C482" s="1" t="n">
        <v>45842</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21777-2022</t>
        </is>
      </c>
      <c r="B483" s="1" t="n">
        <v>44708</v>
      </c>
      <c r="C483" s="1" t="n">
        <v>45842</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22397-2022</t>
        </is>
      </c>
      <c r="B484" s="1" t="n">
        <v>44713</v>
      </c>
      <c r="C484" s="1" t="n">
        <v>45842</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22575-2022</t>
        </is>
      </c>
      <c r="B485" s="1" t="n">
        <v>44713</v>
      </c>
      <c r="C485" s="1" t="n">
        <v>45842</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22562-2022</t>
        </is>
      </c>
      <c r="B486" s="1" t="n">
        <v>44713</v>
      </c>
      <c r="C486" s="1" t="n">
        <v>45842</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22811-2022</t>
        </is>
      </c>
      <c r="B487" s="1" t="n">
        <v>44715</v>
      </c>
      <c r="C487" s="1" t="n">
        <v>45842</v>
      </c>
      <c r="D487" t="inlineStr">
        <is>
          <t>VÄSTMANLANDS LÄN</t>
        </is>
      </c>
      <c r="E487" t="inlineStr">
        <is>
          <t>SALA</t>
        </is>
      </c>
      <c r="G487" t="n">
        <v>5</v>
      </c>
      <c r="H487" t="n">
        <v>0</v>
      </c>
      <c r="I487" t="n">
        <v>0</v>
      </c>
      <c r="J487" t="n">
        <v>0</v>
      </c>
      <c r="K487" t="n">
        <v>0</v>
      </c>
      <c r="L487" t="n">
        <v>0</v>
      </c>
      <c r="M487" t="n">
        <v>0</v>
      </c>
      <c r="N487" t="n">
        <v>0</v>
      </c>
      <c r="O487" t="n">
        <v>0</v>
      </c>
      <c r="P487" t="n">
        <v>0</v>
      </c>
      <c r="Q487" t="n">
        <v>0</v>
      </c>
      <c r="R487" s="2" t="inlineStr"/>
    </row>
    <row r="488" ht="15" customHeight="1">
      <c r="A488" t="inlineStr">
        <is>
          <t>A 23119-2022</t>
        </is>
      </c>
      <c r="B488" s="1" t="n">
        <v>44719</v>
      </c>
      <c r="C488" s="1" t="n">
        <v>45842</v>
      </c>
      <c r="D488" t="inlineStr">
        <is>
          <t>VÄSTMANLANDS LÄN</t>
        </is>
      </c>
      <c r="E488" t="inlineStr">
        <is>
          <t>SALA</t>
        </is>
      </c>
      <c r="G488" t="n">
        <v>7</v>
      </c>
      <c r="H488" t="n">
        <v>0</v>
      </c>
      <c r="I488" t="n">
        <v>0</v>
      </c>
      <c r="J488" t="n">
        <v>0</v>
      </c>
      <c r="K488" t="n">
        <v>0</v>
      </c>
      <c r="L488" t="n">
        <v>0</v>
      </c>
      <c r="M488" t="n">
        <v>0</v>
      </c>
      <c r="N488" t="n">
        <v>0</v>
      </c>
      <c r="O488" t="n">
        <v>0</v>
      </c>
      <c r="P488" t="n">
        <v>0</v>
      </c>
      <c r="Q488" t="n">
        <v>0</v>
      </c>
      <c r="R488" s="2" t="inlineStr"/>
    </row>
    <row r="489" ht="15" customHeight="1">
      <c r="A489" t="inlineStr">
        <is>
          <t>A 23181-2022</t>
        </is>
      </c>
      <c r="B489" s="1" t="n">
        <v>44719</v>
      </c>
      <c r="C489" s="1" t="n">
        <v>45842</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23180-2022</t>
        </is>
      </c>
      <c r="B490" s="1" t="n">
        <v>44719</v>
      </c>
      <c r="C490" s="1" t="n">
        <v>45842</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23182-2022</t>
        </is>
      </c>
      <c r="B491" s="1" t="n">
        <v>44719</v>
      </c>
      <c r="C491" s="1" t="n">
        <v>45842</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v>
      </c>
      <c r="C492" s="1" t="n">
        <v>45842</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23847-2022</t>
        </is>
      </c>
      <c r="B493" s="1" t="n">
        <v>44722</v>
      </c>
      <c r="C493" s="1" t="n">
        <v>45842</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24818-2022</t>
        </is>
      </c>
      <c r="B494" s="1" t="n">
        <v>44727</v>
      </c>
      <c r="C494" s="1" t="n">
        <v>45842</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24835-2022</t>
        </is>
      </c>
      <c r="B495" s="1" t="n">
        <v>44727</v>
      </c>
      <c r="C495" s="1" t="n">
        <v>45842</v>
      </c>
      <c r="D495" t="inlineStr">
        <is>
          <t>VÄSTMANLANDS LÄN</t>
        </is>
      </c>
      <c r="E495" t="inlineStr">
        <is>
          <t>SALA</t>
        </is>
      </c>
      <c r="G495" t="n">
        <v>5.8</v>
      </c>
      <c r="H495" t="n">
        <v>0</v>
      </c>
      <c r="I495" t="n">
        <v>0</v>
      </c>
      <c r="J495" t="n">
        <v>0</v>
      </c>
      <c r="K495" t="n">
        <v>0</v>
      </c>
      <c r="L495" t="n">
        <v>0</v>
      </c>
      <c r="M495" t="n">
        <v>0</v>
      </c>
      <c r="N495" t="n">
        <v>0</v>
      </c>
      <c r="O495" t="n">
        <v>0</v>
      </c>
      <c r="P495" t="n">
        <v>0</v>
      </c>
      <c r="Q495" t="n">
        <v>0</v>
      </c>
      <c r="R495" s="2" t="inlineStr"/>
    </row>
    <row r="496" ht="15" customHeight="1">
      <c r="A496" t="inlineStr">
        <is>
          <t>A 24882-2022</t>
        </is>
      </c>
      <c r="B496" s="1" t="n">
        <v>44728</v>
      </c>
      <c r="C496" s="1" t="n">
        <v>45842</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25603-2022</t>
        </is>
      </c>
      <c r="B497" s="1" t="n">
        <v>44732</v>
      </c>
      <c r="C497" s="1" t="n">
        <v>45842</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25748-2022</t>
        </is>
      </c>
      <c r="B498" s="1" t="n">
        <v>44732</v>
      </c>
      <c r="C498" s="1" t="n">
        <v>45842</v>
      </c>
      <c r="D498" t="inlineStr">
        <is>
          <t>VÄSTMANLANDS LÄN</t>
        </is>
      </c>
      <c r="E498" t="inlineStr">
        <is>
          <t>SALA</t>
        </is>
      </c>
      <c r="G498" t="n">
        <v>7.7</v>
      </c>
      <c r="H498" t="n">
        <v>0</v>
      </c>
      <c r="I498" t="n">
        <v>0</v>
      </c>
      <c r="J498" t="n">
        <v>0</v>
      </c>
      <c r="K498" t="n">
        <v>0</v>
      </c>
      <c r="L498" t="n">
        <v>0</v>
      </c>
      <c r="M498" t="n">
        <v>0</v>
      </c>
      <c r="N498" t="n">
        <v>0</v>
      </c>
      <c r="O498" t="n">
        <v>0</v>
      </c>
      <c r="P498" t="n">
        <v>0</v>
      </c>
      <c r="Q498" t="n">
        <v>0</v>
      </c>
      <c r="R498" s="2" t="inlineStr"/>
    </row>
    <row r="499" ht="15" customHeight="1">
      <c r="A499" t="inlineStr">
        <is>
          <t>A 27229-2022</t>
        </is>
      </c>
      <c r="B499" s="1" t="n">
        <v>44741</v>
      </c>
      <c r="C499" s="1" t="n">
        <v>45842</v>
      </c>
      <c r="D499" t="inlineStr">
        <is>
          <t>VÄSTMANLANDS LÄN</t>
        </is>
      </c>
      <c r="E499" t="inlineStr">
        <is>
          <t>SALA</t>
        </is>
      </c>
      <c r="F499" t="inlineStr">
        <is>
          <t>Kommuner</t>
        </is>
      </c>
      <c r="G499" t="n">
        <v>1.4</v>
      </c>
      <c r="H499" t="n">
        <v>0</v>
      </c>
      <c r="I499" t="n">
        <v>0</v>
      </c>
      <c r="J499" t="n">
        <v>0</v>
      </c>
      <c r="K499" t="n">
        <v>0</v>
      </c>
      <c r="L499" t="n">
        <v>0</v>
      </c>
      <c r="M499" t="n">
        <v>0</v>
      </c>
      <c r="N499" t="n">
        <v>0</v>
      </c>
      <c r="O499" t="n">
        <v>0</v>
      </c>
      <c r="P499" t="n">
        <v>0</v>
      </c>
      <c r="Q499" t="n">
        <v>0</v>
      </c>
      <c r="R499" s="2" t="inlineStr"/>
    </row>
    <row r="500" ht="15" customHeight="1">
      <c r="A500" t="inlineStr">
        <is>
          <t>A 27240-2022</t>
        </is>
      </c>
      <c r="B500" s="1" t="n">
        <v>44741</v>
      </c>
      <c r="C500" s="1" t="n">
        <v>45842</v>
      </c>
      <c r="D500" t="inlineStr">
        <is>
          <t>VÄSTMANLANDS LÄN</t>
        </is>
      </c>
      <c r="E500" t="inlineStr">
        <is>
          <t>SALA</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27446-2022</t>
        </is>
      </c>
      <c r="B501" s="1" t="n">
        <v>44742</v>
      </c>
      <c r="C501" s="1" t="n">
        <v>45842</v>
      </c>
      <c r="D501" t="inlineStr">
        <is>
          <t>VÄSTMANLANDS LÄN</t>
        </is>
      </c>
      <c r="E501" t="inlineStr">
        <is>
          <t>SALA</t>
        </is>
      </c>
      <c r="G501" t="n">
        <v>6.7</v>
      </c>
      <c r="H501" t="n">
        <v>0</v>
      </c>
      <c r="I501" t="n">
        <v>0</v>
      </c>
      <c r="J501" t="n">
        <v>0</v>
      </c>
      <c r="K501" t="n">
        <v>0</v>
      </c>
      <c r="L501" t="n">
        <v>0</v>
      </c>
      <c r="M501" t="n">
        <v>0</v>
      </c>
      <c r="N501" t="n">
        <v>0</v>
      </c>
      <c r="O501" t="n">
        <v>0</v>
      </c>
      <c r="P501" t="n">
        <v>0</v>
      </c>
      <c r="Q501" t="n">
        <v>0</v>
      </c>
      <c r="R501" s="2" t="inlineStr"/>
    </row>
    <row r="502" ht="15" customHeight="1">
      <c r="A502" t="inlineStr">
        <is>
          <t>A 27528-2022</t>
        </is>
      </c>
      <c r="B502" s="1" t="n">
        <v>44742</v>
      </c>
      <c r="C502" s="1" t="n">
        <v>45842</v>
      </c>
      <c r="D502" t="inlineStr">
        <is>
          <t>VÄSTMANLANDS LÄN</t>
        </is>
      </c>
      <c r="E502" t="inlineStr">
        <is>
          <t>SALA</t>
        </is>
      </c>
      <c r="G502" t="n">
        <v>3.2</v>
      </c>
      <c r="H502" t="n">
        <v>0</v>
      </c>
      <c r="I502" t="n">
        <v>0</v>
      </c>
      <c r="J502" t="n">
        <v>0</v>
      </c>
      <c r="K502" t="n">
        <v>0</v>
      </c>
      <c r="L502" t="n">
        <v>0</v>
      </c>
      <c r="M502" t="n">
        <v>0</v>
      </c>
      <c r="N502" t="n">
        <v>0</v>
      </c>
      <c r="O502" t="n">
        <v>0</v>
      </c>
      <c r="P502" t="n">
        <v>0</v>
      </c>
      <c r="Q502" t="n">
        <v>0</v>
      </c>
      <c r="R502" s="2" t="inlineStr"/>
    </row>
    <row r="503" ht="15" customHeight="1">
      <c r="A503" t="inlineStr">
        <is>
          <t>A 27486-2022</t>
        </is>
      </c>
      <c r="B503" s="1" t="n">
        <v>44742</v>
      </c>
      <c r="C503" s="1" t="n">
        <v>45842</v>
      </c>
      <c r="D503" t="inlineStr">
        <is>
          <t>VÄSTMANLANDS LÄN</t>
        </is>
      </c>
      <c r="E503" t="inlineStr">
        <is>
          <t>SALA</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28069-2022</t>
        </is>
      </c>
      <c r="B504" s="1" t="n">
        <v>44746</v>
      </c>
      <c r="C504" s="1" t="n">
        <v>45842</v>
      </c>
      <c r="D504" t="inlineStr">
        <is>
          <t>VÄSTMANLANDS LÄN</t>
        </is>
      </c>
      <c r="E504" t="inlineStr">
        <is>
          <t>SALA</t>
        </is>
      </c>
      <c r="G504" t="n">
        <v>2.8</v>
      </c>
      <c r="H504" t="n">
        <v>0</v>
      </c>
      <c r="I504" t="n">
        <v>0</v>
      </c>
      <c r="J504" t="n">
        <v>0</v>
      </c>
      <c r="K504" t="n">
        <v>0</v>
      </c>
      <c r="L504" t="n">
        <v>0</v>
      </c>
      <c r="M504" t="n">
        <v>0</v>
      </c>
      <c r="N504" t="n">
        <v>0</v>
      </c>
      <c r="O504" t="n">
        <v>0</v>
      </c>
      <c r="P504" t="n">
        <v>0</v>
      </c>
      <c r="Q504" t="n">
        <v>0</v>
      </c>
      <c r="R504" s="2" t="inlineStr"/>
    </row>
    <row r="505" ht="15" customHeight="1">
      <c r="A505" t="inlineStr">
        <is>
          <t>A 28215-2022</t>
        </is>
      </c>
      <c r="B505" s="1" t="n">
        <v>44746</v>
      </c>
      <c r="C505" s="1" t="n">
        <v>45842</v>
      </c>
      <c r="D505" t="inlineStr">
        <is>
          <t>VÄSTMANLANDS LÄN</t>
        </is>
      </c>
      <c r="E505" t="inlineStr">
        <is>
          <t>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28402-2022</t>
        </is>
      </c>
      <c r="B506" s="1" t="n">
        <v>44747</v>
      </c>
      <c r="C506" s="1" t="n">
        <v>45842</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28863-2022</t>
        </is>
      </c>
      <c r="B507" s="1" t="n">
        <v>44749</v>
      </c>
      <c r="C507" s="1" t="n">
        <v>45842</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28875-2022</t>
        </is>
      </c>
      <c r="B508" s="1" t="n">
        <v>44749</v>
      </c>
      <c r="C508" s="1" t="n">
        <v>45842</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28999-2022</t>
        </is>
      </c>
      <c r="B509" s="1" t="n">
        <v>44749</v>
      </c>
      <c r="C509" s="1" t="n">
        <v>45842</v>
      </c>
      <c r="D509" t="inlineStr">
        <is>
          <t>VÄSTMANLANDS LÄN</t>
        </is>
      </c>
      <c r="E509" t="inlineStr">
        <is>
          <t>SALA</t>
        </is>
      </c>
      <c r="G509" t="n">
        <v>5.7</v>
      </c>
      <c r="H509" t="n">
        <v>0</v>
      </c>
      <c r="I509" t="n">
        <v>0</v>
      </c>
      <c r="J509" t="n">
        <v>0</v>
      </c>
      <c r="K509" t="n">
        <v>0</v>
      </c>
      <c r="L509" t="n">
        <v>0</v>
      </c>
      <c r="M509" t="n">
        <v>0</v>
      </c>
      <c r="N509" t="n">
        <v>0</v>
      </c>
      <c r="O509" t="n">
        <v>0</v>
      </c>
      <c r="P509" t="n">
        <v>0</v>
      </c>
      <c r="Q509" t="n">
        <v>0</v>
      </c>
      <c r="R509" s="2" t="inlineStr"/>
    </row>
    <row r="510" ht="15" customHeight="1">
      <c r="A510" t="inlineStr">
        <is>
          <t>A 28827-2022</t>
        </is>
      </c>
      <c r="B510" s="1" t="n">
        <v>44749</v>
      </c>
      <c r="C510" s="1" t="n">
        <v>45842</v>
      </c>
      <c r="D510" t="inlineStr">
        <is>
          <t>VÄSTMANLANDS LÄN</t>
        </is>
      </c>
      <c r="E510" t="inlineStr">
        <is>
          <t>SALA</t>
        </is>
      </c>
      <c r="F510" t="inlineStr">
        <is>
          <t>Kommuner</t>
        </is>
      </c>
      <c r="G510" t="n">
        <v>11.9</v>
      </c>
      <c r="H510" t="n">
        <v>0</v>
      </c>
      <c r="I510" t="n">
        <v>0</v>
      </c>
      <c r="J510" t="n">
        <v>0</v>
      </c>
      <c r="K510" t="n">
        <v>0</v>
      </c>
      <c r="L510" t="n">
        <v>0</v>
      </c>
      <c r="M510" t="n">
        <v>0</v>
      </c>
      <c r="N510" t="n">
        <v>0</v>
      </c>
      <c r="O510" t="n">
        <v>0</v>
      </c>
      <c r="P510" t="n">
        <v>0</v>
      </c>
      <c r="Q510" t="n">
        <v>0</v>
      </c>
      <c r="R510" s="2" t="inlineStr"/>
    </row>
    <row r="511" ht="15" customHeight="1">
      <c r="A511" t="inlineStr">
        <is>
          <t>A 28873-2022</t>
        </is>
      </c>
      <c r="B511" s="1" t="n">
        <v>44749</v>
      </c>
      <c r="C511" s="1" t="n">
        <v>45842</v>
      </c>
      <c r="D511" t="inlineStr">
        <is>
          <t>VÄSTMANLANDS LÄN</t>
        </is>
      </c>
      <c r="E511" t="inlineStr">
        <is>
          <t>SALA</t>
        </is>
      </c>
      <c r="G511" t="n">
        <v>2.7</v>
      </c>
      <c r="H511" t="n">
        <v>0</v>
      </c>
      <c r="I511" t="n">
        <v>0</v>
      </c>
      <c r="J511" t="n">
        <v>0</v>
      </c>
      <c r="K511" t="n">
        <v>0</v>
      </c>
      <c r="L511" t="n">
        <v>0</v>
      </c>
      <c r="M511" t="n">
        <v>0</v>
      </c>
      <c r="N511" t="n">
        <v>0</v>
      </c>
      <c r="O511" t="n">
        <v>0</v>
      </c>
      <c r="P511" t="n">
        <v>0</v>
      </c>
      <c r="Q511" t="n">
        <v>0</v>
      </c>
      <c r="R511" s="2" t="inlineStr"/>
    </row>
    <row r="512" ht="15" customHeight="1">
      <c r="A512" t="inlineStr">
        <is>
          <t>A 29002-2022</t>
        </is>
      </c>
      <c r="B512" s="1" t="n">
        <v>44749</v>
      </c>
      <c r="C512" s="1" t="n">
        <v>45842</v>
      </c>
      <c r="D512" t="inlineStr">
        <is>
          <t>VÄSTMANLANDS LÄN</t>
        </is>
      </c>
      <c r="E512" t="inlineStr">
        <is>
          <t>SALA</t>
        </is>
      </c>
      <c r="G512" t="n">
        <v>5.4</v>
      </c>
      <c r="H512" t="n">
        <v>0</v>
      </c>
      <c r="I512" t="n">
        <v>0</v>
      </c>
      <c r="J512" t="n">
        <v>0</v>
      </c>
      <c r="K512" t="n">
        <v>0</v>
      </c>
      <c r="L512" t="n">
        <v>0</v>
      </c>
      <c r="M512" t="n">
        <v>0</v>
      </c>
      <c r="N512" t="n">
        <v>0</v>
      </c>
      <c r="O512" t="n">
        <v>0</v>
      </c>
      <c r="P512" t="n">
        <v>0</v>
      </c>
      <c r="Q512" t="n">
        <v>0</v>
      </c>
      <c r="R512" s="2" t="inlineStr"/>
    </row>
    <row r="513" ht="15" customHeight="1">
      <c r="A513" t="inlineStr">
        <is>
          <t>A 28868-2022</t>
        </is>
      </c>
      <c r="B513" s="1" t="n">
        <v>44749</v>
      </c>
      <c r="C513" s="1" t="n">
        <v>45842</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28874-2022</t>
        </is>
      </c>
      <c r="B514" s="1" t="n">
        <v>44749</v>
      </c>
      <c r="C514" s="1" t="n">
        <v>45842</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28879-2022</t>
        </is>
      </c>
      <c r="B515" s="1" t="n">
        <v>44749</v>
      </c>
      <c r="C515" s="1" t="n">
        <v>45842</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29235-2022</t>
        </is>
      </c>
      <c r="B516" s="1" t="n">
        <v>44750</v>
      </c>
      <c r="C516" s="1" t="n">
        <v>45842</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29228-2022</t>
        </is>
      </c>
      <c r="B517" s="1" t="n">
        <v>44750</v>
      </c>
      <c r="C517" s="1" t="n">
        <v>45842</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29233-2022</t>
        </is>
      </c>
      <c r="B518" s="1" t="n">
        <v>44750</v>
      </c>
      <c r="C518" s="1" t="n">
        <v>45842</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29248-2022</t>
        </is>
      </c>
      <c r="B519" s="1" t="n">
        <v>44750</v>
      </c>
      <c r="C519" s="1" t="n">
        <v>45842</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29230-2022</t>
        </is>
      </c>
      <c r="B520" s="1" t="n">
        <v>44750</v>
      </c>
      <c r="C520" s="1" t="n">
        <v>45842</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29133-2022</t>
        </is>
      </c>
      <c r="B521" s="1" t="n">
        <v>44750</v>
      </c>
      <c r="C521" s="1" t="n">
        <v>45842</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29213-2022</t>
        </is>
      </c>
      <c r="B522" s="1" t="n">
        <v>44750</v>
      </c>
      <c r="C522" s="1" t="n">
        <v>45842</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29963-2022</t>
        </is>
      </c>
      <c r="B523" s="1" t="n">
        <v>44756</v>
      </c>
      <c r="C523" s="1" t="n">
        <v>45842</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29965-2022</t>
        </is>
      </c>
      <c r="B524" s="1" t="n">
        <v>44756</v>
      </c>
      <c r="C524" s="1" t="n">
        <v>45842</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29982-2022</t>
        </is>
      </c>
      <c r="B525" s="1" t="n">
        <v>44756</v>
      </c>
      <c r="C525" s="1" t="n">
        <v>45842</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30360-2022</t>
        </is>
      </c>
      <c r="B526" s="1" t="n">
        <v>44760</v>
      </c>
      <c r="C526" s="1" t="n">
        <v>45842</v>
      </c>
      <c r="D526" t="inlineStr">
        <is>
          <t>VÄSTMANLANDS LÄN</t>
        </is>
      </c>
      <c r="E526" t="inlineStr">
        <is>
          <t>SALA</t>
        </is>
      </c>
      <c r="F526" t="inlineStr">
        <is>
          <t>Sveaskog</t>
        </is>
      </c>
      <c r="G526" t="n">
        <v>1.7</v>
      </c>
      <c r="H526" t="n">
        <v>0</v>
      </c>
      <c r="I526" t="n">
        <v>0</v>
      </c>
      <c r="J526" t="n">
        <v>0</v>
      </c>
      <c r="K526" t="n">
        <v>0</v>
      </c>
      <c r="L526" t="n">
        <v>0</v>
      </c>
      <c r="M526" t="n">
        <v>0</v>
      </c>
      <c r="N526" t="n">
        <v>0</v>
      </c>
      <c r="O526" t="n">
        <v>0</v>
      </c>
      <c r="P526" t="n">
        <v>0</v>
      </c>
      <c r="Q526" t="n">
        <v>0</v>
      </c>
      <c r="R526" s="2" t="inlineStr"/>
    </row>
    <row r="527" ht="15" customHeight="1">
      <c r="A527" t="inlineStr">
        <is>
          <t>A 30442-2022</t>
        </is>
      </c>
      <c r="B527" s="1" t="n">
        <v>44761</v>
      </c>
      <c r="C527" s="1" t="n">
        <v>45842</v>
      </c>
      <c r="D527" t="inlineStr">
        <is>
          <t>VÄSTMANLANDS LÄN</t>
        </is>
      </c>
      <c r="E527" t="inlineStr">
        <is>
          <t>SALA</t>
        </is>
      </c>
      <c r="G527" t="n">
        <v>1.4</v>
      </c>
      <c r="H527" t="n">
        <v>0</v>
      </c>
      <c r="I527" t="n">
        <v>0</v>
      </c>
      <c r="J527" t="n">
        <v>0</v>
      </c>
      <c r="K527" t="n">
        <v>0</v>
      </c>
      <c r="L527" t="n">
        <v>0</v>
      </c>
      <c r="M527" t="n">
        <v>0</v>
      </c>
      <c r="N527" t="n">
        <v>0</v>
      </c>
      <c r="O527" t="n">
        <v>0</v>
      </c>
      <c r="P527" t="n">
        <v>0</v>
      </c>
      <c r="Q527" t="n">
        <v>0</v>
      </c>
      <c r="R527" s="2" t="inlineStr"/>
    </row>
    <row r="528" ht="15" customHeight="1">
      <c r="A528" t="inlineStr">
        <is>
          <t>A 30971-2022</t>
        </is>
      </c>
      <c r="B528" s="1" t="n">
        <v>44768</v>
      </c>
      <c r="C528" s="1" t="n">
        <v>45842</v>
      </c>
      <c r="D528" t="inlineStr">
        <is>
          <t>VÄSTMANLANDS LÄN</t>
        </is>
      </c>
      <c r="E528" t="inlineStr">
        <is>
          <t>SALA</t>
        </is>
      </c>
      <c r="G528" t="n">
        <v>2.4</v>
      </c>
      <c r="H528" t="n">
        <v>0</v>
      </c>
      <c r="I528" t="n">
        <v>0</v>
      </c>
      <c r="J528" t="n">
        <v>0</v>
      </c>
      <c r="K528" t="n">
        <v>0</v>
      </c>
      <c r="L528" t="n">
        <v>0</v>
      </c>
      <c r="M528" t="n">
        <v>0</v>
      </c>
      <c r="N528" t="n">
        <v>0</v>
      </c>
      <c r="O528" t="n">
        <v>0</v>
      </c>
      <c r="P528" t="n">
        <v>0</v>
      </c>
      <c r="Q528" t="n">
        <v>0</v>
      </c>
      <c r="R528" s="2" t="inlineStr"/>
    </row>
    <row r="529" ht="15" customHeight="1">
      <c r="A529" t="inlineStr">
        <is>
          <t>A 31000-2022</t>
        </is>
      </c>
      <c r="B529" s="1" t="n">
        <v>44768</v>
      </c>
      <c r="C529" s="1" t="n">
        <v>45842</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31373-2022</t>
        </is>
      </c>
      <c r="B530" s="1" t="n">
        <v>44774</v>
      </c>
      <c r="C530" s="1" t="n">
        <v>45842</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31380-2022</t>
        </is>
      </c>
      <c r="B531" s="1" t="n">
        <v>44774</v>
      </c>
      <c r="C531" s="1" t="n">
        <v>45842</v>
      </c>
      <c r="D531" t="inlineStr">
        <is>
          <t>VÄSTMANLANDS LÄN</t>
        </is>
      </c>
      <c r="E531" t="inlineStr">
        <is>
          <t>SALA</t>
        </is>
      </c>
      <c r="G531" t="n">
        <v>4.7</v>
      </c>
      <c r="H531" t="n">
        <v>0</v>
      </c>
      <c r="I531" t="n">
        <v>0</v>
      </c>
      <c r="J531" t="n">
        <v>0</v>
      </c>
      <c r="K531" t="n">
        <v>0</v>
      </c>
      <c r="L531" t="n">
        <v>0</v>
      </c>
      <c r="M531" t="n">
        <v>0</v>
      </c>
      <c r="N531" t="n">
        <v>0</v>
      </c>
      <c r="O531" t="n">
        <v>0</v>
      </c>
      <c r="P531" t="n">
        <v>0</v>
      </c>
      <c r="Q531" t="n">
        <v>0</v>
      </c>
      <c r="R531" s="2" t="inlineStr"/>
    </row>
    <row r="532" ht="15" customHeight="1">
      <c r="A532" t="inlineStr">
        <is>
          <t>A 31387-2022</t>
        </is>
      </c>
      <c r="B532" s="1" t="n">
        <v>44774</v>
      </c>
      <c r="C532" s="1" t="n">
        <v>45842</v>
      </c>
      <c r="D532" t="inlineStr">
        <is>
          <t>VÄSTMANLANDS LÄN</t>
        </is>
      </c>
      <c r="E532" t="inlineStr">
        <is>
          <t>SALA</t>
        </is>
      </c>
      <c r="G532" t="n">
        <v>5.8</v>
      </c>
      <c r="H532" t="n">
        <v>0</v>
      </c>
      <c r="I532" t="n">
        <v>0</v>
      </c>
      <c r="J532" t="n">
        <v>0</v>
      </c>
      <c r="K532" t="n">
        <v>0</v>
      </c>
      <c r="L532" t="n">
        <v>0</v>
      </c>
      <c r="M532" t="n">
        <v>0</v>
      </c>
      <c r="N532" t="n">
        <v>0</v>
      </c>
      <c r="O532" t="n">
        <v>0</v>
      </c>
      <c r="P532" t="n">
        <v>0</v>
      </c>
      <c r="Q532" t="n">
        <v>0</v>
      </c>
      <c r="R532" s="2" t="inlineStr"/>
    </row>
    <row r="533" ht="15" customHeight="1">
      <c r="A533" t="inlineStr">
        <is>
          <t>A 31394-2022</t>
        </is>
      </c>
      <c r="B533" s="1" t="n">
        <v>44774</v>
      </c>
      <c r="C533" s="1" t="n">
        <v>45842</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33309-2022</t>
        </is>
      </c>
      <c r="B534" s="1" t="n">
        <v>44788</v>
      </c>
      <c r="C534" s="1" t="n">
        <v>45842</v>
      </c>
      <c r="D534" t="inlineStr">
        <is>
          <t>VÄSTMANLANDS LÄN</t>
        </is>
      </c>
      <c r="E534" t="inlineStr">
        <is>
          <t>SALA</t>
        </is>
      </c>
      <c r="G534" t="n">
        <v>2.6</v>
      </c>
      <c r="H534" t="n">
        <v>0</v>
      </c>
      <c r="I534" t="n">
        <v>0</v>
      </c>
      <c r="J534" t="n">
        <v>0</v>
      </c>
      <c r="K534" t="n">
        <v>0</v>
      </c>
      <c r="L534" t="n">
        <v>0</v>
      </c>
      <c r="M534" t="n">
        <v>0</v>
      </c>
      <c r="N534" t="n">
        <v>0</v>
      </c>
      <c r="O534" t="n">
        <v>0</v>
      </c>
      <c r="P534" t="n">
        <v>0</v>
      </c>
      <c r="Q534" t="n">
        <v>0</v>
      </c>
      <c r="R534" s="2" t="inlineStr"/>
    </row>
    <row r="535" ht="15" customHeight="1">
      <c r="A535" t="inlineStr">
        <is>
          <t>A 34110-2022</t>
        </is>
      </c>
      <c r="B535" s="1" t="n">
        <v>44791</v>
      </c>
      <c r="C535" s="1" t="n">
        <v>45842</v>
      </c>
      <c r="D535" t="inlineStr">
        <is>
          <t>VÄSTMANLANDS LÄN</t>
        </is>
      </c>
      <c r="E535" t="inlineStr">
        <is>
          <t>SALA</t>
        </is>
      </c>
      <c r="G535" t="n">
        <v>0.2</v>
      </c>
      <c r="H535" t="n">
        <v>0</v>
      </c>
      <c r="I535" t="n">
        <v>0</v>
      </c>
      <c r="J535" t="n">
        <v>0</v>
      </c>
      <c r="K535" t="n">
        <v>0</v>
      </c>
      <c r="L535" t="n">
        <v>0</v>
      </c>
      <c r="M535" t="n">
        <v>0</v>
      </c>
      <c r="N535" t="n">
        <v>0</v>
      </c>
      <c r="O535" t="n">
        <v>0</v>
      </c>
      <c r="P535" t="n">
        <v>0</v>
      </c>
      <c r="Q535" t="n">
        <v>0</v>
      </c>
      <c r="R535" s="2" t="inlineStr"/>
    </row>
    <row r="536" ht="15" customHeight="1">
      <c r="A536" t="inlineStr">
        <is>
          <t>A 34468-2022</t>
        </is>
      </c>
      <c r="B536" s="1" t="n">
        <v>44792</v>
      </c>
      <c r="C536" s="1" t="n">
        <v>45842</v>
      </c>
      <c r="D536" t="inlineStr">
        <is>
          <t>VÄSTMANLANDS LÄN</t>
        </is>
      </c>
      <c r="E536" t="inlineStr">
        <is>
          <t>SALA</t>
        </is>
      </c>
      <c r="F536" t="inlineStr">
        <is>
          <t>Kommuner</t>
        </is>
      </c>
      <c r="G536" t="n">
        <v>1</v>
      </c>
      <c r="H536" t="n">
        <v>0</v>
      </c>
      <c r="I536" t="n">
        <v>0</v>
      </c>
      <c r="J536" t="n">
        <v>0</v>
      </c>
      <c r="K536" t="n">
        <v>0</v>
      </c>
      <c r="L536" t="n">
        <v>0</v>
      </c>
      <c r="M536" t="n">
        <v>0</v>
      </c>
      <c r="N536" t="n">
        <v>0</v>
      </c>
      <c r="O536" t="n">
        <v>0</v>
      </c>
      <c r="P536" t="n">
        <v>0</v>
      </c>
      <c r="Q536" t="n">
        <v>0</v>
      </c>
      <c r="R536" s="2" t="inlineStr"/>
    </row>
    <row r="537" ht="15" customHeight="1">
      <c r="A537" t="inlineStr">
        <is>
          <t>A 34737-2022</t>
        </is>
      </c>
      <c r="B537" s="1" t="n">
        <v>44795</v>
      </c>
      <c r="C537" s="1" t="n">
        <v>45842</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35410-2022</t>
        </is>
      </c>
      <c r="B538" s="1" t="n">
        <v>44798</v>
      </c>
      <c r="C538" s="1" t="n">
        <v>45842</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35637-2022</t>
        </is>
      </c>
      <c r="B539" s="1" t="n">
        <v>44799</v>
      </c>
      <c r="C539" s="1" t="n">
        <v>45842</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38081-2022</t>
        </is>
      </c>
      <c r="B540" s="1" t="n">
        <v>44811</v>
      </c>
      <c r="C540" s="1" t="n">
        <v>45842</v>
      </c>
      <c r="D540" t="inlineStr">
        <is>
          <t>VÄSTMANLANDS LÄN</t>
        </is>
      </c>
      <c r="E540" t="inlineStr">
        <is>
          <t>SALA</t>
        </is>
      </c>
      <c r="G540" t="n">
        <v>3.4</v>
      </c>
      <c r="H540" t="n">
        <v>0</v>
      </c>
      <c r="I540" t="n">
        <v>0</v>
      </c>
      <c r="J540" t="n">
        <v>0</v>
      </c>
      <c r="K540" t="n">
        <v>0</v>
      </c>
      <c r="L540" t="n">
        <v>0</v>
      </c>
      <c r="M540" t="n">
        <v>0</v>
      </c>
      <c r="N540" t="n">
        <v>0</v>
      </c>
      <c r="O540" t="n">
        <v>0</v>
      </c>
      <c r="P540" t="n">
        <v>0</v>
      </c>
      <c r="Q540" t="n">
        <v>0</v>
      </c>
      <c r="R540" s="2" t="inlineStr"/>
    </row>
    <row r="541" ht="15" customHeight="1">
      <c r="A541" t="inlineStr">
        <is>
          <t>A 38161-2022</t>
        </is>
      </c>
      <c r="B541" s="1" t="n">
        <v>44812</v>
      </c>
      <c r="C541" s="1" t="n">
        <v>45842</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39451-2022</t>
        </is>
      </c>
      <c r="B542" s="1" t="n">
        <v>44818</v>
      </c>
      <c r="C542" s="1" t="n">
        <v>45842</v>
      </c>
      <c r="D542" t="inlineStr">
        <is>
          <t>VÄSTMANLANDS LÄN</t>
        </is>
      </c>
      <c r="E542" t="inlineStr">
        <is>
          <t>SALA</t>
        </is>
      </c>
      <c r="G542" t="n">
        <v>9.4</v>
      </c>
      <c r="H542" t="n">
        <v>0</v>
      </c>
      <c r="I542" t="n">
        <v>0</v>
      </c>
      <c r="J542" t="n">
        <v>0</v>
      </c>
      <c r="K542" t="n">
        <v>0</v>
      </c>
      <c r="L542" t="n">
        <v>0</v>
      </c>
      <c r="M542" t="n">
        <v>0</v>
      </c>
      <c r="N542" t="n">
        <v>0</v>
      </c>
      <c r="O542" t="n">
        <v>0</v>
      </c>
      <c r="P542" t="n">
        <v>0</v>
      </c>
      <c r="Q542" t="n">
        <v>0</v>
      </c>
      <c r="R542" s="2" t="inlineStr"/>
    </row>
    <row r="543" ht="15" customHeight="1">
      <c r="A543" t="inlineStr">
        <is>
          <t>A 39600-2022</t>
        </is>
      </c>
      <c r="B543" s="1" t="n">
        <v>44818</v>
      </c>
      <c r="C543" s="1" t="n">
        <v>45842</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39597-2022</t>
        </is>
      </c>
      <c r="B544" s="1" t="n">
        <v>44818</v>
      </c>
      <c r="C544" s="1" t="n">
        <v>45842</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40094-2022</t>
        </is>
      </c>
      <c r="B545" s="1" t="n">
        <v>44819</v>
      </c>
      <c r="C545" s="1" t="n">
        <v>45842</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40113-2022</t>
        </is>
      </c>
      <c r="B546" s="1" t="n">
        <v>44819</v>
      </c>
      <c r="C546" s="1" t="n">
        <v>45842</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40405-2022</t>
        </is>
      </c>
      <c r="B547" s="1" t="n">
        <v>44823</v>
      </c>
      <c r="C547" s="1" t="n">
        <v>45842</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40597-2022</t>
        </is>
      </c>
      <c r="B548" s="1" t="n">
        <v>44823</v>
      </c>
      <c r="C548" s="1" t="n">
        <v>45842</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41567-2022</t>
        </is>
      </c>
      <c r="B549" s="1" t="n">
        <v>44827</v>
      </c>
      <c r="C549" s="1" t="n">
        <v>45842</v>
      </c>
      <c r="D549" t="inlineStr">
        <is>
          <t>VÄSTMANLANDS LÄN</t>
        </is>
      </c>
      <c r="E549" t="inlineStr">
        <is>
          <t>SALA</t>
        </is>
      </c>
      <c r="F549" t="inlineStr">
        <is>
          <t>Bergvik skog öst AB</t>
        </is>
      </c>
      <c r="G549" t="n">
        <v>3.9</v>
      </c>
      <c r="H549" t="n">
        <v>0</v>
      </c>
      <c r="I549" t="n">
        <v>0</v>
      </c>
      <c r="J549" t="n">
        <v>0</v>
      </c>
      <c r="K549" t="n">
        <v>0</v>
      </c>
      <c r="L549" t="n">
        <v>0</v>
      </c>
      <c r="M549" t="n">
        <v>0</v>
      </c>
      <c r="N549" t="n">
        <v>0</v>
      </c>
      <c r="O549" t="n">
        <v>0</v>
      </c>
      <c r="P549" t="n">
        <v>0</v>
      </c>
      <c r="Q549" t="n">
        <v>0</v>
      </c>
      <c r="R549" s="2" t="inlineStr"/>
    </row>
    <row r="550" ht="15" customHeight="1">
      <c r="A550" t="inlineStr">
        <is>
          <t>A 41876-2022</t>
        </is>
      </c>
      <c r="B550" s="1" t="n">
        <v>44830</v>
      </c>
      <c r="C550" s="1" t="n">
        <v>45842</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42416-2022</t>
        </is>
      </c>
      <c r="B551" s="1" t="n">
        <v>44831</v>
      </c>
      <c r="C551" s="1" t="n">
        <v>45842</v>
      </c>
      <c r="D551" t="inlineStr">
        <is>
          <t>VÄSTMANLANDS LÄN</t>
        </is>
      </c>
      <c r="E551" t="inlineStr">
        <is>
          <t>SALA</t>
        </is>
      </c>
      <c r="G551" t="n">
        <v>2.2</v>
      </c>
      <c r="H551" t="n">
        <v>0</v>
      </c>
      <c r="I551" t="n">
        <v>0</v>
      </c>
      <c r="J551" t="n">
        <v>0</v>
      </c>
      <c r="K551" t="n">
        <v>0</v>
      </c>
      <c r="L551" t="n">
        <v>0</v>
      </c>
      <c r="M551" t="n">
        <v>0</v>
      </c>
      <c r="N551" t="n">
        <v>0</v>
      </c>
      <c r="O551" t="n">
        <v>0</v>
      </c>
      <c r="P551" t="n">
        <v>0</v>
      </c>
      <c r="Q551" t="n">
        <v>0</v>
      </c>
      <c r="R551" s="2" t="inlineStr"/>
    </row>
    <row r="552" ht="15" customHeight="1">
      <c r="A552" t="inlineStr">
        <is>
          <t>A 42447-2022</t>
        </is>
      </c>
      <c r="B552" s="1" t="n">
        <v>44831</v>
      </c>
      <c r="C552" s="1" t="n">
        <v>45842</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42414-2022</t>
        </is>
      </c>
      <c r="B553" s="1" t="n">
        <v>44831</v>
      </c>
      <c r="C553" s="1" t="n">
        <v>45842</v>
      </c>
      <c r="D553" t="inlineStr">
        <is>
          <t>VÄSTMANLANDS LÄN</t>
        </is>
      </c>
      <c r="E553" t="inlineStr">
        <is>
          <t>SALA</t>
        </is>
      </c>
      <c r="G553" t="n">
        <v>3.4</v>
      </c>
      <c r="H553" t="n">
        <v>0</v>
      </c>
      <c r="I553" t="n">
        <v>0</v>
      </c>
      <c r="J553" t="n">
        <v>0</v>
      </c>
      <c r="K553" t="n">
        <v>0</v>
      </c>
      <c r="L553" t="n">
        <v>0</v>
      </c>
      <c r="M553" t="n">
        <v>0</v>
      </c>
      <c r="N553" t="n">
        <v>0</v>
      </c>
      <c r="O553" t="n">
        <v>0</v>
      </c>
      <c r="P553" t="n">
        <v>0</v>
      </c>
      <c r="Q553" t="n">
        <v>0</v>
      </c>
      <c r="R553" s="2" t="inlineStr"/>
      <c r="U553">
        <f>HYPERLINK("https://klasma.github.io/Logging_1981/knärot/A 42414-2022 karta knärot.png", "A 42414-2022")</f>
        <v/>
      </c>
      <c r="V553">
        <f>HYPERLINK("https://klasma.github.io/Logging_1981/klagomål/A 42414-2022 FSC-klagomål.docx", "A 42414-2022")</f>
        <v/>
      </c>
      <c r="W553">
        <f>HYPERLINK("https://klasma.github.io/Logging_1981/klagomålsmail/A 42414-2022 FSC-klagomål mail.docx", "A 42414-2022")</f>
        <v/>
      </c>
      <c r="X553">
        <f>HYPERLINK("https://klasma.github.io/Logging_1981/tillsyn/A 42414-2022 tillsynsbegäran.docx", "A 42414-2022")</f>
        <v/>
      </c>
      <c r="Y553">
        <f>HYPERLINK("https://klasma.github.io/Logging_1981/tillsynsmail/A 42414-2022 tillsynsbegäran mail.docx", "A 42414-2022")</f>
        <v/>
      </c>
    </row>
    <row r="554" ht="15" customHeight="1">
      <c r="A554" t="inlineStr">
        <is>
          <t>A 43103-2022</t>
        </is>
      </c>
      <c r="B554" s="1" t="n">
        <v>44833</v>
      </c>
      <c r="C554" s="1" t="n">
        <v>45842</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43101-2022</t>
        </is>
      </c>
      <c r="B555" s="1" t="n">
        <v>44833</v>
      </c>
      <c r="C555" s="1" t="n">
        <v>45842</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44217-2022</t>
        </is>
      </c>
      <c r="B556" s="1" t="n">
        <v>44839</v>
      </c>
      <c r="C556" s="1" t="n">
        <v>45842</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44318-2022</t>
        </is>
      </c>
      <c r="B557" s="1" t="n">
        <v>44839</v>
      </c>
      <c r="C557" s="1" t="n">
        <v>45842</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44224-2022</t>
        </is>
      </c>
      <c r="B558" s="1" t="n">
        <v>44839</v>
      </c>
      <c r="C558" s="1" t="n">
        <v>45842</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44892-2022</t>
        </is>
      </c>
      <c r="B559" s="1" t="n">
        <v>44841</v>
      </c>
      <c r="C559" s="1" t="n">
        <v>45842</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45015-2022</t>
        </is>
      </c>
      <c r="B560" s="1" t="n">
        <v>44841</v>
      </c>
      <c r="C560" s="1" t="n">
        <v>45842</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44935-2022</t>
        </is>
      </c>
      <c r="B561" s="1" t="n">
        <v>44841</v>
      </c>
      <c r="C561" s="1" t="n">
        <v>45842</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45309-2022</t>
        </is>
      </c>
      <c r="B562" s="1" t="n">
        <v>44844</v>
      </c>
      <c r="C562" s="1" t="n">
        <v>45842</v>
      </c>
      <c r="D562" t="inlineStr">
        <is>
          <t>VÄSTMANLANDS LÄN</t>
        </is>
      </c>
      <c r="E562" t="inlineStr">
        <is>
          <t>SALA</t>
        </is>
      </c>
      <c r="G562" t="n">
        <v>10.9</v>
      </c>
      <c r="H562" t="n">
        <v>0</v>
      </c>
      <c r="I562" t="n">
        <v>0</v>
      </c>
      <c r="J562" t="n">
        <v>0</v>
      </c>
      <c r="K562" t="n">
        <v>0</v>
      </c>
      <c r="L562" t="n">
        <v>0</v>
      </c>
      <c r="M562" t="n">
        <v>0</v>
      </c>
      <c r="N562" t="n">
        <v>0</v>
      </c>
      <c r="O562" t="n">
        <v>0</v>
      </c>
      <c r="P562" t="n">
        <v>0</v>
      </c>
      <c r="Q562" t="n">
        <v>0</v>
      </c>
      <c r="R562" s="2" t="inlineStr"/>
    </row>
    <row r="563" ht="15" customHeight="1">
      <c r="A563" t="inlineStr">
        <is>
          <t>A 45517-2022</t>
        </is>
      </c>
      <c r="B563" s="1" t="n">
        <v>44845</v>
      </c>
      <c r="C563" s="1" t="n">
        <v>45842</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45615-2022</t>
        </is>
      </c>
      <c r="B564" s="1" t="n">
        <v>44845</v>
      </c>
      <c r="C564" s="1" t="n">
        <v>45842</v>
      </c>
      <c r="D564" t="inlineStr">
        <is>
          <t>VÄSTMANLANDS LÄN</t>
        </is>
      </c>
      <c r="E564" t="inlineStr">
        <is>
          <t>SALA</t>
        </is>
      </c>
      <c r="F564" t="inlineStr">
        <is>
          <t>Bergvik skog öst AB</t>
        </is>
      </c>
      <c r="G564" t="n">
        <v>10</v>
      </c>
      <c r="H564" t="n">
        <v>0</v>
      </c>
      <c r="I564" t="n">
        <v>0</v>
      </c>
      <c r="J564" t="n">
        <v>0</v>
      </c>
      <c r="K564" t="n">
        <v>0</v>
      </c>
      <c r="L564" t="n">
        <v>0</v>
      </c>
      <c r="M564" t="n">
        <v>0</v>
      </c>
      <c r="N564" t="n">
        <v>0</v>
      </c>
      <c r="O564" t="n">
        <v>0</v>
      </c>
      <c r="P564" t="n">
        <v>0</v>
      </c>
      <c r="Q564" t="n">
        <v>0</v>
      </c>
      <c r="R564" s="2" t="inlineStr"/>
    </row>
    <row r="565" ht="15" customHeight="1">
      <c r="A565" t="inlineStr">
        <is>
          <t>A 46264-2022</t>
        </is>
      </c>
      <c r="B565" s="1" t="n">
        <v>44847</v>
      </c>
      <c r="C565" s="1" t="n">
        <v>45842</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46460-2022</t>
        </is>
      </c>
      <c r="B566" s="1" t="n">
        <v>44848</v>
      </c>
      <c r="C566" s="1" t="n">
        <v>45842</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47086-2022</t>
        </is>
      </c>
      <c r="B567" s="1" t="n">
        <v>44852</v>
      </c>
      <c r="C567" s="1" t="n">
        <v>45842</v>
      </c>
      <c r="D567" t="inlineStr">
        <is>
          <t>VÄSTMANLANDS LÄN</t>
        </is>
      </c>
      <c r="E567" t="inlineStr">
        <is>
          <t>SALA</t>
        </is>
      </c>
      <c r="G567" t="n">
        <v>12.5</v>
      </c>
      <c r="H567" t="n">
        <v>0</v>
      </c>
      <c r="I567" t="n">
        <v>0</v>
      </c>
      <c r="J567" t="n">
        <v>0</v>
      </c>
      <c r="K567" t="n">
        <v>0</v>
      </c>
      <c r="L567" t="n">
        <v>0</v>
      </c>
      <c r="M567" t="n">
        <v>0</v>
      </c>
      <c r="N567" t="n">
        <v>0</v>
      </c>
      <c r="O567" t="n">
        <v>0</v>
      </c>
      <c r="P567" t="n">
        <v>0</v>
      </c>
      <c r="Q567" t="n">
        <v>0</v>
      </c>
      <c r="R567" s="2" t="inlineStr"/>
    </row>
    <row r="568" ht="15" customHeight="1">
      <c r="A568" t="inlineStr">
        <is>
          <t>A 47713-2022</t>
        </is>
      </c>
      <c r="B568" s="1" t="n">
        <v>44854</v>
      </c>
      <c r="C568" s="1" t="n">
        <v>45842</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47715-2022</t>
        </is>
      </c>
      <c r="B569" s="1" t="n">
        <v>44854</v>
      </c>
      <c r="C569" s="1" t="n">
        <v>45842</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47909-2022</t>
        </is>
      </c>
      <c r="B570" s="1" t="n">
        <v>44855</v>
      </c>
      <c r="C570" s="1" t="n">
        <v>45842</v>
      </c>
      <c r="D570" t="inlineStr">
        <is>
          <t>VÄSTMANLANDS LÄN</t>
        </is>
      </c>
      <c r="E570" t="inlineStr">
        <is>
          <t>SALA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48219-2022</t>
        </is>
      </c>
      <c r="B571" s="1" t="n">
        <v>44858</v>
      </c>
      <c r="C571" s="1" t="n">
        <v>45842</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49086-2022</t>
        </is>
      </c>
      <c r="B572" s="1" t="n">
        <v>44860</v>
      </c>
      <c r="C572" s="1" t="n">
        <v>45842</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49254-2022</t>
        </is>
      </c>
      <c r="B573" s="1" t="n">
        <v>44861</v>
      </c>
      <c r="C573" s="1" t="n">
        <v>45842</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50461-2022</t>
        </is>
      </c>
      <c r="B574" s="1" t="n">
        <v>44861</v>
      </c>
      <c r="C574" s="1" t="n">
        <v>45842</v>
      </c>
      <c r="D574" t="inlineStr">
        <is>
          <t>VÄSTMANLANDS LÄN</t>
        </is>
      </c>
      <c r="E574" t="inlineStr">
        <is>
          <t>SALA</t>
        </is>
      </c>
      <c r="G574" t="n">
        <v>2.2</v>
      </c>
      <c r="H574" t="n">
        <v>0</v>
      </c>
      <c r="I574" t="n">
        <v>0</v>
      </c>
      <c r="J574" t="n">
        <v>0</v>
      </c>
      <c r="K574" t="n">
        <v>0</v>
      </c>
      <c r="L574" t="n">
        <v>0</v>
      </c>
      <c r="M574" t="n">
        <v>0</v>
      </c>
      <c r="N574" t="n">
        <v>0</v>
      </c>
      <c r="O574" t="n">
        <v>0</v>
      </c>
      <c r="P574" t="n">
        <v>0</v>
      </c>
      <c r="Q574" t="n">
        <v>0</v>
      </c>
      <c r="R574" s="2" t="inlineStr"/>
    </row>
    <row r="575" ht="15" customHeight="1">
      <c r="A575" t="inlineStr">
        <is>
          <t>A 50479-2022</t>
        </is>
      </c>
      <c r="B575" s="1" t="n">
        <v>44861</v>
      </c>
      <c r="C575" s="1" t="n">
        <v>45842</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51279-2022</t>
        </is>
      </c>
      <c r="B576" s="1" t="n">
        <v>44866</v>
      </c>
      <c r="C576" s="1" t="n">
        <v>45842</v>
      </c>
      <c r="D576" t="inlineStr">
        <is>
          <t>VÄSTMANLANDS LÄN</t>
        </is>
      </c>
      <c r="E576" t="inlineStr">
        <is>
          <t>SALA</t>
        </is>
      </c>
      <c r="G576" t="n">
        <v>3.9</v>
      </c>
      <c r="H576" t="n">
        <v>0</v>
      </c>
      <c r="I576" t="n">
        <v>0</v>
      </c>
      <c r="J576" t="n">
        <v>0</v>
      </c>
      <c r="K576" t="n">
        <v>0</v>
      </c>
      <c r="L576" t="n">
        <v>0</v>
      </c>
      <c r="M576" t="n">
        <v>0</v>
      </c>
      <c r="N576" t="n">
        <v>0</v>
      </c>
      <c r="O576" t="n">
        <v>0</v>
      </c>
      <c r="P576" t="n">
        <v>0</v>
      </c>
      <c r="Q576" t="n">
        <v>0</v>
      </c>
      <c r="R576" s="2" t="inlineStr"/>
    </row>
    <row r="577" ht="15" customHeight="1">
      <c r="A577" t="inlineStr">
        <is>
          <t>A 51377-2022</t>
        </is>
      </c>
      <c r="B577" s="1" t="n">
        <v>44866</v>
      </c>
      <c r="C577" s="1" t="n">
        <v>45842</v>
      </c>
      <c r="D577" t="inlineStr">
        <is>
          <t>VÄSTMANLANDS LÄN</t>
        </is>
      </c>
      <c r="E577" t="inlineStr">
        <is>
          <t>SALA</t>
        </is>
      </c>
      <c r="G577" t="n">
        <v>6.3</v>
      </c>
      <c r="H577" t="n">
        <v>0</v>
      </c>
      <c r="I577" t="n">
        <v>0</v>
      </c>
      <c r="J577" t="n">
        <v>0</v>
      </c>
      <c r="K577" t="n">
        <v>0</v>
      </c>
      <c r="L577" t="n">
        <v>0</v>
      </c>
      <c r="M577" t="n">
        <v>0</v>
      </c>
      <c r="N577" t="n">
        <v>0</v>
      </c>
      <c r="O577" t="n">
        <v>0</v>
      </c>
      <c r="P577" t="n">
        <v>0</v>
      </c>
      <c r="Q577" t="n">
        <v>0</v>
      </c>
      <c r="R577" s="2" t="inlineStr"/>
    </row>
    <row r="578" ht="15" customHeight="1">
      <c r="A578" t="inlineStr">
        <is>
          <t>A 50795-2022</t>
        </is>
      </c>
      <c r="B578" s="1" t="n">
        <v>44867</v>
      </c>
      <c r="C578" s="1" t="n">
        <v>45842</v>
      </c>
      <c r="D578" t="inlineStr">
        <is>
          <t>VÄSTMANLANDS LÄN</t>
        </is>
      </c>
      <c r="E578" t="inlineStr">
        <is>
          <t>SALA</t>
        </is>
      </c>
      <c r="G578" t="n">
        <v>2.6</v>
      </c>
      <c r="H578" t="n">
        <v>0</v>
      </c>
      <c r="I578" t="n">
        <v>0</v>
      </c>
      <c r="J578" t="n">
        <v>0</v>
      </c>
      <c r="K578" t="n">
        <v>0</v>
      </c>
      <c r="L578" t="n">
        <v>0</v>
      </c>
      <c r="M578" t="n">
        <v>0</v>
      </c>
      <c r="N578" t="n">
        <v>0</v>
      </c>
      <c r="O578" t="n">
        <v>0</v>
      </c>
      <c r="P578" t="n">
        <v>0</v>
      </c>
      <c r="Q578" t="n">
        <v>0</v>
      </c>
      <c r="R578" s="2" t="inlineStr"/>
    </row>
    <row r="579" ht="15" customHeight="1">
      <c r="A579" t="inlineStr">
        <is>
          <t>A 51600-2022</t>
        </is>
      </c>
      <c r="B579" s="1" t="n">
        <v>44871</v>
      </c>
      <c r="C579" s="1" t="n">
        <v>45842</v>
      </c>
      <c r="D579" t="inlineStr">
        <is>
          <t>VÄSTMANLANDS LÄN</t>
        </is>
      </c>
      <c r="E579" t="inlineStr">
        <is>
          <t>SALA</t>
        </is>
      </c>
      <c r="F579" t="inlineStr">
        <is>
          <t>Bergvik skog öst AB</t>
        </is>
      </c>
      <c r="G579" t="n">
        <v>2.7</v>
      </c>
      <c r="H579" t="n">
        <v>0</v>
      </c>
      <c r="I579" t="n">
        <v>0</v>
      </c>
      <c r="J579" t="n">
        <v>0</v>
      </c>
      <c r="K579" t="n">
        <v>0</v>
      </c>
      <c r="L579" t="n">
        <v>0</v>
      </c>
      <c r="M579" t="n">
        <v>0</v>
      </c>
      <c r="N579" t="n">
        <v>0</v>
      </c>
      <c r="O579" t="n">
        <v>0</v>
      </c>
      <c r="P579" t="n">
        <v>0</v>
      </c>
      <c r="Q579" t="n">
        <v>0</v>
      </c>
      <c r="R579" s="2" t="inlineStr"/>
    </row>
    <row r="580" ht="15" customHeight="1">
      <c r="A580" t="inlineStr">
        <is>
          <t>A 51596-2022</t>
        </is>
      </c>
      <c r="B580" s="1" t="n">
        <v>44871</v>
      </c>
      <c r="C580" s="1" t="n">
        <v>45842</v>
      </c>
      <c r="D580" t="inlineStr">
        <is>
          <t>VÄSTMANLANDS LÄN</t>
        </is>
      </c>
      <c r="E580" t="inlineStr">
        <is>
          <t>SALA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52504-2022</t>
        </is>
      </c>
      <c r="B581" s="1" t="n">
        <v>44874</v>
      </c>
      <c r="C581" s="1" t="n">
        <v>45842</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52498-2022</t>
        </is>
      </c>
      <c r="B582" s="1" t="n">
        <v>44874</v>
      </c>
      <c r="C582" s="1" t="n">
        <v>45842</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52630-2022</t>
        </is>
      </c>
      <c r="B583" s="1" t="n">
        <v>44874</v>
      </c>
      <c r="C583" s="1" t="n">
        <v>45842</v>
      </c>
      <c r="D583" t="inlineStr">
        <is>
          <t>VÄSTMANLANDS LÄN</t>
        </is>
      </c>
      <c r="E583" t="inlineStr">
        <is>
          <t>SALA</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53425-2022</t>
        </is>
      </c>
      <c r="B584" s="1" t="n">
        <v>44879</v>
      </c>
      <c r="C584" s="1" t="n">
        <v>45842</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53432-2022</t>
        </is>
      </c>
      <c r="B585" s="1" t="n">
        <v>44879</v>
      </c>
      <c r="C585" s="1" t="n">
        <v>45842</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53628-2022</t>
        </is>
      </c>
      <c r="B586" s="1" t="n">
        <v>44879</v>
      </c>
      <c r="C586" s="1" t="n">
        <v>45842</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v>
      </c>
      <c r="C587" s="1" t="n">
        <v>45842</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53864-2022</t>
        </is>
      </c>
      <c r="B588" s="1" t="n">
        <v>44880</v>
      </c>
      <c r="C588" s="1" t="n">
        <v>45842</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53735-2022</t>
        </is>
      </c>
      <c r="B589" s="1" t="n">
        <v>44880</v>
      </c>
      <c r="C589" s="1" t="n">
        <v>45842</v>
      </c>
      <c r="D589" t="inlineStr">
        <is>
          <t>VÄSTMANLANDS LÄN</t>
        </is>
      </c>
      <c r="E589" t="inlineStr">
        <is>
          <t>SALA</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53838-2022</t>
        </is>
      </c>
      <c r="B590" s="1" t="n">
        <v>44880</v>
      </c>
      <c r="C590" s="1" t="n">
        <v>45842</v>
      </c>
      <c r="D590" t="inlineStr">
        <is>
          <t>VÄSTMANLANDS LÄN</t>
        </is>
      </c>
      <c r="E590" t="inlineStr">
        <is>
          <t>SALA</t>
        </is>
      </c>
      <c r="G590" t="n">
        <v>3.9</v>
      </c>
      <c r="H590" t="n">
        <v>0</v>
      </c>
      <c r="I590" t="n">
        <v>0</v>
      </c>
      <c r="J590" t="n">
        <v>0</v>
      </c>
      <c r="K590" t="n">
        <v>0</v>
      </c>
      <c r="L590" t="n">
        <v>0</v>
      </c>
      <c r="M590" t="n">
        <v>0</v>
      </c>
      <c r="N590" t="n">
        <v>0</v>
      </c>
      <c r="O590" t="n">
        <v>0</v>
      </c>
      <c r="P590" t="n">
        <v>0</v>
      </c>
      <c r="Q590" t="n">
        <v>0</v>
      </c>
      <c r="R590" s="2" t="inlineStr"/>
    </row>
    <row r="591" ht="15" customHeight="1">
      <c r="A591" t="inlineStr">
        <is>
          <t>A 53997-2022</t>
        </is>
      </c>
      <c r="B591" s="1" t="n">
        <v>44881</v>
      </c>
      <c r="C591" s="1" t="n">
        <v>45842</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55733-2022</t>
        </is>
      </c>
      <c r="B592" s="1" t="n">
        <v>44888</v>
      </c>
      <c r="C592" s="1" t="n">
        <v>45842</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56089-2022</t>
        </is>
      </c>
      <c r="B593" s="1" t="n">
        <v>44889</v>
      </c>
      <c r="C593" s="1" t="n">
        <v>45842</v>
      </c>
      <c r="D593" t="inlineStr">
        <is>
          <t>VÄSTMANLANDS LÄN</t>
        </is>
      </c>
      <c r="E593" t="inlineStr">
        <is>
          <t>SALA</t>
        </is>
      </c>
      <c r="F593" t="inlineStr">
        <is>
          <t>Sveaskog</t>
        </is>
      </c>
      <c r="G593" t="n">
        <v>4.3</v>
      </c>
      <c r="H593" t="n">
        <v>0</v>
      </c>
      <c r="I593" t="n">
        <v>0</v>
      </c>
      <c r="J593" t="n">
        <v>0</v>
      </c>
      <c r="K593" t="n">
        <v>0</v>
      </c>
      <c r="L593" t="n">
        <v>0</v>
      </c>
      <c r="M593" t="n">
        <v>0</v>
      </c>
      <c r="N593" t="n">
        <v>0</v>
      </c>
      <c r="O593" t="n">
        <v>0</v>
      </c>
      <c r="P593" t="n">
        <v>0</v>
      </c>
      <c r="Q593" t="n">
        <v>0</v>
      </c>
      <c r="R593" s="2" t="inlineStr"/>
    </row>
    <row r="594" ht="15" customHeight="1">
      <c r="A594" t="inlineStr">
        <is>
          <t>A 56088-2022</t>
        </is>
      </c>
      <c r="B594" s="1" t="n">
        <v>44889</v>
      </c>
      <c r="C594" s="1" t="n">
        <v>45842</v>
      </c>
      <c r="D594" t="inlineStr">
        <is>
          <t>VÄSTMANLANDS LÄN</t>
        </is>
      </c>
      <c r="E594" t="inlineStr">
        <is>
          <t>SALA</t>
        </is>
      </c>
      <c r="F594" t="inlineStr">
        <is>
          <t>Sveaskog</t>
        </is>
      </c>
      <c r="G594" t="n">
        <v>4.5</v>
      </c>
      <c r="H594" t="n">
        <v>0</v>
      </c>
      <c r="I594" t="n">
        <v>0</v>
      </c>
      <c r="J594" t="n">
        <v>0</v>
      </c>
      <c r="K594" t="n">
        <v>0</v>
      </c>
      <c r="L594" t="n">
        <v>0</v>
      </c>
      <c r="M594" t="n">
        <v>0</v>
      </c>
      <c r="N594" t="n">
        <v>0</v>
      </c>
      <c r="O594" t="n">
        <v>0</v>
      </c>
      <c r="P594" t="n">
        <v>0</v>
      </c>
      <c r="Q594" t="n">
        <v>0</v>
      </c>
      <c r="R594" s="2" t="inlineStr"/>
    </row>
    <row r="595" ht="15" customHeight="1">
      <c r="A595" t="inlineStr">
        <is>
          <t>A 56234-2022</t>
        </is>
      </c>
      <c r="B595" s="1" t="n">
        <v>44890</v>
      </c>
      <c r="C595" s="1" t="n">
        <v>45842</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56242-2022</t>
        </is>
      </c>
      <c r="B596" s="1" t="n">
        <v>44890</v>
      </c>
      <c r="C596" s="1" t="n">
        <v>45842</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56535-2022</t>
        </is>
      </c>
      <c r="B597" s="1" t="n">
        <v>44893</v>
      </c>
      <c r="C597" s="1" t="n">
        <v>45842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56706-2022</t>
        </is>
      </c>
      <c r="B598" s="1" t="n">
        <v>44893</v>
      </c>
      <c r="C598" s="1" t="n">
        <v>45842</v>
      </c>
      <c r="D598" t="inlineStr">
        <is>
          <t>VÄSTMANLANDS LÄN</t>
        </is>
      </c>
      <c r="E598" t="inlineStr">
        <is>
          <t>SALA</t>
        </is>
      </c>
      <c r="G598" t="n">
        <v>4.5</v>
      </c>
      <c r="H598" t="n">
        <v>0</v>
      </c>
      <c r="I598" t="n">
        <v>0</v>
      </c>
      <c r="J598" t="n">
        <v>0</v>
      </c>
      <c r="K598" t="n">
        <v>0</v>
      </c>
      <c r="L598" t="n">
        <v>0</v>
      </c>
      <c r="M598" t="n">
        <v>0</v>
      </c>
      <c r="N598" t="n">
        <v>0</v>
      </c>
      <c r="O598" t="n">
        <v>0</v>
      </c>
      <c r="P598" t="n">
        <v>0</v>
      </c>
      <c r="Q598" t="n">
        <v>0</v>
      </c>
      <c r="R598" s="2" t="inlineStr"/>
    </row>
    <row r="599" ht="15" customHeight="1">
      <c r="A599" t="inlineStr">
        <is>
          <t>A 56547-2022</t>
        </is>
      </c>
      <c r="B599" s="1" t="n">
        <v>44893</v>
      </c>
      <c r="C599" s="1" t="n">
        <v>45842</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56707-2022</t>
        </is>
      </c>
      <c r="B600" s="1" t="n">
        <v>44893</v>
      </c>
      <c r="C600" s="1" t="n">
        <v>45842</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56977-2022</t>
        </is>
      </c>
      <c r="B601" s="1" t="n">
        <v>44894</v>
      </c>
      <c r="C601" s="1" t="n">
        <v>45842</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57371-2022</t>
        </is>
      </c>
      <c r="B602" s="1" t="n">
        <v>44896</v>
      </c>
      <c r="C602" s="1" t="n">
        <v>45842</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58076-2022</t>
        </is>
      </c>
      <c r="B603" s="1" t="n">
        <v>44900</v>
      </c>
      <c r="C603" s="1" t="n">
        <v>45842</v>
      </c>
      <c r="D603" t="inlineStr">
        <is>
          <t>VÄSTMANLANDS LÄN</t>
        </is>
      </c>
      <c r="E603" t="inlineStr">
        <is>
          <t>SALA</t>
        </is>
      </c>
      <c r="G603" t="n">
        <v>6.4</v>
      </c>
      <c r="H603" t="n">
        <v>0</v>
      </c>
      <c r="I603" t="n">
        <v>0</v>
      </c>
      <c r="J603" t="n">
        <v>0</v>
      </c>
      <c r="K603" t="n">
        <v>0</v>
      </c>
      <c r="L603" t="n">
        <v>0</v>
      </c>
      <c r="M603" t="n">
        <v>0</v>
      </c>
      <c r="N603" t="n">
        <v>0</v>
      </c>
      <c r="O603" t="n">
        <v>0</v>
      </c>
      <c r="P603" t="n">
        <v>0</v>
      </c>
      <c r="Q603" t="n">
        <v>0</v>
      </c>
      <c r="R603" s="2" t="inlineStr"/>
    </row>
    <row r="604" ht="15" customHeight="1">
      <c r="A604" t="inlineStr">
        <is>
          <t>A 58496-2022</t>
        </is>
      </c>
      <c r="B604" s="1" t="n">
        <v>44902</v>
      </c>
      <c r="C604" s="1" t="n">
        <v>45842</v>
      </c>
      <c r="D604" t="inlineStr">
        <is>
          <t>VÄSTMANLANDS LÄN</t>
        </is>
      </c>
      <c r="E604" t="inlineStr">
        <is>
          <t>SALA</t>
        </is>
      </c>
      <c r="G604" t="n">
        <v>5.9</v>
      </c>
      <c r="H604" t="n">
        <v>0</v>
      </c>
      <c r="I604" t="n">
        <v>0</v>
      </c>
      <c r="J604" t="n">
        <v>0</v>
      </c>
      <c r="K604" t="n">
        <v>0</v>
      </c>
      <c r="L604" t="n">
        <v>0</v>
      </c>
      <c r="M604" t="n">
        <v>0</v>
      </c>
      <c r="N604" t="n">
        <v>0</v>
      </c>
      <c r="O604" t="n">
        <v>0</v>
      </c>
      <c r="P604" t="n">
        <v>0</v>
      </c>
      <c r="Q604" t="n">
        <v>0</v>
      </c>
      <c r="R604" s="2" t="inlineStr"/>
    </row>
    <row r="605" ht="15" customHeight="1">
      <c r="A605" t="inlineStr">
        <is>
          <t>A 58502-2022</t>
        </is>
      </c>
      <c r="B605" s="1" t="n">
        <v>44902</v>
      </c>
      <c r="C605" s="1" t="n">
        <v>45842</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59019-2022</t>
        </is>
      </c>
      <c r="B606" s="1" t="n">
        <v>44903</v>
      </c>
      <c r="C606" s="1" t="n">
        <v>45842</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59175-2022</t>
        </is>
      </c>
      <c r="B607" s="1" t="n">
        <v>44904</v>
      </c>
      <c r="C607" s="1" t="n">
        <v>45842</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59483-2022</t>
        </is>
      </c>
      <c r="B608" s="1" t="n">
        <v>44907</v>
      </c>
      <c r="C608" s="1" t="n">
        <v>45842</v>
      </c>
      <c r="D608" t="inlineStr">
        <is>
          <t>VÄSTMANLANDS LÄN</t>
        </is>
      </c>
      <c r="E608" t="inlineStr">
        <is>
          <t>SALA</t>
        </is>
      </c>
      <c r="G608" t="n">
        <v>5.2</v>
      </c>
      <c r="H608" t="n">
        <v>0</v>
      </c>
      <c r="I608" t="n">
        <v>0</v>
      </c>
      <c r="J608" t="n">
        <v>0</v>
      </c>
      <c r="K608" t="n">
        <v>0</v>
      </c>
      <c r="L608" t="n">
        <v>0</v>
      </c>
      <c r="M608" t="n">
        <v>0</v>
      </c>
      <c r="N608" t="n">
        <v>0</v>
      </c>
      <c r="O608" t="n">
        <v>0</v>
      </c>
      <c r="P608" t="n">
        <v>0</v>
      </c>
      <c r="Q608" t="n">
        <v>0</v>
      </c>
      <c r="R608" s="2" t="inlineStr"/>
    </row>
    <row r="609" ht="15" customHeight="1">
      <c r="A609" t="inlineStr">
        <is>
          <t>A 60156-2022</t>
        </is>
      </c>
      <c r="B609" s="1" t="n">
        <v>44909</v>
      </c>
      <c r="C609" s="1" t="n">
        <v>45842</v>
      </c>
      <c r="D609" t="inlineStr">
        <is>
          <t>VÄSTMANLANDS LÄN</t>
        </is>
      </c>
      <c r="E609" t="inlineStr">
        <is>
          <t>SALA</t>
        </is>
      </c>
      <c r="G609" t="n">
        <v>3.4</v>
      </c>
      <c r="H609" t="n">
        <v>0</v>
      </c>
      <c r="I609" t="n">
        <v>0</v>
      </c>
      <c r="J609" t="n">
        <v>0</v>
      </c>
      <c r="K609" t="n">
        <v>0</v>
      </c>
      <c r="L609" t="n">
        <v>0</v>
      </c>
      <c r="M609" t="n">
        <v>0</v>
      </c>
      <c r="N609" t="n">
        <v>0</v>
      </c>
      <c r="O609" t="n">
        <v>0</v>
      </c>
      <c r="P609" t="n">
        <v>0</v>
      </c>
      <c r="Q609" t="n">
        <v>0</v>
      </c>
      <c r="R609" s="2" t="inlineStr"/>
    </row>
    <row r="610" ht="15" customHeight="1">
      <c r="A610" t="inlineStr">
        <is>
          <t>A 60379-2022</t>
        </is>
      </c>
      <c r="B610" s="1" t="n">
        <v>44910</v>
      </c>
      <c r="C610" s="1" t="n">
        <v>45842</v>
      </c>
      <c r="D610" t="inlineStr">
        <is>
          <t>VÄSTMANLANDS LÄN</t>
        </is>
      </c>
      <c r="E610" t="inlineStr">
        <is>
          <t>SALA</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60703-2022</t>
        </is>
      </c>
      <c r="B611" s="1" t="n">
        <v>44912</v>
      </c>
      <c r="C611" s="1" t="n">
        <v>45842</v>
      </c>
      <c r="D611" t="inlineStr">
        <is>
          <t>VÄSTMANLANDS LÄN</t>
        </is>
      </c>
      <c r="E611" t="inlineStr">
        <is>
          <t>SALA</t>
        </is>
      </c>
      <c r="G611" t="n">
        <v>4.6</v>
      </c>
      <c r="H611" t="n">
        <v>0</v>
      </c>
      <c r="I611" t="n">
        <v>0</v>
      </c>
      <c r="J611" t="n">
        <v>0</v>
      </c>
      <c r="K611" t="n">
        <v>0</v>
      </c>
      <c r="L611" t="n">
        <v>0</v>
      </c>
      <c r="M611" t="n">
        <v>0</v>
      </c>
      <c r="N611" t="n">
        <v>0</v>
      </c>
      <c r="O611" t="n">
        <v>0</v>
      </c>
      <c r="P611" t="n">
        <v>0</v>
      </c>
      <c r="Q611" t="n">
        <v>0</v>
      </c>
      <c r="R611" s="2" t="inlineStr"/>
    </row>
    <row r="612" ht="15" customHeight="1">
      <c r="A612" t="inlineStr">
        <is>
          <t>A 60974-2022</t>
        </is>
      </c>
      <c r="B612" s="1" t="n">
        <v>44914</v>
      </c>
      <c r="C612" s="1" t="n">
        <v>45842</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62635-2022</t>
        </is>
      </c>
      <c r="B613" s="1" t="n">
        <v>44917</v>
      </c>
      <c r="C613" s="1" t="n">
        <v>45842</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62654-2022</t>
        </is>
      </c>
      <c r="B614" s="1" t="n">
        <v>44917</v>
      </c>
      <c r="C614" s="1" t="n">
        <v>45842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62651-2022</t>
        </is>
      </c>
      <c r="B615" s="1" t="n">
        <v>44917</v>
      </c>
      <c r="C615" s="1" t="n">
        <v>45842</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62648-2022</t>
        </is>
      </c>
      <c r="B616" s="1" t="n">
        <v>44917</v>
      </c>
      <c r="C616" s="1" t="n">
        <v>45842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61985-2022</t>
        </is>
      </c>
      <c r="B617" s="1" t="n">
        <v>44918</v>
      </c>
      <c r="C617" s="1" t="n">
        <v>45842</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62292-2022</t>
        </is>
      </c>
      <c r="B618" s="1" t="n">
        <v>44923</v>
      </c>
      <c r="C618" s="1" t="n">
        <v>45842</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62300-2022</t>
        </is>
      </c>
      <c r="B619" s="1" t="n">
        <v>44923</v>
      </c>
      <c r="C619" s="1" t="n">
        <v>45842</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1196-2023</t>
        </is>
      </c>
      <c r="B620" s="1" t="n">
        <v>44935</v>
      </c>
      <c r="C620" s="1" t="n">
        <v>45842</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1638-2023</t>
        </is>
      </c>
      <c r="B621" s="1" t="n">
        <v>44937</v>
      </c>
      <c r="C621" s="1" t="n">
        <v>45842</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1793-2023</t>
        </is>
      </c>
      <c r="B622" s="1" t="n">
        <v>44937</v>
      </c>
      <c r="C622" s="1" t="n">
        <v>45842</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1934-2023</t>
        </is>
      </c>
      <c r="B623" s="1" t="n">
        <v>44939</v>
      </c>
      <c r="C623" s="1" t="n">
        <v>45842</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1967-2023</t>
        </is>
      </c>
      <c r="B624" s="1" t="n">
        <v>44939</v>
      </c>
      <c r="C624" s="1" t="n">
        <v>45842</v>
      </c>
      <c r="D624" t="inlineStr">
        <is>
          <t>VÄSTMANLANDS LÄN</t>
        </is>
      </c>
      <c r="E624" t="inlineStr">
        <is>
          <t>SALA</t>
        </is>
      </c>
      <c r="G624" t="n">
        <v>4.1</v>
      </c>
      <c r="H624" t="n">
        <v>0</v>
      </c>
      <c r="I624" t="n">
        <v>0</v>
      </c>
      <c r="J624" t="n">
        <v>0</v>
      </c>
      <c r="K624" t="n">
        <v>0</v>
      </c>
      <c r="L624" t="n">
        <v>0</v>
      </c>
      <c r="M624" t="n">
        <v>0</v>
      </c>
      <c r="N624" t="n">
        <v>0</v>
      </c>
      <c r="O624" t="n">
        <v>0</v>
      </c>
      <c r="P624" t="n">
        <v>0</v>
      </c>
      <c r="Q624" t="n">
        <v>0</v>
      </c>
      <c r="R624" s="2" t="inlineStr"/>
    </row>
    <row r="625" ht="15" customHeight="1">
      <c r="A625" t="inlineStr">
        <is>
          <t>A 2521-2023</t>
        </is>
      </c>
      <c r="B625" s="1" t="n">
        <v>44943</v>
      </c>
      <c r="C625" s="1" t="n">
        <v>45842</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2900-2023</t>
        </is>
      </c>
      <c r="B626" s="1" t="n">
        <v>44943</v>
      </c>
      <c r="C626" s="1" t="n">
        <v>45842</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3733-2023</t>
        </is>
      </c>
      <c r="B627" s="1" t="n">
        <v>44951</v>
      </c>
      <c r="C627" s="1" t="n">
        <v>45842</v>
      </c>
      <c r="D627" t="inlineStr">
        <is>
          <t>VÄSTMANLANDS LÄN</t>
        </is>
      </c>
      <c r="E627" t="inlineStr">
        <is>
          <t>SALA</t>
        </is>
      </c>
      <c r="G627" t="n">
        <v>3.1</v>
      </c>
      <c r="H627" t="n">
        <v>0</v>
      </c>
      <c r="I627" t="n">
        <v>0</v>
      </c>
      <c r="J627" t="n">
        <v>0</v>
      </c>
      <c r="K627" t="n">
        <v>0</v>
      </c>
      <c r="L627" t="n">
        <v>0</v>
      </c>
      <c r="M627" t="n">
        <v>0</v>
      </c>
      <c r="N627" t="n">
        <v>0</v>
      </c>
      <c r="O627" t="n">
        <v>0</v>
      </c>
      <c r="P627" t="n">
        <v>0</v>
      </c>
      <c r="Q627" t="n">
        <v>0</v>
      </c>
      <c r="R627" s="2" t="inlineStr"/>
    </row>
    <row r="628" ht="15" customHeight="1">
      <c r="A628" t="inlineStr">
        <is>
          <t>A 3810-2023</t>
        </is>
      </c>
      <c r="B628" s="1" t="n">
        <v>44951</v>
      </c>
      <c r="C628" s="1" t="n">
        <v>45842</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3866-2023</t>
        </is>
      </c>
      <c r="B629" s="1" t="n">
        <v>44951</v>
      </c>
      <c r="C629" s="1" t="n">
        <v>45842</v>
      </c>
      <c r="D629" t="inlineStr">
        <is>
          <t>VÄSTMANLANDS LÄN</t>
        </is>
      </c>
      <c r="E629" t="inlineStr">
        <is>
          <t>SALA</t>
        </is>
      </c>
      <c r="G629" t="n">
        <v>1.7</v>
      </c>
      <c r="H629" t="n">
        <v>0</v>
      </c>
      <c r="I629" t="n">
        <v>0</v>
      </c>
      <c r="J629" t="n">
        <v>0</v>
      </c>
      <c r="K629" t="n">
        <v>0</v>
      </c>
      <c r="L629" t="n">
        <v>0</v>
      </c>
      <c r="M629" t="n">
        <v>0</v>
      </c>
      <c r="N629" t="n">
        <v>0</v>
      </c>
      <c r="O629" t="n">
        <v>0</v>
      </c>
      <c r="P629" t="n">
        <v>0</v>
      </c>
      <c r="Q629" t="n">
        <v>0</v>
      </c>
      <c r="R629" s="2" t="inlineStr"/>
    </row>
    <row r="630" ht="15" customHeight="1">
      <c r="A630" t="inlineStr">
        <is>
          <t>A 4853-2023</t>
        </is>
      </c>
      <c r="B630" s="1" t="n">
        <v>44957</v>
      </c>
      <c r="C630" s="1" t="n">
        <v>45842</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4637-2023</t>
        </is>
      </c>
      <c r="B631" s="1" t="n">
        <v>44957</v>
      </c>
      <c r="C631" s="1" t="n">
        <v>45842</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4791-2023</t>
        </is>
      </c>
      <c r="B632" s="1" t="n">
        <v>44957</v>
      </c>
      <c r="C632" s="1" t="n">
        <v>45842</v>
      </c>
      <c r="D632" t="inlineStr">
        <is>
          <t>VÄSTMANLANDS LÄN</t>
        </is>
      </c>
      <c r="E632" t="inlineStr">
        <is>
          <t>SALA</t>
        </is>
      </c>
      <c r="G632" t="n">
        <v>2.8</v>
      </c>
      <c r="H632" t="n">
        <v>0</v>
      </c>
      <c r="I632" t="n">
        <v>0</v>
      </c>
      <c r="J632" t="n">
        <v>0</v>
      </c>
      <c r="K632" t="n">
        <v>0</v>
      </c>
      <c r="L632" t="n">
        <v>0</v>
      </c>
      <c r="M632" t="n">
        <v>0</v>
      </c>
      <c r="N632" t="n">
        <v>0</v>
      </c>
      <c r="O632" t="n">
        <v>0</v>
      </c>
      <c r="P632" t="n">
        <v>0</v>
      </c>
      <c r="Q632" t="n">
        <v>0</v>
      </c>
      <c r="R632" s="2" t="inlineStr"/>
    </row>
    <row r="633" ht="15" customHeight="1">
      <c r="A633" t="inlineStr">
        <is>
          <t>A 4797-2023</t>
        </is>
      </c>
      <c r="B633" s="1" t="n">
        <v>44957</v>
      </c>
      <c r="C633" s="1" t="n">
        <v>45842</v>
      </c>
      <c r="D633" t="inlineStr">
        <is>
          <t>VÄSTMANLANDS LÄN</t>
        </is>
      </c>
      <c r="E633" t="inlineStr">
        <is>
          <t>SALA</t>
        </is>
      </c>
      <c r="G633" t="n">
        <v>5.7</v>
      </c>
      <c r="H633" t="n">
        <v>0</v>
      </c>
      <c r="I633" t="n">
        <v>0</v>
      </c>
      <c r="J633" t="n">
        <v>0</v>
      </c>
      <c r="K633" t="n">
        <v>0</v>
      </c>
      <c r="L633" t="n">
        <v>0</v>
      </c>
      <c r="M633" t="n">
        <v>0</v>
      </c>
      <c r="N633" t="n">
        <v>0</v>
      </c>
      <c r="O633" t="n">
        <v>0</v>
      </c>
      <c r="P633" t="n">
        <v>0</v>
      </c>
      <c r="Q633" t="n">
        <v>0</v>
      </c>
      <c r="R633" s="2" t="inlineStr"/>
    </row>
    <row r="634" ht="15" customHeight="1">
      <c r="A634" t="inlineStr">
        <is>
          <t>A 4852-2023</t>
        </is>
      </c>
      <c r="B634" s="1" t="n">
        <v>44957</v>
      </c>
      <c r="C634" s="1" t="n">
        <v>45842</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5782-2023</t>
        </is>
      </c>
      <c r="B635" s="1" t="n">
        <v>44963</v>
      </c>
      <c r="C635" s="1" t="n">
        <v>45842</v>
      </c>
      <c r="D635" t="inlineStr">
        <is>
          <t>VÄSTMANLANDS LÄN</t>
        </is>
      </c>
      <c r="E635" t="inlineStr">
        <is>
          <t>SALA</t>
        </is>
      </c>
      <c r="G635" t="n">
        <v>4.2</v>
      </c>
      <c r="H635" t="n">
        <v>0</v>
      </c>
      <c r="I635" t="n">
        <v>0</v>
      </c>
      <c r="J635" t="n">
        <v>0</v>
      </c>
      <c r="K635" t="n">
        <v>0</v>
      </c>
      <c r="L635" t="n">
        <v>0</v>
      </c>
      <c r="M635" t="n">
        <v>0</v>
      </c>
      <c r="N635" t="n">
        <v>0</v>
      </c>
      <c r="O635" t="n">
        <v>0</v>
      </c>
      <c r="P635" t="n">
        <v>0</v>
      </c>
      <c r="Q635" t="n">
        <v>0</v>
      </c>
      <c r="R635" s="2" t="inlineStr"/>
    </row>
    <row r="636" ht="15" customHeight="1">
      <c r="A636" t="inlineStr">
        <is>
          <t>A 6111-2023</t>
        </is>
      </c>
      <c r="B636" s="1" t="n">
        <v>44964</v>
      </c>
      <c r="C636" s="1" t="n">
        <v>45842</v>
      </c>
      <c r="D636" t="inlineStr">
        <is>
          <t>VÄSTMANLANDS LÄN</t>
        </is>
      </c>
      <c r="E636" t="inlineStr">
        <is>
          <t>SALA</t>
        </is>
      </c>
      <c r="G636" t="n">
        <v>3.7</v>
      </c>
      <c r="H636" t="n">
        <v>0</v>
      </c>
      <c r="I636" t="n">
        <v>0</v>
      </c>
      <c r="J636" t="n">
        <v>0</v>
      </c>
      <c r="K636" t="n">
        <v>0</v>
      </c>
      <c r="L636" t="n">
        <v>0</v>
      </c>
      <c r="M636" t="n">
        <v>0</v>
      </c>
      <c r="N636" t="n">
        <v>0</v>
      </c>
      <c r="O636" t="n">
        <v>0</v>
      </c>
      <c r="P636" t="n">
        <v>0</v>
      </c>
      <c r="Q636" t="n">
        <v>0</v>
      </c>
      <c r="R636" s="2" t="inlineStr"/>
    </row>
    <row r="637" ht="15" customHeight="1">
      <c r="A637" t="inlineStr">
        <is>
          <t>A 6135-2023</t>
        </is>
      </c>
      <c r="B637" s="1" t="n">
        <v>44964</v>
      </c>
      <c r="C637" s="1" t="n">
        <v>45842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6167-2023</t>
        </is>
      </c>
      <c r="B638" s="1" t="n">
        <v>44964</v>
      </c>
      <c r="C638" s="1" t="n">
        <v>45842</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6130-2023</t>
        </is>
      </c>
      <c r="B639" s="1" t="n">
        <v>44964</v>
      </c>
      <c r="C639" s="1" t="n">
        <v>45842</v>
      </c>
      <c r="D639" t="inlineStr">
        <is>
          <t>VÄSTMANLANDS LÄN</t>
        </is>
      </c>
      <c r="E639" t="inlineStr">
        <is>
          <t>SALA</t>
        </is>
      </c>
      <c r="G639" t="n">
        <v>8</v>
      </c>
      <c r="H639" t="n">
        <v>0</v>
      </c>
      <c r="I639" t="n">
        <v>0</v>
      </c>
      <c r="J639" t="n">
        <v>0</v>
      </c>
      <c r="K639" t="n">
        <v>0</v>
      </c>
      <c r="L639" t="n">
        <v>0</v>
      </c>
      <c r="M639" t="n">
        <v>0</v>
      </c>
      <c r="N639" t="n">
        <v>0</v>
      </c>
      <c r="O639" t="n">
        <v>0</v>
      </c>
      <c r="P639" t="n">
        <v>0</v>
      </c>
      <c r="Q639" t="n">
        <v>0</v>
      </c>
      <c r="R639" s="2" t="inlineStr"/>
    </row>
    <row r="640" ht="15" customHeight="1">
      <c r="A640" t="inlineStr">
        <is>
          <t>A 6116-2023</t>
        </is>
      </c>
      <c r="B640" s="1" t="n">
        <v>44964</v>
      </c>
      <c r="C640" s="1" t="n">
        <v>45842</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6139-2023</t>
        </is>
      </c>
      <c r="B641" s="1" t="n">
        <v>44964</v>
      </c>
      <c r="C641" s="1" t="n">
        <v>45842</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6869-2023</t>
        </is>
      </c>
      <c r="B642" s="1" t="n">
        <v>44964</v>
      </c>
      <c r="C642" s="1" t="n">
        <v>45842</v>
      </c>
      <c r="D642" t="inlineStr">
        <is>
          <t>VÄSTMANLANDS LÄN</t>
        </is>
      </c>
      <c r="E642" t="inlineStr">
        <is>
          <t>SALA</t>
        </is>
      </c>
      <c r="G642" t="n">
        <v>11.6</v>
      </c>
      <c r="H642" t="n">
        <v>0</v>
      </c>
      <c r="I642" t="n">
        <v>0</v>
      </c>
      <c r="J642" t="n">
        <v>0</v>
      </c>
      <c r="K642" t="n">
        <v>0</v>
      </c>
      <c r="L642" t="n">
        <v>0</v>
      </c>
      <c r="M642" t="n">
        <v>0</v>
      </c>
      <c r="N642" t="n">
        <v>0</v>
      </c>
      <c r="O642" t="n">
        <v>0</v>
      </c>
      <c r="P642" t="n">
        <v>0</v>
      </c>
      <c r="Q642" t="n">
        <v>0</v>
      </c>
      <c r="R642" s="2" t="inlineStr"/>
    </row>
    <row r="643" ht="15" customHeight="1">
      <c r="A643" t="inlineStr">
        <is>
          <t>A 6351-2023</t>
        </is>
      </c>
      <c r="B643" s="1" t="n">
        <v>44965</v>
      </c>
      <c r="C643" s="1" t="n">
        <v>45842</v>
      </c>
      <c r="D643" t="inlineStr">
        <is>
          <t>VÄSTMANLANDS LÄN</t>
        </is>
      </c>
      <c r="E643" t="inlineStr">
        <is>
          <t>SALA</t>
        </is>
      </c>
      <c r="F643" t="inlineStr">
        <is>
          <t>Kommuner</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6851-2023</t>
        </is>
      </c>
      <c r="B644" s="1" t="n">
        <v>44967</v>
      </c>
      <c r="C644" s="1" t="n">
        <v>45842</v>
      </c>
      <c r="D644" t="inlineStr">
        <is>
          <t>VÄSTMANLANDS LÄN</t>
        </is>
      </c>
      <c r="E644" t="inlineStr">
        <is>
          <t>SALA</t>
        </is>
      </c>
      <c r="G644" t="n">
        <v>2.7</v>
      </c>
      <c r="H644" t="n">
        <v>0</v>
      </c>
      <c r="I644" t="n">
        <v>0</v>
      </c>
      <c r="J644" t="n">
        <v>0</v>
      </c>
      <c r="K644" t="n">
        <v>0</v>
      </c>
      <c r="L644" t="n">
        <v>0</v>
      </c>
      <c r="M644" t="n">
        <v>0</v>
      </c>
      <c r="N644" t="n">
        <v>0</v>
      </c>
      <c r="O644" t="n">
        <v>0</v>
      </c>
      <c r="P644" t="n">
        <v>0</v>
      </c>
      <c r="Q644" t="n">
        <v>0</v>
      </c>
      <c r="R644" s="2" t="inlineStr"/>
    </row>
    <row r="645" ht="15" customHeight="1">
      <c r="A645" t="inlineStr">
        <is>
          <t>A 7176-2023</t>
        </is>
      </c>
      <c r="B645" s="1" t="n">
        <v>44970</v>
      </c>
      <c r="C645" s="1" t="n">
        <v>45842</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7193-2023</t>
        </is>
      </c>
      <c r="B646" s="1" t="n">
        <v>44970</v>
      </c>
      <c r="C646" s="1" t="n">
        <v>45842</v>
      </c>
      <c r="D646" t="inlineStr">
        <is>
          <t>VÄSTMANLANDS LÄN</t>
        </is>
      </c>
      <c r="E646" t="inlineStr">
        <is>
          <t>SALA</t>
        </is>
      </c>
      <c r="G646" t="n">
        <v>2.5</v>
      </c>
      <c r="H646" t="n">
        <v>0</v>
      </c>
      <c r="I646" t="n">
        <v>0</v>
      </c>
      <c r="J646" t="n">
        <v>0</v>
      </c>
      <c r="K646" t="n">
        <v>0</v>
      </c>
      <c r="L646" t="n">
        <v>0</v>
      </c>
      <c r="M646" t="n">
        <v>0</v>
      </c>
      <c r="N646" t="n">
        <v>0</v>
      </c>
      <c r="O646" t="n">
        <v>0</v>
      </c>
      <c r="P646" t="n">
        <v>0</v>
      </c>
      <c r="Q646" t="n">
        <v>0</v>
      </c>
      <c r="R646" s="2" t="inlineStr"/>
    </row>
    <row r="647" ht="15" customHeight="1">
      <c r="A647" t="inlineStr">
        <is>
          <t>A 7954-2023</t>
        </is>
      </c>
      <c r="B647" s="1" t="n">
        <v>44970</v>
      </c>
      <c r="C647" s="1" t="n">
        <v>45842</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7377-2023</t>
        </is>
      </c>
      <c r="B648" s="1" t="n">
        <v>44971</v>
      </c>
      <c r="C648" s="1" t="n">
        <v>45842</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7351-2023</t>
        </is>
      </c>
      <c r="B649" s="1" t="n">
        <v>44971</v>
      </c>
      <c r="C649" s="1" t="n">
        <v>45842</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7502-2023</t>
        </is>
      </c>
      <c r="B650" s="1" t="n">
        <v>44971</v>
      </c>
      <c r="C650" s="1" t="n">
        <v>45842</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7664-2023</t>
        </is>
      </c>
      <c r="B651" s="1" t="n">
        <v>44972</v>
      </c>
      <c r="C651" s="1" t="n">
        <v>45842</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7635-2023</t>
        </is>
      </c>
      <c r="B652" s="1" t="n">
        <v>44972</v>
      </c>
      <c r="C652" s="1" t="n">
        <v>45842</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7772-2023</t>
        </is>
      </c>
      <c r="B653" s="1" t="n">
        <v>44973</v>
      </c>
      <c r="C653" s="1" t="n">
        <v>45842</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7813-2023</t>
        </is>
      </c>
      <c r="B654" s="1" t="n">
        <v>44973</v>
      </c>
      <c r="C654" s="1" t="n">
        <v>45842</v>
      </c>
      <c r="D654" t="inlineStr">
        <is>
          <t>VÄSTMANLANDS LÄN</t>
        </is>
      </c>
      <c r="E654" t="inlineStr">
        <is>
          <t>SALA</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8047-2023</t>
        </is>
      </c>
      <c r="B655" s="1" t="n">
        <v>44974</v>
      </c>
      <c r="C655" s="1" t="n">
        <v>45842</v>
      </c>
      <c r="D655" t="inlineStr">
        <is>
          <t>VÄSTMANLANDS LÄN</t>
        </is>
      </c>
      <c r="E655" t="inlineStr">
        <is>
          <t>SALA</t>
        </is>
      </c>
      <c r="G655" t="n">
        <v>17.4</v>
      </c>
      <c r="H655" t="n">
        <v>0</v>
      </c>
      <c r="I655" t="n">
        <v>0</v>
      </c>
      <c r="J655" t="n">
        <v>0</v>
      </c>
      <c r="K655" t="n">
        <v>0</v>
      </c>
      <c r="L655" t="n">
        <v>0</v>
      </c>
      <c r="M655" t="n">
        <v>0</v>
      </c>
      <c r="N655" t="n">
        <v>0</v>
      </c>
      <c r="O655" t="n">
        <v>0</v>
      </c>
      <c r="P655" t="n">
        <v>0</v>
      </c>
      <c r="Q655" t="n">
        <v>0</v>
      </c>
      <c r="R655" s="2" t="inlineStr"/>
    </row>
    <row r="656" ht="15" customHeight="1">
      <c r="A656" t="inlineStr">
        <is>
          <t>A 8766-2023</t>
        </is>
      </c>
      <c r="B656" s="1" t="n">
        <v>44978</v>
      </c>
      <c r="C656" s="1" t="n">
        <v>45842</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9051-2023</t>
        </is>
      </c>
      <c r="B657" s="1" t="n">
        <v>44979</v>
      </c>
      <c r="C657" s="1" t="n">
        <v>45842</v>
      </c>
      <c r="D657" t="inlineStr">
        <is>
          <t>VÄSTMANLANDS LÄN</t>
        </is>
      </c>
      <c r="E657" t="inlineStr">
        <is>
          <t>SALA</t>
        </is>
      </c>
      <c r="G657" t="n">
        <v>4.1</v>
      </c>
      <c r="H657" t="n">
        <v>0</v>
      </c>
      <c r="I657" t="n">
        <v>0</v>
      </c>
      <c r="J657" t="n">
        <v>0</v>
      </c>
      <c r="K657" t="n">
        <v>0</v>
      </c>
      <c r="L657" t="n">
        <v>0</v>
      </c>
      <c r="M657" t="n">
        <v>0</v>
      </c>
      <c r="N657" t="n">
        <v>0</v>
      </c>
      <c r="O657" t="n">
        <v>0</v>
      </c>
      <c r="P657" t="n">
        <v>0</v>
      </c>
      <c r="Q657" t="n">
        <v>0</v>
      </c>
      <c r="R657" s="2" t="inlineStr"/>
    </row>
    <row r="658" ht="15" customHeight="1">
      <c r="A658" t="inlineStr">
        <is>
          <t>A 11190-2023</t>
        </is>
      </c>
      <c r="B658" s="1" t="n">
        <v>44992</v>
      </c>
      <c r="C658" s="1" t="n">
        <v>45842</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11166-2023</t>
        </is>
      </c>
      <c r="B659" s="1" t="n">
        <v>44992</v>
      </c>
      <c r="C659" s="1" t="n">
        <v>45842</v>
      </c>
      <c r="D659" t="inlineStr">
        <is>
          <t>VÄSTMANLANDS LÄN</t>
        </is>
      </c>
      <c r="E659" t="inlineStr">
        <is>
          <t>SALA</t>
        </is>
      </c>
      <c r="G659" t="n">
        <v>3.9</v>
      </c>
      <c r="H659" t="n">
        <v>0</v>
      </c>
      <c r="I659" t="n">
        <v>0</v>
      </c>
      <c r="J659" t="n">
        <v>0</v>
      </c>
      <c r="K659" t="n">
        <v>0</v>
      </c>
      <c r="L659" t="n">
        <v>0</v>
      </c>
      <c r="M659" t="n">
        <v>0</v>
      </c>
      <c r="N659" t="n">
        <v>0</v>
      </c>
      <c r="O659" t="n">
        <v>0</v>
      </c>
      <c r="P659" t="n">
        <v>0</v>
      </c>
      <c r="Q659" t="n">
        <v>0</v>
      </c>
      <c r="R659" s="2" t="inlineStr"/>
    </row>
    <row r="660" ht="15" customHeight="1">
      <c r="A660" t="inlineStr">
        <is>
          <t>A 11183-2023</t>
        </is>
      </c>
      <c r="B660" s="1" t="n">
        <v>44992</v>
      </c>
      <c r="C660" s="1" t="n">
        <v>45842</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11631-2023</t>
        </is>
      </c>
      <c r="B661" s="1" t="n">
        <v>44994</v>
      </c>
      <c r="C661" s="1" t="n">
        <v>45842</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12231-2023</t>
        </is>
      </c>
      <c r="B662" s="1" t="n">
        <v>44995</v>
      </c>
      <c r="C662" s="1" t="n">
        <v>45842</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12246-2023</t>
        </is>
      </c>
      <c r="B663" s="1" t="n">
        <v>44995</v>
      </c>
      <c r="C663" s="1" t="n">
        <v>45842</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12272-2023</t>
        </is>
      </c>
      <c r="B664" s="1" t="n">
        <v>44995</v>
      </c>
      <c r="C664" s="1" t="n">
        <v>45842</v>
      </c>
      <c r="D664" t="inlineStr">
        <is>
          <t>VÄSTMANLANDS LÄN</t>
        </is>
      </c>
      <c r="E664" t="inlineStr">
        <is>
          <t>SALA</t>
        </is>
      </c>
      <c r="G664" t="n">
        <v>5.2</v>
      </c>
      <c r="H664" t="n">
        <v>0</v>
      </c>
      <c r="I664" t="n">
        <v>0</v>
      </c>
      <c r="J664" t="n">
        <v>0</v>
      </c>
      <c r="K664" t="n">
        <v>0</v>
      </c>
      <c r="L664" t="n">
        <v>0</v>
      </c>
      <c r="M664" t="n">
        <v>0</v>
      </c>
      <c r="N664" t="n">
        <v>0</v>
      </c>
      <c r="O664" t="n">
        <v>0</v>
      </c>
      <c r="P664" t="n">
        <v>0</v>
      </c>
      <c r="Q664" t="n">
        <v>0</v>
      </c>
      <c r="R664" s="2" t="inlineStr"/>
    </row>
    <row r="665" ht="15" customHeight="1">
      <c r="A665" t="inlineStr">
        <is>
          <t>A 12242-2023</t>
        </is>
      </c>
      <c r="B665" s="1" t="n">
        <v>44995</v>
      </c>
      <c r="C665" s="1" t="n">
        <v>45842</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12252-2023</t>
        </is>
      </c>
      <c r="B666" s="1" t="n">
        <v>44995</v>
      </c>
      <c r="C666" s="1" t="n">
        <v>45842</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12225-2023</t>
        </is>
      </c>
      <c r="B667" s="1" t="n">
        <v>44995</v>
      </c>
      <c r="C667" s="1" t="n">
        <v>45842</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12510-2023</t>
        </is>
      </c>
      <c r="B668" s="1" t="n">
        <v>45000</v>
      </c>
      <c r="C668" s="1" t="n">
        <v>45842</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13146-2023</t>
        </is>
      </c>
      <c r="B669" s="1" t="n">
        <v>45002</v>
      </c>
      <c r="C669" s="1" t="n">
        <v>45842</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13022-2023</t>
        </is>
      </c>
      <c r="B670" s="1" t="n">
        <v>45002</v>
      </c>
      <c r="C670" s="1" t="n">
        <v>45842</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13151-2023</t>
        </is>
      </c>
      <c r="B671" s="1" t="n">
        <v>45002</v>
      </c>
      <c r="C671" s="1" t="n">
        <v>45842</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13128-2023</t>
        </is>
      </c>
      <c r="B672" s="1" t="n">
        <v>45002</v>
      </c>
      <c r="C672" s="1" t="n">
        <v>45842</v>
      </c>
      <c r="D672" t="inlineStr">
        <is>
          <t>VÄSTMANLANDS LÄN</t>
        </is>
      </c>
      <c r="E672" t="inlineStr">
        <is>
          <t>SALA</t>
        </is>
      </c>
      <c r="G672" t="n">
        <v>7.9</v>
      </c>
      <c r="H672" t="n">
        <v>0</v>
      </c>
      <c r="I672" t="n">
        <v>0</v>
      </c>
      <c r="J672" t="n">
        <v>0</v>
      </c>
      <c r="K672" t="n">
        <v>0</v>
      </c>
      <c r="L672" t="n">
        <v>0</v>
      </c>
      <c r="M672" t="n">
        <v>0</v>
      </c>
      <c r="N672" t="n">
        <v>0</v>
      </c>
      <c r="O672" t="n">
        <v>0</v>
      </c>
      <c r="P672" t="n">
        <v>0</v>
      </c>
      <c r="Q672" t="n">
        <v>0</v>
      </c>
      <c r="R672" s="2" t="inlineStr"/>
    </row>
    <row r="673" ht="15" customHeight="1">
      <c r="A673" t="inlineStr">
        <is>
          <t>A 13153-2023</t>
        </is>
      </c>
      <c r="B673" s="1" t="n">
        <v>45002</v>
      </c>
      <c r="C673" s="1" t="n">
        <v>45842</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13059-2023</t>
        </is>
      </c>
      <c r="B674" s="1" t="n">
        <v>45002</v>
      </c>
      <c r="C674" s="1" t="n">
        <v>45842</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13857-2023</t>
        </is>
      </c>
      <c r="B675" s="1" t="n">
        <v>45007</v>
      </c>
      <c r="C675" s="1" t="n">
        <v>45842</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13833-2023</t>
        </is>
      </c>
      <c r="B676" s="1" t="n">
        <v>45007</v>
      </c>
      <c r="C676" s="1" t="n">
        <v>45842</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13855-2023</t>
        </is>
      </c>
      <c r="B677" s="1" t="n">
        <v>45007</v>
      </c>
      <c r="C677" s="1" t="n">
        <v>45842</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13990-2023</t>
        </is>
      </c>
      <c r="B678" s="1" t="n">
        <v>45007</v>
      </c>
      <c r="C678" s="1" t="n">
        <v>45842</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13987-2023</t>
        </is>
      </c>
      <c r="B679" s="1" t="n">
        <v>45007</v>
      </c>
      <c r="C679" s="1" t="n">
        <v>45842</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13935-2023</t>
        </is>
      </c>
      <c r="B680" s="1" t="n">
        <v>45008</v>
      </c>
      <c r="C680" s="1" t="n">
        <v>45842</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14578-2023</t>
        </is>
      </c>
      <c r="B681" s="1" t="n">
        <v>45013</v>
      </c>
      <c r="C681" s="1" t="n">
        <v>45842</v>
      </c>
      <c r="D681" t="inlineStr">
        <is>
          <t>VÄSTMANLANDS LÄN</t>
        </is>
      </c>
      <c r="E681" t="inlineStr">
        <is>
          <t>SALA</t>
        </is>
      </c>
      <c r="G681" t="n">
        <v>5.2</v>
      </c>
      <c r="H681" t="n">
        <v>0</v>
      </c>
      <c r="I681" t="n">
        <v>0</v>
      </c>
      <c r="J681" t="n">
        <v>0</v>
      </c>
      <c r="K681" t="n">
        <v>0</v>
      </c>
      <c r="L681" t="n">
        <v>0</v>
      </c>
      <c r="M681" t="n">
        <v>0</v>
      </c>
      <c r="N681" t="n">
        <v>0</v>
      </c>
      <c r="O681" t="n">
        <v>0</v>
      </c>
      <c r="P681" t="n">
        <v>0</v>
      </c>
      <c r="Q681" t="n">
        <v>0</v>
      </c>
      <c r="R681" s="2" t="inlineStr"/>
    </row>
    <row r="682" ht="15" customHeight="1">
      <c r="A682" t="inlineStr">
        <is>
          <t>A 14823-2023</t>
        </is>
      </c>
      <c r="B682" s="1" t="n">
        <v>45014</v>
      </c>
      <c r="C682" s="1" t="n">
        <v>45842</v>
      </c>
      <c r="D682" t="inlineStr">
        <is>
          <t>VÄSTMANLANDS LÄN</t>
        </is>
      </c>
      <c r="E682" t="inlineStr">
        <is>
          <t>SALA</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14790-2023</t>
        </is>
      </c>
      <c r="B683" s="1" t="n">
        <v>45014</v>
      </c>
      <c r="C683" s="1" t="n">
        <v>45842</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15589-2023</t>
        </is>
      </c>
      <c r="B684" s="1" t="n">
        <v>45020</v>
      </c>
      <c r="C684" s="1" t="n">
        <v>45842</v>
      </c>
      <c r="D684" t="inlineStr">
        <is>
          <t>VÄSTMANLANDS LÄN</t>
        </is>
      </c>
      <c r="E684" t="inlineStr">
        <is>
          <t>SALA</t>
        </is>
      </c>
      <c r="G684" t="n">
        <v>7.5</v>
      </c>
      <c r="H684" t="n">
        <v>0</v>
      </c>
      <c r="I684" t="n">
        <v>0</v>
      </c>
      <c r="J684" t="n">
        <v>0</v>
      </c>
      <c r="K684" t="n">
        <v>0</v>
      </c>
      <c r="L684" t="n">
        <v>0</v>
      </c>
      <c r="M684" t="n">
        <v>0</v>
      </c>
      <c r="N684" t="n">
        <v>0</v>
      </c>
      <c r="O684" t="n">
        <v>0</v>
      </c>
      <c r="P684" t="n">
        <v>0</v>
      </c>
      <c r="Q684" t="n">
        <v>0</v>
      </c>
      <c r="R684" s="2" t="inlineStr"/>
    </row>
    <row r="685" ht="15" customHeight="1">
      <c r="A685" t="inlineStr">
        <is>
          <t>A 15584-2023</t>
        </is>
      </c>
      <c r="B685" s="1" t="n">
        <v>45020</v>
      </c>
      <c r="C685" s="1" t="n">
        <v>45842</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16003-2023</t>
        </is>
      </c>
      <c r="B686" s="1" t="n">
        <v>45024</v>
      </c>
      <c r="C686" s="1" t="n">
        <v>45842</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16002-2023</t>
        </is>
      </c>
      <c r="B687" s="1" t="n">
        <v>45024</v>
      </c>
      <c r="C687" s="1" t="n">
        <v>45842</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16041-2023</t>
        </is>
      </c>
      <c r="B688" s="1" t="n">
        <v>45027</v>
      </c>
      <c r="C688" s="1" t="n">
        <v>45842</v>
      </c>
      <c r="D688" t="inlineStr">
        <is>
          <t>VÄSTMANLANDS LÄN</t>
        </is>
      </c>
      <c r="E688" t="inlineStr">
        <is>
          <t>SALA</t>
        </is>
      </c>
      <c r="G688" t="n">
        <v>3.1</v>
      </c>
      <c r="H688" t="n">
        <v>0</v>
      </c>
      <c r="I688" t="n">
        <v>0</v>
      </c>
      <c r="J688" t="n">
        <v>0</v>
      </c>
      <c r="K688" t="n">
        <v>0</v>
      </c>
      <c r="L688" t="n">
        <v>0</v>
      </c>
      <c r="M688" t="n">
        <v>0</v>
      </c>
      <c r="N688" t="n">
        <v>0</v>
      </c>
      <c r="O688" t="n">
        <v>0</v>
      </c>
      <c r="P688" t="n">
        <v>0</v>
      </c>
      <c r="Q688" t="n">
        <v>0</v>
      </c>
      <c r="R688" s="2" t="inlineStr"/>
    </row>
    <row r="689" ht="15" customHeight="1">
      <c r="A689" t="inlineStr">
        <is>
          <t>A 16142-2023</t>
        </is>
      </c>
      <c r="B689" s="1" t="n">
        <v>45027</v>
      </c>
      <c r="C689" s="1" t="n">
        <v>45842</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16083-2023</t>
        </is>
      </c>
      <c r="B690" s="1" t="n">
        <v>45027</v>
      </c>
      <c r="C690" s="1" t="n">
        <v>45842</v>
      </c>
      <c r="D690" t="inlineStr">
        <is>
          <t>VÄSTMANLANDS LÄN</t>
        </is>
      </c>
      <c r="E690" t="inlineStr">
        <is>
          <t>SALA</t>
        </is>
      </c>
      <c r="G690" t="n">
        <v>4.4</v>
      </c>
      <c r="H690" t="n">
        <v>0</v>
      </c>
      <c r="I690" t="n">
        <v>0</v>
      </c>
      <c r="J690" t="n">
        <v>0</v>
      </c>
      <c r="K690" t="n">
        <v>0</v>
      </c>
      <c r="L690" t="n">
        <v>0</v>
      </c>
      <c r="M690" t="n">
        <v>0</v>
      </c>
      <c r="N690" t="n">
        <v>0</v>
      </c>
      <c r="O690" t="n">
        <v>0</v>
      </c>
      <c r="P690" t="n">
        <v>0</v>
      </c>
      <c r="Q690" t="n">
        <v>0</v>
      </c>
      <c r="R690" s="2" t="inlineStr"/>
    </row>
    <row r="691" ht="15" customHeight="1">
      <c r="A691" t="inlineStr">
        <is>
          <t>A 16638-2023</t>
        </is>
      </c>
      <c r="B691" s="1" t="n">
        <v>45027</v>
      </c>
      <c r="C691" s="1" t="n">
        <v>45842</v>
      </c>
      <c r="D691" t="inlineStr">
        <is>
          <t>VÄSTMANLANDS LÄN</t>
        </is>
      </c>
      <c r="E691" t="inlineStr">
        <is>
          <t>SALA</t>
        </is>
      </c>
      <c r="G691" t="n">
        <v>14.8</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45842</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16546-2023</t>
        </is>
      </c>
      <c r="B693" s="1" t="n">
        <v>45029</v>
      </c>
      <c r="C693" s="1" t="n">
        <v>45842</v>
      </c>
      <c r="D693" t="inlineStr">
        <is>
          <t>VÄSTMANLANDS LÄN</t>
        </is>
      </c>
      <c r="E693" t="inlineStr">
        <is>
          <t>SALA</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16543-2023</t>
        </is>
      </c>
      <c r="B694" s="1" t="n">
        <v>45029</v>
      </c>
      <c r="C694" s="1" t="n">
        <v>45842</v>
      </c>
      <c r="D694" t="inlineStr">
        <is>
          <t>VÄSTMANLANDS LÄN</t>
        </is>
      </c>
      <c r="E694" t="inlineStr">
        <is>
          <t>SALA</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16544-2023</t>
        </is>
      </c>
      <c r="B695" s="1" t="n">
        <v>45029</v>
      </c>
      <c r="C695" s="1" t="n">
        <v>45842</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16547-2023</t>
        </is>
      </c>
      <c r="B696" s="1" t="n">
        <v>45029</v>
      </c>
      <c r="C696" s="1" t="n">
        <v>45842</v>
      </c>
      <c r="D696" t="inlineStr">
        <is>
          <t>VÄSTMANLANDS LÄN</t>
        </is>
      </c>
      <c r="E696" t="inlineStr">
        <is>
          <t>SALA</t>
        </is>
      </c>
      <c r="F696" t="inlineStr">
        <is>
          <t>Sveaskog</t>
        </is>
      </c>
      <c r="G696" t="n">
        <v>11.2</v>
      </c>
      <c r="H696" t="n">
        <v>0</v>
      </c>
      <c r="I696" t="n">
        <v>0</v>
      </c>
      <c r="J696" t="n">
        <v>0</v>
      </c>
      <c r="K696" t="n">
        <v>0</v>
      </c>
      <c r="L696" t="n">
        <v>0</v>
      </c>
      <c r="M696" t="n">
        <v>0</v>
      </c>
      <c r="N696" t="n">
        <v>0</v>
      </c>
      <c r="O696" t="n">
        <v>0</v>
      </c>
      <c r="P696" t="n">
        <v>0</v>
      </c>
      <c r="Q696" t="n">
        <v>0</v>
      </c>
      <c r="R696" s="2" t="inlineStr"/>
    </row>
    <row r="697" ht="15" customHeight="1">
      <c r="A697" t="inlineStr">
        <is>
          <t>A 16545-2023</t>
        </is>
      </c>
      <c r="B697" s="1" t="n">
        <v>45029</v>
      </c>
      <c r="C697" s="1" t="n">
        <v>45842</v>
      </c>
      <c r="D697" t="inlineStr">
        <is>
          <t>VÄSTMANLANDS LÄN</t>
        </is>
      </c>
      <c r="E697" t="inlineStr">
        <is>
          <t>SALA</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16984-2023</t>
        </is>
      </c>
      <c r="B698" s="1" t="n">
        <v>45033</v>
      </c>
      <c r="C698" s="1" t="n">
        <v>45842</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17079-2023</t>
        </is>
      </c>
      <c r="B699" s="1" t="n">
        <v>45034</v>
      </c>
      <c r="C699" s="1" t="n">
        <v>45842</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17117-2023</t>
        </is>
      </c>
      <c r="B700" s="1" t="n">
        <v>45034</v>
      </c>
      <c r="C700" s="1" t="n">
        <v>45842</v>
      </c>
      <c r="D700" t="inlineStr">
        <is>
          <t>VÄSTMANLANDS LÄN</t>
        </is>
      </c>
      <c r="E700" t="inlineStr">
        <is>
          <t>SALA</t>
        </is>
      </c>
      <c r="G700" t="n">
        <v>0.4</v>
      </c>
      <c r="H700" t="n">
        <v>0</v>
      </c>
      <c r="I700" t="n">
        <v>0</v>
      </c>
      <c r="J700" t="n">
        <v>0</v>
      </c>
      <c r="K700" t="n">
        <v>0</v>
      </c>
      <c r="L700" t="n">
        <v>0</v>
      </c>
      <c r="M700" t="n">
        <v>0</v>
      </c>
      <c r="N700" t="n">
        <v>0</v>
      </c>
      <c r="O700" t="n">
        <v>0</v>
      </c>
      <c r="P700" t="n">
        <v>0</v>
      </c>
      <c r="Q700" t="n">
        <v>0</v>
      </c>
      <c r="R700" s="2" t="inlineStr"/>
    </row>
    <row r="701" ht="15" customHeight="1">
      <c r="A701" t="inlineStr">
        <is>
          <t>A 17109-2023</t>
        </is>
      </c>
      <c r="B701" s="1" t="n">
        <v>45034</v>
      </c>
      <c r="C701" s="1" t="n">
        <v>45842</v>
      </c>
      <c r="D701" t="inlineStr">
        <is>
          <t>VÄSTMANLANDS LÄN</t>
        </is>
      </c>
      <c r="E701" t="inlineStr">
        <is>
          <t>SALA</t>
        </is>
      </c>
      <c r="G701" t="n">
        <v>5.8</v>
      </c>
      <c r="H701" t="n">
        <v>0</v>
      </c>
      <c r="I701" t="n">
        <v>0</v>
      </c>
      <c r="J701" t="n">
        <v>0</v>
      </c>
      <c r="K701" t="n">
        <v>0</v>
      </c>
      <c r="L701" t="n">
        <v>0</v>
      </c>
      <c r="M701" t="n">
        <v>0</v>
      </c>
      <c r="N701" t="n">
        <v>0</v>
      </c>
      <c r="O701" t="n">
        <v>0</v>
      </c>
      <c r="P701" t="n">
        <v>0</v>
      </c>
      <c r="Q701" t="n">
        <v>0</v>
      </c>
      <c r="R701" s="2" t="inlineStr"/>
    </row>
    <row r="702" ht="15" customHeight="1">
      <c r="A702" t="inlineStr">
        <is>
          <t>A 17120-2023</t>
        </is>
      </c>
      <c r="B702" s="1" t="n">
        <v>45034</v>
      </c>
      <c r="C702" s="1" t="n">
        <v>45842</v>
      </c>
      <c r="D702" t="inlineStr">
        <is>
          <t>VÄSTMANLANDS LÄN</t>
        </is>
      </c>
      <c r="E702" t="inlineStr">
        <is>
          <t>SALA</t>
        </is>
      </c>
      <c r="G702" t="n">
        <v>0.1</v>
      </c>
      <c r="H702" t="n">
        <v>0</v>
      </c>
      <c r="I702" t="n">
        <v>0</v>
      </c>
      <c r="J702" t="n">
        <v>0</v>
      </c>
      <c r="K702" t="n">
        <v>0</v>
      </c>
      <c r="L702" t="n">
        <v>0</v>
      </c>
      <c r="M702" t="n">
        <v>0</v>
      </c>
      <c r="N702" t="n">
        <v>0</v>
      </c>
      <c r="O702" t="n">
        <v>0</v>
      </c>
      <c r="P702" t="n">
        <v>0</v>
      </c>
      <c r="Q702" t="n">
        <v>0</v>
      </c>
      <c r="R702" s="2" t="inlineStr"/>
    </row>
    <row r="703" ht="15" customHeight="1">
      <c r="A703" t="inlineStr">
        <is>
          <t>A 18100-2023</t>
        </is>
      </c>
      <c r="B703" s="1" t="n">
        <v>45040</v>
      </c>
      <c r="C703" s="1" t="n">
        <v>45842</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18431-2023</t>
        </is>
      </c>
      <c r="B704" s="1" t="n">
        <v>45042</v>
      </c>
      <c r="C704" s="1" t="n">
        <v>45842</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18877-2023</t>
        </is>
      </c>
      <c r="B705" s="1" t="n">
        <v>45044</v>
      </c>
      <c r="C705" s="1" t="n">
        <v>45842</v>
      </c>
      <c r="D705" t="inlineStr">
        <is>
          <t>VÄSTMANLANDS LÄN</t>
        </is>
      </c>
      <c r="E705" t="inlineStr">
        <is>
          <t>SALA</t>
        </is>
      </c>
      <c r="F705" t="inlineStr">
        <is>
          <t>Kommuner</t>
        </is>
      </c>
      <c r="G705" t="n">
        <v>4.4</v>
      </c>
      <c r="H705" t="n">
        <v>0</v>
      </c>
      <c r="I705" t="n">
        <v>0</v>
      </c>
      <c r="J705" t="n">
        <v>0</v>
      </c>
      <c r="K705" t="n">
        <v>0</v>
      </c>
      <c r="L705" t="n">
        <v>0</v>
      </c>
      <c r="M705" t="n">
        <v>0</v>
      </c>
      <c r="N705" t="n">
        <v>0</v>
      </c>
      <c r="O705" t="n">
        <v>0</v>
      </c>
      <c r="P705" t="n">
        <v>0</v>
      </c>
      <c r="Q705" t="n">
        <v>0</v>
      </c>
      <c r="R705" s="2" t="inlineStr"/>
    </row>
    <row r="706" ht="15" customHeight="1">
      <c r="A706" t="inlineStr">
        <is>
          <t>A 19916-2023</t>
        </is>
      </c>
      <c r="B706" s="1" t="n">
        <v>45054</v>
      </c>
      <c r="C706" s="1" t="n">
        <v>45842</v>
      </c>
      <c r="D706" t="inlineStr">
        <is>
          <t>VÄSTMANLANDS LÄN</t>
        </is>
      </c>
      <c r="E706" t="inlineStr">
        <is>
          <t>SALA</t>
        </is>
      </c>
      <c r="G706" t="n">
        <v>9.9</v>
      </c>
      <c r="H706" t="n">
        <v>0</v>
      </c>
      <c r="I706" t="n">
        <v>0</v>
      </c>
      <c r="J706" t="n">
        <v>0</v>
      </c>
      <c r="K706" t="n">
        <v>0</v>
      </c>
      <c r="L706" t="n">
        <v>0</v>
      </c>
      <c r="M706" t="n">
        <v>0</v>
      </c>
      <c r="N706" t="n">
        <v>0</v>
      </c>
      <c r="O706" t="n">
        <v>0</v>
      </c>
      <c r="P706" t="n">
        <v>0</v>
      </c>
      <c r="Q706" t="n">
        <v>0</v>
      </c>
      <c r="R706" s="2" t="inlineStr"/>
    </row>
    <row r="707" ht="15" customHeight="1">
      <c r="A707" t="inlineStr">
        <is>
          <t>A 20568-2023</t>
        </is>
      </c>
      <c r="B707" s="1" t="n">
        <v>45055</v>
      </c>
      <c r="C707" s="1" t="n">
        <v>45842</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20567-2023</t>
        </is>
      </c>
      <c r="B708" s="1" t="n">
        <v>45055</v>
      </c>
      <c r="C708" s="1" t="n">
        <v>45842</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20405-2023</t>
        </is>
      </c>
      <c r="B709" s="1" t="n">
        <v>45056</v>
      </c>
      <c r="C709" s="1" t="n">
        <v>45842</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20587-2023</t>
        </is>
      </c>
      <c r="B710" s="1" t="n">
        <v>45057</v>
      </c>
      <c r="C710" s="1" t="n">
        <v>45842</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21455-2023</t>
        </is>
      </c>
      <c r="B711" s="1" t="n">
        <v>45058</v>
      </c>
      <c r="C711" s="1" t="n">
        <v>45842</v>
      </c>
      <c r="D711" t="inlineStr">
        <is>
          <t>VÄSTMANLANDS LÄN</t>
        </is>
      </c>
      <c r="E711" t="inlineStr">
        <is>
          <t>SALA</t>
        </is>
      </c>
      <c r="G711" t="n">
        <v>6.4</v>
      </c>
      <c r="H711" t="n">
        <v>0</v>
      </c>
      <c r="I711" t="n">
        <v>0</v>
      </c>
      <c r="J711" t="n">
        <v>0</v>
      </c>
      <c r="K711" t="n">
        <v>0</v>
      </c>
      <c r="L711" t="n">
        <v>0</v>
      </c>
      <c r="M711" t="n">
        <v>0</v>
      </c>
      <c r="N711" t="n">
        <v>0</v>
      </c>
      <c r="O711" t="n">
        <v>0</v>
      </c>
      <c r="P711" t="n">
        <v>0</v>
      </c>
      <c r="Q711" t="n">
        <v>0</v>
      </c>
      <c r="R711" s="2" t="inlineStr"/>
    </row>
    <row r="712" ht="15" customHeight="1">
      <c r="A712" t="inlineStr">
        <is>
          <t>A 22097-2023</t>
        </is>
      </c>
      <c r="B712" s="1" t="n">
        <v>45065</v>
      </c>
      <c r="C712" s="1" t="n">
        <v>45842</v>
      </c>
      <c r="D712" t="inlineStr">
        <is>
          <t>VÄSTMANLANDS LÄN</t>
        </is>
      </c>
      <c r="E712" t="inlineStr">
        <is>
          <t>SALA</t>
        </is>
      </c>
      <c r="G712" t="n">
        <v>3.6</v>
      </c>
      <c r="H712" t="n">
        <v>0</v>
      </c>
      <c r="I712" t="n">
        <v>0</v>
      </c>
      <c r="J712" t="n">
        <v>0</v>
      </c>
      <c r="K712" t="n">
        <v>0</v>
      </c>
      <c r="L712" t="n">
        <v>0</v>
      </c>
      <c r="M712" t="n">
        <v>0</v>
      </c>
      <c r="N712" t="n">
        <v>0</v>
      </c>
      <c r="O712" t="n">
        <v>0</v>
      </c>
      <c r="P712" t="n">
        <v>0</v>
      </c>
      <c r="Q712" t="n">
        <v>0</v>
      </c>
      <c r="R712" s="2" t="inlineStr"/>
    </row>
    <row r="713" ht="15" customHeight="1">
      <c r="A713" t="inlineStr">
        <is>
          <t>A 22076-2023</t>
        </is>
      </c>
      <c r="B713" s="1" t="n">
        <v>45069</v>
      </c>
      <c r="C713" s="1" t="n">
        <v>45842</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22146-2023</t>
        </is>
      </c>
      <c r="B714" s="1" t="n">
        <v>45069</v>
      </c>
      <c r="C714" s="1" t="n">
        <v>45842</v>
      </c>
      <c r="D714" t="inlineStr">
        <is>
          <t>VÄSTMANLANDS LÄN</t>
        </is>
      </c>
      <c r="E714" t="inlineStr">
        <is>
          <t>SALA</t>
        </is>
      </c>
      <c r="F714" t="inlineStr">
        <is>
          <t>Kommuner</t>
        </is>
      </c>
      <c r="G714" t="n">
        <v>9.9</v>
      </c>
      <c r="H714" t="n">
        <v>0</v>
      </c>
      <c r="I714" t="n">
        <v>0</v>
      </c>
      <c r="J714" t="n">
        <v>0</v>
      </c>
      <c r="K714" t="n">
        <v>0</v>
      </c>
      <c r="L714" t="n">
        <v>0</v>
      </c>
      <c r="M714" t="n">
        <v>0</v>
      </c>
      <c r="N714" t="n">
        <v>0</v>
      </c>
      <c r="O714" t="n">
        <v>0</v>
      </c>
      <c r="P714" t="n">
        <v>0</v>
      </c>
      <c r="Q714" t="n">
        <v>0</v>
      </c>
      <c r="R714" s="2" t="inlineStr"/>
    </row>
    <row r="715" ht="15" customHeight="1">
      <c r="A715" t="inlineStr">
        <is>
          <t>A 22091-2023</t>
        </is>
      </c>
      <c r="B715" s="1" t="n">
        <v>45069</v>
      </c>
      <c r="C715" s="1" t="n">
        <v>45842</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22082-2023</t>
        </is>
      </c>
      <c r="B716" s="1" t="n">
        <v>45069</v>
      </c>
      <c r="C716" s="1" t="n">
        <v>45842</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45842</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22921-2023</t>
        </is>
      </c>
      <c r="B718" s="1" t="n">
        <v>45070</v>
      </c>
      <c r="C718" s="1" t="n">
        <v>45842</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22963-2023</t>
        </is>
      </c>
      <c r="B719" s="1" t="n">
        <v>45072</v>
      </c>
      <c r="C719" s="1" t="n">
        <v>45842</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22961-2023</t>
        </is>
      </c>
      <c r="B720" s="1" t="n">
        <v>45072</v>
      </c>
      <c r="C720" s="1" t="n">
        <v>45842</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23145-2023</t>
        </is>
      </c>
      <c r="B721" s="1" t="n">
        <v>45075</v>
      </c>
      <c r="C721" s="1" t="n">
        <v>45842</v>
      </c>
      <c r="D721" t="inlineStr">
        <is>
          <t>VÄSTMANLANDS LÄN</t>
        </is>
      </c>
      <c r="E721" t="inlineStr">
        <is>
          <t>SALA</t>
        </is>
      </c>
      <c r="G721" t="n">
        <v>5.3</v>
      </c>
      <c r="H721" t="n">
        <v>0</v>
      </c>
      <c r="I721" t="n">
        <v>0</v>
      </c>
      <c r="J721" t="n">
        <v>0</v>
      </c>
      <c r="K721" t="n">
        <v>0</v>
      </c>
      <c r="L721" t="n">
        <v>0</v>
      </c>
      <c r="M721" t="n">
        <v>0</v>
      </c>
      <c r="N721" t="n">
        <v>0</v>
      </c>
      <c r="O721" t="n">
        <v>0</v>
      </c>
      <c r="P721" t="n">
        <v>0</v>
      </c>
      <c r="Q721" t="n">
        <v>0</v>
      </c>
      <c r="R721" s="2" t="inlineStr"/>
    </row>
    <row r="722" ht="15" customHeight="1">
      <c r="A722" t="inlineStr">
        <is>
          <t>A 23146-2023</t>
        </is>
      </c>
      <c r="B722" s="1" t="n">
        <v>45075</v>
      </c>
      <c r="C722" s="1" t="n">
        <v>45842</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23224-2023</t>
        </is>
      </c>
      <c r="B723" s="1" t="n">
        <v>45075</v>
      </c>
      <c r="C723" s="1" t="n">
        <v>45842</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23222-2023</t>
        </is>
      </c>
      <c r="B724" s="1" t="n">
        <v>45075</v>
      </c>
      <c r="C724" s="1" t="n">
        <v>45842</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23232-2023</t>
        </is>
      </c>
      <c r="B725" s="1" t="n">
        <v>45075</v>
      </c>
      <c r="C725" s="1" t="n">
        <v>45842</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23374-2023</t>
        </is>
      </c>
      <c r="B726" s="1" t="n">
        <v>45076</v>
      </c>
      <c r="C726" s="1" t="n">
        <v>45842</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23372-2023</t>
        </is>
      </c>
      <c r="B727" s="1" t="n">
        <v>45076</v>
      </c>
      <c r="C727" s="1" t="n">
        <v>45842</v>
      </c>
      <c r="D727" t="inlineStr">
        <is>
          <t>VÄSTMANLANDS LÄN</t>
        </is>
      </c>
      <c r="E727" t="inlineStr">
        <is>
          <t>SALA</t>
        </is>
      </c>
      <c r="G727" t="n">
        <v>2.2</v>
      </c>
      <c r="H727" t="n">
        <v>0</v>
      </c>
      <c r="I727" t="n">
        <v>0</v>
      </c>
      <c r="J727" t="n">
        <v>0</v>
      </c>
      <c r="K727" t="n">
        <v>0</v>
      </c>
      <c r="L727" t="n">
        <v>0</v>
      </c>
      <c r="M727" t="n">
        <v>0</v>
      </c>
      <c r="N727" t="n">
        <v>0</v>
      </c>
      <c r="O727" t="n">
        <v>0</v>
      </c>
      <c r="P727" t="n">
        <v>0</v>
      </c>
      <c r="Q727" t="n">
        <v>0</v>
      </c>
      <c r="R727" s="2" t="inlineStr"/>
    </row>
    <row r="728" ht="15" customHeight="1">
      <c r="A728" t="inlineStr">
        <is>
          <t>A 23659-2023</t>
        </is>
      </c>
      <c r="B728" s="1" t="n">
        <v>45077</v>
      </c>
      <c r="C728" s="1" t="n">
        <v>45842</v>
      </c>
      <c r="D728" t="inlineStr">
        <is>
          <t>VÄSTMANLANDS LÄN</t>
        </is>
      </c>
      <c r="E728" t="inlineStr">
        <is>
          <t>SALA</t>
        </is>
      </c>
      <c r="G728" t="n">
        <v>2.5</v>
      </c>
      <c r="H728" t="n">
        <v>0</v>
      </c>
      <c r="I728" t="n">
        <v>0</v>
      </c>
      <c r="J728" t="n">
        <v>0</v>
      </c>
      <c r="K728" t="n">
        <v>0</v>
      </c>
      <c r="L728" t="n">
        <v>0</v>
      </c>
      <c r="M728" t="n">
        <v>0</v>
      </c>
      <c r="N728" t="n">
        <v>0</v>
      </c>
      <c r="O728" t="n">
        <v>0</v>
      </c>
      <c r="P728" t="n">
        <v>0</v>
      </c>
      <c r="Q728" t="n">
        <v>0</v>
      </c>
      <c r="R728" s="2" t="inlineStr"/>
    </row>
    <row r="729" ht="15" customHeight="1">
      <c r="A729" t="inlineStr">
        <is>
          <t>A 24248-2023</t>
        </is>
      </c>
      <c r="B729" s="1" t="n">
        <v>45079</v>
      </c>
      <c r="C729" s="1" t="n">
        <v>45842</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24495-2023</t>
        </is>
      </c>
      <c r="B730" s="1" t="n">
        <v>45082</v>
      </c>
      <c r="C730" s="1" t="n">
        <v>45842</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24585-2023</t>
        </is>
      </c>
      <c r="B731" s="1" t="n">
        <v>45083</v>
      </c>
      <c r="C731" s="1" t="n">
        <v>45842</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24584-2023</t>
        </is>
      </c>
      <c r="B732" s="1" t="n">
        <v>45083</v>
      </c>
      <c r="C732" s="1" t="n">
        <v>45842</v>
      </c>
      <c r="D732" t="inlineStr">
        <is>
          <t>VÄSTMANLANDS LÄN</t>
        </is>
      </c>
      <c r="E732" t="inlineStr">
        <is>
          <t>SALA</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24586-2023</t>
        </is>
      </c>
      <c r="B733" s="1" t="n">
        <v>45083</v>
      </c>
      <c r="C733" s="1" t="n">
        <v>45842</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24773-2023</t>
        </is>
      </c>
      <c r="B734" s="1" t="n">
        <v>45084</v>
      </c>
      <c r="C734" s="1" t="n">
        <v>45842</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24777-2023</t>
        </is>
      </c>
      <c r="B735" s="1" t="n">
        <v>45084</v>
      </c>
      <c r="C735" s="1" t="n">
        <v>45842</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24944-2023</t>
        </is>
      </c>
      <c r="B736" s="1" t="n">
        <v>45085</v>
      </c>
      <c r="C736" s="1" t="n">
        <v>45842</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45842</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25233-2023</t>
        </is>
      </c>
      <c r="B738" s="1" t="n">
        <v>45086</v>
      </c>
      <c r="C738" s="1" t="n">
        <v>45842</v>
      </c>
      <c r="D738" t="inlineStr">
        <is>
          <t>VÄSTMANLANDS LÄN</t>
        </is>
      </c>
      <c r="E738" t="inlineStr">
        <is>
          <t>SALA</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26229-2023</t>
        </is>
      </c>
      <c r="B739" s="1" t="n">
        <v>45086</v>
      </c>
      <c r="C739" s="1" t="n">
        <v>45842</v>
      </c>
      <c r="D739" t="inlineStr">
        <is>
          <t>VÄSTMANLANDS LÄN</t>
        </is>
      </c>
      <c r="E739" t="inlineStr">
        <is>
          <t>SALA</t>
        </is>
      </c>
      <c r="G739" t="n">
        <v>6.6</v>
      </c>
      <c r="H739" t="n">
        <v>0</v>
      </c>
      <c r="I739" t="n">
        <v>0</v>
      </c>
      <c r="J739" t="n">
        <v>0</v>
      </c>
      <c r="K739" t="n">
        <v>0</v>
      </c>
      <c r="L739" t="n">
        <v>0</v>
      </c>
      <c r="M739" t="n">
        <v>0</v>
      </c>
      <c r="N739" t="n">
        <v>0</v>
      </c>
      <c r="O739" t="n">
        <v>0</v>
      </c>
      <c r="P739" t="n">
        <v>0</v>
      </c>
      <c r="Q739" t="n">
        <v>0</v>
      </c>
      <c r="R739" s="2" t="inlineStr"/>
    </row>
    <row r="740" ht="15" customHeight="1">
      <c r="A740" t="inlineStr">
        <is>
          <t>A 25566-2023</t>
        </is>
      </c>
      <c r="B740" s="1" t="n">
        <v>45089</v>
      </c>
      <c r="C740" s="1" t="n">
        <v>45842</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25571-2023</t>
        </is>
      </c>
      <c r="B741" s="1" t="n">
        <v>45089</v>
      </c>
      <c r="C741" s="1" t="n">
        <v>45842</v>
      </c>
      <c r="D741" t="inlineStr">
        <is>
          <t>VÄSTMANLANDS LÄN</t>
        </is>
      </c>
      <c r="E741" t="inlineStr">
        <is>
          <t>SALA</t>
        </is>
      </c>
      <c r="G741" t="n">
        <v>1.7</v>
      </c>
      <c r="H741" t="n">
        <v>0</v>
      </c>
      <c r="I741" t="n">
        <v>0</v>
      </c>
      <c r="J741" t="n">
        <v>0</v>
      </c>
      <c r="K741" t="n">
        <v>0</v>
      </c>
      <c r="L741" t="n">
        <v>0</v>
      </c>
      <c r="M741" t="n">
        <v>0</v>
      </c>
      <c r="N741" t="n">
        <v>0</v>
      </c>
      <c r="O741" t="n">
        <v>0</v>
      </c>
      <c r="P741" t="n">
        <v>0</v>
      </c>
      <c r="Q741" t="n">
        <v>0</v>
      </c>
      <c r="R741" s="2" t="inlineStr"/>
    </row>
    <row r="742" ht="15" customHeight="1">
      <c r="A742" t="inlineStr">
        <is>
          <t>A 25576-2023</t>
        </is>
      </c>
      <c r="B742" s="1" t="n">
        <v>45089</v>
      </c>
      <c r="C742" s="1" t="n">
        <v>45842</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25580-2023</t>
        </is>
      </c>
      <c r="B743" s="1" t="n">
        <v>45089</v>
      </c>
      <c r="C743" s="1" t="n">
        <v>45842</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25894-2023</t>
        </is>
      </c>
      <c r="B744" s="1" t="n">
        <v>45090</v>
      </c>
      <c r="C744" s="1" t="n">
        <v>45842</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26607-2023</t>
        </is>
      </c>
      <c r="B745" s="1" t="n">
        <v>45090</v>
      </c>
      <c r="C745" s="1" t="n">
        <v>45842</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26505-2023</t>
        </is>
      </c>
      <c r="B746" s="1" t="n">
        <v>45092</v>
      </c>
      <c r="C746" s="1" t="n">
        <v>45842</v>
      </c>
      <c r="D746" t="inlineStr">
        <is>
          <t>VÄSTMANLANDS LÄN</t>
        </is>
      </c>
      <c r="E746" t="inlineStr">
        <is>
          <t>SALA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26509-2023</t>
        </is>
      </c>
      <c r="B747" s="1" t="n">
        <v>45092</v>
      </c>
      <c r="C747" s="1" t="n">
        <v>45842</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26508-2023</t>
        </is>
      </c>
      <c r="B748" s="1" t="n">
        <v>45092</v>
      </c>
      <c r="C748" s="1" t="n">
        <v>45842</v>
      </c>
      <c r="D748" t="inlineStr">
        <is>
          <t>VÄSTMANLANDS LÄN</t>
        </is>
      </c>
      <c r="E748" t="inlineStr">
        <is>
          <t>SALA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26416-2023</t>
        </is>
      </c>
      <c r="B749" s="1" t="n">
        <v>45092</v>
      </c>
      <c r="C749" s="1" t="n">
        <v>45842</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26507-2023</t>
        </is>
      </c>
      <c r="B750" s="1" t="n">
        <v>45092</v>
      </c>
      <c r="C750" s="1" t="n">
        <v>45842</v>
      </c>
      <c r="D750" t="inlineStr">
        <is>
          <t>VÄSTMANLANDS LÄN</t>
        </is>
      </c>
      <c r="E750" t="inlineStr">
        <is>
          <t>SALA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v>
      </c>
      <c r="C751" s="1" t="n">
        <v>45842</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26761-2023</t>
        </is>
      </c>
      <c r="B752" s="1" t="n">
        <v>45093</v>
      </c>
      <c r="C752" s="1" t="n">
        <v>45842</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27023-2023</t>
        </is>
      </c>
      <c r="B753" s="1" t="n">
        <v>45094</v>
      </c>
      <c r="C753" s="1" t="n">
        <v>45842</v>
      </c>
      <c r="D753" t="inlineStr">
        <is>
          <t>VÄSTMANLANDS LÄN</t>
        </is>
      </c>
      <c r="E753" t="inlineStr">
        <is>
          <t>SALA</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27038-2023</t>
        </is>
      </c>
      <c r="B754" s="1" t="n">
        <v>45095</v>
      </c>
      <c r="C754" s="1" t="n">
        <v>45842</v>
      </c>
      <c r="D754" t="inlineStr">
        <is>
          <t>VÄSTMANLANDS LÄN</t>
        </is>
      </c>
      <c r="E754" t="inlineStr">
        <is>
          <t>SALA</t>
        </is>
      </c>
      <c r="G754" t="n">
        <v>0.8</v>
      </c>
      <c r="H754" t="n">
        <v>0</v>
      </c>
      <c r="I754" t="n">
        <v>0</v>
      </c>
      <c r="J754" t="n">
        <v>0</v>
      </c>
      <c r="K754" t="n">
        <v>0</v>
      </c>
      <c r="L754" t="n">
        <v>0</v>
      </c>
      <c r="M754" t="n">
        <v>0</v>
      </c>
      <c r="N754" t="n">
        <v>0</v>
      </c>
      <c r="O754" t="n">
        <v>0</v>
      </c>
      <c r="P754" t="n">
        <v>0</v>
      </c>
      <c r="Q754" t="n">
        <v>0</v>
      </c>
      <c r="R754" s="2" t="inlineStr"/>
    </row>
    <row r="755" ht="15" customHeight="1">
      <c r="A755" t="inlineStr">
        <is>
          <t>A 27228-2023</t>
        </is>
      </c>
      <c r="B755" s="1" t="n">
        <v>45096</v>
      </c>
      <c r="C755" s="1" t="n">
        <v>45842</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27255-2023</t>
        </is>
      </c>
      <c r="B756" s="1" t="n">
        <v>45096</v>
      </c>
      <c r="C756" s="1" t="n">
        <v>45842</v>
      </c>
      <c r="D756" t="inlineStr">
        <is>
          <t>VÄSTMANLANDS LÄN</t>
        </is>
      </c>
      <c r="E756" t="inlineStr">
        <is>
          <t>SALA</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27424-2023</t>
        </is>
      </c>
      <c r="B757" s="1" t="n">
        <v>45097</v>
      </c>
      <c r="C757" s="1" t="n">
        <v>45842</v>
      </c>
      <c r="D757" t="inlineStr">
        <is>
          <t>VÄSTMANLANDS LÄN</t>
        </is>
      </c>
      <c r="E757" t="inlineStr">
        <is>
          <t>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27638-2023</t>
        </is>
      </c>
      <c r="B758" s="1" t="n">
        <v>45097</v>
      </c>
      <c r="C758" s="1" t="n">
        <v>45842</v>
      </c>
      <c r="D758" t="inlineStr">
        <is>
          <t>VÄSTMANLANDS LÄN</t>
        </is>
      </c>
      <c r="E758" t="inlineStr">
        <is>
          <t>SALA</t>
        </is>
      </c>
      <c r="G758" t="n">
        <v>8.4</v>
      </c>
      <c r="H758" t="n">
        <v>0</v>
      </c>
      <c r="I758" t="n">
        <v>0</v>
      </c>
      <c r="J758" t="n">
        <v>0</v>
      </c>
      <c r="K758" t="n">
        <v>0</v>
      </c>
      <c r="L758" t="n">
        <v>0</v>
      </c>
      <c r="M758" t="n">
        <v>0</v>
      </c>
      <c r="N758" t="n">
        <v>0</v>
      </c>
      <c r="O758" t="n">
        <v>0</v>
      </c>
      <c r="P758" t="n">
        <v>0</v>
      </c>
      <c r="Q758" t="n">
        <v>0</v>
      </c>
      <c r="R758" s="2" t="inlineStr"/>
    </row>
    <row r="759" ht="15" customHeight="1">
      <c r="A759" t="inlineStr">
        <is>
          <t>A 27657-2023</t>
        </is>
      </c>
      <c r="B759" s="1" t="n">
        <v>45097</v>
      </c>
      <c r="C759" s="1" t="n">
        <v>45842</v>
      </c>
      <c r="D759" t="inlineStr">
        <is>
          <t>VÄSTMANLANDS LÄN</t>
        </is>
      </c>
      <c r="E759" t="inlineStr">
        <is>
          <t>SALA</t>
        </is>
      </c>
      <c r="G759" t="n">
        <v>0.1</v>
      </c>
      <c r="H759" t="n">
        <v>0</v>
      </c>
      <c r="I759" t="n">
        <v>0</v>
      </c>
      <c r="J759" t="n">
        <v>0</v>
      </c>
      <c r="K759" t="n">
        <v>0</v>
      </c>
      <c r="L759" t="n">
        <v>0</v>
      </c>
      <c r="M759" t="n">
        <v>0</v>
      </c>
      <c r="N759" t="n">
        <v>0</v>
      </c>
      <c r="O759" t="n">
        <v>0</v>
      </c>
      <c r="P759" t="n">
        <v>0</v>
      </c>
      <c r="Q759" t="n">
        <v>0</v>
      </c>
      <c r="R759" s="2" t="inlineStr"/>
    </row>
    <row r="760" ht="15" customHeight="1">
      <c r="A760" t="inlineStr">
        <is>
          <t>A 27744-2023</t>
        </is>
      </c>
      <c r="B760" s="1" t="n">
        <v>45098</v>
      </c>
      <c r="C760" s="1" t="n">
        <v>45842</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27834-2023</t>
        </is>
      </c>
      <c r="B761" s="1" t="n">
        <v>45098</v>
      </c>
      <c r="C761" s="1" t="n">
        <v>45842</v>
      </c>
      <c r="D761" t="inlineStr">
        <is>
          <t>VÄSTMANLANDS LÄN</t>
        </is>
      </c>
      <c r="E761" t="inlineStr">
        <is>
          <t>SALA</t>
        </is>
      </c>
      <c r="G761" t="n">
        <v>5</v>
      </c>
      <c r="H761" t="n">
        <v>0</v>
      </c>
      <c r="I761" t="n">
        <v>0</v>
      </c>
      <c r="J761" t="n">
        <v>0</v>
      </c>
      <c r="K761" t="n">
        <v>0</v>
      </c>
      <c r="L761" t="n">
        <v>0</v>
      </c>
      <c r="M761" t="n">
        <v>0</v>
      </c>
      <c r="N761" t="n">
        <v>0</v>
      </c>
      <c r="O761" t="n">
        <v>0</v>
      </c>
      <c r="P761" t="n">
        <v>0</v>
      </c>
      <c r="Q761" t="n">
        <v>0</v>
      </c>
      <c r="R761" s="2" t="inlineStr"/>
    </row>
    <row r="762" ht="15" customHeight="1">
      <c r="A762" t="inlineStr">
        <is>
          <t>A 27824-2023</t>
        </is>
      </c>
      <c r="B762" s="1" t="n">
        <v>45098</v>
      </c>
      <c r="C762" s="1" t="n">
        <v>45842</v>
      </c>
      <c r="D762" t="inlineStr">
        <is>
          <t>VÄSTMANLANDS LÄN</t>
        </is>
      </c>
      <c r="E762" t="inlineStr">
        <is>
          <t>SALA</t>
        </is>
      </c>
      <c r="G762" t="n">
        <v>5.3</v>
      </c>
      <c r="H762" t="n">
        <v>0</v>
      </c>
      <c r="I762" t="n">
        <v>0</v>
      </c>
      <c r="J762" t="n">
        <v>0</v>
      </c>
      <c r="K762" t="n">
        <v>0</v>
      </c>
      <c r="L762" t="n">
        <v>0</v>
      </c>
      <c r="M762" t="n">
        <v>0</v>
      </c>
      <c r="N762" t="n">
        <v>0</v>
      </c>
      <c r="O762" t="n">
        <v>0</v>
      </c>
      <c r="P762" t="n">
        <v>0</v>
      </c>
      <c r="Q762" t="n">
        <v>0</v>
      </c>
      <c r="R762" s="2" t="inlineStr"/>
    </row>
    <row r="763" ht="15" customHeight="1">
      <c r="A763" t="inlineStr">
        <is>
          <t>A 27749-2023</t>
        </is>
      </c>
      <c r="B763" s="1" t="n">
        <v>45098</v>
      </c>
      <c r="C763" s="1" t="n">
        <v>45842</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29542-2023</t>
        </is>
      </c>
      <c r="B764" s="1" t="n">
        <v>45098</v>
      </c>
      <c r="C764" s="1" t="n">
        <v>45842</v>
      </c>
      <c r="D764" t="inlineStr">
        <is>
          <t>VÄSTMANLANDS LÄN</t>
        </is>
      </c>
      <c r="E764" t="inlineStr">
        <is>
          <t>SALA</t>
        </is>
      </c>
      <c r="G764" t="n">
        <v>4.8</v>
      </c>
      <c r="H764" t="n">
        <v>0</v>
      </c>
      <c r="I764" t="n">
        <v>0</v>
      </c>
      <c r="J764" t="n">
        <v>0</v>
      </c>
      <c r="K764" t="n">
        <v>0</v>
      </c>
      <c r="L764" t="n">
        <v>0</v>
      </c>
      <c r="M764" t="n">
        <v>0</v>
      </c>
      <c r="N764" t="n">
        <v>0</v>
      </c>
      <c r="O764" t="n">
        <v>0</v>
      </c>
      <c r="P764" t="n">
        <v>0</v>
      </c>
      <c r="Q764" t="n">
        <v>0</v>
      </c>
      <c r="R764" s="2" t="inlineStr"/>
    </row>
    <row r="765" ht="15" customHeight="1">
      <c r="A765" t="inlineStr">
        <is>
          <t>A 28328-2023</t>
        </is>
      </c>
      <c r="B765" s="1" t="n">
        <v>45099</v>
      </c>
      <c r="C765" s="1" t="n">
        <v>45842</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28696-2023</t>
        </is>
      </c>
      <c r="B766" s="1" t="n">
        <v>45103</v>
      </c>
      <c r="C766" s="1" t="n">
        <v>45842</v>
      </c>
      <c r="D766" t="inlineStr">
        <is>
          <t>VÄSTMANLANDS LÄN</t>
        </is>
      </c>
      <c r="E766" t="inlineStr">
        <is>
          <t>SALA</t>
        </is>
      </c>
      <c r="F766" t="inlineStr">
        <is>
          <t>Kommuner</t>
        </is>
      </c>
      <c r="G766" t="n">
        <v>5.9</v>
      </c>
      <c r="H766" t="n">
        <v>0</v>
      </c>
      <c r="I766" t="n">
        <v>0</v>
      </c>
      <c r="J766" t="n">
        <v>0</v>
      </c>
      <c r="K766" t="n">
        <v>0</v>
      </c>
      <c r="L766" t="n">
        <v>0</v>
      </c>
      <c r="M766" t="n">
        <v>0</v>
      </c>
      <c r="N766" t="n">
        <v>0</v>
      </c>
      <c r="O766" t="n">
        <v>0</v>
      </c>
      <c r="P766" t="n">
        <v>0</v>
      </c>
      <c r="Q766" t="n">
        <v>0</v>
      </c>
      <c r="R766" s="2" t="inlineStr"/>
    </row>
    <row r="767" ht="15" customHeight="1">
      <c r="A767" t="inlineStr">
        <is>
          <t>A 29241-2023</t>
        </is>
      </c>
      <c r="B767" s="1" t="n">
        <v>45105</v>
      </c>
      <c r="C767" s="1" t="n">
        <v>45842</v>
      </c>
      <c r="D767" t="inlineStr">
        <is>
          <t>VÄSTMANLANDS LÄN</t>
        </is>
      </c>
      <c r="E767" t="inlineStr">
        <is>
          <t>SALA</t>
        </is>
      </c>
      <c r="F767" t="inlineStr">
        <is>
          <t>Kommuner</t>
        </is>
      </c>
      <c r="G767" t="n">
        <v>4.8</v>
      </c>
      <c r="H767" t="n">
        <v>0</v>
      </c>
      <c r="I767" t="n">
        <v>0</v>
      </c>
      <c r="J767" t="n">
        <v>0</v>
      </c>
      <c r="K767" t="n">
        <v>0</v>
      </c>
      <c r="L767" t="n">
        <v>0</v>
      </c>
      <c r="M767" t="n">
        <v>0</v>
      </c>
      <c r="N767" t="n">
        <v>0</v>
      </c>
      <c r="O767" t="n">
        <v>0</v>
      </c>
      <c r="P767" t="n">
        <v>0</v>
      </c>
      <c r="Q767" t="n">
        <v>0</v>
      </c>
      <c r="R767" s="2" t="inlineStr"/>
    </row>
    <row r="768" ht="15" customHeight="1">
      <c r="A768" t="inlineStr">
        <is>
          <t>A 31945-2023</t>
        </is>
      </c>
      <c r="B768" s="1" t="n">
        <v>45107</v>
      </c>
      <c r="C768" s="1" t="n">
        <v>45842</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31950-2023</t>
        </is>
      </c>
      <c r="B769" s="1" t="n">
        <v>45107</v>
      </c>
      <c r="C769" s="1" t="n">
        <v>45842</v>
      </c>
      <c r="D769" t="inlineStr">
        <is>
          <t>VÄSTMANLANDS LÄN</t>
        </is>
      </c>
      <c r="E769" t="inlineStr">
        <is>
          <t>SALA</t>
        </is>
      </c>
      <c r="G769" t="n">
        <v>2</v>
      </c>
      <c r="H769" t="n">
        <v>0</v>
      </c>
      <c r="I769" t="n">
        <v>0</v>
      </c>
      <c r="J769" t="n">
        <v>0</v>
      </c>
      <c r="K769" t="n">
        <v>0</v>
      </c>
      <c r="L769" t="n">
        <v>0</v>
      </c>
      <c r="M769" t="n">
        <v>0</v>
      </c>
      <c r="N769" t="n">
        <v>0</v>
      </c>
      <c r="O769" t="n">
        <v>0</v>
      </c>
      <c r="P769" t="n">
        <v>0</v>
      </c>
      <c r="Q769" t="n">
        <v>0</v>
      </c>
      <c r="R769" s="2" t="inlineStr"/>
    </row>
    <row r="770" ht="15" customHeight="1">
      <c r="A770" t="inlineStr">
        <is>
          <t>A 31953-2023</t>
        </is>
      </c>
      <c r="B770" s="1" t="n">
        <v>45107</v>
      </c>
      <c r="C770" s="1" t="n">
        <v>45842</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31298-2023</t>
        </is>
      </c>
      <c r="B771" s="1" t="n">
        <v>45114</v>
      </c>
      <c r="C771" s="1" t="n">
        <v>45842</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31315-2023</t>
        </is>
      </c>
      <c r="B772" s="1" t="n">
        <v>45114</v>
      </c>
      <c r="C772" s="1" t="n">
        <v>45842</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31646-2023</t>
        </is>
      </c>
      <c r="B773" s="1" t="n">
        <v>45117</v>
      </c>
      <c r="C773" s="1" t="n">
        <v>45842</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31859-2023</t>
        </is>
      </c>
      <c r="B774" s="1" t="n">
        <v>45118</v>
      </c>
      <c r="C774" s="1" t="n">
        <v>45842</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c r="U774">
        <f>HYPERLINK("https://klasma.github.io/Logging_1981/knärot/A 31859-2023 karta knärot.png", "A 31859-2023")</f>
        <v/>
      </c>
      <c r="V774">
        <f>HYPERLINK("https://klasma.github.io/Logging_1981/klagomål/A 31859-2023 FSC-klagomål.docx", "A 31859-2023")</f>
        <v/>
      </c>
      <c r="W774">
        <f>HYPERLINK("https://klasma.github.io/Logging_1981/klagomålsmail/A 31859-2023 FSC-klagomål mail.docx", "A 31859-2023")</f>
        <v/>
      </c>
      <c r="X774">
        <f>HYPERLINK("https://klasma.github.io/Logging_1981/tillsyn/A 31859-2023 tillsynsbegäran.docx", "A 31859-2023")</f>
        <v/>
      </c>
      <c r="Y774">
        <f>HYPERLINK("https://klasma.github.io/Logging_1981/tillsynsmail/A 31859-2023 tillsynsbegäran mail.docx", "A 31859-2023")</f>
        <v/>
      </c>
    </row>
    <row r="775" ht="15" customHeight="1">
      <c r="A775" t="inlineStr">
        <is>
          <t>A 32945-2023</t>
        </is>
      </c>
      <c r="B775" s="1" t="n">
        <v>45125</v>
      </c>
      <c r="C775" s="1" t="n">
        <v>45842</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33152-2023</t>
        </is>
      </c>
      <c r="B776" s="1" t="n">
        <v>45126</v>
      </c>
      <c r="C776" s="1" t="n">
        <v>45842</v>
      </c>
      <c r="D776" t="inlineStr">
        <is>
          <t>VÄSTMANLANDS LÄN</t>
        </is>
      </c>
      <c r="E776" t="inlineStr">
        <is>
          <t>SALA</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33151-2023</t>
        </is>
      </c>
      <c r="B777" s="1" t="n">
        <v>45126</v>
      </c>
      <c r="C777" s="1" t="n">
        <v>45842</v>
      </c>
      <c r="D777" t="inlineStr">
        <is>
          <t>VÄSTMANLANDS LÄN</t>
        </is>
      </c>
      <c r="E777" t="inlineStr">
        <is>
          <t>SALA</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33180-2023</t>
        </is>
      </c>
      <c r="B778" s="1" t="n">
        <v>45127</v>
      </c>
      <c r="C778" s="1" t="n">
        <v>45842</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33273-2023</t>
        </is>
      </c>
      <c r="B779" s="1" t="n">
        <v>45127</v>
      </c>
      <c r="C779" s="1" t="n">
        <v>45842</v>
      </c>
      <c r="D779" t="inlineStr">
        <is>
          <t>VÄSTMANLANDS LÄN</t>
        </is>
      </c>
      <c r="E779" t="inlineStr">
        <is>
          <t>SALA</t>
        </is>
      </c>
      <c r="G779" t="n">
        <v>2.6</v>
      </c>
      <c r="H779" t="n">
        <v>0</v>
      </c>
      <c r="I779" t="n">
        <v>0</v>
      </c>
      <c r="J779" t="n">
        <v>0</v>
      </c>
      <c r="K779" t="n">
        <v>0</v>
      </c>
      <c r="L779" t="n">
        <v>0</v>
      </c>
      <c r="M779" t="n">
        <v>0</v>
      </c>
      <c r="N779" t="n">
        <v>0</v>
      </c>
      <c r="O779" t="n">
        <v>0</v>
      </c>
      <c r="P779" t="n">
        <v>0</v>
      </c>
      <c r="Q779" t="n">
        <v>0</v>
      </c>
      <c r="R779" s="2" t="inlineStr"/>
    </row>
    <row r="780" ht="15" customHeight="1">
      <c r="A780" t="inlineStr">
        <is>
          <t>A 33527-2023</t>
        </is>
      </c>
      <c r="B780" s="1" t="n">
        <v>45131</v>
      </c>
      <c r="C780" s="1" t="n">
        <v>45842</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34361-2023</t>
        </is>
      </c>
      <c r="B781" s="1" t="n">
        <v>45131</v>
      </c>
      <c r="C781" s="1" t="n">
        <v>45842</v>
      </c>
      <c r="D781" t="inlineStr">
        <is>
          <t>VÄSTMANLANDS LÄN</t>
        </is>
      </c>
      <c r="E781" t="inlineStr">
        <is>
          <t>SALA</t>
        </is>
      </c>
      <c r="G781" t="n">
        <v>2.7</v>
      </c>
      <c r="H781" t="n">
        <v>0</v>
      </c>
      <c r="I781" t="n">
        <v>0</v>
      </c>
      <c r="J781" t="n">
        <v>0</v>
      </c>
      <c r="K781" t="n">
        <v>0</v>
      </c>
      <c r="L781" t="n">
        <v>0</v>
      </c>
      <c r="M781" t="n">
        <v>0</v>
      </c>
      <c r="N781" t="n">
        <v>0</v>
      </c>
      <c r="O781" t="n">
        <v>0</v>
      </c>
      <c r="P781" t="n">
        <v>0</v>
      </c>
      <c r="Q781" t="n">
        <v>0</v>
      </c>
      <c r="R781" s="2" t="inlineStr"/>
    </row>
    <row r="782" ht="15" customHeight="1">
      <c r="A782" t="inlineStr">
        <is>
          <t>A 33732-2023</t>
        </is>
      </c>
      <c r="B782" s="1" t="n">
        <v>45133</v>
      </c>
      <c r="C782" s="1" t="n">
        <v>45842</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33743-2023</t>
        </is>
      </c>
      <c r="B783" s="1" t="n">
        <v>45133</v>
      </c>
      <c r="C783" s="1" t="n">
        <v>45842</v>
      </c>
      <c r="D783" t="inlineStr">
        <is>
          <t>VÄSTMANLANDS LÄN</t>
        </is>
      </c>
      <c r="E783" t="inlineStr">
        <is>
          <t>SALA</t>
        </is>
      </c>
      <c r="G783" t="n">
        <v>4.6</v>
      </c>
      <c r="H783" t="n">
        <v>0</v>
      </c>
      <c r="I783" t="n">
        <v>0</v>
      </c>
      <c r="J783" t="n">
        <v>0</v>
      </c>
      <c r="K783" t="n">
        <v>0</v>
      </c>
      <c r="L783" t="n">
        <v>0</v>
      </c>
      <c r="M783" t="n">
        <v>0</v>
      </c>
      <c r="N783" t="n">
        <v>0</v>
      </c>
      <c r="O783" t="n">
        <v>0</v>
      </c>
      <c r="P783" t="n">
        <v>0</v>
      </c>
      <c r="Q783" t="n">
        <v>0</v>
      </c>
      <c r="R783" s="2" t="inlineStr"/>
    </row>
    <row r="784" ht="15" customHeight="1">
      <c r="A784" t="inlineStr">
        <is>
          <t>A 34494-2023</t>
        </is>
      </c>
      <c r="B784" s="1" t="n">
        <v>45133</v>
      </c>
      <c r="C784" s="1" t="n">
        <v>45842</v>
      </c>
      <c r="D784" t="inlineStr">
        <is>
          <t>VÄSTMANLANDS LÄN</t>
        </is>
      </c>
      <c r="E784" t="inlineStr">
        <is>
          <t>SALA</t>
        </is>
      </c>
      <c r="G784" t="n">
        <v>0.8</v>
      </c>
      <c r="H784" t="n">
        <v>0</v>
      </c>
      <c r="I784" t="n">
        <v>0</v>
      </c>
      <c r="J784" t="n">
        <v>0</v>
      </c>
      <c r="K784" t="n">
        <v>0</v>
      </c>
      <c r="L784" t="n">
        <v>0</v>
      </c>
      <c r="M784" t="n">
        <v>0</v>
      </c>
      <c r="N784" t="n">
        <v>0</v>
      </c>
      <c r="O784" t="n">
        <v>0</v>
      </c>
      <c r="P784" t="n">
        <v>0</v>
      </c>
      <c r="Q784" t="n">
        <v>0</v>
      </c>
      <c r="R784" s="2" t="inlineStr"/>
    </row>
    <row r="785" ht="15" customHeight="1">
      <c r="A785" t="inlineStr">
        <is>
          <t>A 34215-2023</t>
        </is>
      </c>
      <c r="B785" s="1" t="n">
        <v>45138</v>
      </c>
      <c r="C785" s="1" t="n">
        <v>45842</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34867-2023</t>
        </is>
      </c>
      <c r="B786" s="1" t="n">
        <v>45142</v>
      </c>
      <c r="C786" s="1" t="n">
        <v>45842</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35434-2023</t>
        </is>
      </c>
      <c r="B787" s="1" t="n">
        <v>45146</v>
      </c>
      <c r="C787" s="1" t="n">
        <v>45842</v>
      </c>
      <c r="D787" t="inlineStr">
        <is>
          <t>VÄSTMANLANDS LÄN</t>
        </is>
      </c>
      <c r="E787" t="inlineStr">
        <is>
          <t>SALA</t>
        </is>
      </c>
      <c r="G787" t="n">
        <v>2.5</v>
      </c>
      <c r="H787" t="n">
        <v>0</v>
      </c>
      <c r="I787" t="n">
        <v>0</v>
      </c>
      <c r="J787" t="n">
        <v>0</v>
      </c>
      <c r="K787" t="n">
        <v>0</v>
      </c>
      <c r="L787" t="n">
        <v>0</v>
      </c>
      <c r="M787" t="n">
        <v>0</v>
      </c>
      <c r="N787" t="n">
        <v>0</v>
      </c>
      <c r="O787" t="n">
        <v>0</v>
      </c>
      <c r="P787" t="n">
        <v>0</v>
      </c>
      <c r="Q787" t="n">
        <v>0</v>
      </c>
      <c r="R787" s="2" t="inlineStr"/>
    </row>
    <row r="788" ht="15" customHeight="1">
      <c r="A788" t="inlineStr">
        <is>
          <t>A 36393-2023</t>
        </is>
      </c>
      <c r="B788" s="1" t="n">
        <v>45152</v>
      </c>
      <c r="C788" s="1" t="n">
        <v>45842</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36858-2023</t>
        </is>
      </c>
      <c r="B789" s="1" t="n">
        <v>45154</v>
      </c>
      <c r="C789" s="1" t="n">
        <v>45842</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38773-2023</t>
        </is>
      </c>
      <c r="B790" s="1" t="n">
        <v>45161</v>
      </c>
      <c r="C790" s="1" t="n">
        <v>45842</v>
      </c>
      <c r="D790" t="inlineStr">
        <is>
          <t>VÄSTMANLANDS LÄN</t>
        </is>
      </c>
      <c r="E790" t="inlineStr">
        <is>
          <t>SALA</t>
        </is>
      </c>
      <c r="G790" t="n">
        <v>12.5</v>
      </c>
      <c r="H790" t="n">
        <v>0</v>
      </c>
      <c r="I790" t="n">
        <v>0</v>
      </c>
      <c r="J790" t="n">
        <v>0</v>
      </c>
      <c r="K790" t="n">
        <v>0</v>
      </c>
      <c r="L790" t="n">
        <v>0</v>
      </c>
      <c r="M790" t="n">
        <v>0</v>
      </c>
      <c r="N790" t="n">
        <v>0</v>
      </c>
      <c r="O790" t="n">
        <v>0</v>
      </c>
      <c r="P790" t="n">
        <v>0</v>
      </c>
      <c r="Q790" t="n">
        <v>0</v>
      </c>
      <c r="R790" s="2" t="inlineStr"/>
    </row>
    <row r="791" ht="15" customHeight="1">
      <c r="A791" t="inlineStr">
        <is>
          <t>A 38561-2023</t>
        </is>
      </c>
      <c r="B791" s="1" t="n">
        <v>45162</v>
      </c>
      <c r="C791" s="1" t="n">
        <v>45842</v>
      </c>
      <c r="D791" t="inlineStr">
        <is>
          <t>VÄSTMANLANDS LÄN</t>
        </is>
      </c>
      <c r="E791" t="inlineStr">
        <is>
          <t>SALA</t>
        </is>
      </c>
      <c r="G791" t="n">
        <v>2.9</v>
      </c>
      <c r="H791" t="n">
        <v>0</v>
      </c>
      <c r="I791" t="n">
        <v>0</v>
      </c>
      <c r="J791" t="n">
        <v>0</v>
      </c>
      <c r="K791" t="n">
        <v>0</v>
      </c>
      <c r="L791" t="n">
        <v>0</v>
      </c>
      <c r="M791" t="n">
        <v>0</v>
      </c>
      <c r="N791" t="n">
        <v>0</v>
      </c>
      <c r="O791" t="n">
        <v>0</v>
      </c>
      <c r="P791" t="n">
        <v>0</v>
      </c>
      <c r="Q791" t="n">
        <v>0</v>
      </c>
      <c r="R791" s="2" t="inlineStr"/>
    </row>
    <row r="792" ht="15" customHeight="1">
      <c r="A792" t="inlineStr">
        <is>
          <t>A 39011-2023</t>
        </is>
      </c>
      <c r="B792" s="1" t="n">
        <v>45162</v>
      </c>
      <c r="C792" s="1" t="n">
        <v>45842</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39604-2023</t>
        </is>
      </c>
      <c r="B793" s="1" t="n">
        <v>45163</v>
      </c>
      <c r="C793" s="1" t="n">
        <v>45842</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39714-2023</t>
        </is>
      </c>
      <c r="B794" s="1" t="n">
        <v>45167</v>
      </c>
      <c r="C794" s="1" t="n">
        <v>45842</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39708-2023</t>
        </is>
      </c>
      <c r="B795" s="1" t="n">
        <v>45167</v>
      </c>
      <c r="C795" s="1" t="n">
        <v>45842</v>
      </c>
      <c r="D795" t="inlineStr">
        <is>
          <t>VÄSTMANLANDS LÄN</t>
        </is>
      </c>
      <c r="E795" t="inlineStr">
        <is>
          <t>SALA</t>
        </is>
      </c>
      <c r="G795" t="n">
        <v>5.3</v>
      </c>
      <c r="H795" t="n">
        <v>0</v>
      </c>
      <c r="I795" t="n">
        <v>0</v>
      </c>
      <c r="J795" t="n">
        <v>0</v>
      </c>
      <c r="K795" t="n">
        <v>0</v>
      </c>
      <c r="L795" t="n">
        <v>0</v>
      </c>
      <c r="M795" t="n">
        <v>0</v>
      </c>
      <c r="N795" t="n">
        <v>0</v>
      </c>
      <c r="O795" t="n">
        <v>0</v>
      </c>
      <c r="P795" t="n">
        <v>0</v>
      </c>
      <c r="Q795" t="n">
        <v>0</v>
      </c>
      <c r="R795" s="2" t="inlineStr"/>
    </row>
    <row r="796" ht="15" customHeight="1">
      <c r="A796" t="inlineStr">
        <is>
          <t>A 39713-2023</t>
        </is>
      </c>
      <c r="B796" s="1" t="n">
        <v>45167</v>
      </c>
      <c r="C796" s="1" t="n">
        <v>45842</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40214-2023</t>
        </is>
      </c>
      <c r="B797" s="1" t="n">
        <v>45169</v>
      </c>
      <c r="C797" s="1" t="n">
        <v>45842</v>
      </c>
      <c r="D797" t="inlineStr">
        <is>
          <t>VÄSTMANLANDS LÄN</t>
        </is>
      </c>
      <c r="E797" t="inlineStr">
        <is>
          <t>SALA</t>
        </is>
      </c>
      <c r="G797" t="n">
        <v>5.5</v>
      </c>
      <c r="H797" t="n">
        <v>0</v>
      </c>
      <c r="I797" t="n">
        <v>0</v>
      </c>
      <c r="J797" t="n">
        <v>0</v>
      </c>
      <c r="K797" t="n">
        <v>0</v>
      </c>
      <c r="L797" t="n">
        <v>0</v>
      </c>
      <c r="M797" t="n">
        <v>0</v>
      </c>
      <c r="N797" t="n">
        <v>0</v>
      </c>
      <c r="O797" t="n">
        <v>0</v>
      </c>
      <c r="P797" t="n">
        <v>0</v>
      </c>
      <c r="Q797" t="n">
        <v>0</v>
      </c>
      <c r="R797" s="2" t="inlineStr"/>
    </row>
    <row r="798" ht="15" customHeight="1">
      <c r="A798" t="inlineStr">
        <is>
          <t>A 41613-2023</t>
        </is>
      </c>
      <c r="B798" s="1" t="n">
        <v>45173</v>
      </c>
      <c r="C798" s="1" t="n">
        <v>45842</v>
      </c>
      <c r="D798" t="inlineStr">
        <is>
          <t>VÄSTMANLANDS LÄN</t>
        </is>
      </c>
      <c r="E798" t="inlineStr">
        <is>
          <t>SALA</t>
        </is>
      </c>
      <c r="G798" t="n">
        <v>0.7</v>
      </c>
      <c r="H798" t="n">
        <v>0</v>
      </c>
      <c r="I798" t="n">
        <v>0</v>
      </c>
      <c r="J798" t="n">
        <v>0</v>
      </c>
      <c r="K798" t="n">
        <v>0</v>
      </c>
      <c r="L798" t="n">
        <v>0</v>
      </c>
      <c r="M798" t="n">
        <v>0</v>
      </c>
      <c r="N798" t="n">
        <v>0</v>
      </c>
      <c r="O798" t="n">
        <v>0</v>
      </c>
      <c r="P798" t="n">
        <v>0</v>
      </c>
      <c r="Q798" t="n">
        <v>0</v>
      </c>
      <c r="R798" s="2" t="inlineStr"/>
    </row>
    <row r="799" ht="15" customHeight="1">
      <c r="A799" t="inlineStr">
        <is>
          <t>A 41619-2023</t>
        </is>
      </c>
      <c r="B799" s="1" t="n">
        <v>45173</v>
      </c>
      <c r="C799" s="1" t="n">
        <v>45842</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42312-2023</t>
        </is>
      </c>
      <c r="B800" s="1" t="n">
        <v>45175</v>
      </c>
      <c r="C800" s="1" t="n">
        <v>45842</v>
      </c>
      <c r="D800" t="inlineStr">
        <is>
          <t>VÄSTMANLANDS LÄN</t>
        </is>
      </c>
      <c r="E800" t="inlineStr">
        <is>
          <t>SALA</t>
        </is>
      </c>
      <c r="G800" t="n">
        <v>2.2</v>
      </c>
      <c r="H800" t="n">
        <v>0</v>
      </c>
      <c r="I800" t="n">
        <v>0</v>
      </c>
      <c r="J800" t="n">
        <v>0</v>
      </c>
      <c r="K800" t="n">
        <v>0</v>
      </c>
      <c r="L800" t="n">
        <v>0</v>
      </c>
      <c r="M800" t="n">
        <v>0</v>
      </c>
      <c r="N800" t="n">
        <v>0</v>
      </c>
      <c r="O800" t="n">
        <v>0</v>
      </c>
      <c r="P800" t="n">
        <v>0</v>
      </c>
      <c r="Q800" t="n">
        <v>0</v>
      </c>
      <c r="R800" s="2" t="inlineStr"/>
    </row>
    <row r="801" ht="15" customHeight="1">
      <c r="A801" t="inlineStr">
        <is>
          <t>A 42938-2023</t>
        </is>
      </c>
      <c r="B801" s="1" t="n">
        <v>45179</v>
      </c>
      <c r="C801" s="1" t="n">
        <v>45842</v>
      </c>
      <c r="D801" t="inlineStr">
        <is>
          <t>VÄSTMANLANDS LÄN</t>
        </is>
      </c>
      <c r="E801" t="inlineStr">
        <is>
          <t>SALA</t>
        </is>
      </c>
      <c r="G801" t="n">
        <v>10.9</v>
      </c>
      <c r="H801" t="n">
        <v>0</v>
      </c>
      <c r="I801" t="n">
        <v>0</v>
      </c>
      <c r="J801" t="n">
        <v>0</v>
      </c>
      <c r="K801" t="n">
        <v>0</v>
      </c>
      <c r="L801" t="n">
        <v>0</v>
      </c>
      <c r="M801" t="n">
        <v>0</v>
      </c>
      <c r="N801" t="n">
        <v>0</v>
      </c>
      <c r="O801" t="n">
        <v>0</v>
      </c>
      <c r="P801" t="n">
        <v>0</v>
      </c>
      <c r="Q801" t="n">
        <v>0</v>
      </c>
      <c r="R801" s="2" t="inlineStr"/>
    </row>
    <row r="802" ht="15" customHeight="1">
      <c r="A802" t="inlineStr">
        <is>
          <t>A 42984-2023</t>
        </is>
      </c>
      <c r="B802" s="1" t="n">
        <v>45179</v>
      </c>
      <c r="C802" s="1" t="n">
        <v>45842</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42991-2023</t>
        </is>
      </c>
      <c r="B803" s="1" t="n">
        <v>45179</v>
      </c>
      <c r="C803" s="1" t="n">
        <v>45842</v>
      </c>
      <c r="D803" t="inlineStr">
        <is>
          <t>VÄSTMANLANDS LÄN</t>
        </is>
      </c>
      <c r="E803" t="inlineStr">
        <is>
          <t>SALA</t>
        </is>
      </c>
      <c r="G803" t="n">
        <v>3.6</v>
      </c>
      <c r="H803" t="n">
        <v>0</v>
      </c>
      <c r="I803" t="n">
        <v>0</v>
      </c>
      <c r="J803" t="n">
        <v>0</v>
      </c>
      <c r="K803" t="n">
        <v>0</v>
      </c>
      <c r="L803" t="n">
        <v>0</v>
      </c>
      <c r="M803" t="n">
        <v>0</v>
      </c>
      <c r="N803" t="n">
        <v>0</v>
      </c>
      <c r="O803" t="n">
        <v>0</v>
      </c>
      <c r="P803" t="n">
        <v>0</v>
      </c>
      <c r="Q803" t="n">
        <v>0</v>
      </c>
      <c r="R803" s="2" t="inlineStr"/>
    </row>
    <row r="804" ht="15" customHeight="1">
      <c r="A804" t="inlineStr">
        <is>
          <t>A 44247-2023</t>
        </is>
      </c>
      <c r="B804" s="1" t="n">
        <v>45182</v>
      </c>
      <c r="C804" s="1" t="n">
        <v>45842</v>
      </c>
      <c r="D804" t="inlineStr">
        <is>
          <t>VÄSTMANLANDS LÄN</t>
        </is>
      </c>
      <c r="E804" t="inlineStr">
        <is>
          <t>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43188-2023</t>
        </is>
      </c>
      <c r="B805" s="1" t="n">
        <v>45183</v>
      </c>
      <c r="C805" s="1" t="n">
        <v>45842</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43184-2023</t>
        </is>
      </c>
      <c r="B806" s="1" t="n">
        <v>45183</v>
      </c>
      <c r="C806" s="1" t="n">
        <v>45842</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43205-2023</t>
        </is>
      </c>
      <c r="B807" s="1" t="n">
        <v>45183</v>
      </c>
      <c r="C807" s="1" t="n">
        <v>45842</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43176-2023</t>
        </is>
      </c>
      <c r="B808" s="1" t="n">
        <v>45183</v>
      </c>
      <c r="C808" s="1" t="n">
        <v>45842</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43187-2023</t>
        </is>
      </c>
      <c r="B809" s="1" t="n">
        <v>45183</v>
      </c>
      <c r="C809" s="1" t="n">
        <v>45842</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43363-2023</t>
        </is>
      </c>
      <c r="B810" s="1" t="n">
        <v>45183</v>
      </c>
      <c r="C810" s="1" t="n">
        <v>45842</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43362-2023</t>
        </is>
      </c>
      <c r="B811" s="1" t="n">
        <v>45183</v>
      </c>
      <c r="C811" s="1" t="n">
        <v>45842</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44713-2023</t>
        </is>
      </c>
      <c r="B812" s="1" t="n">
        <v>45184</v>
      </c>
      <c r="C812" s="1" t="n">
        <v>45842</v>
      </c>
      <c r="D812" t="inlineStr">
        <is>
          <t>VÄSTMANLANDS LÄN</t>
        </is>
      </c>
      <c r="E812" t="inlineStr">
        <is>
          <t>SALA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44720-2023</t>
        </is>
      </c>
      <c r="B813" s="1" t="n">
        <v>45184</v>
      </c>
      <c r="C813" s="1" t="n">
        <v>45842</v>
      </c>
      <c r="D813" t="inlineStr">
        <is>
          <t>VÄSTMANLANDS LÄN</t>
        </is>
      </c>
      <c r="E813" t="inlineStr">
        <is>
          <t>SALA</t>
        </is>
      </c>
      <c r="F813" t="inlineStr">
        <is>
          <t>Kyrkan</t>
        </is>
      </c>
      <c r="G813" t="n">
        <v>2.3</v>
      </c>
      <c r="H813" t="n">
        <v>0</v>
      </c>
      <c r="I813" t="n">
        <v>0</v>
      </c>
      <c r="J813" t="n">
        <v>0</v>
      </c>
      <c r="K813" t="n">
        <v>0</v>
      </c>
      <c r="L813" t="n">
        <v>0</v>
      </c>
      <c r="M813" t="n">
        <v>0</v>
      </c>
      <c r="N813" t="n">
        <v>0</v>
      </c>
      <c r="O813" t="n">
        <v>0</v>
      </c>
      <c r="P813" t="n">
        <v>0</v>
      </c>
      <c r="Q813" t="n">
        <v>0</v>
      </c>
      <c r="R813" s="2" t="inlineStr"/>
    </row>
    <row r="814" ht="15" customHeight="1">
      <c r="A814" t="inlineStr">
        <is>
          <t>A 44297-2023</t>
        </is>
      </c>
      <c r="B814" s="1" t="n">
        <v>45188</v>
      </c>
      <c r="C814" s="1" t="n">
        <v>45842</v>
      </c>
      <c r="D814" t="inlineStr">
        <is>
          <t>VÄSTMANLANDS LÄN</t>
        </is>
      </c>
      <c r="E814" t="inlineStr">
        <is>
          <t>SALA</t>
        </is>
      </c>
      <c r="G814" t="n">
        <v>2.7</v>
      </c>
      <c r="H814" t="n">
        <v>0</v>
      </c>
      <c r="I814" t="n">
        <v>0</v>
      </c>
      <c r="J814" t="n">
        <v>0</v>
      </c>
      <c r="K814" t="n">
        <v>0</v>
      </c>
      <c r="L814" t="n">
        <v>0</v>
      </c>
      <c r="M814" t="n">
        <v>0</v>
      </c>
      <c r="N814" t="n">
        <v>0</v>
      </c>
      <c r="O814" t="n">
        <v>0</v>
      </c>
      <c r="P814" t="n">
        <v>0</v>
      </c>
      <c r="Q814" t="n">
        <v>0</v>
      </c>
      <c r="R814" s="2" t="inlineStr"/>
    </row>
    <row r="815" ht="15" customHeight="1">
      <c r="A815" t="inlineStr">
        <is>
          <t>A 44846-2023</t>
        </is>
      </c>
      <c r="B815" s="1" t="n">
        <v>45190</v>
      </c>
      <c r="C815" s="1" t="n">
        <v>45842</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44857-2023</t>
        </is>
      </c>
      <c r="B816" s="1" t="n">
        <v>45190</v>
      </c>
      <c r="C816" s="1" t="n">
        <v>45842</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46352-2023</t>
        </is>
      </c>
      <c r="B817" s="1" t="n">
        <v>45192</v>
      </c>
      <c r="C817" s="1" t="n">
        <v>45842</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46355-2023</t>
        </is>
      </c>
      <c r="B818" s="1" t="n">
        <v>45192</v>
      </c>
      <c r="C818" s="1" t="n">
        <v>45842</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46350-2023</t>
        </is>
      </c>
      <c r="B819" s="1" t="n">
        <v>45192</v>
      </c>
      <c r="C819" s="1" t="n">
        <v>45842</v>
      </c>
      <c r="D819" t="inlineStr">
        <is>
          <t>VÄSTMANLANDS LÄN</t>
        </is>
      </c>
      <c r="E819" t="inlineStr">
        <is>
          <t>SALA</t>
        </is>
      </c>
      <c r="G819" t="n">
        <v>4.8</v>
      </c>
      <c r="H819" t="n">
        <v>0</v>
      </c>
      <c r="I819" t="n">
        <v>0</v>
      </c>
      <c r="J819" t="n">
        <v>0</v>
      </c>
      <c r="K819" t="n">
        <v>0</v>
      </c>
      <c r="L819" t="n">
        <v>0</v>
      </c>
      <c r="M819" t="n">
        <v>0</v>
      </c>
      <c r="N819" t="n">
        <v>0</v>
      </c>
      <c r="O819" t="n">
        <v>0</v>
      </c>
      <c r="P819" t="n">
        <v>0</v>
      </c>
      <c r="Q819" t="n">
        <v>0</v>
      </c>
      <c r="R819" s="2" t="inlineStr"/>
    </row>
    <row r="820" ht="15" customHeight="1">
      <c r="A820" t="inlineStr">
        <is>
          <t>A 45531-2023</t>
        </is>
      </c>
      <c r="B820" s="1" t="n">
        <v>45194</v>
      </c>
      <c r="C820" s="1" t="n">
        <v>45842</v>
      </c>
      <c r="D820" t="inlineStr">
        <is>
          <t>VÄSTMANLANDS LÄN</t>
        </is>
      </c>
      <c r="E820" t="inlineStr">
        <is>
          <t>SALA</t>
        </is>
      </c>
      <c r="G820" t="n">
        <v>0.7</v>
      </c>
      <c r="H820" t="n">
        <v>0</v>
      </c>
      <c r="I820" t="n">
        <v>0</v>
      </c>
      <c r="J820" t="n">
        <v>0</v>
      </c>
      <c r="K820" t="n">
        <v>0</v>
      </c>
      <c r="L820" t="n">
        <v>0</v>
      </c>
      <c r="M820" t="n">
        <v>0</v>
      </c>
      <c r="N820" t="n">
        <v>0</v>
      </c>
      <c r="O820" t="n">
        <v>0</v>
      </c>
      <c r="P820" t="n">
        <v>0</v>
      </c>
      <c r="Q820" t="n">
        <v>0</v>
      </c>
      <c r="R820" s="2" t="inlineStr"/>
    </row>
    <row r="821" ht="15" customHeight="1">
      <c r="A821" t="inlineStr">
        <is>
          <t>A 45602-2023</t>
        </is>
      </c>
      <c r="B821" s="1" t="n">
        <v>45194</v>
      </c>
      <c r="C821" s="1" t="n">
        <v>45842</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45790-2023</t>
        </is>
      </c>
      <c r="B822" s="1" t="n">
        <v>45195</v>
      </c>
      <c r="C822" s="1" t="n">
        <v>45842</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46226-2023</t>
        </is>
      </c>
      <c r="B823" s="1" t="n">
        <v>45196</v>
      </c>
      <c r="C823" s="1" t="n">
        <v>45842</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47501-2023</t>
        </is>
      </c>
      <c r="B824" s="1" t="n">
        <v>45202</v>
      </c>
      <c r="C824" s="1" t="n">
        <v>45842</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50876-2023</t>
        </is>
      </c>
      <c r="B825" s="1" t="n">
        <v>45211</v>
      </c>
      <c r="C825" s="1" t="n">
        <v>45842</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50241-2023</t>
        </is>
      </c>
      <c r="B826" s="1" t="n">
        <v>45216</v>
      </c>
      <c r="C826" s="1" t="n">
        <v>45842</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51203-2023</t>
        </is>
      </c>
      <c r="B827" s="1" t="n">
        <v>45219</v>
      </c>
      <c r="C827" s="1" t="n">
        <v>45842</v>
      </c>
      <c r="D827" t="inlineStr">
        <is>
          <t>VÄSTMANLANDS LÄN</t>
        </is>
      </c>
      <c r="E827" t="inlineStr">
        <is>
          <t>SALA</t>
        </is>
      </c>
      <c r="F827" t="inlineStr">
        <is>
          <t>Kommuner</t>
        </is>
      </c>
      <c r="G827" t="n">
        <v>2.7</v>
      </c>
      <c r="H827" t="n">
        <v>0</v>
      </c>
      <c r="I827" t="n">
        <v>0</v>
      </c>
      <c r="J827" t="n">
        <v>0</v>
      </c>
      <c r="K827" t="n">
        <v>0</v>
      </c>
      <c r="L827" t="n">
        <v>0</v>
      </c>
      <c r="M827" t="n">
        <v>0</v>
      </c>
      <c r="N827" t="n">
        <v>0</v>
      </c>
      <c r="O827" t="n">
        <v>0</v>
      </c>
      <c r="P827" t="n">
        <v>0</v>
      </c>
      <c r="Q827" t="n">
        <v>0</v>
      </c>
      <c r="R827" s="2" t="inlineStr"/>
    </row>
    <row r="828" ht="15" customHeight="1">
      <c r="A828" t="inlineStr">
        <is>
          <t>A 51848-2023</t>
        </is>
      </c>
      <c r="B828" s="1" t="n">
        <v>45223</v>
      </c>
      <c r="C828" s="1" t="n">
        <v>45842</v>
      </c>
      <c r="D828" t="inlineStr">
        <is>
          <t>VÄSTMANLANDS LÄN</t>
        </is>
      </c>
      <c r="E828" t="inlineStr">
        <is>
          <t>SALA</t>
        </is>
      </c>
      <c r="G828" t="n">
        <v>7</v>
      </c>
      <c r="H828" t="n">
        <v>0</v>
      </c>
      <c r="I828" t="n">
        <v>0</v>
      </c>
      <c r="J828" t="n">
        <v>0</v>
      </c>
      <c r="K828" t="n">
        <v>0</v>
      </c>
      <c r="L828" t="n">
        <v>0</v>
      </c>
      <c r="M828" t="n">
        <v>0</v>
      </c>
      <c r="N828" t="n">
        <v>0</v>
      </c>
      <c r="O828" t="n">
        <v>0</v>
      </c>
      <c r="P828" t="n">
        <v>0</v>
      </c>
      <c r="Q828" t="n">
        <v>0</v>
      </c>
      <c r="R828" s="2" t="inlineStr"/>
    </row>
    <row r="829" ht="15" customHeight="1">
      <c r="A829" t="inlineStr">
        <is>
          <t>A 52654-2023</t>
        </is>
      </c>
      <c r="B829" s="1" t="n">
        <v>45225</v>
      </c>
      <c r="C829" s="1" t="n">
        <v>45842</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54910-2023</t>
        </is>
      </c>
      <c r="B830" s="1" t="n">
        <v>45229</v>
      </c>
      <c r="C830" s="1" t="n">
        <v>45842</v>
      </c>
      <c r="D830" t="inlineStr">
        <is>
          <t>VÄSTMANLANDS LÄN</t>
        </is>
      </c>
      <c r="E830" t="inlineStr">
        <is>
          <t>SALA</t>
        </is>
      </c>
      <c r="G830" t="n">
        <v>2.4</v>
      </c>
      <c r="H830" t="n">
        <v>0</v>
      </c>
      <c r="I830" t="n">
        <v>0</v>
      </c>
      <c r="J830" t="n">
        <v>0</v>
      </c>
      <c r="K830" t="n">
        <v>0</v>
      </c>
      <c r="L830" t="n">
        <v>0</v>
      </c>
      <c r="M830" t="n">
        <v>0</v>
      </c>
      <c r="N830" t="n">
        <v>0</v>
      </c>
      <c r="O830" t="n">
        <v>0</v>
      </c>
      <c r="P830" t="n">
        <v>0</v>
      </c>
      <c r="Q830" t="n">
        <v>0</v>
      </c>
      <c r="R830" s="2" t="inlineStr"/>
    </row>
    <row r="831" ht="15" customHeight="1">
      <c r="A831" t="inlineStr">
        <is>
          <t>A 55024-2023</t>
        </is>
      </c>
      <c r="B831" s="1" t="n">
        <v>45229</v>
      </c>
      <c r="C831" s="1" t="n">
        <v>45842</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55032-2023</t>
        </is>
      </c>
      <c r="B832" s="1" t="n">
        <v>45229</v>
      </c>
      <c r="C832" s="1" t="n">
        <v>45842</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55035-2023</t>
        </is>
      </c>
      <c r="B833" s="1" t="n">
        <v>45229</v>
      </c>
      <c r="C833" s="1" t="n">
        <v>45842</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55040-2023</t>
        </is>
      </c>
      <c r="B834" s="1" t="n">
        <v>45229</v>
      </c>
      <c r="C834" s="1" t="n">
        <v>45842</v>
      </c>
      <c r="D834" t="inlineStr">
        <is>
          <t>VÄSTMANLANDS LÄN</t>
        </is>
      </c>
      <c r="E834" t="inlineStr">
        <is>
          <t>SALA</t>
        </is>
      </c>
      <c r="G834" t="n">
        <v>3.3</v>
      </c>
      <c r="H834" t="n">
        <v>0</v>
      </c>
      <c r="I834" t="n">
        <v>0</v>
      </c>
      <c r="J834" t="n">
        <v>0</v>
      </c>
      <c r="K834" t="n">
        <v>0</v>
      </c>
      <c r="L834" t="n">
        <v>0</v>
      </c>
      <c r="M834" t="n">
        <v>0</v>
      </c>
      <c r="N834" t="n">
        <v>0</v>
      </c>
      <c r="O834" t="n">
        <v>0</v>
      </c>
      <c r="P834" t="n">
        <v>0</v>
      </c>
      <c r="Q834" t="n">
        <v>0</v>
      </c>
      <c r="R834" s="2" t="inlineStr"/>
    </row>
    <row r="835" ht="15" customHeight="1">
      <c r="A835" t="inlineStr">
        <is>
          <t>A 53877-2023</t>
        </is>
      </c>
      <c r="B835" s="1" t="n">
        <v>45231</v>
      </c>
      <c r="C835" s="1" t="n">
        <v>45842</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53951-2023</t>
        </is>
      </c>
      <c r="B836" s="1" t="n">
        <v>45231</v>
      </c>
      <c r="C836" s="1" t="n">
        <v>45842</v>
      </c>
      <c r="D836" t="inlineStr">
        <is>
          <t>VÄSTMANLANDS LÄN</t>
        </is>
      </c>
      <c r="E836" t="inlineStr">
        <is>
          <t>SALA</t>
        </is>
      </c>
      <c r="F836" t="inlineStr">
        <is>
          <t>Kommuner</t>
        </is>
      </c>
      <c r="G836" t="n">
        <v>8.4</v>
      </c>
      <c r="H836" t="n">
        <v>0</v>
      </c>
      <c r="I836" t="n">
        <v>0</v>
      </c>
      <c r="J836" t="n">
        <v>0</v>
      </c>
      <c r="K836" t="n">
        <v>0</v>
      </c>
      <c r="L836" t="n">
        <v>0</v>
      </c>
      <c r="M836" t="n">
        <v>0</v>
      </c>
      <c r="N836" t="n">
        <v>0</v>
      </c>
      <c r="O836" t="n">
        <v>0</v>
      </c>
      <c r="P836" t="n">
        <v>0</v>
      </c>
      <c r="Q836" t="n">
        <v>0</v>
      </c>
      <c r="R836" s="2" t="inlineStr"/>
      <c r="U836">
        <f>HYPERLINK("https://klasma.github.io/Logging_1981/knärot/A 53951-2023 karta knärot.png", "A 53951-2023")</f>
        <v/>
      </c>
      <c r="V836">
        <f>HYPERLINK("https://klasma.github.io/Logging_1981/klagomål/A 53951-2023 FSC-klagomål.docx", "A 53951-2023")</f>
        <v/>
      </c>
      <c r="W836">
        <f>HYPERLINK("https://klasma.github.io/Logging_1981/klagomålsmail/A 53951-2023 FSC-klagomål mail.docx", "A 53951-2023")</f>
        <v/>
      </c>
      <c r="X836">
        <f>HYPERLINK("https://klasma.github.io/Logging_1981/tillsyn/A 53951-2023 tillsynsbegäran.docx", "A 53951-2023")</f>
        <v/>
      </c>
      <c r="Y836">
        <f>HYPERLINK("https://klasma.github.io/Logging_1981/tillsynsmail/A 53951-2023 tillsynsbegäran mail.docx", "A 53951-2023")</f>
        <v/>
      </c>
    </row>
    <row r="837" ht="15" customHeight="1">
      <c r="A837" t="inlineStr">
        <is>
          <t>A 54125-2023</t>
        </is>
      </c>
      <c r="B837" s="1" t="n">
        <v>45232</v>
      </c>
      <c r="C837" s="1" t="n">
        <v>45842</v>
      </c>
      <c r="D837" t="inlineStr">
        <is>
          <t>VÄSTMANLANDS LÄN</t>
        </is>
      </c>
      <c r="E837" t="inlineStr">
        <is>
          <t>SALA</t>
        </is>
      </c>
      <c r="G837" t="n">
        <v>3.7</v>
      </c>
      <c r="H837" t="n">
        <v>0</v>
      </c>
      <c r="I837" t="n">
        <v>0</v>
      </c>
      <c r="J837" t="n">
        <v>0</v>
      </c>
      <c r="K837" t="n">
        <v>0</v>
      </c>
      <c r="L837" t="n">
        <v>0</v>
      </c>
      <c r="M837" t="n">
        <v>0</v>
      </c>
      <c r="N837" t="n">
        <v>0</v>
      </c>
      <c r="O837" t="n">
        <v>0</v>
      </c>
      <c r="P837" t="n">
        <v>0</v>
      </c>
      <c r="Q837" t="n">
        <v>0</v>
      </c>
      <c r="R837" s="2" t="inlineStr"/>
    </row>
    <row r="838" ht="15" customHeight="1">
      <c r="A838" t="inlineStr">
        <is>
          <t>A 54114-2023</t>
        </is>
      </c>
      <c r="B838" s="1" t="n">
        <v>45232</v>
      </c>
      <c r="C838" s="1" t="n">
        <v>45842</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54118-2023</t>
        </is>
      </c>
      <c r="B839" s="1" t="n">
        <v>45232</v>
      </c>
      <c r="C839" s="1" t="n">
        <v>45842</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55556-2023</t>
        </is>
      </c>
      <c r="B840" s="1" t="n">
        <v>45232</v>
      </c>
      <c r="C840" s="1" t="n">
        <v>45842</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56057-2023</t>
        </is>
      </c>
      <c r="B841" s="1" t="n">
        <v>45233</v>
      </c>
      <c r="C841" s="1" t="n">
        <v>45842</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56064-2023</t>
        </is>
      </c>
      <c r="B842" s="1" t="n">
        <v>45233</v>
      </c>
      <c r="C842" s="1" t="n">
        <v>45842</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55504-2023</t>
        </is>
      </c>
      <c r="B843" s="1" t="n">
        <v>45238</v>
      </c>
      <c r="C843" s="1" t="n">
        <v>45842</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55474-2023</t>
        </is>
      </c>
      <c r="B844" s="1" t="n">
        <v>45238</v>
      </c>
      <c r="C844" s="1" t="n">
        <v>45842</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56956-2023</t>
        </is>
      </c>
      <c r="B845" s="1" t="n">
        <v>45244</v>
      </c>
      <c r="C845" s="1" t="n">
        <v>45842</v>
      </c>
      <c r="D845" t="inlineStr">
        <is>
          <t>VÄSTMANLANDS LÄN</t>
        </is>
      </c>
      <c r="E845" t="inlineStr">
        <is>
          <t>SALA</t>
        </is>
      </c>
      <c r="G845" t="n">
        <v>6.5</v>
      </c>
      <c r="H845" t="n">
        <v>0</v>
      </c>
      <c r="I845" t="n">
        <v>0</v>
      </c>
      <c r="J845" t="n">
        <v>0</v>
      </c>
      <c r="K845" t="n">
        <v>0</v>
      </c>
      <c r="L845" t="n">
        <v>0</v>
      </c>
      <c r="M845" t="n">
        <v>0</v>
      </c>
      <c r="N845" t="n">
        <v>0</v>
      </c>
      <c r="O845" t="n">
        <v>0</v>
      </c>
      <c r="P845" t="n">
        <v>0</v>
      </c>
      <c r="Q845" t="n">
        <v>0</v>
      </c>
      <c r="R845" s="2" t="inlineStr"/>
    </row>
    <row r="846" ht="15" customHeight="1">
      <c r="A846" t="inlineStr">
        <is>
          <t>A 56949-2023</t>
        </is>
      </c>
      <c r="B846" s="1" t="n">
        <v>45244</v>
      </c>
      <c r="C846" s="1" t="n">
        <v>45842</v>
      </c>
      <c r="D846" t="inlineStr">
        <is>
          <t>VÄSTMANLANDS LÄN</t>
        </is>
      </c>
      <c r="E846" t="inlineStr">
        <is>
          <t>SALA</t>
        </is>
      </c>
      <c r="G846" t="n">
        <v>4.7</v>
      </c>
      <c r="H846" t="n">
        <v>0</v>
      </c>
      <c r="I846" t="n">
        <v>0</v>
      </c>
      <c r="J846" t="n">
        <v>0</v>
      </c>
      <c r="K846" t="n">
        <v>0</v>
      </c>
      <c r="L846" t="n">
        <v>0</v>
      </c>
      <c r="M846" t="n">
        <v>0</v>
      </c>
      <c r="N846" t="n">
        <v>0</v>
      </c>
      <c r="O846" t="n">
        <v>0</v>
      </c>
      <c r="P846" t="n">
        <v>0</v>
      </c>
      <c r="Q846" t="n">
        <v>0</v>
      </c>
      <c r="R846" s="2" t="inlineStr"/>
    </row>
    <row r="847" ht="15" customHeight="1">
      <c r="A847" t="inlineStr">
        <is>
          <t>A 56964-2023</t>
        </is>
      </c>
      <c r="B847" s="1" t="n">
        <v>45244</v>
      </c>
      <c r="C847" s="1" t="n">
        <v>45842</v>
      </c>
      <c r="D847" t="inlineStr">
        <is>
          <t>VÄSTMANLANDS LÄN</t>
        </is>
      </c>
      <c r="E847" t="inlineStr">
        <is>
          <t>SALA</t>
        </is>
      </c>
      <c r="G847" t="n">
        <v>4.6</v>
      </c>
      <c r="H847" t="n">
        <v>0</v>
      </c>
      <c r="I847" t="n">
        <v>0</v>
      </c>
      <c r="J847" t="n">
        <v>0</v>
      </c>
      <c r="K847" t="n">
        <v>0</v>
      </c>
      <c r="L847" t="n">
        <v>0</v>
      </c>
      <c r="M847" t="n">
        <v>0</v>
      </c>
      <c r="N847" t="n">
        <v>0</v>
      </c>
      <c r="O847" t="n">
        <v>0</v>
      </c>
      <c r="P847" t="n">
        <v>0</v>
      </c>
      <c r="Q847" t="n">
        <v>0</v>
      </c>
      <c r="R847" s="2" t="inlineStr"/>
    </row>
    <row r="848" ht="15" customHeight="1">
      <c r="A848" t="inlineStr">
        <is>
          <t>A 58028-2023</t>
        </is>
      </c>
      <c r="B848" s="1" t="n">
        <v>45247</v>
      </c>
      <c r="C848" s="1" t="n">
        <v>45842</v>
      </c>
      <c r="D848" t="inlineStr">
        <is>
          <t>VÄSTMANLANDS LÄN</t>
        </is>
      </c>
      <c r="E848" t="inlineStr">
        <is>
          <t>SALA</t>
        </is>
      </c>
      <c r="G848" t="n">
        <v>19.6</v>
      </c>
      <c r="H848" t="n">
        <v>0</v>
      </c>
      <c r="I848" t="n">
        <v>0</v>
      </c>
      <c r="J848" t="n">
        <v>0</v>
      </c>
      <c r="K848" t="n">
        <v>0</v>
      </c>
      <c r="L848" t="n">
        <v>0</v>
      </c>
      <c r="M848" t="n">
        <v>0</v>
      </c>
      <c r="N848" t="n">
        <v>0</v>
      </c>
      <c r="O848" t="n">
        <v>0</v>
      </c>
      <c r="P848" t="n">
        <v>0</v>
      </c>
      <c r="Q848" t="n">
        <v>0</v>
      </c>
      <c r="R848" s="2" t="inlineStr"/>
    </row>
    <row r="849" ht="15" customHeight="1">
      <c r="A849" t="inlineStr">
        <is>
          <t>A 58113-2023</t>
        </is>
      </c>
      <c r="B849" s="1" t="n">
        <v>45249</v>
      </c>
      <c r="C849" s="1" t="n">
        <v>45842</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58271-2023</t>
        </is>
      </c>
      <c r="B850" s="1" t="n">
        <v>45250</v>
      </c>
      <c r="C850" s="1" t="n">
        <v>45842</v>
      </c>
      <c r="D850" t="inlineStr">
        <is>
          <t>VÄSTMANLANDS LÄN</t>
        </is>
      </c>
      <c r="E850" t="inlineStr">
        <is>
          <t>SALA</t>
        </is>
      </c>
      <c r="G850" t="n">
        <v>5.2</v>
      </c>
      <c r="H850" t="n">
        <v>0</v>
      </c>
      <c r="I850" t="n">
        <v>0</v>
      </c>
      <c r="J850" t="n">
        <v>0</v>
      </c>
      <c r="K850" t="n">
        <v>0</v>
      </c>
      <c r="L850" t="n">
        <v>0</v>
      </c>
      <c r="M850" t="n">
        <v>0</v>
      </c>
      <c r="N850" t="n">
        <v>0</v>
      </c>
      <c r="O850" t="n">
        <v>0</v>
      </c>
      <c r="P850" t="n">
        <v>0</v>
      </c>
      <c r="Q850" t="n">
        <v>0</v>
      </c>
      <c r="R850" s="2" t="inlineStr"/>
    </row>
    <row r="851" ht="15" customHeight="1">
      <c r="A851" t="inlineStr">
        <is>
          <t>A 58920-2023</t>
        </is>
      </c>
      <c r="B851" s="1" t="n">
        <v>45252</v>
      </c>
      <c r="C851" s="1" t="n">
        <v>45842</v>
      </c>
      <c r="D851" t="inlineStr">
        <is>
          <t>VÄSTMANLANDS LÄN</t>
        </is>
      </c>
      <c r="E851" t="inlineStr">
        <is>
          <t>SALA</t>
        </is>
      </c>
      <c r="G851" t="n">
        <v>2.4</v>
      </c>
      <c r="H851" t="n">
        <v>0</v>
      </c>
      <c r="I851" t="n">
        <v>0</v>
      </c>
      <c r="J851" t="n">
        <v>0</v>
      </c>
      <c r="K851" t="n">
        <v>0</v>
      </c>
      <c r="L851" t="n">
        <v>0</v>
      </c>
      <c r="M851" t="n">
        <v>0</v>
      </c>
      <c r="N851" t="n">
        <v>0</v>
      </c>
      <c r="O851" t="n">
        <v>0</v>
      </c>
      <c r="P851" t="n">
        <v>0</v>
      </c>
      <c r="Q851" t="n">
        <v>0</v>
      </c>
      <c r="R851" s="2" t="inlineStr"/>
    </row>
    <row r="852" ht="15" customHeight="1">
      <c r="A852" t="inlineStr">
        <is>
          <t>A 58823-2023</t>
        </is>
      </c>
      <c r="B852" s="1" t="n">
        <v>45252</v>
      </c>
      <c r="C852" s="1" t="n">
        <v>45842</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59297-2023</t>
        </is>
      </c>
      <c r="B853" s="1" t="n">
        <v>45253</v>
      </c>
      <c r="C853" s="1" t="n">
        <v>45842</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59713-2023</t>
        </is>
      </c>
      <c r="B854" s="1" t="n">
        <v>45257</v>
      </c>
      <c r="C854" s="1" t="n">
        <v>45842</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59785-2023</t>
        </is>
      </c>
      <c r="B855" s="1" t="n">
        <v>45257</v>
      </c>
      <c r="C855" s="1" t="n">
        <v>45842</v>
      </c>
      <c r="D855" t="inlineStr">
        <is>
          <t>VÄSTMANLANDS LÄN</t>
        </is>
      </c>
      <c r="E855" t="inlineStr">
        <is>
          <t>SALA</t>
        </is>
      </c>
      <c r="G855" t="n">
        <v>2.2</v>
      </c>
      <c r="H855" t="n">
        <v>0</v>
      </c>
      <c r="I855" t="n">
        <v>0</v>
      </c>
      <c r="J855" t="n">
        <v>0</v>
      </c>
      <c r="K855" t="n">
        <v>0</v>
      </c>
      <c r="L855" t="n">
        <v>0</v>
      </c>
      <c r="M855" t="n">
        <v>0</v>
      </c>
      <c r="N855" t="n">
        <v>0</v>
      </c>
      <c r="O855" t="n">
        <v>0</v>
      </c>
      <c r="P855" t="n">
        <v>0</v>
      </c>
      <c r="Q855" t="n">
        <v>0</v>
      </c>
      <c r="R855" s="2" t="inlineStr"/>
    </row>
    <row r="856" ht="15" customHeight="1">
      <c r="A856" t="inlineStr">
        <is>
          <t>A 60249-2023</t>
        </is>
      </c>
      <c r="B856" s="1" t="n">
        <v>45258</v>
      </c>
      <c r="C856" s="1" t="n">
        <v>45842</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60731-2023</t>
        </is>
      </c>
      <c r="B857" s="1" t="n">
        <v>45260</v>
      </c>
      <c r="C857" s="1" t="n">
        <v>45842</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60730-2023</t>
        </is>
      </c>
      <c r="B858" s="1" t="n">
        <v>45260</v>
      </c>
      <c r="C858" s="1" t="n">
        <v>45842</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61525-2023</t>
        </is>
      </c>
      <c r="B859" s="1" t="n">
        <v>45265</v>
      </c>
      <c r="C859" s="1" t="n">
        <v>45842</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c r="U859">
        <f>HYPERLINK("https://klasma.github.io/Logging_1981/knärot/A 61525-2023 karta knärot.png", "A 61525-2023")</f>
        <v/>
      </c>
      <c r="V859">
        <f>HYPERLINK("https://klasma.github.io/Logging_1981/klagomål/A 61525-2023 FSC-klagomål.docx", "A 61525-2023")</f>
        <v/>
      </c>
      <c r="W859">
        <f>HYPERLINK("https://klasma.github.io/Logging_1981/klagomålsmail/A 61525-2023 FSC-klagomål mail.docx", "A 61525-2023")</f>
        <v/>
      </c>
      <c r="X859">
        <f>HYPERLINK("https://klasma.github.io/Logging_1981/tillsyn/A 61525-2023 tillsynsbegäran.docx", "A 61525-2023")</f>
        <v/>
      </c>
      <c r="Y859">
        <f>HYPERLINK("https://klasma.github.io/Logging_1981/tillsynsmail/A 61525-2023 tillsynsbegäran mail.docx", "A 61525-2023")</f>
        <v/>
      </c>
    </row>
    <row r="860" ht="15" customHeight="1">
      <c r="A860" t="inlineStr">
        <is>
          <t>A 62449-2023</t>
        </is>
      </c>
      <c r="B860" s="1" t="n">
        <v>45268</v>
      </c>
      <c r="C860" s="1" t="n">
        <v>45842</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62630-2023</t>
        </is>
      </c>
      <c r="B861" s="1" t="n">
        <v>45271</v>
      </c>
      <c r="C861" s="1" t="n">
        <v>45842</v>
      </c>
      <c r="D861" t="inlineStr">
        <is>
          <t>VÄSTMANLANDS LÄN</t>
        </is>
      </c>
      <c r="E861" t="inlineStr">
        <is>
          <t>SALA</t>
        </is>
      </c>
      <c r="G861" t="n">
        <v>1.5</v>
      </c>
      <c r="H861" t="n">
        <v>0</v>
      </c>
      <c r="I861" t="n">
        <v>0</v>
      </c>
      <c r="J861" t="n">
        <v>0</v>
      </c>
      <c r="K861" t="n">
        <v>0</v>
      </c>
      <c r="L861" t="n">
        <v>0</v>
      </c>
      <c r="M861" t="n">
        <v>0</v>
      </c>
      <c r="N861" t="n">
        <v>0</v>
      </c>
      <c r="O861" t="n">
        <v>0</v>
      </c>
      <c r="P861" t="n">
        <v>0</v>
      </c>
      <c r="Q861" t="n">
        <v>0</v>
      </c>
      <c r="R861" s="2" t="inlineStr"/>
    </row>
    <row r="862" ht="15" customHeight="1">
      <c r="A862" t="inlineStr">
        <is>
          <t>A 63234-2023</t>
        </is>
      </c>
      <c r="B862" s="1" t="n">
        <v>45273</v>
      </c>
      <c r="C862" s="1" t="n">
        <v>45842</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63274-2023</t>
        </is>
      </c>
      <c r="B863" s="1" t="n">
        <v>45273</v>
      </c>
      <c r="C863" s="1" t="n">
        <v>45842</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63466-2023</t>
        </is>
      </c>
      <c r="B864" s="1" t="n">
        <v>45274</v>
      </c>
      <c r="C864" s="1" t="n">
        <v>45842</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63564-2023</t>
        </is>
      </c>
      <c r="B865" s="1" t="n">
        <v>45275</v>
      </c>
      <c r="C865" s="1" t="n">
        <v>45842</v>
      </c>
      <c r="D865" t="inlineStr">
        <is>
          <t>VÄSTMANLANDS LÄN</t>
        </is>
      </c>
      <c r="E865" t="inlineStr">
        <is>
          <t>SALA</t>
        </is>
      </c>
      <c r="G865" t="n">
        <v>3.6</v>
      </c>
      <c r="H865" t="n">
        <v>0</v>
      </c>
      <c r="I865" t="n">
        <v>0</v>
      </c>
      <c r="J865" t="n">
        <v>0</v>
      </c>
      <c r="K865" t="n">
        <v>0</v>
      </c>
      <c r="L865" t="n">
        <v>0</v>
      </c>
      <c r="M865" t="n">
        <v>0</v>
      </c>
      <c r="N865" t="n">
        <v>0</v>
      </c>
      <c r="O865" t="n">
        <v>0</v>
      </c>
      <c r="P865" t="n">
        <v>0</v>
      </c>
      <c r="Q865" t="n">
        <v>0</v>
      </c>
      <c r="R865" s="2" t="inlineStr"/>
    </row>
    <row r="866" ht="15" customHeight="1">
      <c r="A866" t="inlineStr">
        <is>
          <t>A 63905-2023</t>
        </is>
      </c>
      <c r="B866" s="1" t="n">
        <v>45278</v>
      </c>
      <c r="C866" s="1" t="n">
        <v>45842</v>
      </c>
      <c r="D866" t="inlineStr">
        <is>
          <t>VÄSTMANLANDS LÄN</t>
        </is>
      </c>
      <c r="E866" t="inlineStr">
        <is>
          <t>SALA</t>
        </is>
      </c>
      <c r="G866" t="n">
        <v>4.1</v>
      </c>
      <c r="H866" t="n">
        <v>0</v>
      </c>
      <c r="I866" t="n">
        <v>0</v>
      </c>
      <c r="J866" t="n">
        <v>0</v>
      </c>
      <c r="K866" t="n">
        <v>0</v>
      </c>
      <c r="L866" t="n">
        <v>0</v>
      </c>
      <c r="M866" t="n">
        <v>0</v>
      </c>
      <c r="N866" t="n">
        <v>0</v>
      </c>
      <c r="O866" t="n">
        <v>0</v>
      </c>
      <c r="P866" t="n">
        <v>0</v>
      </c>
      <c r="Q866" t="n">
        <v>0</v>
      </c>
      <c r="R866" s="2" t="inlineStr"/>
    </row>
    <row r="867" ht="15" customHeight="1">
      <c r="A867" t="inlineStr">
        <is>
          <t>A 63933-2023</t>
        </is>
      </c>
      <c r="B867" s="1" t="n">
        <v>45278</v>
      </c>
      <c r="C867" s="1" t="n">
        <v>45842</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64109-2023</t>
        </is>
      </c>
      <c r="B868" s="1" t="n">
        <v>45279</v>
      </c>
      <c r="C868" s="1" t="n">
        <v>45842</v>
      </c>
      <c r="D868" t="inlineStr">
        <is>
          <t>VÄSTMANLANDS LÄN</t>
        </is>
      </c>
      <c r="E868" t="inlineStr">
        <is>
          <t>SALA</t>
        </is>
      </c>
      <c r="G868" t="n">
        <v>3.7</v>
      </c>
      <c r="H868" t="n">
        <v>0</v>
      </c>
      <c r="I868" t="n">
        <v>0</v>
      </c>
      <c r="J868" t="n">
        <v>0</v>
      </c>
      <c r="K868" t="n">
        <v>0</v>
      </c>
      <c r="L868" t="n">
        <v>0</v>
      </c>
      <c r="M868" t="n">
        <v>0</v>
      </c>
      <c r="N868" t="n">
        <v>0</v>
      </c>
      <c r="O868" t="n">
        <v>0</v>
      </c>
      <c r="P868" t="n">
        <v>0</v>
      </c>
      <c r="Q868" t="n">
        <v>0</v>
      </c>
      <c r="R868" s="2" t="inlineStr"/>
    </row>
    <row r="869" ht="15" customHeight="1">
      <c r="A869" t="inlineStr">
        <is>
          <t>A 64123-2023</t>
        </is>
      </c>
      <c r="B869" s="1" t="n">
        <v>45279</v>
      </c>
      <c r="C869" s="1" t="n">
        <v>45842</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64693-2023</t>
        </is>
      </c>
      <c r="B870" s="1" t="n">
        <v>45281</v>
      </c>
      <c r="C870" s="1" t="n">
        <v>45842</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64729-2023</t>
        </is>
      </c>
      <c r="B871" s="1" t="n">
        <v>45281</v>
      </c>
      <c r="C871" s="1" t="n">
        <v>45842</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64724-2023</t>
        </is>
      </c>
      <c r="B872" s="1" t="n">
        <v>45281</v>
      </c>
      <c r="C872" s="1" t="n">
        <v>45842</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64692-2023</t>
        </is>
      </c>
      <c r="B873" s="1" t="n">
        <v>45281</v>
      </c>
      <c r="C873" s="1" t="n">
        <v>45842</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64687-2023</t>
        </is>
      </c>
      <c r="B874" s="1" t="n">
        <v>45281</v>
      </c>
      <c r="C874" s="1" t="n">
        <v>45842</v>
      </c>
      <c r="D874" t="inlineStr">
        <is>
          <t>VÄSTMANLANDS LÄN</t>
        </is>
      </c>
      <c r="E874" t="inlineStr">
        <is>
          <t>SALA</t>
        </is>
      </c>
      <c r="G874" t="n">
        <v>2.8</v>
      </c>
      <c r="H874" t="n">
        <v>0</v>
      </c>
      <c r="I874" t="n">
        <v>0</v>
      </c>
      <c r="J874" t="n">
        <v>0</v>
      </c>
      <c r="K874" t="n">
        <v>0</v>
      </c>
      <c r="L874" t="n">
        <v>0</v>
      </c>
      <c r="M874" t="n">
        <v>0</v>
      </c>
      <c r="N874" t="n">
        <v>0</v>
      </c>
      <c r="O874" t="n">
        <v>0</v>
      </c>
      <c r="P874" t="n">
        <v>0</v>
      </c>
      <c r="Q874" t="n">
        <v>0</v>
      </c>
      <c r="R874" s="2" t="inlineStr"/>
    </row>
    <row r="875" ht="15" customHeight="1">
      <c r="A875" t="inlineStr">
        <is>
          <t>A 64695-2023</t>
        </is>
      </c>
      <c r="B875" s="1" t="n">
        <v>45281</v>
      </c>
      <c r="C875" s="1" t="n">
        <v>45842</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64925-2023</t>
        </is>
      </c>
      <c r="B876" s="1" t="n">
        <v>45282</v>
      </c>
      <c r="C876" s="1" t="n">
        <v>45842</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30-2024</t>
        </is>
      </c>
      <c r="B877" s="1" t="n">
        <v>45293</v>
      </c>
      <c r="C877" s="1" t="n">
        <v>45842</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96-2024</t>
        </is>
      </c>
      <c r="B878" s="1" t="n">
        <v>45293</v>
      </c>
      <c r="C878" s="1" t="n">
        <v>45842</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110-2024</t>
        </is>
      </c>
      <c r="B879" s="1" t="n">
        <v>45294</v>
      </c>
      <c r="C879" s="1" t="n">
        <v>45842</v>
      </c>
      <c r="D879" t="inlineStr">
        <is>
          <t>VÄSTMANLANDS LÄN</t>
        </is>
      </c>
      <c r="E879" t="inlineStr">
        <is>
          <t>SALA</t>
        </is>
      </c>
      <c r="G879" t="n">
        <v>3.8</v>
      </c>
      <c r="H879" t="n">
        <v>0</v>
      </c>
      <c r="I879" t="n">
        <v>0</v>
      </c>
      <c r="J879" t="n">
        <v>0</v>
      </c>
      <c r="K879" t="n">
        <v>0</v>
      </c>
      <c r="L879" t="n">
        <v>0</v>
      </c>
      <c r="M879" t="n">
        <v>0</v>
      </c>
      <c r="N879" t="n">
        <v>0</v>
      </c>
      <c r="O879" t="n">
        <v>0</v>
      </c>
      <c r="P879" t="n">
        <v>0</v>
      </c>
      <c r="Q879" t="n">
        <v>0</v>
      </c>
      <c r="R879" s="2" t="inlineStr"/>
    </row>
    <row r="880" ht="15" customHeight="1">
      <c r="A880" t="inlineStr">
        <is>
          <t>A 456-2024</t>
        </is>
      </c>
      <c r="B880" s="1" t="n">
        <v>45296</v>
      </c>
      <c r="C880" s="1" t="n">
        <v>45842</v>
      </c>
      <c r="D880" t="inlineStr">
        <is>
          <t>VÄSTMANLANDS LÄN</t>
        </is>
      </c>
      <c r="E880" t="inlineStr">
        <is>
          <t>SALA</t>
        </is>
      </c>
      <c r="G880" t="n">
        <v>4.7</v>
      </c>
      <c r="H880" t="n">
        <v>0</v>
      </c>
      <c r="I880" t="n">
        <v>0</v>
      </c>
      <c r="J880" t="n">
        <v>0</v>
      </c>
      <c r="K880" t="n">
        <v>0</v>
      </c>
      <c r="L880" t="n">
        <v>0</v>
      </c>
      <c r="M880" t="n">
        <v>0</v>
      </c>
      <c r="N880" t="n">
        <v>0</v>
      </c>
      <c r="O880" t="n">
        <v>0</v>
      </c>
      <c r="P880" t="n">
        <v>0</v>
      </c>
      <c r="Q880" t="n">
        <v>0</v>
      </c>
      <c r="R880" s="2" t="inlineStr"/>
    </row>
    <row r="881" ht="15" customHeight="1">
      <c r="A881" t="inlineStr">
        <is>
          <t>A 1118-2024</t>
        </is>
      </c>
      <c r="B881" s="1" t="n">
        <v>45302</v>
      </c>
      <c r="C881" s="1" t="n">
        <v>45842</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1555-2024</t>
        </is>
      </c>
      <c r="B882" s="1" t="n">
        <v>45306</v>
      </c>
      <c r="C882" s="1" t="n">
        <v>45842</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1552-2024</t>
        </is>
      </c>
      <c r="B883" s="1" t="n">
        <v>45306</v>
      </c>
      <c r="C883" s="1" t="n">
        <v>45842</v>
      </c>
      <c r="D883" t="inlineStr">
        <is>
          <t>VÄSTMANLANDS LÄN</t>
        </is>
      </c>
      <c r="E883" t="inlineStr">
        <is>
          <t>SALA</t>
        </is>
      </c>
      <c r="G883" t="n">
        <v>3.3</v>
      </c>
      <c r="H883" t="n">
        <v>0</v>
      </c>
      <c r="I883" t="n">
        <v>0</v>
      </c>
      <c r="J883" t="n">
        <v>0</v>
      </c>
      <c r="K883" t="n">
        <v>0</v>
      </c>
      <c r="L883" t="n">
        <v>0</v>
      </c>
      <c r="M883" t="n">
        <v>0</v>
      </c>
      <c r="N883" t="n">
        <v>0</v>
      </c>
      <c r="O883" t="n">
        <v>0</v>
      </c>
      <c r="P883" t="n">
        <v>0</v>
      </c>
      <c r="Q883" t="n">
        <v>0</v>
      </c>
      <c r="R883" s="2" t="inlineStr"/>
    </row>
    <row r="884" ht="15" customHeight="1">
      <c r="A884" t="inlineStr">
        <is>
          <t>A 2392-2024</t>
        </is>
      </c>
      <c r="B884" s="1" t="n">
        <v>45310</v>
      </c>
      <c r="C884" s="1" t="n">
        <v>45842</v>
      </c>
      <c r="D884" t="inlineStr">
        <is>
          <t>VÄSTMANLANDS LÄN</t>
        </is>
      </c>
      <c r="E884" t="inlineStr">
        <is>
          <t>SALA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2478-2024</t>
        </is>
      </c>
      <c r="B885" s="1" t="n">
        <v>45313</v>
      </c>
      <c r="C885" s="1" t="n">
        <v>45842</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2599-2024</t>
        </is>
      </c>
      <c r="B886" s="1" t="n">
        <v>45313</v>
      </c>
      <c r="C886" s="1" t="n">
        <v>45842</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2766-2024</t>
        </is>
      </c>
      <c r="B887" s="1" t="n">
        <v>45314</v>
      </c>
      <c r="C887" s="1" t="n">
        <v>45842</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2925-2024</t>
        </is>
      </c>
      <c r="B888" s="1" t="n">
        <v>45315</v>
      </c>
      <c r="C888" s="1" t="n">
        <v>45842</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2928-2024</t>
        </is>
      </c>
      <c r="B889" s="1" t="n">
        <v>45315</v>
      </c>
      <c r="C889" s="1" t="n">
        <v>45842</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2927-2024</t>
        </is>
      </c>
      <c r="B890" s="1" t="n">
        <v>45315</v>
      </c>
      <c r="C890" s="1" t="n">
        <v>45842</v>
      </c>
      <c r="D890" t="inlineStr">
        <is>
          <t>VÄSTMANLANDS LÄN</t>
        </is>
      </c>
      <c r="E890" t="inlineStr">
        <is>
          <t>SALA</t>
        </is>
      </c>
      <c r="G890" t="n">
        <v>2.5</v>
      </c>
      <c r="H890" t="n">
        <v>0</v>
      </c>
      <c r="I890" t="n">
        <v>0</v>
      </c>
      <c r="J890" t="n">
        <v>0</v>
      </c>
      <c r="K890" t="n">
        <v>0</v>
      </c>
      <c r="L890" t="n">
        <v>0</v>
      </c>
      <c r="M890" t="n">
        <v>0</v>
      </c>
      <c r="N890" t="n">
        <v>0</v>
      </c>
      <c r="O890" t="n">
        <v>0</v>
      </c>
      <c r="P890" t="n">
        <v>0</v>
      </c>
      <c r="Q890" t="n">
        <v>0</v>
      </c>
      <c r="R890" s="2" t="inlineStr"/>
    </row>
    <row r="891" ht="15" customHeight="1">
      <c r="A891" t="inlineStr">
        <is>
          <t>A 3061-2024</t>
        </is>
      </c>
      <c r="B891" s="1" t="n">
        <v>45316</v>
      </c>
      <c r="C891" s="1" t="n">
        <v>45842</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3332-2024</t>
        </is>
      </c>
      <c r="B892" s="1" t="n">
        <v>45317</v>
      </c>
      <c r="C892" s="1" t="n">
        <v>45842</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3577-2024</t>
        </is>
      </c>
      <c r="B893" s="1" t="n">
        <v>45320</v>
      </c>
      <c r="C893" s="1" t="n">
        <v>45842</v>
      </c>
      <c r="D893" t="inlineStr">
        <is>
          <t>VÄSTMANLANDS LÄN</t>
        </is>
      </c>
      <c r="E893" t="inlineStr">
        <is>
          <t>SALA</t>
        </is>
      </c>
      <c r="F893" t="inlineStr">
        <is>
          <t>Kommuner</t>
        </is>
      </c>
      <c r="G893" t="n">
        <v>7.2</v>
      </c>
      <c r="H893" t="n">
        <v>0</v>
      </c>
      <c r="I893" t="n">
        <v>0</v>
      </c>
      <c r="J893" t="n">
        <v>0</v>
      </c>
      <c r="K893" t="n">
        <v>0</v>
      </c>
      <c r="L893" t="n">
        <v>0</v>
      </c>
      <c r="M893" t="n">
        <v>0</v>
      </c>
      <c r="N893" t="n">
        <v>0</v>
      </c>
      <c r="O893" t="n">
        <v>0</v>
      </c>
      <c r="P893" t="n">
        <v>0</v>
      </c>
      <c r="Q893" t="n">
        <v>0</v>
      </c>
      <c r="R893" s="2" t="inlineStr"/>
    </row>
    <row r="894" ht="15" customHeight="1">
      <c r="A894" t="inlineStr">
        <is>
          <t>A 3527-2024</t>
        </is>
      </c>
      <c r="B894" s="1" t="n">
        <v>45320</v>
      </c>
      <c r="C894" s="1" t="n">
        <v>45842</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3551-2024</t>
        </is>
      </c>
      <c r="B895" s="1" t="n">
        <v>45320</v>
      </c>
      <c r="C895" s="1" t="n">
        <v>45842</v>
      </c>
      <c r="D895" t="inlineStr">
        <is>
          <t>VÄSTMANLANDS LÄN</t>
        </is>
      </c>
      <c r="E895" t="inlineStr">
        <is>
          <t>SALA</t>
        </is>
      </c>
      <c r="F895" t="inlineStr">
        <is>
          <t>Kommuner</t>
        </is>
      </c>
      <c r="G895" t="n">
        <v>6</v>
      </c>
      <c r="H895" t="n">
        <v>0</v>
      </c>
      <c r="I895" t="n">
        <v>0</v>
      </c>
      <c r="J895" t="n">
        <v>0</v>
      </c>
      <c r="K895" t="n">
        <v>0</v>
      </c>
      <c r="L895" t="n">
        <v>0</v>
      </c>
      <c r="M895" t="n">
        <v>0</v>
      </c>
      <c r="N895" t="n">
        <v>0</v>
      </c>
      <c r="O895" t="n">
        <v>0</v>
      </c>
      <c r="P895" t="n">
        <v>0</v>
      </c>
      <c r="Q895" t="n">
        <v>0</v>
      </c>
      <c r="R895" s="2" t="inlineStr"/>
    </row>
    <row r="896" ht="15" customHeight="1">
      <c r="A896" t="inlineStr">
        <is>
          <t>A 3525-2024</t>
        </is>
      </c>
      <c r="B896" s="1" t="n">
        <v>45320</v>
      </c>
      <c r="C896" s="1" t="n">
        <v>45842</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3560-2024</t>
        </is>
      </c>
      <c r="B897" s="1" t="n">
        <v>45320</v>
      </c>
      <c r="C897" s="1" t="n">
        <v>45842</v>
      </c>
      <c r="D897" t="inlineStr">
        <is>
          <t>VÄSTMANLANDS LÄN</t>
        </is>
      </c>
      <c r="E897" t="inlineStr">
        <is>
          <t>SALA</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4417-2024</t>
        </is>
      </c>
      <c r="B898" s="1" t="n">
        <v>45327</v>
      </c>
      <c r="C898" s="1" t="n">
        <v>45842</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4897-2024</t>
        </is>
      </c>
      <c r="B899" s="1" t="n">
        <v>45329</v>
      </c>
      <c r="C899" s="1" t="n">
        <v>45842</v>
      </c>
      <c r="D899" t="inlineStr">
        <is>
          <t>VÄSTMANLANDS LÄN</t>
        </is>
      </c>
      <c r="E899" t="inlineStr">
        <is>
          <t>SALA</t>
        </is>
      </c>
      <c r="G899" t="n">
        <v>3.4</v>
      </c>
      <c r="H899" t="n">
        <v>0</v>
      </c>
      <c r="I899" t="n">
        <v>0</v>
      </c>
      <c r="J899" t="n">
        <v>0</v>
      </c>
      <c r="K899" t="n">
        <v>0</v>
      </c>
      <c r="L899" t="n">
        <v>0</v>
      </c>
      <c r="M899" t="n">
        <v>0</v>
      </c>
      <c r="N899" t="n">
        <v>0</v>
      </c>
      <c r="O899" t="n">
        <v>0</v>
      </c>
      <c r="P899" t="n">
        <v>0</v>
      </c>
      <c r="Q899" t="n">
        <v>0</v>
      </c>
      <c r="R899" s="2" t="inlineStr"/>
    </row>
    <row r="900" ht="15" customHeight="1">
      <c r="A900" t="inlineStr">
        <is>
          <t>A 5478-2024</t>
        </is>
      </c>
      <c r="B900" s="1" t="n">
        <v>45333</v>
      </c>
      <c r="C900" s="1" t="n">
        <v>45842</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5477-2024</t>
        </is>
      </c>
      <c r="B901" s="1" t="n">
        <v>45333</v>
      </c>
      <c r="C901" s="1" t="n">
        <v>45842</v>
      </c>
      <c r="D901" t="inlineStr">
        <is>
          <t>VÄSTMANLANDS LÄN</t>
        </is>
      </c>
      <c r="E901" t="inlineStr">
        <is>
          <t>SALA</t>
        </is>
      </c>
      <c r="G901" t="n">
        <v>2.3</v>
      </c>
      <c r="H901" t="n">
        <v>0</v>
      </c>
      <c r="I901" t="n">
        <v>0</v>
      </c>
      <c r="J901" t="n">
        <v>0</v>
      </c>
      <c r="K901" t="n">
        <v>0</v>
      </c>
      <c r="L901" t="n">
        <v>0</v>
      </c>
      <c r="M901" t="n">
        <v>0</v>
      </c>
      <c r="N901" t="n">
        <v>0</v>
      </c>
      <c r="O901" t="n">
        <v>0</v>
      </c>
      <c r="P901" t="n">
        <v>0</v>
      </c>
      <c r="Q901" t="n">
        <v>0</v>
      </c>
      <c r="R901" s="2" t="inlineStr"/>
    </row>
    <row r="902" ht="15" customHeight="1">
      <c r="A902" t="inlineStr">
        <is>
          <t>A 5705-2024</t>
        </is>
      </c>
      <c r="B902" s="1" t="n">
        <v>45334</v>
      </c>
      <c r="C902" s="1" t="n">
        <v>45842</v>
      </c>
      <c r="D902" t="inlineStr">
        <is>
          <t>VÄSTMANLANDS LÄN</t>
        </is>
      </c>
      <c r="E902" t="inlineStr">
        <is>
          <t>SALA</t>
        </is>
      </c>
      <c r="G902" t="n">
        <v>2.1</v>
      </c>
      <c r="H902" t="n">
        <v>0</v>
      </c>
      <c r="I902" t="n">
        <v>0</v>
      </c>
      <c r="J902" t="n">
        <v>0</v>
      </c>
      <c r="K902" t="n">
        <v>0</v>
      </c>
      <c r="L902" t="n">
        <v>0</v>
      </c>
      <c r="M902" t="n">
        <v>0</v>
      </c>
      <c r="N902" t="n">
        <v>0</v>
      </c>
      <c r="O902" t="n">
        <v>0</v>
      </c>
      <c r="P902" t="n">
        <v>0</v>
      </c>
      <c r="Q902" t="n">
        <v>0</v>
      </c>
      <c r="R902" s="2" t="inlineStr"/>
    </row>
    <row r="903" ht="15" customHeight="1">
      <c r="A903" t="inlineStr">
        <is>
          <t>A 5977-2024</t>
        </is>
      </c>
      <c r="B903" s="1" t="n">
        <v>45336</v>
      </c>
      <c r="C903" s="1" t="n">
        <v>45842</v>
      </c>
      <c r="D903" t="inlineStr">
        <is>
          <t>VÄSTMANLANDS LÄN</t>
        </is>
      </c>
      <c r="E903" t="inlineStr">
        <is>
          <t>SALA</t>
        </is>
      </c>
      <c r="G903" t="n">
        <v>13.1</v>
      </c>
      <c r="H903" t="n">
        <v>0</v>
      </c>
      <c r="I903" t="n">
        <v>0</v>
      </c>
      <c r="J903" t="n">
        <v>0</v>
      </c>
      <c r="K903" t="n">
        <v>0</v>
      </c>
      <c r="L903" t="n">
        <v>0</v>
      </c>
      <c r="M903" t="n">
        <v>0</v>
      </c>
      <c r="N903" t="n">
        <v>0</v>
      </c>
      <c r="O903" t="n">
        <v>0</v>
      </c>
      <c r="P903" t="n">
        <v>0</v>
      </c>
      <c r="Q903" t="n">
        <v>0</v>
      </c>
      <c r="R903" s="2" t="inlineStr"/>
    </row>
    <row r="904" ht="15" customHeight="1">
      <c r="A904" t="inlineStr">
        <is>
          <t>A 6030-2024</t>
        </is>
      </c>
      <c r="B904" s="1" t="n">
        <v>45336</v>
      </c>
      <c r="C904" s="1" t="n">
        <v>45842</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5984-2024</t>
        </is>
      </c>
      <c r="B905" s="1" t="n">
        <v>45336</v>
      </c>
      <c r="C905" s="1" t="n">
        <v>45842</v>
      </c>
      <c r="D905" t="inlineStr">
        <is>
          <t>VÄSTMANLANDS LÄN</t>
        </is>
      </c>
      <c r="E905" t="inlineStr">
        <is>
          <t>SALA</t>
        </is>
      </c>
      <c r="G905" t="n">
        <v>0.7</v>
      </c>
      <c r="H905" t="n">
        <v>0</v>
      </c>
      <c r="I905" t="n">
        <v>0</v>
      </c>
      <c r="J905" t="n">
        <v>0</v>
      </c>
      <c r="K905" t="n">
        <v>0</v>
      </c>
      <c r="L905" t="n">
        <v>0</v>
      </c>
      <c r="M905" t="n">
        <v>0</v>
      </c>
      <c r="N905" t="n">
        <v>0</v>
      </c>
      <c r="O905" t="n">
        <v>0</v>
      </c>
      <c r="P905" t="n">
        <v>0</v>
      </c>
      <c r="Q905" t="n">
        <v>0</v>
      </c>
      <c r="R905" s="2" t="inlineStr"/>
    </row>
    <row r="906" ht="15" customHeight="1">
      <c r="A906" t="inlineStr">
        <is>
          <t>A 6134-2024</t>
        </is>
      </c>
      <c r="B906" s="1" t="n">
        <v>45337</v>
      </c>
      <c r="C906" s="1" t="n">
        <v>45842</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6572-2024</t>
        </is>
      </c>
      <c r="B907" s="1" t="n">
        <v>45338</v>
      </c>
      <c r="C907" s="1" t="n">
        <v>45842</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6538-2024</t>
        </is>
      </c>
      <c r="B908" s="1" t="n">
        <v>45338</v>
      </c>
      <c r="C908" s="1" t="n">
        <v>45842</v>
      </c>
      <c r="D908" t="inlineStr">
        <is>
          <t>VÄSTMANLANDS LÄN</t>
        </is>
      </c>
      <c r="E908" t="inlineStr">
        <is>
          <t>SALA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6601-2024</t>
        </is>
      </c>
      <c r="B909" s="1" t="n">
        <v>45338</v>
      </c>
      <c r="C909" s="1" t="n">
        <v>45842</v>
      </c>
      <c r="D909" t="inlineStr">
        <is>
          <t>VÄSTMANLANDS LÄN</t>
        </is>
      </c>
      <c r="E909" t="inlineStr">
        <is>
          <t>SALA</t>
        </is>
      </c>
      <c r="G909" t="n">
        <v>4</v>
      </c>
      <c r="H909" t="n">
        <v>0</v>
      </c>
      <c r="I909" t="n">
        <v>0</v>
      </c>
      <c r="J909" t="n">
        <v>0</v>
      </c>
      <c r="K909" t="n">
        <v>0</v>
      </c>
      <c r="L909" t="n">
        <v>0</v>
      </c>
      <c r="M909" t="n">
        <v>0</v>
      </c>
      <c r="N909" t="n">
        <v>0</v>
      </c>
      <c r="O909" t="n">
        <v>0</v>
      </c>
      <c r="P909" t="n">
        <v>0</v>
      </c>
      <c r="Q909" t="n">
        <v>0</v>
      </c>
      <c r="R909" s="2" t="inlineStr"/>
    </row>
    <row r="910" ht="15" customHeight="1">
      <c r="A910" t="inlineStr">
        <is>
          <t>A 6585-2024</t>
        </is>
      </c>
      <c r="B910" s="1" t="n">
        <v>45338</v>
      </c>
      <c r="C910" s="1" t="n">
        <v>45842</v>
      </c>
      <c r="D910" t="inlineStr">
        <is>
          <t>VÄSTMANLANDS LÄN</t>
        </is>
      </c>
      <c r="E910" t="inlineStr">
        <is>
          <t>SALA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6541-2024</t>
        </is>
      </c>
      <c r="B911" s="1" t="n">
        <v>45338</v>
      </c>
      <c r="C911" s="1" t="n">
        <v>45842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6657-2024</t>
        </is>
      </c>
      <c r="B912" s="1" t="n">
        <v>45341</v>
      </c>
      <c r="C912" s="1" t="n">
        <v>45842</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7953-2024</t>
        </is>
      </c>
      <c r="B913" s="1" t="n">
        <v>45350</v>
      </c>
      <c r="C913" s="1" t="n">
        <v>45842</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8591-2024</t>
        </is>
      </c>
      <c r="B914" s="1" t="n">
        <v>45355</v>
      </c>
      <c r="C914" s="1" t="n">
        <v>45842</v>
      </c>
      <c r="D914" t="inlineStr">
        <is>
          <t>VÄSTMANLANDS LÄN</t>
        </is>
      </c>
      <c r="E914" t="inlineStr">
        <is>
          <t>SALA</t>
        </is>
      </c>
      <c r="G914" t="n">
        <v>4.6</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45842</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8793-2024</t>
        </is>
      </c>
      <c r="B916" s="1" t="n">
        <v>45356</v>
      </c>
      <c r="C916" s="1" t="n">
        <v>45842</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8778-2024</t>
        </is>
      </c>
      <c r="B917" s="1" t="n">
        <v>45356</v>
      </c>
      <c r="C917" s="1" t="n">
        <v>45842</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9205-2024</t>
        </is>
      </c>
      <c r="B918" s="1" t="n">
        <v>45358</v>
      </c>
      <c r="C918" s="1" t="n">
        <v>45842</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9204-2024</t>
        </is>
      </c>
      <c r="B919" s="1" t="n">
        <v>45358</v>
      </c>
      <c r="C919" s="1" t="n">
        <v>45842</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9474-2024</t>
        </is>
      </c>
      <c r="B920" s="1" t="n">
        <v>45359</v>
      </c>
      <c r="C920" s="1" t="n">
        <v>45842</v>
      </c>
      <c r="D920" t="inlineStr">
        <is>
          <t>VÄSTMANLANDS LÄN</t>
        </is>
      </c>
      <c r="E920" t="inlineStr">
        <is>
          <t>SALA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9853-2024</t>
        </is>
      </c>
      <c r="B921" s="1" t="n">
        <v>45363</v>
      </c>
      <c r="C921" s="1" t="n">
        <v>45842</v>
      </c>
      <c r="D921" t="inlineStr">
        <is>
          <t>VÄSTMANLANDS LÄN</t>
        </is>
      </c>
      <c r="E921" t="inlineStr">
        <is>
          <t>SALA</t>
        </is>
      </c>
      <c r="G921" t="n">
        <v>3.2</v>
      </c>
      <c r="H921" t="n">
        <v>0</v>
      </c>
      <c r="I921" t="n">
        <v>0</v>
      </c>
      <c r="J921" t="n">
        <v>0</v>
      </c>
      <c r="K921" t="n">
        <v>0</v>
      </c>
      <c r="L921" t="n">
        <v>0</v>
      </c>
      <c r="M921" t="n">
        <v>0</v>
      </c>
      <c r="N921" t="n">
        <v>0</v>
      </c>
      <c r="O921" t="n">
        <v>0</v>
      </c>
      <c r="P921" t="n">
        <v>0</v>
      </c>
      <c r="Q921" t="n">
        <v>0</v>
      </c>
      <c r="R921" s="2" t="inlineStr"/>
    </row>
    <row r="922" ht="15" customHeight="1">
      <c r="A922" t="inlineStr">
        <is>
          <t>A 9874-2024</t>
        </is>
      </c>
      <c r="B922" s="1" t="n">
        <v>45363</v>
      </c>
      <c r="C922" s="1" t="n">
        <v>45842</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10255-2024</t>
        </is>
      </c>
      <c r="B923" s="1" t="n">
        <v>45365</v>
      </c>
      <c r="C923" s="1" t="n">
        <v>45842</v>
      </c>
      <c r="D923" t="inlineStr">
        <is>
          <t>VÄSTMANLANDS LÄN</t>
        </is>
      </c>
      <c r="E923" t="inlineStr">
        <is>
          <t>SALA</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45842</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10751-2024</t>
        </is>
      </c>
      <c r="B925" s="1" t="n">
        <v>45369</v>
      </c>
      <c r="C925" s="1" t="n">
        <v>45842</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10754-2024</t>
        </is>
      </c>
      <c r="B926" s="1" t="n">
        <v>45369</v>
      </c>
      <c r="C926" s="1" t="n">
        <v>45842</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10909-2024</t>
        </is>
      </c>
      <c r="B927" s="1" t="n">
        <v>45370</v>
      </c>
      <c r="C927" s="1" t="n">
        <v>45842</v>
      </c>
      <c r="D927" t="inlineStr">
        <is>
          <t>VÄSTMANLANDS LÄN</t>
        </is>
      </c>
      <c r="E927" t="inlineStr">
        <is>
          <t>SALA</t>
        </is>
      </c>
      <c r="G927" t="n">
        <v>3.3</v>
      </c>
      <c r="H927" t="n">
        <v>0</v>
      </c>
      <c r="I927" t="n">
        <v>0</v>
      </c>
      <c r="J927" t="n">
        <v>0</v>
      </c>
      <c r="K927" t="n">
        <v>0</v>
      </c>
      <c r="L927" t="n">
        <v>0</v>
      </c>
      <c r="M927" t="n">
        <v>0</v>
      </c>
      <c r="N927" t="n">
        <v>0</v>
      </c>
      <c r="O927" t="n">
        <v>0</v>
      </c>
      <c r="P927" t="n">
        <v>0</v>
      </c>
      <c r="Q927" t="n">
        <v>0</v>
      </c>
      <c r="R927" s="2" t="inlineStr"/>
    </row>
    <row r="928" ht="15" customHeight="1">
      <c r="A928" t="inlineStr">
        <is>
          <t>A 11244-2024</t>
        </is>
      </c>
      <c r="B928" s="1" t="n">
        <v>45371</v>
      </c>
      <c r="C928" s="1" t="n">
        <v>45842</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11381-2024</t>
        </is>
      </c>
      <c r="B929" s="1" t="n">
        <v>45372</v>
      </c>
      <c r="C929" s="1" t="n">
        <v>45842</v>
      </c>
      <c r="D929" t="inlineStr">
        <is>
          <t>VÄSTMANLANDS LÄN</t>
        </is>
      </c>
      <c r="E929" t="inlineStr">
        <is>
          <t>SALA</t>
        </is>
      </c>
      <c r="G929" t="n">
        <v>1</v>
      </c>
      <c r="H929" t="n">
        <v>0</v>
      </c>
      <c r="I929" t="n">
        <v>0</v>
      </c>
      <c r="J929" t="n">
        <v>0</v>
      </c>
      <c r="K929" t="n">
        <v>0</v>
      </c>
      <c r="L929" t="n">
        <v>0</v>
      </c>
      <c r="M929" t="n">
        <v>0</v>
      </c>
      <c r="N929" t="n">
        <v>0</v>
      </c>
      <c r="O929" t="n">
        <v>0</v>
      </c>
      <c r="P929" t="n">
        <v>0</v>
      </c>
      <c r="Q929" t="n">
        <v>0</v>
      </c>
      <c r="R929" s="2" t="inlineStr"/>
    </row>
    <row r="930" ht="15" customHeight="1">
      <c r="A930" t="inlineStr">
        <is>
          <t>A 11389-2024</t>
        </is>
      </c>
      <c r="B930" s="1" t="n">
        <v>45372</v>
      </c>
      <c r="C930" s="1" t="n">
        <v>45842</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11378-2024</t>
        </is>
      </c>
      <c r="B931" s="1" t="n">
        <v>45372</v>
      </c>
      <c r="C931" s="1" t="n">
        <v>45842</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11492-2024</t>
        </is>
      </c>
      <c r="B932" s="1" t="n">
        <v>45372</v>
      </c>
      <c r="C932" s="1" t="n">
        <v>45842</v>
      </c>
      <c r="D932" t="inlineStr">
        <is>
          <t>VÄSTMANLANDS LÄN</t>
        </is>
      </c>
      <c r="E932" t="inlineStr">
        <is>
          <t>SALA</t>
        </is>
      </c>
      <c r="G932" t="n">
        <v>6.9</v>
      </c>
      <c r="H932" t="n">
        <v>0</v>
      </c>
      <c r="I932" t="n">
        <v>0</v>
      </c>
      <c r="J932" t="n">
        <v>0</v>
      </c>
      <c r="K932" t="n">
        <v>0</v>
      </c>
      <c r="L932" t="n">
        <v>0</v>
      </c>
      <c r="M932" t="n">
        <v>0</v>
      </c>
      <c r="N932" t="n">
        <v>0</v>
      </c>
      <c r="O932" t="n">
        <v>0</v>
      </c>
      <c r="P932" t="n">
        <v>0</v>
      </c>
      <c r="Q932" t="n">
        <v>0</v>
      </c>
      <c r="R932" s="2" t="inlineStr"/>
    </row>
    <row r="933" ht="15" customHeight="1">
      <c r="A933" t="inlineStr">
        <is>
          <t>A 11847-2024</t>
        </is>
      </c>
      <c r="B933" s="1" t="n">
        <v>45376</v>
      </c>
      <c r="C933" s="1" t="n">
        <v>45842</v>
      </c>
      <c r="D933" t="inlineStr">
        <is>
          <t>VÄSTMANLANDS LÄN</t>
        </is>
      </c>
      <c r="E933" t="inlineStr">
        <is>
          <t>SALA</t>
        </is>
      </c>
      <c r="G933" t="n">
        <v>7.1</v>
      </c>
      <c r="H933" t="n">
        <v>0</v>
      </c>
      <c r="I933" t="n">
        <v>0</v>
      </c>
      <c r="J933" t="n">
        <v>0</v>
      </c>
      <c r="K933" t="n">
        <v>0</v>
      </c>
      <c r="L933" t="n">
        <v>0</v>
      </c>
      <c r="M933" t="n">
        <v>0</v>
      </c>
      <c r="N933" t="n">
        <v>0</v>
      </c>
      <c r="O933" t="n">
        <v>0</v>
      </c>
      <c r="P933" t="n">
        <v>0</v>
      </c>
      <c r="Q933" t="n">
        <v>0</v>
      </c>
      <c r="R933" s="2" t="inlineStr"/>
    </row>
    <row r="934" ht="15" customHeight="1">
      <c r="A934" t="inlineStr">
        <is>
          <t>A 12236-2024</t>
        </is>
      </c>
      <c r="B934" s="1" t="n">
        <v>45378</v>
      </c>
      <c r="C934" s="1" t="n">
        <v>45842</v>
      </c>
      <c r="D934" t="inlineStr">
        <is>
          <t>VÄSTMANLANDS LÄN</t>
        </is>
      </c>
      <c r="E934" t="inlineStr">
        <is>
          <t>SALA</t>
        </is>
      </c>
      <c r="F934" t="inlineStr">
        <is>
          <t>Kommuner</t>
        </is>
      </c>
      <c r="G934" t="n">
        <v>4.4</v>
      </c>
      <c r="H934" t="n">
        <v>0</v>
      </c>
      <c r="I934" t="n">
        <v>0</v>
      </c>
      <c r="J934" t="n">
        <v>0</v>
      </c>
      <c r="K934" t="n">
        <v>0</v>
      </c>
      <c r="L934" t="n">
        <v>0</v>
      </c>
      <c r="M934" t="n">
        <v>0</v>
      </c>
      <c r="N934" t="n">
        <v>0</v>
      </c>
      <c r="O934" t="n">
        <v>0</v>
      </c>
      <c r="P934" t="n">
        <v>0</v>
      </c>
      <c r="Q934" t="n">
        <v>0</v>
      </c>
      <c r="R934" s="2" t="inlineStr"/>
    </row>
    <row r="935" ht="15" customHeight="1">
      <c r="A935" t="inlineStr">
        <is>
          <t>A 12244-2024</t>
        </is>
      </c>
      <c r="B935" s="1" t="n">
        <v>45378</v>
      </c>
      <c r="C935" s="1" t="n">
        <v>45842</v>
      </c>
      <c r="D935" t="inlineStr">
        <is>
          <t>VÄSTMANLANDS LÄN</t>
        </is>
      </c>
      <c r="E935" t="inlineStr">
        <is>
          <t>SALA</t>
        </is>
      </c>
      <c r="G935" t="n">
        <v>3.6</v>
      </c>
      <c r="H935" t="n">
        <v>0</v>
      </c>
      <c r="I935" t="n">
        <v>0</v>
      </c>
      <c r="J935" t="n">
        <v>0</v>
      </c>
      <c r="K935" t="n">
        <v>0</v>
      </c>
      <c r="L935" t="n">
        <v>0</v>
      </c>
      <c r="M935" t="n">
        <v>0</v>
      </c>
      <c r="N935" t="n">
        <v>0</v>
      </c>
      <c r="O935" t="n">
        <v>0</v>
      </c>
      <c r="P935" t="n">
        <v>0</v>
      </c>
      <c r="Q935" t="n">
        <v>0</v>
      </c>
      <c r="R935" s="2" t="inlineStr"/>
    </row>
    <row r="936" ht="15" customHeight="1">
      <c r="A936" t="inlineStr">
        <is>
          <t>A 12237-2024</t>
        </is>
      </c>
      <c r="B936" s="1" t="n">
        <v>45378</v>
      </c>
      <c r="C936" s="1" t="n">
        <v>45842</v>
      </c>
      <c r="D936" t="inlineStr">
        <is>
          <t>VÄSTMANLANDS LÄN</t>
        </is>
      </c>
      <c r="E936" t="inlineStr">
        <is>
          <t>SALA</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12242-2024</t>
        </is>
      </c>
      <c r="B937" s="1" t="n">
        <v>45378</v>
      </c>
      <c r="C937" s="1" t="n">
        <v>45842</v>
      </c>
      <c r="D937" t="inlineStr">
        <is>
          <t>VÄSTMANLANDS LÄN</t>
        </is>
      </c>
      <c r="E937" t="inlineStr">
        <is>
          <t>SALA</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12463-2024</t>
        </is>
      </c>
      <c r="B938" s="1" t="n">
        <v>45378</v>
      </c>
      <c r="C938" s="1" t="n">
        <v>45842</v>
      </c>
      <c r="D938" t="inlineStr">
        <is>
          <t>VÄSTMANLANDS LÄN</t>
        </is>
      </c>
      <c r="E938" t="inlineStr">
        <is>
          <t>SALA</t>
        </is>
      </c>
      <c r="G938" t="n">
        <v>1.9</v>
      </c>
      <c r="H938" t="n">
        <v>0</v>
      </c>
      <c r="I938" t="n">
        <v>0</v>
      </c>
      <c r="J938" t="n">
        <v>0</v>
      </c>
      <c r="K938" t="n">
        <v>0</v>
      </c>
      <c r="L938" t="n">
        <v>0</v>
      </c>
      <c r="M938" t="n">
        <v>0</v>
      </c>
      <c r="N938" t="n">
        <v>0</v>
      </c>
      <c r="O938" t="n">
        <v>0</v>
      </c>
      <c r="P938" t="n">
        <v>0</v>
      </c>
      <c r="Q938" t="n">
        <v>0</v>
      </c>
      <c r="R938" s="2" t="inlineStr"/>
    </row>
    <row r="939" ht="15" customHeight="1">
      <c r="A939" t="inlineStr">
        <is>
          <t>A 12485-2024</t>
        </is>
      </c>
      <c r="B939" s="1" t="n">
        <v>45379</v>
      </c>
      <c r="C939" s="1" t="n">
        <v>45842</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13106-2024</t>
        </is>
      </c>
      <c r="B940" s="1" t="n">
        <v>45385</v>
      </c>
      <c r="C940" s="1" t="n">
        <v>45842</v>
      </c>
      <c r="D940" t="inlineStr">
        <is>
          <t>VÄSTMANLANDS LÄN</t>
        </is>
      </c>
      <c r="E940" t="inlineStr">
        <is>
          <t>SALA</t>
        </is>
      </c>
      <c r="G940" t="n">
        <v>2.4</v>
      </c>
      <c r="H940" t="n">
        <v>0</v>
      </c>
      <c r="I940" t="n">
        <v>0</v>
      </c>
      <c r="J940" t="n">
        <v>0</v>
      </c>
      <c r="K940" t="n">
        <v>0</v>
      </c>
      <c r="L940" t="n">
        <v>0</v>
      </c>
      <c r="M940" t="n">
        <v>0</v>
      </c>
      <c r="N940" t="n">
        <v>0</v>
      </c>
      <c r="O940" t="n">
        <v>0</v>
      </c>
      <c r="P940" t="n">
        <v>0</v>
      </c>
      <c r="Q940" t="n">
        <v>0</v>
      </c>
      <c r="R940" s="2" t="inlineStr"/>
    </row>
    <row r="941" ht="15" customHeight="1">
      <c r="A941" t="inlineStr">
        <is>
          <t>A 13110-2024</t>
        </is>
      </c>
      <c r="B941" s="1" t="n">
        <v>45385</v>
      </c>
      <c r="C941" s="1" t="n">
        <v>45842</v>
      </c>
      <c r="D941" t="inlineStr">
        <is>
          <t>VÄSTMANLANDS LÄN</t>
        </is>
      </c>
      <c r="E941" t="inlineStr">
        <is>
          <t>SALA</t>
        </is>
      </c>
      <c r="G941" t="n">
        <v>3</v>
      </c>
      <c r="H941" t="n">
        <v>0</v>
      </c>
      <c r="I941" t="n">
        <v>0</v>
      </c>
      <c r="J941" t="n">
        <v>0</v>
      </c>
      <c r="K941" t="n">
        <v>0</v>
      </c>
      <c r="L941" t="n">
        <v>0</v>
      </c>
      <c r="M941" t="n">
        <v>0</v>
      </c>
      <c r="N941" t="n">
        <v>0</v>
      </c>
      <c r="O941" t="n">
        <v>0</v>
      </c>
      <c r="P941" t="n">
        <v>0</v>
      </c>
      <c r="Q941" t="n">
        <v>0</v>
      </c>
      <c r="R941" s="2" t="inlineStr"/>
    </row>
    <row r="942" ht="15" customHeight="1">
      <c r="A942" t="inlineStr">
        <is>
          <t>A 14001-2024</t>
        </is>
      </c>
      <c r="B942" s="1" t="n">
        <v>45392</v>
      </c>
      <c r="C942" s="1" t="n">
        <v>45842</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14115-2024</t>
        </is>
      </c>
      <c r="B943" s="1" t="n">
        <v>45392</v>
      </c>
      <c r="C943" s="1" t="n">
        <v>45842</v>
      </c>
      <c r="D943" t="inlineStr">
        <is>
          <t>VÄSTMANLANDS LÄN</t>
        </is>
      </c>
      <c r="E943" t="inlineStr">
        <is>
          <t>SALA</t>
        </is>
      </c>
      <c r="G943" t="n">
        <v>5</v>
      </c>
      <c r="H943" t="n">
        <v>0</v>
      </c>
      <c r="I943" t="n">
        <v>0</v>
      </c>
      <c r="J943" t="n">
        <v>0</v>
      </c>
      <c r="K943" t="n">
        <v>0</v>
      </c>
      <c r="L943" t="n">
        <v>0</v>
      </c>
      <c r="M943" t="n">
        <v>0</v>
      </c>
      <c r="N943" t="n">
        <v>0</v>
      </c>
      <c r="O943" t="n">
        <v>0</v>
      </c>
      <c r="P943" t="n">
        <v>0</v>
      </c>
      <c r="Q943" t="n">
        <v>0</v>
      </c>
      <c r="R943" s="2" t="inlineStr"/>
    </row>
    <row r="944" ht="15" customHeight="1">
      <c r="A944" t="inlineStr">
        <is>
          <t>A 14181-2024</t>
        </is>
      </c>
      <c r="B944" s="1" t="n">
        <v>45393</v>
      </c>
      <c r="C944" s="1" t="n">
        <v>45842</v>
      </c>
      <c r="D944" t="inlineStr">
        <is>
          <t>VÄSTMANLANDS LÄN</t>
        </is>
      </c>
      <c r="E944" t="inlineStr">
        <is>
          <t>SALA</t>
        </is>
      </c>
      <c r="G944" t="n">
        <v>6.4</v>
      </c>
      <c r="H944" t="n">
        <v>0</v>
      </c>
      <c r="I944" t="n">
        <v>0</v>
      </c>
      <c r="J944" t="n">
        <v>0</v>
      </c>
      <c r="K944" t="n">
        <v>0</v>
      </c>
      <c r="L944" t="n">
        <v>0</v>
      </c>
      <c r="M944" t="n">
        <v>0</v>
      </c>
      <c r="N944" t="n">
        <v>0</v>
      </c>
      <c r="O944" t="n">
        <v>0</v>
      </c>
      <c r="P944" t="n">
        <v>0</v>
      </c>
      <c r="Q944" t="n">
        <v>0</v>
      </c>
      <c r="R944" s="2" t="inlineStr"/>
    </row>
    <row r="945" ht="15" customHeight="1">
      <c r="A945" t="inlineStr">
        <is>
          <t>A 15972-2024</t>
        </is>
      </c>
      <c r="B945" s="1" t="n">
        <v>45405</v>
      </c>
      <c r="C945" s="1" t="n">
        <v>45842</v>
      </c>
      <c r="D945" t="inlineStr">
        <is>
          <t>VÄSTMANLANDS LÄN</t>
        </is>
      </c>
      <c r="E945" t="inlineStr">
        <is>
          <t>SALA</t>
        </is>
      </c>
      <c r="G945" t="n">
        <v>1.8</v>
      </c>
      <c r="H945" t="n">
        <v>0</v>
      </c>
      <c r="I945" t="n">
        <v>0</v>
      </c>
      <c r="J945" t="n">
        <v>0</v>
      </c>
      <c r="K945" t="n">
        <v>0</v>
      </c>
      <c r="L945" t="n">
        <v>0</v>
      </c>
      <c r="M945" t="n">
        <v>0</v>
      </c>
      <c r="N945" t="n">
        <v>0</v>
      </c>
      <c r="O945" t="n">
        <v>0</v>
      </c>
      <c r="P945" t="n">
        <v>0</v>
      </c>
      <c r="Q945" t="n">
        <v>0</v>
      </c>
      <c r="R945" s="2" t="inlineStr"/>
    </row>
    <row r="946" ht="15" customHeight="1">
      <c r="A946" t="inlineStr">
        <is>
          <t>A 15968-2024</t>
        </is>
      </c>
      <c r="B946" s="1" t="n">
        <v>45405</v>
      </c>
      <c r="C946" s="1" t="n">
        <v>45842</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15965-2024</t>
        </is>
      </c>
      <c r="B947" s="1" t="n">
        <v>45405</v>
      </c>
      <c r="C947" s="1" t="n">
        <v>45842</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16159-2024</t>
        </is>
      </c>
      <c r="B948" s="1" t="n">
        <v>45406</v>
      </c>
      <c r="C948" s="1" t="n">
        <v>45842</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16163-2024</t>
        </is>
      </c>
      <c r="B949" s="1" t="n">
        <v>45406</v>
      </c>
      <c r="C949" s="1" t="n">
        <v>45842</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16148-2024</t>
        </is>
      </c>
      <c r="B950" s="1" t="n">
        <v>45406</v>
      </c>
      <c r="C950" s="1" t="n">
        <v>45842</v>
      </c>
      <c r="D950" t="inlineStr">
        <is>
          <t>VÄSTMANLANDS LÄN</t>
        </is>
      </c>
      <c r="E950" t="inlineStr">
        <is>
          <t>SALA</t>
        </is>
      </c>
      <c r="G950" t="n">
        <v>5.1</v>
      </c>
      <c r="H950" t="n">
        <v>0</v>
      </c>
      <c r="I950" t="n">
        <v>0</v>
      </c>
      <c r="J950" t="n">
        <v>0</v>
      </c>
      <c r="K950" t="n">
        <v>0</v>
      </c>
      <c r="L950" t="n">
        <v>0</v>
      </c>
      <c r="M950" t="n">
        <v>0</v>
      </c>
      <c r="N950" t="n">
        <v>0</v>
      </c>
      <c r="O950" t="n">
        <v>0</v>
      </c>
      <c r="P950" t="n">
        <v>0</v>
      </c>
      <c r="Q950" t="n">
        <v>0</v>
      </c>
      <c r="R950" s="2" t="inlineStr"/>
    </row>
    <row r="951" ht="15" customHeight="1">
      <c r="A951" t="inlineStr">
        <is>
          <t>A 16160-2024</t>
        </is>
      </c>
      <c r="B951" s="1" t="n">
        <v>45406</v>
      </c>
      <c r="C951" s="1" t="n">
        <v>45842</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16767-2024</t>
        </is>
      </c>
      <c r="B952" s="1" t="n">
        <v>45411</v>
      </c>
      <c r="C952" s="1" t="n">
        <v>45842</v>
      </c>
      <c r="D952" t="inlineStr">
        <is>
          <t>VÄSTMANLANDS LÄN</t>
        </is>
      </c>
      <c r="E952" t="inlineStr">
        <is>
          <t>SALA</t>
        </is>
      </c>
      <c r="G952" t="n">
        <v>2.5</v>
      </c>
      <c r="H952" t="n">
        <v>0</v>
      </c>
      <c r="I952" t="n">
        <v>0</v>
      </c>
      <c r="J952" t="n">
        <v>0</v>
      </c>
      <c r="K952" t="n">
        <v>0</v>
      </c>
      <c r="L952" t="n">
        <v>0</v>
      </c>
      <c r="M952" t="n">
        <v>0</v>
      </c>
      <c r="N952" t="n">
        <v>0</v>
      </c>
      <c r="O952" t="n">
        <v>0</v>
      </c>
      <c r="P952" t="n">
        <v>0</v>
      </c>
      <c r="Q952" t="n">
        <v>0</v>
      </c>
      <c r="R952" s="2" t="inlineStr"/>
    </row>
    <row r="953" ht="15" customHeight="1">
      <c r="A953" t="inlineStr">
        <is>
          <t>A 16760-2024</t>
        </is>
      </c>
      <c r="B953" s="1" t="n">
        <v>45411</v>
      </c>
      <c r="C953" s="1" t="n">
        <v>45842</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16769-2024</t>
        </is>
      </c>
      <c r="B954" s="1" t="n">
        <v>45411</v>
      </c>
      <c r="C954" s="1" t="n">
        <v>45842</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17455-2024</t>
        </is>
      </c>
      <c r="B955" s="1" t="n">
        <v>45415</v>
      </c>
      <c r="C955" s="1" t="n">
        <v>45842</v>
      </c>
      <c r="D955" t="inlineStr">
        <is>
          <t>VÄSTMANLANDS LÄN</t>
        </is>
      </c>
      <c r="E955" t="inlineStr">
        <is>
          <t>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17495-2024</t>
        </is>
      </c>
      <c r="B956" s="1" t="n">
        <v>45415</v>
      </c>
      <c r="C956" s="1" t="n">
        <v>45842</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17457-2024</t>
        </is>
      </c>
      <c r="B957" s="1" t="n">
        <v>45415</v>
      </c>
      <c r="C957" s="1" t="n">
        <v>45842</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17458-2024</t>
        </is>
      </c>
      <c r="B958" s="1" t="n">
        <v>45415</v>
      </c>
      <c r="C958" s="1" t="n">
        <v>45842</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17496-2024</t>
        </is>
      </c>
      <c r="B959" s="1" t="n">
        <v>45415</v>
      </c>
      <c r="C959" s="1" t="n">
        <v>45842</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17918-2024</t>
        </is>
      </c>
      <c r="B960" s="1" t="n">
        <v>45419</v>
      </c>
      <c r="C960" s="1" t="n">
        <v>45842</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18461-2024</t>
        </is>
      </c>
      <c r="B961" s="1" t="n">
        <v>45425</v>
      </c>
      <c r="C961" s="1" t="n">
        <v>45842</v>
      </c>
      <c r="D961" t="inlineStr">
        <is>
          <t>VÄSTMANLANDS LÄN</t>
        </is>
      </c>
      <c r="E961" t="inlineStr">
        <is>
          <t>SALA</t>
        </is>
      </c>
      <c r="G961" t="n">
        <v>1.7</v>
      </c>
      <c r="H961" t="n">
        <v>0</v>
      </c>
      <c r="I961" t="n">
        <v>0</v>
      </c>
      <c r="J961" t="n">
        <v>0</v>
      </c>
      <c r="K961" t="n">
        <v>0</v>
      </c>
      <c r="L961" t="n">
        <v>0</v>
      </c>
      <c r="M961" t="n">
        <v>0</v>
      </c>
      <c r="N961" t="n">
        <v>0</v>
      </c>
      <c r="O961" t="n">
        <v>0</v>
      </c>
      <c r="P961" t="n">
        <v>0</v>
      </c>
      <c r="Q961" t="n">
        <v>0</v>
      </c>
      <c r="R961" s="2" t="inlineStr"/>
    </row>
    <row r="962" ht="15" customHeight="1">
      <c r="A962" t="inlineStr">
        <is>
          <t>A 18522-2024</t>
        </is>
      </c>
      <c r="B962" s="1" t="n">
        <v>45425</v>
      </c>
      <c r="C962" s="1" t="n">
        <v>45842</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18750-2024</t>
        </is>
      </c>
      <c r="B963" s="1" t="n">
        <v>45426</v>
      </c>
      <c r="C963" s="1" t="n">
        <v>45842</v>
      </c>
      <c r="D963" t="inlineStr">
        <is>
          <t>VÄSTMANLANDS LÄN</t>
        </is>
      </c>
      <c r="E963" t="inlineStr">
        <is>
          <t>SALA</t>
        </is>
      </c>
      <c r="G963" t="n">
        <v>5.5</v>
      </c>
      <c r="H963" t="n">
        <v>0</v>
      </c>
      <c r="I963" t="n">
        <v>0</v>
      </c>
      <c r="J963" t="n">
        <v>0</v>
      </c>
      <c r="K963" t="n">
        <v>0</v>
      </c>
      <c r="L963" t="n">
        <v>0</v>
      </c>
      <c r="M963" t="n">
        <v>0</v>
      </c>
      <c r="N963" t="n">
        <v>0</v>
      </c>
      <c r="O963" t="n">
        <v>0</v>
      </c>
      <c r="P963" t="n">
        <v>0</v>
      </c>
      <c r="Q963" t="n">
        <v>0</v>
      </c>
      <c r="R963" s="2" t="inlineStr"/>
    </row>
    <row r="964" ht="15" customHeight="1">
      <c r="A964" t="inlineStr">
        <is>
          <t>A 18762-2024</t>
        </is>
      </c>
      <c r="B964" s="1" t="n">
        <v>45426</v>
      </c>
      <c r="C964" s="1" t="n">
        <v>45842</v>
      </c>
      <c r="D964" t="inlineStr">
        <is>
          <t>VÄSTMANLANDS LÄN</t>
        </is>
      </c>
      <c r="E964" t="inlineStr">
        <is>
          <t>SALA</t>
        </is>
      </c>
      <c r="G964" t="n">
        <v>6.2</v>
      </c>
      <c r="H964" t="n">
        <v>0</v>
      </c>
      <c r="I964" t="n">
        <v>0</v>
      </c>
      <c r="J964" t="n">
        <v>0</v>
      </c>
      <c r="K964" t="n">
        <v>0</v>
      </c>
      <c r="L964" t="n">
        <v>0</v>
      </c>
      <c r="M964" t="n">
        <v>0</v>
      </c>
      <c r="N964" t="n">
        <v>0</v>
      </c>
      <c r="O964" t="n">
        <v>0</v>
      </c>
      <c r="P964" t="n">
        <v>0</v>
      </c>
      <c r="Q964" t="n">
        <v>0</v>
      </c>
      <c r="R964" s="2" t="inlineStr"/>
    </row>
    <row r="965" ht="15" customHeight="1">
      <c r="A965" t="inlineStr">
        <is>
          <t>A 19224-2024</t>
        </is>
      </c>
      <c r="B965" s="1" t="n">
        <v>45428</v>
      </c>
      <c r="C965" s="1" t="n">
        <v>45842</v>
      </c>
      <c r="D965" t="inlineStr">
        <is>
          <t>VÄSTMANLANDS LÄN</t>
        </is>
      </c>
      <c r="E965" t="inlineStr">
        <is>
          <t>SALA</t>
        </is>
      </c>
      <c r="G965" t="n">
        <v>1.5</v>
      </c>
      <c r="H965" t="n">
        <v>0</v>
      </c>
      <c r="I965" t="n">
        <v>0</v>
      </c>
      <c r="J965" t="n">
        <v>0</v>
      </c>
      <c r="K965" t="n">
        <v>0</v>
      </c>
      <c r="L965" t="n">
        <v>0</v>
      </c>
      <c r="M965" t="n">
        <v>0</v>
      </c>
      <c r="N965" t="n">
        <v>0</v>
      </c>
      <c r="O965" t="n">
        <v>0</v>
      </c>
      <c r="P965" t="n">
        <v>0</v>
      </c>
      <c r="Q965" t="n">
        <v>0</v>
      </c>
      <c r="R965" s="2" t="inlineStr"/>
    </row>
    <row r="966" ht="15" customHeight="1">
      <c r="A966" t="inlineStr">
        <is>
          <t>A 19803-2024</t>
        </is>
      </c>
      <c r="B966" s="1" t="n">
        <v>45432</v>
      </c>
      <c r="C966" s="1" t="n">
        <v>45842</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19860-2024</t>
        </is>
      </c>
      <c r="B967" s="1" t="n">
        <v>45433</v>
      </c>
      <c r="C967" s="1" t="n">
        <v>45842</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19969-2024</t>
        </is>
      </c>
      <c r="B968" s="1" t="n">
        <v>45433</v>
      </c>
      <c r="C968" s="1" t="n">
        <v>45842</v>
      </c>
      <c r="D968" t="inlineStr">
        <is>
          <t>VÄSTMANLANDS LÄN</t>
        </is>
      </c>
      <c r="E968" t="inlineStr">
        <is>
          <t>SALA</t>
        </is>
      </c>
      <c r="G968" t="n">
        <v>4.7</v>
      </c>
      <c r="H968" t="n">
        <v>0</v>
      </c>
      <c r="I968" t="n">
        <v>0</v>
      </c>
      <c r="J968" t="n">
        <v>0</v>
      </c>
      <c r="K968" t="n">
        <v>0</v>
      </c>
      <c r="L968" t="n">
        <v>0</v>
      </c>
      <c r="M968" t="n">
        <v>0</v>
      </c>
      <c r="N968" t="n">
        <v>0</v>
      </c>
      <c r="O968" t="n">
        <v>0</v>
      </c>
      <c r="P968" t="n">
        <v>0</v>
      </c>
      <c r="Q968" t="n">
        <v>0</v>
      </c>
      <c r="R968" s="2" t="inlineStr"/>
    </row>
    <row r="969" ht="15" customHeight="1">
      <c r="A969" t="inlineStr">
        <is>
          <t>A 21234-2024</t>
        </is>
      </c>
      <c r="B969" s="1" t="n">
        <v>45440</v>
      </c>
      <c r="C969" s="1" t="n">
        <v>45842</v>
      </c>
      <c r="D969" t="inlineStr">
        <is>
          <t>VÄSTMANLANDS LÄN</t>
        </is>
      </c>
      <c r="E969" t="inlineStr">
        <is>
          <t>SALA</t>
        </is>
      </c>
      <c r="G969" t="n">
        <v>4.9</v>
      </c>
      <c r="H969" t="n">
        <v>0</v>
      </c>
      <c r="I969" t="n">
        <v>0</v>
      </c>
      <c r="J969" t="n">
        <v>0</v>
      </c>
      <c r="K969" t="n">
        <v>0</v>
      </c>
      <c r="L969" t="n">
        <v>0</v>
      </c>
      <c r="M969" t="n">
        <v>0</v>
      </c>
      <c r="N969" t="n">
        <v>0</v>
      </c>
      <c r="O969" t="n">
        <v>0</v>
      </c>
      <c r="P969" t="n">
        <v>0</v>
      </c>
      <c r="Q969" t="n">
        <v>0</v>
      </c>
      <c r="R969" s="2" t="inlineStr"/>
    </row>
    <row r="970" ht="15" customHeight="1">
      <c r="A970" t="inlineStr">
        <is>
          <t>A 21225-2024</t>
        </is>
      </c>
      <c r="B970" s="1" t="n">
        <v>45440</v>
      </c>
      <c r="C970" s="1" t="n">
        <v>45842</v>
      </c>
      <c r="D970" t="inlineStr">
        <is>
          <t>VÄSTMANLANDS LÄN</t>
        </is>
      </c>
      <c r="E970" t="inlineStr">
        <is>
          <t>SALA</t>
        </is>
      </c>
      <c r="G970" t="n">
        <v>2.2</v>
      </c>
      <c r="H970" t="n">
        <v>0</v>
      </c>
      <c r="I970" t="n">
        <v>0</v>
      </c>
      <c r="J970" t="n">
        <v>0</v>
      </c>
      <c r="K970" t="n">
        <v>0</v>
      </c>
      <c r="L970" t="n">
        <v>0</v>
      </c>
      <c r="M970" t="n">
        <v>0</v>
      </c>
      <c r="N970" t="n">
        <v>0</v>
      </c>
      <c r="O970" t="n">
        <v>0</v>
      </c>
      <c r="P970" t="n">
        <v>0</v>
      </c>
      <c r="Q970" t="n">
        <v>0</v>
      </c>
      <c r="R970" s="2" t="inlineStr"/>
    </row>
    <row r="971" ht="15" customHeight="1">
      <c r="A971" t="inlineStr">
        <is>
          <t>A 21968-2024</t>
        </is>
      </c>
      <c r="B971" s="1" t="n">
        <v>45443</v>
      </c>
      <c r="C971" s="1" t="n">
        <v>45842</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23317-2024</t>
        </is>
      </c>
      <c r="B972" s="1" t="n">
        <v>45453</v>
      </c>
      <c r="C972" s="1" t="n">
        <v>45842</v>
      </c>
      <c r="D972" t="inlineStr">
        <is>
          <t>VÄSTMANLANDS LÄN</t>
        </is>
      </c>
      <c r="E972" t="inlineStr">
        <is>
          <t>SALA</t>
        </is>
      </c>
      <c r="G972" t="n">
        <v>6.5</v>
      </c>
      <c r="H972" t="n">
        <v>0</v>
      </c>
      <c r="I972" t="n">
        <v>0</v>
      </c>
      <c r="J972" t="n">
        <v>0</v>
      </c>
      <c r="K972" t="n">
        <v>0</v>
      </c>
      <c r="L972" t="n">
        <v>0</v>
      </c>
      <c r="M972" t="n">
        <v>0</v>
      </c>
      <c r="N972" t="n">
        <v>0</v>
      </c>
      <c r="O972" t="n">
        <v>0</v>
      </c>
      <c r="P972" t="n">
        <v>0</v>
      </c>
      <c r="Q972" t="n">
        <v>0</v>
      </c>
      <c r="R972" s="2" t="inlineStr"/>
    </row>
    <row r="973" ht="15" customHeight="1">
      <c r="A973" t="inlineStr">
        <is>
          <t>A 23406-2024</t>
        </is>
      </c>
      <c r="B973" s="1" t="n">
        <v>45453</v>
      </c>
      <c r="C973" s="1" t="n">
        <v>45842</v>
      </c>
      <c r="D973" t="inlineStr">
        <is>
          <t>VÄSTMANLANDS LÄN</t>
        </is>
      </c>
      <c r="E973" t="inlineStr">
        <is>
          <t>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23431-2024</t>
        </is>
      </c>
      <c r="B974" s="1" t="n">
        <v>45453</v>
      </c>
      <c r="C974" s="1" t="n">
        <v>45842</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23433-2024</t>
        </is>
      </c>
      <c r="B975" s="1" t="n">
        <v>45453</v>
      </c>
      <c r="C975" s="1" t="n">
        <v>45842</v>
      </c>
      <c r="D975" t="inlineStr">
        <is>
          <t>VÄSTMANLANDS LÄN</t>
        </is>
      </c>
      <c r="E975" t="inlineStr">
        <is>
          <t>SALA</t>
        </is>
      </c>
      <c r="G975" t="n">
        <v>2.1</v>
      </c>
      <c r="H975" t="n">
        <v>0</v>
      </c>
      <c r="I975" t="n">
        <v>0</v>
      </c>
      <c r="J975" t="n">
        <v>0</v>
      </c>
      <c r="K975" t="n">
        <v>0</v>
      </c>
      <c r="L975" t="n">
        <v>0</v>
      </c>
      <c r="M975" t="n">
        <v>0</v>
      </c>
      <c r="N975" t="n">
        <v>0</v>
      </c>
      <c r="O975" t="n">
        <v>0</v>
      </c>
      <c r="P975" t="n">
        <v>0</v>
      </c>
      <c r="Q975" t="n">
        <v>0</v>
      </c>
      <c r="R975" s="2" t="inlineStr"/>
    </row>
    <row r="976" ht="15" customHeight="1">
      <c r="A976" t="inlineStr">
        <is>
          <t>A 23322-2024</t>
        </is>
      </c>
      <c r="B976" s="1" t="n">
        <v>45453</v>
      </c>
      <c r="C976" s="1" t="n">
        <v>45842</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23621-2024</t>
        </is>
      </c>
      <c r="B977" s="1" t="n">
        <v>45454</v>
      </c>
      <c r="C977" s="1" t="n">
        <v>45842</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24039-2024</t>
        </is>
      </c>
      <c r="B978" s="1" t="n">
        <v>45456</v>
      </c>
      <c r="C978" s="1" t="n">
        <v>45842</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24037-2024</t>
        </is>
      </c>
      <c r="B979" s="1" t="n">
        <v>45456</v>
      </c>
      <c r="C979" s="1" t="n">
        <v>45842</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24175-2024</t>
        </is>
      </c>
      <c r="B980" s="1" t="n">
        <v>45456</v>
      </c>
      <c r="C980" s="1" t="n">
        <v>45842</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24337-2024</t>
        </is>
      </c>
      <c r="B981" s="1" t="n">
        <v>45457</v>
      </c>
      <c r="C981" s="1" t="n">
        <v>45842</v>
      </c>
      <c r="D981" t="inlineStr">
        <is>
          <t>VÄSTMANLANDS LÄN</t>
        </is>
      </c>
      <c r="E981" t="inlineStr">
        <is>
          <t>SALA</t>
        </is>
      </c>
      <c r="G981" t="n">
        <v>2.9</v>
      </c>
      <c r="H981" t="n">
        <v>0</v>
      </c>
      <c r="I981" t="n">
        <v>0</v>
      </c>
      <c r="J981" t="n">
        <v>0</v>
      </c>
      <c r="K981" t="n">
        <v>0</v>
      </c>
      <c r="L981" t="n">
        <v>0</v>
      </c>
      <c r="M981" t="n">
        <v>0</v>
      </c>
      <c r="N981" t="n">
        <v>0</v>
      </c>
      <c r="O981" t="n">
        <v>0</v>
      </c>
      <c r="P981" t="n">
        <v>0</v>
      </c>
      <c r="Q981" t="n">
        <v>0</v>
      </c>
      <c r="R981" s="2" t="inlineStr"/>
    </row>
    <row r="982" ht="15" customHeight="1">
      <c r="A982" t="inlineStr">
        <is>
          <t>A 24375-2024</t>
        </is>
      </c>
      <c r="B982" s="1" t="n">
        <v>45457</v>
      </c>
      <c r="C982" s="1" t="n">
        <v>45842</v>
      </c>
      <c r="D982" t="inlineStr">
        <is>
          <t>VÄSTMANLANDS LÄN</t>
        </is>
      </c>
      <c r="E982" t="inlineStr">
        <is>
          <t>SALA</t>
        </is>
      </c>
      <c r="G982" t="n">
        <v>6.3</v>
      </c>
      <c r="H982" t="n">
        <v>0</v>
      </c>
      <c r="I982" t="n">
        <v>0</v>
      </c>
      <c r="J982" t="n">
        <v>0</v>
      </c>
      <c r="K982" t="n">
        <v>0</v>
      </c>
      <c r="L982" t="n">
        <v>0</v>
      </c>
      <c r="M982" t="n">
        <v>0</v>
      </c>
      <c r="N982" t="n">
        <v>0</v>
      </c>
      <c r="O982" t="n">
        <v>0</v>
      </c>
      <c r="P982" t="n">
        <v>0</v>
      </c>
      <c r="Q982" t="n">
        <v>0</v>
      </c>
      <c r="R982" s="2" t="inlineStr"/>
    </row>
    <row r="983" ht="15" customHeight="1">
      <c r="A983" t="inlineStr">
        <is>
          <t>A 24866-2024</t>
        </is>
      </c>
      <c r="B983" s="1" t="n">
        <v>45461</v>
      </c>
      <c r="C983" s="1" t="n">
        <v>45842</v>
      </c>
      <c r="D983" t="inlineStr">
        <is>
          <t>VÄSTMANLANDS LÄN</t>
        </is>
      </c>
      <c r="E983" t="inlineStr">
        <is>
          <t>SALA</t>
        </is>
      </c>
      <c r="G983" t="n">
        <v>2.8</v>
      </c>
      <c r="H983" t="n">
        <v>0</v>
      </c>
      <c r="I983" t="n">
        <v>0</v>
      </c>
      <c r="J983" t="n">
        <v>0</v>
      </c>
      <c r="K983" t="n">
        <v>0</v>
      </c>
      <c r="L983" t="n">
        <v>0</v>
      </c>
      <c r="M983" t="n">
        <v>0</v>
      </c>
      <c r="N983" t="n">
        <v>0</v>
      </c>
      <c r="O983" t="n">
        <v>0</v>
      </c>
      <c r="P983" t="n">
        <v>0</v>
      </c>
      <c r="Q983" t="n">
        <v>0</v>
      </c>
      <c r="R983" s="2" t="inlineStr"/>
    </row>
    <row r="984" ht="15" customHeight="1">
      <c r="A984" t="inlineStr">
        <is>
          <t>A 24900-2024</t>
        </is>
      </c>
      <c r="B984" s="1" t="n">
        <v>45461</v>
      </c>
      <c r="C984" s="1" t="n">
        <v>45842</v>
      </c>
      <c r="D984" t="inlineStr">
        <is>
          <t>VÄSTMANLANDS LÄN</t>
        </is>
      </c>
      <c r="E984" t="inlineStr">
        <is>
          <t>SALA</t>
        </is>
      </c>
      <c r="G984" t="n">
        <v>5.8</v>
      </c>
      <c r="H984" t="n">
        <v>0</v>
      </c>
      <c r="I984" t="n">
        <v>0</v>
      </c>
      <c r="J984" t="n">
        <v>0</v>
      </c>
      <c r="K984" t="n">
        <v>0</v>
      </c>
      <c r="L984" t="n">
        <v>0</v>
      </c>
      <c r="M984" t="n">
        <v>0</v>
      </c>
      <c r="N984" t="n">
        <v>0</v>
      </c>
      <c r="O984" t="n">
        <v>0</v>
      </c>
      <c r="P984" t="n">
        <v>0</v>
      </c>
      <c r="Q984" t="n">
        <v>0</v>
      </c>
      <c r="R984" s="2" t="inlineStr"/>
    </row>
    <row r="985" ht="15" customHeight="1">
      <c r="A985" t="inlineStr">
        <is>
          <t>A 24864-2024</t>
        </is>
      </c>
      <c r="B985" s="1" t="n">
        <v>45461</v>
      </c>
      <c r="C985" s="1" t="n">
        <v>45842</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25541-2024</t>
        </is>
      </c>
      <c r="B986" s="1" t="n">
        <v>45463</v>
      </c>
      <c r="C986" s="1" t="n">
        <v>45842</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25860-2024</t>
        </is>
      </c>
      <c r="B987" s="1" t="n">
        <v>45467</v>
      </c>
      <c r="C987" s="1" t="n">
        <v>45842</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25897-2024</t>
        </is>
      </c>
      <c r="B988" s="1" t="n">
        <v>45467</v>
      </c>
      <c r="C988" s="1" t="n">
        <v>45842</v>
      </c>
      <c r="D988" t="inlineStr">
        <is>
          <t>VÄSTMANLANDS LÄN</t>
        </is>
      </c>
      <c r="E988" t="inlineStr">
        <is>
          <t>SALA</t>
        </is>
      </c>
      <c r="G988" t="n">
        <v>9.9</v>
      </c>
      <c r="H988" t="n">
        <v>0</v>
      </c>
      <c r="I988" t="n">
        <v>0</v>
      </c>
      <c r="J988" t="n">
        <v>0</v>
      </c>
      <c r="K988" t="n">
        <v>0</v>
      </c>
      <c r="L988" t="n">
        <v>0</v>
      </c>
      <c r="M988" t="n">
        <v>0</v>
      </c>
      <c r="N988" t="n">
        <v>0</v>
      </c>
      <c r="O988" t="n">
        <v>0</v>
      </c>
      <c r="P988" t="n">
        <v>0</v>
      </c>
      <c r="Q988" t="n">
        <v>0</v>
      </c>
      <c r="R988" s="2" t="inlineStr"/>
    </row>
    <row r="989" ht="15" customHeight="1">
      <c r="A989" t="inlineStr">
        <is>
          <t>A 25891-2024</t>
        </is>
      </c>
      <c r="B989" s="1" t="n">
        <v>45467</v>
      </c>
      <c r="C989" s="1" t="n">
        <v>45842</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v>
      </c>
      <c r="C990" s="1" t="n">
        <v>45842</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26854-2024</t>
        </is>
      </c>
      <c r="B991" s="1" t="n">
        <v>45470</v>
      </c>
      <c r="C991" s="1" t="n">
        <v>45842</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26848-2024</t>
        </is>
      </c>
      <c r="B992" s="1" t="n">
        <v>45470</v>
      </c>
      <c r="C992" s="1" t="n">
        <v>45842</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26844-2024</t>
        </is>
      </c>
      <c r="B993" s="1" t="n">
        <v>45470</v>
      </c>
      <c r="C993" s="1" t="n">
        <v>45842</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27097-2024</t>
        </is>
      </c>
      <c r="B994" s="1" t="n">
        <v>45471</v>
      </c>
      <c r="C994" s="1" t="n">
        <v>45842</v>
      </c>
      <c r="D994" t="inlineStr">
        <is>
          <t>VÄSTMANLANDS LÄN</t>
        </is>
      </c>
      <c r="E994" t="inlineStr">
        <is>
          <t>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27262-2024</t>
        </is>
      </c>
      <c r="B995" s="1" t="n">
        <v>45471</v>
      </c>
      <c r="C995" s="1" t="n">
        <v>45842</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27261-2024</t>
        </is>
      </c>
      <c r="B996" s="1" t="n">
        <v>45471</v>
      </c>
      <c r="C996" s="1" t="n">
        <v>45842</v>
      </c>
      <c r="D996" t="inlineStr">
        <is>
          <t>VÄSTMANLANDS LÄN</t>
        </is>
      </c>
      <c r="E996" t="inlineStr">
        <is>
          <t>SALA</t>
        </is>
      </c>
      <c r="G996" t="n">
        <v>6.1</v>
      </c>
      <c r="H996" t="n">
        <v>0</v>
      </c>
      <c r="I996" t="n">
        <v>0</v>
      </c>
      <c r="J996" t="n">
        <v>0</v>
      </c>
      <c r="K996" t="n">
        <v>0</v>
      </c>
      <c r="L996" t="n">
        <v>0</v>
      </c>
      <c r="M996" t="n">
        <v>0</v>
      </c>
      <c r="N996" t="n">
        <v>0</v>
      </c>
      <c r="O996" t="n">
        <v>0</v>
      </c>
      <c r="P996" t="n">
        <v>0</v>
      </c>
      <c r="Q996" t="n">
        <v>0</v>
      </c>
      <c r="R996" s="2" t="inlineStr"/>
    </row>
    <row r="997" ht="15" customHeight="1">
      <c r="A997" t="inlineStr">
        <is>
          <t>A 28082-2024</t>
        </is>
      </c>
      <c r="B997" s="1" t="n">
        <v>45476</v>
      </c>
      <c r="C997" s="1" t="n">
        <v>45842</v>
      </c>
      <c r="D997" t="inlineStr">
        <is>
          <t>VÄSTMANLANDS LÄN</t>
        </is>
      </c>
      <c r="E997" t="inlineStr">
        <is>
          <t>SALA</t>
        </is>
      </c>
      <c r="G997" t="n">
        <v>4.7</v>
      </c>
      <c r="H997" t="n">
        <v>0</v>
      </c>
      <c r="I997" t="n">
        <v>0</v>
      </c>
      <c r="J997" t="n">
        <v>0</v>
      </c>
      <c r="K997" t="n">
        <v>0</v>
      </c>
      <c r="L997" t="n">
        <v>0</v>
      </c>
      <c r="M997" t="n">
        <v>0</v>
      </c>
      <c r="N997" t="n">
        <v>0</v>
      </c>
      <c r="O997" t="n">
        <v>0</v>
      </c>
      <c r="P997" t="n">
        <v>0</v>
      </c>
      <c r="Q997" t="n">
        <v>0</v>
      </c>
      <c r="R997" s="2" t="inlineStr"/>
    </row>
    <row r="998" ht="15" customHeight="1">
      <c r="A998" t="inlineStr">
        <is>
          <t>A 28093-2024</t>
        </is>
      </c>
      <c r="B998" s="1" t="n">
        <v>45476</v>
      </c>
      <c r="C998" s="1" t="n">
        <v>45842</v>
      </c>
      <c r="D998" t="inlineStr">
        <is>
          <t>VÄSTMANLANDS LÄN</t>
        </is>
      </c>
      <c r="E998" t="inlineStr">
        <is>
          <t>SALA</t>
        </is>
      </c>
      <c r="G998" t="n">
        <v>4.2</v>
      </c>
      <c r="H998" t="n">
        <v>0</v>
      </c>
      <c r="I998" t="n">
        <v>0</v>
      </c>
      <c r="J998" t="n">
        <v>0</v>
      </c>
      <c r="K998" t="n">
        <v>0</v>
      </c>
      <c r="L998" t="n">
        <v>0</v>
      </c>
      <c r="M998" t="n">
        <v>0</v>
      </c>
      <c r="N998" t="n">
        <v>0</v>
      </c>
      <c r="O998" t="n">
        <v>0</v>
      </c>
      <c r="P998" t="n">
        <v>0</v>
      </c>
      <c r="Q998" t="n">
        <v>0</v>
      </c>
      <c r="R998" s="2" t="inlineStr"/>
    </row>
    <row r="999" ht="15" customHeight="1">
      <c r="A999" t="inlineStr">
        <is>
          <t>A 28439-2024</t>
        </is>
      </c>
      <c r="B999" s="1" t="n">
        <v>45477</v>
      </c>
      <c r="C999" s="1" t="n">
        <v>45842</v>
      </c>
      <c r="D999" t="inlineStr">
        <is>
          <t>VÄSTMANLANDS LÄN</t>
        </is>
      </c>
      <c r="E999" t="inlineStr">
        <is>
          <t>SALA</t>
        </is>
      </c>
      <c r="G999" t="n">
        <v>9.5</v>
      </c>
      <c r="H999" t="n">
        <v>0</v>
      </c>
      <c r="I999" t="n">
        <v>0</v>
      </c>
      <c r="J999" t="n">
        <v>0</v>
      </c>
      <c r="K999" t="n">
        <v>0</v>
      </c>
      <c r="L999" t="n">
        <v>0</v>
      </c>
      <c r="M999" t="n">
        <v>0</v>
      </c>
      <c r="N999" t="n">
        <v>0</v>
      </c>
      <c r="O999" t="n">
        <v>0</v>
      </c>
      <c r="P999" t="n">
        <v>0</v>
      </c>
      <c r="Q999" t="n">
        <v>0</v>
      </c>
      <c r="R999" s="2" t="inlineStr"/>
    </row>
    <row r="1000" ht="15" customHeight="1">
      <c r="A1000" t="inlineStr">
        <is>
          <t>A 28614-2024</t>
        </is>
      </c>
      <c r="B1000" s="1" t="n">
        <v>45478</v>
      </c>
      <c r="C1000" s="1" t="n">
        <v>45842</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28661-2024</t>
        </is>
      </c>
      <c r="B1001" s="1" t="n">
        <v>45478</v>
      </c>
      <c r="C1001" s="1" t="n">
        <v>45842</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29019-2024</t>
        </is>
      </c>
      <c r="B1002" s="1" t="n">
        <v>45481</v>
      </c>
      <c r="C1002" s="1" t="n">
        <v>45842</v>
      </c>
      <c r="D1002" t="inlineStr">
        <is>
          <t>VÄSTMANLANDS LÄN</t>
        </is>
      </c>
      <c r="E1002" t="inlineStr">
        <is>
          <t>SALA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30028-2024</t>
        </is>
      </c>
      <c r="B1003" s="1" t="n">
        <v>45485</v>
      </c>
      <c r="C1003" s="1" t="n">
        <v>45842</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29929-2024</t>
        </is>
      </c>
      <c r="B1004" s="1" t="n">
        <v>45488</v>
      </c>
      <c r="C1004" s="1" t="n">
        <v>45842</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30613-2024</t>
        </is>
      </c>
      <c r="B1005" s="1" t="n">
        <v>45495</v>
      </c>
      <c r="C1005" s="1" t="n">
        <v>45842</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31235-2024</t>
        </is>
      </c>
      <c r="B1006" s="1" t="n">
        <v>45503</v>
      </c>
      <c r="C1006" s="1" t="n">
        <v>45842</v>
      </c>
      <c r="D1006" t="inlineStr">
        <is>
          <t>VÄSTMANLANDS LÄN</t>
        </is>
      </c>
      <c r="E1006" t="inlineStr">
        <is>
          <t>SALA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31405-2024</t>
        </is>
      </c>
      <c r="B1007" s="1" t="n">
        <v>45505</v>
      </c>
      <c r="C1007" s="1" t="n">
        <v>45842</v>
      </c>
      <c r="D1007" t="inlineStr">
        <is>
          <t>VÄSTMANLANDS LÄN</t>
        </is>
      </c>
      <c r="E1007" t="inlineStr">
        <is>
          <t>SALA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31599-2024</t>
        </is>
      </c>
      <c r="B1008" s="1" t="n">
        <v>45506</v>
      </c>
      <c r="C1008" s="1" t="n">
        <v>45842</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31608-2024</t>
        </is>
      </c>
      <c r="B1009" s="1" t="n">
        <v>45506</v>
      </c>
      <c r="C1009" s="1" t="n">
        <v>45842</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31601-2024</t>
        </is>
      </c>
      <c r="B1010" s="1" t="n">
        <v>45506</v>
      </c>
      <c r="C1010" s="1" t="n">
        <v>45842</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31609-2024</t>
        </is>
      </c>
      <c r="B1011" s="1" t="n">
        <v>45506</v>
      </c>
      <c r="C1011" s="1" t="n">
        <v>45842</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31597-2024</t>
        </is>
      </c>
      <c r="B1012" s="1" t="n">
        <v>45506</v>
      </c>
      <c r="C1012" s="1" t="n">
        <v>45842</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31655-2024</t>
        </is>
      </c>
      <c r="B1013" s="1" t="n">
        <v>45506</v>
      </c>
      <c r="C1013" s="1" t="n">
        <v>45842</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31612-2024</t>
        </is>
      </c>
      <c r="B1014" s="1" t="n">
        <v>45506</v>
      </c>
      <c r="C1014" s="1" t="n">
        <v>45842</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31941-2024</t>
        </is>
      </c>
      <c r="B1015" s="1" t="n">
        <v>45510</v>
      </c>
      <c r="C1015" s="1" t="n">
        <v>45842</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32372-2024</t>
        </is>
      </c>
      <c r="B1016" s="1" t="n">
        <v>45512</v>
      </c>
      <c r="C1016" s="1" t="n">
        <v>45842</v>
      </c>
      <c r="D1016" t="inlineStr">
        <is>
          <t>VÄSTMANLANDS LÄN</t>
        </is>
      </c>
      <c r="E1016" t="inlineStr">
        <is>
          <t>SALA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32303-2024</t>
        </is>
      </c>
      <c r="B1017" s="1" t="n">
        <v>45512</v>
      </c>
      <c r="C1017" s="1" t="n">
        <v>45842</v>
      </c>
      <c r="D1017" t="inlineStr">
        <is>
          <t>VÄSTMANLANDS LÄN</t>
        </is>
      </c>
      <c r="E1017" t="inlineStr">
        <is>
          <t>SALA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32484-2024</t>
        </is>
      </c>
      <c r="B1018" s="1" t="n">
        <v>45513</v>
      </c>
      <c r="C1018" s="1" t="n">
        <v>45842</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34419-2024</t>
        </is>
      </c>
      <c r="B1019" s="1" t="n">
        <v>45525</v>
      </c>
      <c r="C1019" s="1" t="n">
        <v>45842</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34412-2024</t>
        </is>
      </c>
      <c r="B1020" s="1" t="n">
        <v>45525</v>
      </c>
      <c r="C1020" s="1" t="n">
        <v>45842</v>
      </c>
      <c r="D1020" t="inlineStr">
        <is>
          <t>VÄSTMANLANDS LÄN</t>
        </is>
      </c>
      <c r="E1020" t="inlineStr">
        <is>
          <t>SALA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34416-2024</t>
        </is>
      </c>
      <c r="B1021" s="1" t="n">
        <v>45525</v>
      </c>
      <c r="C1021" s="1" t="n">
        <v>45842</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35003-2024</t>
        </is>
      </c>
      <c r="B1022" s="1" t="n">
        <v>45527</v>
      </c>
      <c r="C1022" s="1" t="n">
        <v>45842</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35016-2024</t>
        </is>
      </c>
      <c r="B1023" s="1" t="n">
        <v>45527</v>
      </c>
      <c r="C1023" s="1" t="n">
        <v>45842</v>
      </c>
      <c r="D1023" t="inlineStr">
        <is>
          <t>VÄSTMANLANDS LÄN</t>
        </is>
      </c>
      <c r="E1023" t="inlineStr">
        <is>
          <t>SALA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35010-2024</t>
        </is>
      </c>
      <c r="B1024" s="1" t="n">
        <v>45527</v>
      </c>
      <c r="C1024" s="1" t="n">
        <v>45842</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35462-2024</t>
        </is>
      </c>
      <c r="B1025" s="1" t="n">
        <v>45531</v>
      </c>
      <c r="C1025" s="1" t="n">
        <v>45842</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35499-2024</t>
        </is>
      </c>
      <c r="B1026" s="1" t="n">
        <v>45531</v>
      </c>
      <c r="C1026" s="1" t="n">
        <v>45842</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35529-2024</t>
        </is>
      </c>
      <c r="B1027" s="1" t="n">
        <v>45531</v>
      </c>
      <c r="C1027" s="1" t="n">
        <v>45842</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35558-2024</t>
        </is>
      </c>
      <c r="B1028" s="1" t="n">
        <v>45531</v>
      </c>
      <c r="C1028" s="1" t="n">
        <v>45842</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35519-2024</t>
        </is>
      </c>
      <c r="B1029" s="1" t="n">
        <v>45531</v>
      </c>
      <c r="C1029" s="1" t="n">
        <v>45842</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35528-2024</t>
        </is>
      </c>
      <c r="B1030" s="1" t="n">
        <v>45531</v>
      </c>
      <c r="C1030" s="1" t="n">
        <v>45842</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35573-2024</t>
        </is>
      </c>
      <c r="B1031" s="1" t="n">
        <v>45531</v>
      </c>
      <c r="C1031" s="1" t="n">
        <v>45842</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36075-2024</t>
        </is>
      </c>
      <c r="B1032" s="1" t="n">
        <v>45533</v>
      </c>
      <c r="C1032" s="1" t="n">
        <v>45842</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35976-2024</t>
        </is>
      </c>
      <c r="B1033" s="1" t="n">
        <v>45533</v>
      </c>
      <c r="C1033" s="1" t="n">
        <v>45842</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36073-2024</t>
        </is>
      </c>
      <c r="B1034" s="1" t="n">
        <v>45533</v>
      </c>
      <c r="C1034" s="1" t="n">
        <v>45842</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37137-2024</t>
        </is>
      </c>
      <c r="B1035" s="1" t="n">
        <v>45539</v>
      </c>
      <c r="C1035" s="1" t="n">
        <v>45842</v>
      </c>
      <c r="D1035" t="inlineStr">
        <is>
          <t>VÄSTMANLANDS LÄN</t>
        </is>
      </c>
      <c r="E1035" t="inlineStr">
        <is>
          <t>SALA</t>
        </is>
      </c>
      <c r="F1035" t="inlineStr">
        <is>
          <t>Kommuner</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37183-2024</t>
        </is>
      </c>
      <c r="B1036" s="1" t="n">
        <v>45539</v>
      </c>
      <c r="C1036" s="1" t="n">
        <v>45842</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37185-2024</t>
        </is>
      </c>
      <c r="B1037" s="1" t="n">
        <v>45539</v>
      </c>
      <c r="C1037" s="1" t="n">
        <v>45842</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37224-2024</t>
        </is>
      </c>
      <c r="B1038" s="1" t="n">
        <v>45539</v>
      </c>
      <c r="C1038" s="1" t="n">
        <v>45842</v>
      </c>
      <c r="D1038" t="inlineStr">
        <is>
          <t>VÄSTMANLANDS LÄN</t>
        </is>
      </c>
      <c r="E1038" t="inlineStr">
        <is>
          <t>SALA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37190-2024</t>
        </is>
      </c>
      <c r="B1039" s="1" t="n">
        <v>45539</v>
      </c>
      <c r="C1039" s="1" t="n">
        <v>45842</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37251-2024</t>
        </is>
      </c>
      <c r="B1040" s="1" t="n">
        <v>45540</v>
      </c>
      <c r="C1040" s="1" t="n">
        <v>45842</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37332-2024</t>
        </is>
      </c>
      <c r="B1041" s="1" t="n">
        <v>45540</v>
      </c>
      <c r="C1041" s="1" t="n">
        <v>45842</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37337-2024</t>
        </is>
      </c>
      <c r="B1042" s="1" t="n">
        <v>45540</v>
      </c>
      <c r="C1042" s="1" t="n">
        <v>45842</v>
      </c>
      <c r="D1042" t="inlineStr">
        <is>
          <t>VÄSTMANLANDS LÄN</t>
        </is>
      </c>
      <c r="E1042" t="inlineStr">
        <is>
          <t>SALA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37602-2024</t>
        </is>
      </c>
      <c r="B1043" s="1" t="n">
        <v>45541</v>
      </c>
      <c r="C1043" s="1" t="n">
        <v>45842</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37587-2024</t>
        </is>
      </c>
      <c r="B1044" s="1" t="n">
        <v>45541</v>
      </c>
      <c r="C1044" s="1" t="n">
        <v>45842</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37612-2024</t>
        </is>
      </c>
      <c r="B1045" s="1" t="n">
        <v>45541</v>
      </c>
      <c r="C1045" s="1" t="n">
        <v>45842</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37624-2024</t>
        </is>
      </c>
      <c r="B1046" s="1" t="n">
        <v>45541</v>
      </c>
      <c r="C1046" s="1" t="n">
        <v>45842</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37615-2024</t>
        </is>
      </c>
      <c r="B1047" s="1" t="n">
        <v>45541</v>
      </c>
      <c r="C1047" s="1" t="n">
        <v>45842</v>
      </c>
      <c r="D1047" t="inlineStr">
        <is>
          <t>VÄSTMANLANDS LÄN</t>
        </is>
      </c>
      <c r="E1047" t="inlineStr">
        <is>
          <t>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37958-2024</t>
        </is>
      </c>
      <c r="B1048" s="1" t="n">
        <v>45544</v>
      </c>
      <c r="C1048" s="1" t="n">
        <v>45842</v>
      </c>
      <c r="D1048" t="inlineStr">
        <is>
          <t>VÄSTMANLANDS LÄN</t>
        </is>
      </c>
      <c r="E1048" t="inlineStr">
        <is>
          <t>SALA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38434-2024</t>
        </is>
      </c>
      <c r="B1049" s="1" t="n">
        <v>45546</v>
      </c>
      <c r="C1049" s="1" t="n">
        <v>45842</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39364-2024</t>
        </is>
      </c>
      <c r="B1050" s="1" t="n">
        <v>45551</v>
      </c>
      <c r="C1050" s="1" t="n">
        <v>45842</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40272-2024</t>
        </is>
      </c>
      <c r="B1051" s="1" t="n">
        <v>45554</v>
      </c>
      <c r="C1051" s="1" t="n">
        <v>45842</v>
      </c>
      <c r="D1051" t="inlineStr">
        <is>
          <t>VÄSTMANLANDS LÄN</t>
        </is>
      </c>
      <c r="E1051" t="inlineStr">
        <is>
          <t>SALA</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40085-2024</t>
        </is>
      </c>
      <c r="B1052" s="1" t="n">
        <v>45554</v>
      </c>
      <c r="C1052" s="1" t="n">
        <v>45842</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40757-2024</t>
        </is>
      </c>
      <c r="B1053" s="1" t="n">
        <v>45558</v>
      </c>
      <c r="C1053" s="1" t="n">
        <v>45842</v>
      </c>
      <c r="D1053" t="inlineStr">
        <is>
          <t>VÄSTMANLANDS LÄN</t>
        </is>
      </c>
      <c r="E1053" t="inlineStr">
        <is>
          <t>SALA</t>
        </is>
      </c>
      <c r="F1053" t="inlineStr">
        <is>
          <t>Kommuner</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41247-2024</t>
        </is>
      </c>
      <c r="B1054" s="1" t="n">
        <v>45559</v>
      </c>
      <c r="C1054" s="1" t="n">
        <v>45842</v>
      </c>
      <c r="D1054" t="inlineStr">
        <is>
          <t>VÄSTMANLANDS LÄN</t>
        </is>
      </c>
      <c r="E1054" t="inlineStr">
        <is>
          <t>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41748-2024</t>
        </is>
      </c>
      <c r="B1055" s="1" t="n">
        <v>45561</v>
      </c>
      <c r="C1055" s="1" t="n">
        <v>45842</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42617-2024</t>
        </is>
      </c>
      <c r="B1056" s="1" t="n">
        <v>45565</v>
      </c>
      <c r="C1056" s="1" t="n">
        <v>45842</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42684-2024</t>
        </is>
      </c>
      <c r="B1057" s="1" t="n">
        <v>45565</v>
      </c>
      <c r="C1057" s="1" t="n">
        <v>45842</v>
      </c>
      <c r="D1057" t="inlineStr">
        <is>
          <t>VÄSTMANLANDS LÄN</t>
        </is>
      </c>
      <c r="E1057" t="inlineStr">
        <is>
          <t>SALA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43196-2024</t>
        </is>
      </c>
      <c r="B1058" s="1" t="n">
        <v>45567</v>
      </c>
      <c r="C1058" s="1" t="n">
        <v>45842</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43108-2024</t>
        </is>
      </c>
      <c r="B1059" s="1" t="n">
        <v>45567</v>
      </c>
      <c r="C1059" s="1" t="n">
        <v>45842</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v>
      </c>
      <c r="C1060" s="1" t="n">
        <v>45842</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43600-2024</t>
        </is>
      </c>
      <c r="B1061" s="1" t="n">
        <v>45569</v>
      </c>
      <c r="C1061" s="1" t="n">
        <v>45842</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43596-2024</t>
        </is>
      </c>
      <c r="B1062" s="1" t="n">
        <v>45569</v>
      </c>
      <c r="C1062" s="1" t="n">
        <v>45842</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44544-2024</t>
        </is>
      </c>
      <c r="B1063" s="1" t="n">
        <v>45574</v>
      </c>
      <c r="C1063" s="1" t="n">
        <v>45842</v>
      </c>
      <c r="D1063" t="inlineStr">
        <is>
          <t>VÄSTMANLANDS LÄN</t>
        </is>
      </c>
      <c r="E1063" t="inlineStr">
        <is>
          <t>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44746-2024</t>
        </is>
      </c>
      <c r="B1064" s="1" t="n">
        <v>45574</v>
      </c>
      <c r="C1064" s="1" t="n">
        <v>45842</v>
      </c>
      <c r="D1064" t="inlineStr">
        <is>
          <t>VÄSTMANLANDS LÄN</t>
        </is>
      </c>
      <c r="E1064" t="inlineStr">
        <is>
          <t>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45185-2024</t>
        </is>
      </c>
      <c r="B1065" s="1" t="n">
        <v>45575</v>
      </c>
      <c r="C1065" s="1" t="n">
        <v>45842</v>
      </c>
      <c r="D1065" t="inlineStr">
        <is>
          <t>VÄSTMANLANDS LÄN</t>
        </is>
      </c>
      <c r="E1065" t="inlineStr">
        <is>
          <t>SALA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45187-2024</t>
        </is>
      </c>
      <c r="B1066" s="1" t="n">
        <v>45575</v>
      </c>
      <c r="C1066" s="1" t="n">
        <v>45842</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45313-2024</t>
        </is>
      </c>
      <c r="B1067" s="1" t="n">
        <v>45576</v>
      </c>
      <c r="C1067" s="1" t="n">
        <v>45842</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45737-2024</t>
        </is>
      </c>
      <c r="B1068" s="1" t="n">
        <v>45579</v>
      </c>
      <c r="C1068" s="1" t="n">
        <v>45842</v>
      </c>
      <c r="D1068" t="inlineStr">
        <is>
          <t>VÄSTMANLANDS LÄN</t>
        </is>
      </c>
      <c r="E1068" t="inlineStr">
        <is>
          <t>SALA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45738-2024</t>
        </is>
      </c>
      <c r="B1069" s="1" t="n">
        <v>45579</v>
      </c>
      <c r="C1069" s="1" t="n">
        <v>45842</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45765-2024</t>
        </is>
      </c>
      <c r="B1070" s="1" t="n">
        <v>45579</v>
      </c>
      <c r="C1070" s="1" t="n">
        <v>45842</v>
      </c>
      <c r="D1070" t="inlineStr">
        <is>
          <t>VÄSTMANLANDS LÄN</t>
        </is>
      </c>
      <c r="E1070" t="inlineStr">
        <is>
          <t>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45761-2024</t>
        </is>
      </c>
      <c r="B1071" s="1" t="n">
        <v>45579</v>
      </c>
      <c r="C1071" s="1" t="n">
        <v>45842</v>
      </c>
      <c r="D1071" t="inlineStr">
        <is>
          <t>VÄSTMANLANDS LÄN</t>
        </is>
      </c>
      <c r="E1071" t="inlineStr">
        <is>
          <t>SALA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45931-2024</t>
        </is>
      </c>
      <c r="B1072" s="1" t="n">
        <v>45580</v>
      </c>
      <c r="C1072" s="1" t="n">
        <v>45842</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46861-2024</t>
        </is>
      </c>
      <c r="B1073" s="1" t="n">
        <v>45583</v>
      </c>
      <c r="C1073" s="1" t="n">
        <v>45842</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46682-2024</t>
        </is>
      </c>
      <c r="B1074" s="1" t="n">
        <v>45583</v>
      </c>
      <c r="C1074" s="1" t="n">
        <v>45842</v>
      </c>
      <c r="D1074" t="inlineStr">
        <is>
          <t>VÄSTMANLANDS LÄN</t>
        </is>
      </c>
      <c r="E1074" t="inlineStr">
        <is>
          <t>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47061-2024</t>
        </is>
      </c>
      <c r="B1075" s="1" t="n">
        <v>45586</v>
      </c>
      <c r="C1075" s="1" t="n">
        <v>45842</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47038-2024</t>
        </is>
      </c>
      <c r="B1076" s="1" t="n">
        <v>45586</v>
      </c>
      <c r="C1076" s="1" t="n">
        <v>45842</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47479-2024</t>
        </is>
      </c>
      <c r="B1077" s="1" t="n">
        <v>45587</v>
      </c>
      <c r="C1077" s="1" t="n">
        <v>45842</v>
      </c>
      <c r="D1077" t="inlineStr">
        <is>
          <t>VÄSTMANLANDS LÄN</t>
        </is>
      </c>
      <c r="E1077" t="inlineStr">
        <is>
          <t>SALA</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47474-2024</t>
        </is>
      </c>
      <c r="B1078" s="1" t="n">
        <v>45587</v>
      </c>
      <c r="C1078" s="1" t="n">
        <v>45842</v>
      </c>
      <c r="D1078" t="inlineStr">
        <is>
          <t>VÄSTMANLANDS LÄN</t>
        </is>
      </c>
      <c r="E1078" t="inlineStr">
        <is>
          <t>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47294-2024</t>
        </is>
      </c>
      <c r="B1079" s="1" t="n">
        <v>45587</v>
      </c>
      <c r="C1079" s="1" t="n">
        <v>45842</v>
      </c>
      <c r="D1079" t="inlineStr">
        <is>
          <t>VÄSTMANLANDS LÄN</t>
        </is>
      </c>
      <c r="E1079" t="inlineStr">
        <is>
          <t>SALA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47468-2024</t>
        </is>
      </c>
      <c r="B1080" s="1" t="n">
        <v>45587</v>
      </c>
      <c r="C1080" s="1" t="n">
        <v>45842</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47351-2024</t>
        </is>
      </c>
      <c r="B1081" s="1" t="n">
        <v>45587</v>
      </c>
      <c r="C1081" s="1" t="n">
        <v>45842</v>
      </c>
      <c r="D1081" t="inlineStr">
        <is>
          <t>VÄSTMANLANDS LÄN</t>
        </is>
      </c>
      <c r="E1081" t="inlineStr">
        <is>
          <t>SALA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48114-2024</t>
        </is>
      </c>
      <c r="B1082" s="1" t="n">
        <v>45589</v>
      </c>
      <c r="C1082" s="1" t="n">
        <v>45842</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48117-2024</t>
        </is>
      </c>
      <c r="B1083" s="1" t="n">
        <v>45589</v>
      </c>
      <c r="C1083" s="1" t="n">
        <v>45842</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48104-2024</t>
        </is>
      </c>
      <c r="B1084" s="1" t="n">
        <v>45589</v>
      </c>
      <c r="C1084" s="1" t="n">
        <v>45842</v>
      </c>
      <c r="D1084" t="inlineStr">
        <is>
          <t>VÄSTMANLANDS LÄN</t>
        </is>
      </c>
      <c r="E1084" t="inlineStr">
        <is>
          <t>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48124-2024</t>
        </is>
      </c>
      <c r="B1085" s="1" t="n">
        <v>45589</v>
      </c>
      <c r="C1085" s="1" t="n">
        <v>45842</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48569-2024</t>
        </is>
      </c>
      <c r="B1086" s="1" t="n">
        <v>45591</v>
      </c>
      <c r="C1086" s="1" t="n">
        <v>45842</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45842</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49512-2024</t>
        </is>
      </c>
      <c r="B1088" s="1" t="n">
        <v>45591</v>
      </c>
      <c r="C1088" s="1" t="n">
        <v>45842</v>
      </c>
      <c r="D1088" t="inlineStr">
        <is>
          <t>VÄSTMANLANDS LÄN</t>
        </is>
      </c>
      <c r="E1088" t="inlineStr">
        <is>
          <t>SALA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48571-2024</t>
        </is>
      </c>
      <c r="B1089" s="1" t="n">
        <v>45591</v>
      </c>
      <c r="C1089" s="1" t="n">
        <v>45842</v>
      </c>
      <c r="D1089" t="inlineStr">
        <is>
          <t>VÄSTMANLANDS LÄN</t>
        </is>
      </c>
      <c r="E1089" t="inlineStr">
        <is>
          <t>SALA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48688-2024</t>
        </is>
      </c>
      <c r="B1090" s="1" t="n">
        <v>45593</v>
      </c>
      <c r="C1090" s="1" t="n">
        <v>45842</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48810-2024</t>
        </is>
      </c>
      <c r="B1091" s="1" t="n">
        <v>45593</v>
      </c>
      <c r="C1091" s="1" t="n">
        <v>45842</v>
      </c>
      <c r="D1091" t="inlineStr">
        <is>
          <t>VÄSTMANLANDS LÄN</t>
        </is>
      </c>
      <c r="E1091" t="inlineStr">
        <is>
          <t>SALA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48710-2024</t>
        </is>
      </c>
      <c r="B1092" s="1" t="n">
        <v>45593</v>
      </c>
      <c r="C1092" s="1" t="n">
        <v>45842</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48789-2024</t>
        </is>
      </c>
      <c r="B1093" s="1" t="n">
        <v>45593</v>
      </c>
      <c r="C1093" s="1" t="n">
        <v>45842</v>
      </c>
      <c r="D1093" t="inlineStr">
        <is>
          <t>VÄSTMANLANDS LÄN</t>
        </is>
      </c>
      <c r="E1093" t="inlineStr">
        <is>
          <t>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49661-2024</t>
        </is>
      </c>
      <c r="B1094" s="1" t="n">
        <v>45596</v>
      </c>
      <c r="C1094" s="1" t="n">
        <v>45842</v>
      </c>
      <c r="D1094" t="inlineStr">
        <is>
          <t>VÄSTMANLANDS LÄN</t>
        </is>
      </c>
      <c r="E1094" t="inlineStr">
        <is>
          <t>SALA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49619-2024</t>
        </is>
      </c>
      <c r="B1095" s="1" t="n">
        <v>45596</v>
      </c>
      <c r="C1095" s="1" t="n">
        <v>45842</v>
      </c>
      <c r="D1095" t="inlineStr">
        <is>
          <t>VÄSTMANLANDS LÄN</t>
        </is>
      </c>
      <c r="E1095" t="inlineStr">
        <is>
          <t>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49745-2024</t>
        </is>
      </c>
      <c r="B1096" s="1" t="n">
        <v>45596</v>
      </c>
      <c r="C1096" s="1" t="n">
        <v>45842</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49744-2024</t>
        </is>
      </c>
      <c r="B1097" s="1" t="n">
        <v>45596</v>
      </c>
      <c r="C1097" s="1" t="n">
        <v>45842</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49555-2024</t>
        </is>
      </c>
      <c r="B1098" s="1" t="n">
        <v>45596</v>
      </c>
      <c r="C1098" s="1" t="n">
        <v>45842</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50652-2024</t>
        </is>
      </c>
      <c r="B1099" s="1" t="n">
        <v>45601</v>
      </c>
      <c r="C1099" s="1" t="n">
        <v>45842</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51464-2024</t>
        </is>
      </c>
      <c r="B1100" s="1" t="n">
        <v>45604</v>
      </c>
      <c r="C1100" s="1" t="n">
        <v>45842</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51775-2024</t>
        </is>
      </c>
      <c r="B1101" s="1" t="n">
        <v>45607</v>
      </c>
      <c r="C1101" s="1" t="n">
        <v>45842</v>
      </c>
      <c r="D1101" t="inlineStr">
        <is>
          <t>VÄSTMANLANDS LÄN</t>
        </is>
      </c>
      <c r="E1101" t="inlineStr">
        <is>
          <t>SALA</t>
        </is>
      </c>
      <c r="F1101" t="inlineStr">
        <is>
          <t>Övriga Aktiebolag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52177-2024</t>
        </is>
      </c>
      <c r="B1102" s="1" t="n">
        <v>45608</v>
      </c>
      <c r="C1102" s="1" t="n">
        <v>45842</v>
      </c>
      <c r="D1102" t="inlineStr">
        <is>
          <t>VÄSTMANLANDS LÄN</t>
        </is>
      </c>
      <c r="E1102" t="inlineStr">
        <is>
          <t>SALA</t>
        </is>
      </c>
      <c r="F1102" t="inlineStr">
        <is>
          <t>Naturvårdsverket</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52184-2024</t>
        </is>
      </c>
      <c r="B1103" s="1" t="n">
        <v>45608</v>
      </c>
      <c r="C1103" s="1" t="n">
        <v>45842</v>
      </c>
      <c r="D1103" t="inlineStr">
        <is>
          <t>VÄSTMANLANDS LÄN</t>
        </is>
      </c>
      <c r="E1103" t="inlineStr">
        <is>
          <t>SALA</t>
        </is>
      </c>
      <c r="F1103" t="inlineStr">
        <is>
          <t>Naturvårdsverket</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52500-2024</t>
        </is>
      </c>
      <c r="B1104" s="1" t="n">
        <v>45609</v>
      </c>
      <c r="C1104" s="1" t="n">
        <v>45842</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52503-2024</t>
        </is>
      </c>
      <c r="B1105" s="1" t="n">
        <v>45609</v>
      </c>
      <c r="C1105" s="1" t="n">
        <v>45842</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52821-2024</t>
        </is>
      </c>
      <c r="B1106" s="1" t="n">
        <v>45610</v>
      </c>
      <c r="C1106" s="1" t="n">
        <v>45842</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52799-2024</t>
        </is>
      </c>
      <c r="B1107" s="1" t="n">
        <v>45610</v>
      </c>
      <c r="C1107" s="1" t="n">
        <v>45842</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52827-2024</t>
        </is>
      </c>
      <c r="B1108" s="1" t="n">
        <v>45610</v>
      </c>
      <c r="C1108" s="1" t="n">
        <v>45842</v>
      </c>
      <c r="D1108" t="inlineStr">
        <is>
          <t>VÄSTMANLANDS LÄN</t>
        </is>
      </c>
      <c r="E1108" t="inlineStr">
        <is>
          <t>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53164-2024</t>
        </is>
      </c>
      <c r="B1109" s="1" t="n">
        <v>45611</v>
      </c>
      <c r="C1109" s="1" t="n">
        <v>45842</v>
      </c>
      <c r="D1109" t="inlineStr">
        <is>
          <t>VÄSTMANLANDS LÄN</t>
        </is>
      </c>
      <c r="E1109" t="inlineStr">
        <is>
          <t>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53166-2024</t>
        </is>
      </c>
      <c r="B1110" s="1" t="n">
        <v>45611</v>
      </c>
      <c r="C1110" s="1" t="n">
        <v>45842</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54043-2024</t>
        </is>
      </c>
      <c r="B1111" s="1" t="n">
        <v>45616</v>
      </c>
      <c r="C1111" s="1" t="n">
        <v>45842</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54199-2024</t>
        </is>
      </c>
      <c r="B1112" s="1" t="n">
        <v>45616</v>
      </c>
      <c r="C1112" s="1" t="n">
        <v>45842</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54329-2024</t>
        </is>
      </c>
      <c r="B1113" s="1" t="n">
        <v>45617</v>
      </c>
      <c r="C1113" s="1" t="n">
        <v>45842</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54603-2024</t>
        </is>
      </c>
      <c r="B1114" s="1" t="n">
        <v>45617</v>
      </c>
      <c r="C1114" s="1" t="n">
        <v>45842</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54347-2024</t>
        </is>
      </c>
      <c r="B1115" s="1" t="n">
        <v>45617</v>
      </c>
      <c r="C1115" s="1" t="n">
        <v>45842</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54774-2024</t>
        </is>
      </c>
      <c r="B1116" s="1" t="n">
        <v>45618</v>
      </c>
      <c r="C1116" s="1" t="n">
        <v>45842</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54782-2024</t>
        </is>
      </c>
      <c r="B1117" s="1" t="n">
        <v>45618</v>
      </c>
      <c r="C1117" s="1" t="n">
        <v>45842</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54835-2024</t>
        </is>
      </c>
      <c r="B1118" s="1" t="n">
        <v>45618</v>
      </c>
      <c r="C1118" s="1" t="n">
        <v>45842</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55065-2024</t>
        </is>
      </c>
      <c r="B1119" s="1" t="n">
        <v>45618</v>
      </c>
      <c r="C1119" s="1" t="n">
        <v>45842</v>
      </c>
      <c r="D1119" t="inlineStr">
        <is>
          <t>VÄSTMANLANDS LÄN</t>
        </is>
      </c>
      <c r="E1119" t="inlineStr">
        <is>
          <t>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45842</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55101-2024</t>
        </is>
      </c>
      <c r="B1121" s="1" t="n">
        <v>45618</v>
      </c>
      <c r="C1121" s="1" t="n">
        <v>45842</v>
      </c>
      <c r="D1121" t="inlineStr">
        <is>
          <t>VÄSTMANLANDS LÄN</t>
        </is>
      </c>
      <c r="E1121" t="inlineStr">
        <is>
          <t>SALA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54771-2024</t>
        </is>
      </c>
      <c r="B1122" s="1" t="n">
        <v>45618</v>
      </c>
      <c r="C1122" s="1" t="n">
        <v>45842</v>
      </c>
      <c r="D1122" t="inlineStr">
        <is>
          <t>VÄSTMANLANDS LÄN</t>
        </is>
      </c>
      <c r="E1122" t="inlineStr">
        <is>
          <t>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55107-2024</t>
        </is>
      </c>
      <c r="B1123" s="1" t="n">
        <v>45618</v>
      </c>
      <c r="C1123" s="1" t="n">
        <v>45842</v>
      </c>
      <c r="D1123" t="inlineStr">
        <is>
          <t>VÄSTMANLANDS LÄN</t>
        </is>
      </c>
      <c r="E1123" t="inlineStr">
        <is>
          <t>SALA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54768-2024</t>
        </is>
      </c>
      <c r="B1124" s="1" t="n">
        <v>45618</v>
      </c>
      <c r="C1124" s="1" t="n">
        <v>45842</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54959-2024</t>
        </is>
      </c>
      <c r="B1125" s="1" t="n">
        <v>45619</v>
      </c>
      <c r="C1125" s="1" t="n">
        <v>45842</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54960-2024</t>
        </is>
      </c>
      <c r="B1126" s="1" t="n">
        <v>45619</v>
      </c>
      <c r="C1126" s="1" t="n">
        <v>45842</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45842</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56150-2024</t>
        </is>
      </c>
      <c r="B1128" s="1" t="n">
        <v>45624</v>
      </c>
      <c r="C1128" s="1" t="n">
        <v>45842</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56540-2024</t>
        </is>
      </c>
      <c r="B1129" s="1" t="n">
        <v>45625</v>
      </c>
      <c r="C1129" s="1" t="n">
        <v>45842</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56548-2024</t>
        </is>
      </c>
      <c r="B1130" s="1" t="n">
        <v>45625</v>
      </c>
      <c r="C1130" s="1" t="n">
        <v>45842</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56543-2024</t>
        </is>
      </c>
      <c r="B1131" s="1" t="n">
        <v>45625</v>
      </c>
      <c r="C1131" s="1" t="n">
        <v>45842</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56688-2024</t>
        </is>
      </c>
      <c r="B1132" s="1" t="n">
        <v>45627</v>
      </c>
      <c r="C1132" s="1" t="n">
        <v>45842</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56687-2024</t>
        </is>
      </c>
      <c r="B1133" s="1" t="n">
        <v>45627</v>
      </c>
      <c r="C1133" s="1" t="n">
        <v>45842</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56689-2024</t>
        </is>
      </c>
      <c r="B1134" s="1" t="n">
        <v>45627</v>
      </c>
      <c r="C1134" s="1" t="n">
        <v>45842</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56814-2024</t>
        </is>
      </c>
      <c r="B1135" s="1" t="n">
        <v>45628</v>
      </c>
      <c r="C1135" s="1" t="n">
        <v>45842</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57404-2024</t>
        </is>
      </c>
      <c r="B1136" s="1" t="n">
        <v>45629</v>
      </c>
      <c r="C1136" s="1" t="n">
        <v>45842</v>
      </c>
      <c r="D1136" t="inlineStr">
        <is>
          <t>VÄSTMANLANDS LÄN</t>
        </is>
      </c>
      <c r="E1136" t="inlineStr">
        <is>
          <t>SALA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57650-2024</t>
        </is>
      </c>
      <c r="B1137" s="1" t="n">
        <v>45630</v>
      </c>
      <c r="C1137" s="1" t="n">
        <v>45842</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57883-2024</t>
        </is>
      </c>
      <c r="B1138" s="1" t="n">
        <v>45630</v>
      </c>
      <c r="C1138" s="1" t="n">
        <v>45842</v>
      </c>
      <c r="D1138" t="inlineStr">
        <is>
          <t>VÄSTMANLANDS LÄN</t>
        </is>
      </c>
      <c r="E1138" t="inlineStr">
        <is>
          <t>SALA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57895-2024</t>
        </is>
      </c>
      <c r="B1139" s="1" t="n">
        <v>45631</v>
      </c>
      <c r="C1139" s="1" t="n">
        <v>45842</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57948-2024</t>
        </is>
      </c>
      <c r="B1140" s="1" t="n">
        <v>45631</v>
      </c>
      <c r="C1140" s="1" t="n">
        <v>45842</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58126-2024</t>
        </is>
      </c>
      <c r="B1141" s="1" t="n">
        <v>45632</v>
      </c>
      <c r="C1141" s="1" t="n">
        <v>45842</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58651-2024</t>
        </is>
      </c>
      <c r="B1142" s="1" t="n">
        <v>45635</v>
      </c>
      <c r="C1142" s="1" t="n">
        <v>45842</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58655-2024</t>
        </is>
      </c>
      <c r="B1143" s="1" t="n">
        <v>45635</v>
      </c>
      <c r="C1143" s="1" t="n">
        <v>45842</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59860-2024</t>
        </is>
      </c>
      <c r="B1144" s="1" t="n">
        <v>45638</v>
      </c>
      <c r="C1144" s="1" t="n">
        <v>45842</v>
      </c>
      <c r="D1144" t="inlineStr">
        <is>
          <t>VÄSTMANLANDS LÄN</t>
        </is>
      </c>
      <c r="E1144" t="inlineStr">
        <is>
          <t>SALA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59909-2024</t>
        </is>
      </c>
      <c r="B1145" s="1" t="n">
        <v>45641</v>
      </c>
      <c r="C1145" s="1" t="n">
        <v>45842</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v>
      </c>
      <c r="C1146" s="1" t="n">
        <v>45842</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60034-2024</t>
        </is>
      </c>
      <c r="B1147" s="1" t="n">
        <v>45642</v>
      </c>
      <c r="C1147" s="1" t="n">
        <v>45842</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60328-2024</t>
        </is>
      </c>
      <c r="B1148" s="1" t="n">
        <v>45643</v>
      </c>
      <c r="C1148" s="1" t="n">
        <v>45842</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60550-2024</t>
        </is>
      </c>
      <c r="B1149" s="1" t="n">
        <v>45643</v>
      </c>
      <c r="C1149" s="1" t="n">
        <v>45842</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60548-2024</t>
        </is>
      </c>
      <c r="B1150" s="1" t="n">
        <v>45643</v>
      </c>
      <c r="C1150" s="1" t="n">
        <v>45842</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60547-2024</t>
        </is>
      </c>
      <c r="B1151" s="1" t="n">
        <v>45643</v>
      </c>
      <c r="C1151" s="1" t="n">
        <v>45842</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60541-2024</t>
        </is>
      </c>
      <c r="B1152" s="1" t="n">
        <v>45643</v>
      </c>
      <c r="C1152" s="1" t="n">
        <v>45842</v>
      </c>
      <c r="D1152" t="inlineStr">
        <is>
          <t>VÄSTMANLANDS LÄN</t>
        </is>
      </c>
      <c r="E1152" t="inlineStr">
        <is>
          <t>SALA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60545-2024</t>
        </is>
      </c>
      <c r="B1153" s="1" t="n">
        <v>45643</v>
      </c>
      <c r="C1153" s="1" t="n">
        <v>45842</v>
      </c>
      <c r="D1153" t="inlineStr">
        <is>
          <t>VÄSTMANLANDS LÄN</t>
        </is>
      </c>
      <c r="E1153" t="inlineStr">
        <is>
          <t>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60818-2024</t>
        </is>
      </c>
      <c r="B1154" s="1" t="n">
        <v>45644</v>
      </c>
      <c r="C1154" s="1" t="n">
        <v>45842</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60823-2024</t>
        </is>
      </c>
      <c r="B1155" s="1" t="n">
        <v>45644</v>
      </c>
      <c r="C1155" s="1" t="n">
        <v>45842</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61517-2024</t>
        </is>
      </c>
      <c r="B1156" s="1" t="n">
        <v>45645</v>
      </c>
      <c r="C1156" s="1" t="n">
        <v>45842</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61444-2024</t>
        </is>
      </c>
      <c r="B1157" s="1" t="n">
        <v>45646</v>
      </c>
      <c r="C1157" s="1" t="n">
        <v>45842</v>
      </c>
      <c r="D1157" t="inlineStr">
        <is>
          <t>VÄSTMANLANDS LÄN</t>
        </is>
      </c>
      <c r="E1157" t="inlineStr">
        <is>
          <t>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61681-2024</t>
        </is>
      </c>
      <c r="B1158" s="1" t="n">
        <v>45647</v>
      </c>
      <c r="C1158" s="1" t="n">
        <v>45842</v>
      </c>
      <c r="D1158" t="inlineStr">
        <is>
          <t>VÄSTMANLANDS LÄN</t>
        </is>
      </c>
      <c r="E1158" t="inlineStr">
        <is>
          <t>SALA</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61683-2024</t>
        </is>
      </c>
      <c r="B1159" s="1" t="n">
        <v>45647</v>
      </c>
      <c r="C1159" s="1" t="n">
        <v>45842</v>
      </c>
      <c r="D1159" t="inlineStr">
        <is>
          <t>VÄSTMANLANDS LÄN</t>
        </is>
      </c>
      <c r="E1159" t="inlineStr">
        <is>
          <t>SALA</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61715-2024</t>
        </is>
      </c>
      <c r="B1160" s="1" t="n">
        <v>45648</v>
      </c>
      <c r="C1160" s="1" t="n">
        <v>45842</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61717-2024</t>
        </is>
      </c>
      <c r="B1161" s="1" t="n">
        <v>45648</v>
      </c>
      <c r="C1161" s="1" t="n">
        <v>45842</v>
      </c>
      <c r="D1161" t="inlineStr">
        <is>
          <t>VÄSTMANLANDS LÄN</t>
        </is>
      </c>
      <c r="E1161" t="inlineStr">
        <is>
          <t>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191-2025</t>
        </is>
      </c>
      <c r="B1162" s="1" t="n">
        <v>45649</v>
      </c>
      <c r="C1162" s="1" t="n">
        <v>45842</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327-2025</t>
        </is>
      </c>
      <c r="B1163" s="1" t="n">
        <v>45657</v>
      </c>
      <c r="C1163" s="1" t="n">
        <v>45842</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876-2025</t>
        </is>
      </c>
      <c r="B1164" s="1" t="n">
        <v>45665</v>
      </c>
      <c r="C1164" s="1" t="n">
        <v>45842</v>
      </c>
      <c r="D1164" t="inlineStr">
        <is>
          <t>VÄSTMANLANDS LÄN</t>
        </is>
      </c>
      <c r="E1164" t="inlineStr">
        <is>
          <t>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922-2025</t>
        </is>
      </c>
      <c r="B1165" s="1" t="n">
        <v>45665</v>
      </c>
      <c r="C1165" s="1" t="n">
        <v>45842</v>
      </c>
      <c r="D1165" t="inlineStr">
        <is>
          <t>VÄSTMANLANDS LÄN</t>
        </is>
      </c>
      <c r="E1165" t="inlineStr">
        <is>
          <t>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1128-2025</t>
        </is>
      </c>
      <c r="B1166" s="1" t="n">
        <v>45666</v>
      </c>
      <c r="C1166" s="1" t="n">
        <v>45842</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996-2025</t>
        </is>
      </c>
      <c r="B1167" s="1" t="n">
        <v>45666</v>
      </c>
      <c r="C1167" s="1" t="n">
        <v>45842</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988-2025</t>
        </is>
      </c>
      <c r="B1168" s="1" t="n">
        <v>45666</v>
      </c>
      <c r="C1168" s="1" t="n">
        <v>45842</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1569-2025</t>
        </is>
      </c>
      <c r="B1169" s="1" t="n">
        <v>45670</v>
      </c>
      <c r="C1169" s="1" t="n">
        <v>45842</v>
      </c>
      <c r="D1169" t="inlineStr">
        <is>
          <t>VÄSTMANLANDS LÄN</t>
        </is>
      </c>
      <c r="E1169" t="inlineStr">
        <is>
          <t>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1770-2025</t>
        </is>
      </c>
      <c r="B1170" s="1" t="n">
        <v>45671</v>
      </c>
      <c r="C1170" s="1" t="n">
        <v>45842</v>
      </c>
      <c r="D1170" t="inlineStr">
        <is>
          <t>VÄSTMANLANDS LÄN</t>
        </is>
      </c>
      <c r="E1170" t="inlineStr">
        <is>
          <t>SALA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2271-2025</t>
        </is>
      </c>
      <c r="B1171" s="1" t="n">
        <v>45673</v>
      </c>
      <c r="C1171" s="1" t="n">
        <v>45842</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2521-2025</t>
        </is>
      </c>
      <c r="B1172" s="1" t="n">
        <v>45674</v>
      </c>
      <c r="C1172" s="1" t="n">
        <v>45842</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3546-2025</t>
        </is>
      </c>
      <c r="B1173" s="1" t="n">
        <v>45680</v>
      </c>
      <c r="C1173" s="1" t="n">
        <v>45842</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4389-2025</t>
        </is>
      </c>
      <c r="B1174" s="1" t="n">
        <v>45686</v>
      </c>
      <c r="C1174" s="1" t="n">
        <v>45842</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5032-2025</t>
        </is>
      </c>
      <c r="B1175" s="1" t="n">
        <v>45691</v>
      </c>
      <c r="C1175" s="1" t="n">
        <v>45842</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5823-2025</t>
        </is>
      </c>
      <c r="B1176" s="1" t="n">
        <v>45694</v>
      </c>
      <c r="C1176" s="1" t="n">
        <v>45842</v>
      </c>
      <c r="D1176" t="inlineStr">
        <is>
          <t>VÄSTMANLANDS LÄN</t>
        </is>
      </c>
      <c r="E1176" t="inlineStr">
        <is>
          <t>SALA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5824-2025</t>
        </is>
      </c>
      <c r="B1177" s="1" t="n">
        <v>45694</v>
      </c>
      <c r="C1177" s="1" t="n">
        <v>45842</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6032-2025</t>
        </is>
      </c>
      <c r="B1178" s="1" t="n">
        <v>45695</v>
      </c>
      <c r="C1178" s="1" t="n">
        <v>45842</v>
      </c>
      <c r="D1178" t="inlineStr">
        <is>
          <t>VÄSTMANLANDS LÄN</t>
        </is>
      </c>
      <c r="E1178" t="inlineStr">
        <is>
          <t>SALA</t>
        </is>
      </c>
      <c r="F1178" t="inlineStr">
        <is>
          <t>Bergvik skog öst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45842</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6312-2025</t>
        </is>
      </c>
      <c r="B1180" s="1" t="n">
        <v>45698</v>
      </c>
      <c r="C1180" s="1" t="n">
        <v>45842</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6190-2025</t>
        </is>
      </c>
      <c r="B1181" s="1" t="n">
        <v>45698</v>
      </c>
      <c r="C1181" s="1" t="n">
        <v>45842</v>
      </c>
      <c r="D1181" t="inlineStr">
        <is>
          <t>VÄSTMANLANDS LÄN</t>
        </is>
      </c>
      <c r="E1181" t="inlineStr">
        <is>
          <t>SALA</t>
        </is>
      </c>
      <c r="F1181" t="inlineStr">
        <is>
          <t>Bergvik skog öst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6154-2025</t>
        </is>
      </c>
      <c r="B1182" s="1" t="n">
        <v>45698</v>
      </c>
      <c r="C1182" s="1" t="n">
        <v>45842</v>
      </c>
      <c r="D1182" t="inlineStr">
        <is>
          <t>VÄSTMANLANDS LÄN</t>
        </is>
      </c>
      <c r="E1182" t="inlineStr">
        <is>
          <t>SALA</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6136-2025</t>
        </is>
      </c>
      <c r="B1183" s="1" t="n">
        <v>45698</v>
      </c>
      <c r="C1183" s="1" t="n">
        <v>45842</v>
      </c>
      <c r="D1183" t="inlineStr">
        <is>
          <t>VÄSTMANLANDS LÄN</t>
        </is>
      </c>
      <c r="E1183" t="inlineStr">
        <is>
          <t>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6132-2025</t>
        </is>
      </c>
      <c r="B1184" s="1" t="n">
        <v>45698</v>
      </c>
      <c r="C1184" s="1" t="n">
        <v>45842</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6127-2025</t>
        </is>
      </c>
      <c r="B1185" s="1" t="n">
        <v>45698</v>
      </c>
      <c r="C1185" s="1" t="n">
        <v>45842</v>
      </c>
      <c r="D1185" t="inlineStr">
        <is>
          <t>VÄSTMANLANDS LÄN</t>
        </is>
      </c>
      <c r="E1185" t="inlineStr">
        <is>
          <t>SALA</t>
        </is>
      </c>
      <c r="F1185" t="inlineStr">
        <is>
          <t>Bergvik skog öst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6691-2025</t>
        </is>
      </c>
      <c r="B1186" s="1" t="n">
        <v>45700</v>
      </c>
      <c r="C1186" s="1" t="n">
        <v>45842</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7197-2025</t>
        </is>
      </c>
      <c r="B1187" s="1" t="n">
        <v>45702</v>
      </c>
      <c r="C1187" s="1" t="n">
        <v>45842</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7196-2025</t>
        </is>
      </c>
      <c r="B1188" s="1" t="n">
        <v>45702</v>
      </c>
      <c r="C1188" s="1" t="n">
        <v>45842</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7166-2025</t>
        </is>
      </c>
      <c r="B1189" s="1" t="n">
        <v>45702</v>
      </c>
      <c r="C1189" s="1" t="n">
        <v>45842</v>
      </c>
      <c r="D1189" t="inlineStr">
        <is>
          <t>VÄSTMANLANDS LÄN</t>
        </is>
      </c>
      <c r="E1189" t="inlineStr">
        <is>
          <t>SALA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7469-2025</t>
        </is>
      </c>
      <c r="B1190" s="1" t="n">
        <v>45705</v>
      </c>
      <c r="C1190" s="1" t="n">
        <v>45842</v>
      </c>
      <c r="D1190" t="inlineStr">
        <is>
          <t>VÄSTMANLANDS LÄN</t>
        </is>
      </c>
      <c r="E1190" t="inlineStr">
        <is>
          <t>SALA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7459-2025</t>
        </is>
      </c>
      <c r="B1191" s="1" t="n">
        <v>45705</v>
      </c>
      <c r="C1191" s="1" t="n">
        <v>45842</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7703-2025</t>
        </is>
      </c>
      <c r="B1192" s="1" t="n">
        <v>45706</v>
      </c>
      <c r="C1192" s="1" t="n">
        <v>45842</v>
      </c>
      <c r="D1192" t="inlineStr">
        <is>
          <t>VÄSTMANLANDS LÄN</t>
        </is>
      </c>
      <c r="E1192" t="inlineStr">
        <is>
          <t>SALA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v>
      </c>
      <c r="C1193" s="1" t="n">
        <v>45842</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8285-2025</t>
        </is>
      </c>
      <c r="B1194" s="1" t="n">
        <v>45708</v>
      </c>
      <c r="C1194" s="1" t="n">
        <v>45842</v>
      </c>
      <c r="D1194" t="inlineStr">
        <is>
          <t>VÄSTMANLANDS LÄN</t>
        </is>
      </c>
      <c r="E1194" t="inlineStr">
        <is>
          <t>SALA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9095-2025</t>
        </is>
      </c>
      <c r="B1195" s="1" t="n">
        <v>45713</v>
      </c>
      <c r="C1195" s="1" t="n">
        <v>45842</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9006-2025</t>
        </is>
      </c>
      <c r="B1196" s="1" t="n">
        <v>45713</v>
      </c>
      <c r="C1196" s="1" t="n">
        <v>45842</v>
      </c>
      <c r="D1196" t="inlineStr">
        <is>
          <t>VÄSTMANLANDS LÄN</t>
        </is>
      </c>
      <c r="E1196" t="inlineStr">
        <is>
          <t>SALA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9962-2025</t>
        </is>
      </c>
      <c r="B1197" s="1" t="n">
        <v>45719</v>
      </c>
      <c r="C1197" s="1" t="n">
        <v>45842</v>
      </c>
      <c r="D1197" t="inlineStr">
        <is>
          <t>VÄSTMANLANDS LÄN</t>
        </is>
      </c>
      <c r="E1197" t="inlineStr">
        <is>
          <t>SALA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10248-2025</t>
        </is>
      </c>
      <c r="B1198" s="1" t="n">
        <v>45720</v>
      </c>
      <c r="C1198" s="1" t="n">
        <v>45842</v>
      </c>
      <c r="D1198" t="inlineStr">
        <is>
          <t>VÄSTMANLANDS LÄN</t>
        </is>
      </c>
      <c r="E1198" t="inlineStr">
        <is>
          <t>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10250-2025</t>
        </is>
      </c>
      <c r="B1199" s="1" t="n">
        <v>45720</v>
      </c>
      <c r="C1199" s="1" t="n">
        <v>45842</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10508-2025</t>
        </is>
      </c>
      <c r="B1200" s="1" t="n">
        <v>45721</v>
      </c>
      <c r="C1200" s="1" t="n">
        <v>45842</v>
      </c>
      <c r="D1200" t="inlineStr">
        <is>
          <t>VÄSTMANLANDS LÄN</t>
        </is>
      </c>
      <c r="E1200" t="inlineStr">
        <is>
          <t>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10824-2025</t>
        </is>
      </c>
      <c r="B1201" s="1" t="n">
        <v>45722</v>
      </c>
      <c r="C1201" s="1" t="n">
        <v>45842</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10913-2025</t>
        </is>
      </c>
      <c r="B1202" s="1" t="n">
        <v>45722</v>
      </c>
      <c r="C1202" s="1" t="n">
        <v>45842</v>
      </c>
      <c r="D1202" t="inlineStr">
        <is>
          <t>VÄSTMANLANDS LÄN</t>
        </is>
      </c>
      <c r="E1202" t="inlineStr">
        <is>
          <t>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11153-2025</t>
        </is>
      </c>
      <c r="B1203" s="1" t="n">
        <v>45723</v>
      </c>
      <c r="C1203" s="1" t="n">
        <v>45842</v>
      </c>
      <c r="D1203" t="inlineStr">
        <is>
          <t>VÄSTMANLANDS LÄN</t>
        </is>
      </c>
      <c r="E1203" t="inlineStr">
        <is>
          <t>SALA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11210-2025</t>
        </is>
      </c>
      <c r="B1204" s="1" t="n">
        <v>45726</v>
      </c>
      <c r="C1204" s="1" t="n">
        <v>45842</v>
      </c>
      <c r="D1204" t="inlineStr">
        <is>
          <t>VÄSTMANLANDS LÄN</t>
        </is>
      </c>
      <c r="E1204" t="inlineStr">
        <is>
          <t>SALA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11696-2025</t>
        </is>
      </c>
      <c r="B1205" s="1" t="n">
        <v>45727</v>
      </c>
      <c r="C1205" s="1" t="n">
        <v>45842</v>
      </c>
      <c r="D1205" t="inlineStr">
        <is>
          <t>VÄSTMANLANDS LÄN</t>
        </is>
      </c>
      <c r="E1205" t="inlineStr">
        <is>
          <t>SALA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11927-2025</t>
        </is>
      </c>
      <c r="B1206" s="1" t="n">
        <v>45728</v>
      </c>
      <c r="C1206" s="1" t="n">
        <v>45842</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12293-2025</t>
        </is>
      </c>
      <c r="B1207" s="1" t="n">
        <v>45729</v>
      </c>
      <c r="C1207" s="1" t="n">
        <v>45842</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12756-2025</t>
        </is>
      </c>
      <c r="B1208" s="1" t="n">
        <v>45733</v>
      </c>
      <c r="C1208" s="1" t="n">
        <v>45842</v>
      </c>
      <c r="D1208" t="inlineStr">
        <is>
          <t>VÄSTMANLANDS LÄN</t>
        </is>
      </c>
      <c r="E1208" t="inlineStr">
        <is>
          <t>SALA</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12918-2025</t>
        </is>
      </c>
      <c r="B1209" s="1" t="n">
        <v>45733</v>
      </c>
      <c r="C1209" s="1" t="n">
        <v>45842</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45842</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12922-2025</t>
        </is>
      </c>
      <c r="B1211" s="1" t="n">
        <v>45734</v>
      </c>
      <c r="C1211" s="1" t="n">
        <v>45842</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12921-2025</t>
        </is>
      </c>
      <c r="B1212" s="1" t="n">
        <v>45734</v>
      </c>
      <c r="C1212" s="1" t="n">
        <v>45842</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13000-2025</t>
        </is>
      </c>
      <c r="B1213" s="1" t="n">
        <v>45734</v>
      </c>
      <c r="C1213" s="1" t="n">
        <v>45842</v>
      </c>
      <c r="D1213" t="inlineStr">
        <is>
          <t>VÄSTMANLANDS LÄN</t>
        </is>
      </c>
      <c r="E1213" t="inlineStr">
        <is>
          <t>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13128-2025</t>
        </is>
      </c>
      <c r="B1214" s="1" t="n">
        <v>45734</v>
      </c>
      <c r="C1214" s="1" t="n">
        <v>45842</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13129-2025</t>
        </is>
      </c>
      <c r="B1215" s="1" t="n">
        <v>45734</v>
      </c>
      <c r="C1215" s="1" t="n">
        <v>45842</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13130-2025</t>
        </is>
      </c>
      <c r="B1216" s="1" t="n">
        <v>45734</v>
      </c>
      <c r="C1216" s="1" t="n">
        <v>45842</v>
      </c>
      <c r="D1216" t="inlineStr">
        <is>
          <t>VÄSTMANLANDS LÄN</t>
        </is>
      </c>
      <c r="E1216" t="inlineStr">
        <is>
          <t>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13188-2025</t>
        </is>
      </c>
      <c r="B1217" s="1" t="n">
        <v>45735</v>
      </c>
      <c r="C1217" s="1" t="n">
        <v>45842</v>
      </c>
      <c r="D1217" t="inlineStr">
        <is>
          <t>VÄSTMANLANDS LÄN</t>
        </is>
      </c>
      <c r="E1217" t="inlineStr">
        <is>
          <t>SALA</t>
        </is>
      </c>
      <c r="F1217" t="inlineStr">
        <is>
          <t>Naturvårdsverket</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13471-2025</t>
        </is>
      </c>
      <c r="B1218" s="1" t="n">
        <v>45736</v>
      </c>
      <c r="C1218" s="1" t="n">
        <v>45842</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13752-2025</t>
        </is>
      </c>
      <c r="B1219" s="1" t="n">
        <v>45737</v>
      </c>
      <c r="C1219" s="1" t="n">
        <v>45842</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13746-2025</t>
        </is>
      </c>
      <c r="B1220" s="1" t="n">
        <v>45737</v>
      </c>
      <c r="C1220" s="1" t="n">
        <v>45842</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13749-2025</t>
        </is>
      </c>
      <c r="B1221" s="1" t="n">
        <v>45737</v>
      </c>
      <c r="C1221" s="1" t="n">
        <v>45842</v>
      </c>
      <c r="D1221" t="inlineStr">
        <is>
          <t>VÄSTMANLANDS LÄN</t>
        </is>
      </c>
      <c r="E1221" t="inlineStr">
        <is>
          <t>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14271-2025</t>
        </is>
      </c>
      <c r="B1222" s="1" t="n">
        <v>45740</v>
      </c>
      <c r="C1222" s="1" t="n">
        <v>45842</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14024-2025</t>
        </is>
      </c>
      <c r="B1223" s="1" t="n">
        <v>45740</v>
      </c>
      <c r="C1223" s="1" t="n">
        <v>45842</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14268-2025</t>
        </is>
      </c>
      <c r="B1224" s="1" t="n">
        <v>45740</v>
      </c>
      <c r="C1224" s="1" t="n">
        <v>45842</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14690-2025</t>
        </is>
      </c>
      <c r="B1225" s="1" t="n">
        <v>45742</v>
      </c>
      <c r="C1225" s="1" t="n">
        <v>45842</v>
      </c>
      <c r="D1225" t="inlineStr">
        <is>
          <t>VÄSTMANLANDS LÄN</t>
        </is>
      </c>
      <c r="E1225" t="inlineStr">
        <is>
          <t>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14853-2025</t>
        </is>
      </c>
      <c r="B1226" s="1" t="n">
        <v>45743</v>
      </c>
      <c r="C1226" s="1" t="n">
        <v>45842</v>
      </c>
      <c r="D1226" t="inlineStr">
        <is>
          <t>VÄSTMANLANDS LÄN</t>
        </is>
      </c>
      <c r="E1226" t="inlineStr">
        <is>
          <t>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14919-2025</t>
        </is>
      </c>
      <c r="B1227" s="1" t="n">
        <v>45743</v>
      </c>
      <c r="C1227" s="1" t="n">
        <v>45842</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15000-2025</t>
        </is>
      </c>
      <c r="B1228" s="1" t="n">
        <v>45743</v>
      </c>
      <c r="C1228" s="1" t="n">
        <v>45842</v>
      </c>
      <c r="D1228" t="inlineStr">
        <is>
          <t>VÄSTMANLANDS LÄN</t>
        </is>
      </c>
      <c r="E1228" t="inlineStr">
        <is>
          <t>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14920-2025</t>
        </is>
      </c>
      <c r="B1229" s="1" t="n">
        <v>45743</v>
      </c>
      <c r="C1229" s="1" t="n">
        <v>45842</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15193-2025</t>
        </is>
      </c>
      <c r="B1230" s="1" t="n">
        <v>45744</v>
      </c>
      <c r="C1230" s="1" t="n">
        <v>45842</v>
      </c>
      <c r="D1230" t="inlineStr">
        <is>
          <t>VÄSTMANLANDS LÄN</t>
        </is>
      </c>
      <c r="E1230" t="inlineStr">
        <is>
          <t>SALA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v>
      </c>
      <c r="C1231" s="1" t="n">
        <v>45842</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15272-2025</t>
        </is>
      </c>
      <c r="B1232" s="1" t="n">
        <v>45744</v>
      </c>
      <c r="C1232" s="1" t="n">
        <v>45842</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15756-2025</t>
        </is>
      </c>
      <c r="B1233" s="1" t="n">
        <v>45748</v>
      </c>
      <c r="C1233" s="1" t="n">
        <v>45842</v>
      </c>
      <c r="D1233" t="inlineStr">
        <is>
          <t>VÄSTMANLANDS LÄN</t>
        </is>
      </c>
      <c r="E1233" t="inlineStr">
        <is>
          <t>SALA</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15681-2025</t>
        </is>
      </c>
      <c r="B1234" s="1" t="n">
        <v>45748</v>
      </c>
      <c r="C1234" s="1" t="n">
        <v>45842</v>
      </c>
      <c r="D1234" t="inlineStr">
        <is>
          <t>VÄSTMANLANDS LÄN</t>
        </is>
      </c>
      <c r="E1234" t="inlineStr">
        <is>
          <t>SALA</t>
        </is>
      </c>
      <c r="F1234" t="inlineStr">
        <is>
          <t>Bergvik skog öst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15650-2025</t>
        </is>
      </c>
      <c r="B1235" s="1" t="n">
        <v>45748</v>
      </c>
      <c r="C1235" s="1" t="n">
        <v>45842</v>
      </c>
      <c r="D1235" t="inlineStr">
        <is>
          <t>VÄSTMANLANDS LÄN</t>
        </is>
      </c>
      <c r="E1235" t="inlineStr">
        <is>
          <t>SALA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16133-2025</t>
        </is>
      </c>
      <c r="B1236" s="1" t="n">
        <v>45750</v>
      </c>
      <c r="C1236" s="1" t="n">
        <v>45842</v>
      </c>
      <c r="D1236" t="inlineStr">
        <is>
          <t>VÄSTMANLANDS LÄN</t>
        </is>
      </c>
      <c r="E1236" t="inlineStr">
        <is>
          <t>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16328-2025</t>
        </is>
      </c>
      <c r="B1237" s="1" t="n">
        <v>45751</v>
      </c>
      <c r="C1237" s="1" t="n">
        <v>45842</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16641-2025</t>
        </is>
      </c>
      <c r="B1238" s="1" t="n">
        <v>45754</v>
      </c>
      <c r="C1238" s="1" t="n">
        <v>45842</v>
      </c>
      <c r="D1238" t="inlineStr">
        <is>
          <t>VÄSTMANLANDS LÄN</t>
        </is>
      </c>
      <c r="E1238" t="inlineStr">
        <is>
          <t>SALA</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17051-2025</t>
        </is>
      </c>
      <c r="B1239" s="1" t="n">
        <v>45755</v>
      </c>
      <c r="C1239" s="1" t="n">
        <v>45842</v>
      </c>
      <c r="D1239" t="inlineStr">
        <is>
          <t>VÄSTMANLANDS LÄN</t>
        </is>
      </c>
      <c r="E1239" t="inlineStr">
        <is>
          <t>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17316-2025</t>
        </is>
      </c>
      <c r="B1240" s="1" t="n">
        <v>45756</v>
      </c>
      <c r="C1240" s="1" t="n">
        <v>45842</v>
      </c>
      <c r="D1240" t="inlineStr">
        <is>
          <t>VÄSTMANLANDS LÄN</t>
        </is>
      </c>
      <c r="E1240" t="inlineStr">
        <is>
          <t>SALA</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17320-2025</t>
        </is>
      </c>
      <c r="B1241" s="1" t="n">
        <v>45756</v>
      </c>
      <c r="C1241" s="1" t="n">
        <v>45842</v>
      </c>
      <c r="D1241" t="inlineStr">
        <is>
          <t>VÄSTMANLANDS LÄN</t>
        </is>
      </c>
      <c r="E1241" t="inlineStr">
        <is>
          <t>SALA</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17719-2025</t>
        </is>
      </c>
      <c r="B1242" s="1" t="n">
        <v>45758</v>
      </c>
      <c r="C1242" s="1" t="n">
        <v>45842</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17766-2025</t>
        </is>
      </c>
      <c r="B1243" s="1" t="n">
        <v>45758</v>
      </c>
      <c r="C1243" s="1" t="n">
        <v>45842</v>
      </c>
      <c r="D1243" t="inlineStr">
        <is>
          <t>VÄSTMANLANDS LÄN</t>
        </is>
      </c>
      <c r="E1243" t="inlineStr">
        <is>
          <t>SALA</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45842</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17868-2025</t>
        </is>
      </c>
      <c r="B1245" s="1" t="n">
        <v>45758</v>
      </c>
      <c r="C1245" s="1" t="n">
        <v>45842</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17722-2025</t>
        </is>
      </c>
      <c r="B1246" s="1" t="n">
        <v>45758</v>
      </c>
      <c r="C1246" s="1" t="n">
        <v>45842</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18158-2025</t>
        </is>
      </c>
      <c r="B1247" s="1" t="n">
        <v>45761</v>
      </c>
      <c r="C1247" s="1" t="n">
        <v>45842</v>
      </c>
      <c r="D1247" t="inlineStr">
        <is>
          <t>VÄSTMANLANDS LÄN</t>
        </is>
      </c>
      <c r="E1247" t="inlineStr">
        <is>
          <t>SALA</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17985-2025</t>
        </is>
      </c>
      <c r="B1248" s="1" t="n">
        <v>45761</v>
      </c>
      <c r="C1248" s="1" t="n">
        <v>45842</v>
      </c>
      <c r="D1248" t="inlineStr">
        <is>
          <t>VÄSTMANLANDS LÄN</t>
        </is>
      </c>
      <c r="E1248" t="inlineStr">
        <is>
          <t>SALA</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18340-2025</t>
        </is>
      </c>
      <c r="B1249" s="1" t="n">
        <v>45762</v>
      </c>
      <c r="C1249" s="1" t="n">
        <v>45842</v>
      </c>
      <c r="D1249" t="inlineStr">
        <is>
          <t>VÄSTMANLANDS LÄN</t>
        </is>
      </c>
      <c r="E1249" t="inlineStr">
        <is>
          <t>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18713-2025</t>
        </is>
      </c>
      <c r="B1250" s="1" t="n">
        <v>45763</v>
      </c>
      <c r="C1250" s="1" t="n">
        <v>45842</v>
      </c>
      <c r="D1250" t="inlineStr">
        <is>
          <t>VÄSTMANLANDS LÄN</t>
        </is>
      </c>
      <c r="E1250" t="inlineStr">
        <is>
          <t>SALA</t>
        </is>
      </c>
      <c r="F1250" t="inlineStr">
        <is>
          <t>Bergvik skog öst AB</t>
        </is>
      </c>
      <c r="G1250" t="n">
        <v>11.6</v>
      </c>
      <c r="H1250" t="n">
        <v>0</v>
      </c>
      <c r="I1250" t="n">
        <v>0</v>
      </c>
      <c r="J1250" t="n">
        <v>0</v>
      </c>
      <c r="K1250" t="n">
        <v>0</v>
      </c>
      <c r="L1250" t="n">
        <v>0</v>
      </c>
      <c r="M1250" t="n">
        <v>0</v>
      </c>
      <c r="N1250" t="n">
        <v>0</v>
      </c>
      <c r="O1250" t="n">
        <v>0</v>
      </c>
      <c r="P1250" t="n">
        <v>0</v>
      </c>
      <c r="Q1250" t="n">
        <v>0</v>
      </c>
      <c r="R1250" s="2" t="inlineStr"/>
    </row>
    <row r="1251" ht="15" customHeight="1">
      <c r="A1251" t="inlineStr">
        <is>
          <t>A 19033-2025</t>
        </is>
      </c>
      <c r="B1251" s="1" t="n">
        <v>45764</v>
      </c>
      <c r="C1251" s="1" t="n">
        <v>45842</v>
      </c>
      <c r="D1251" t="inlineStr">
        <is>
          <t>VÄSTMANLANDS LÄN</t>
        </is>
      </c>
      <c r="E1251" t="inlineStr">
        <is>
          <t>SALA</t>
        </is>
      </c>
      <c r="F1251" t="inlineStr">
        <is>
          <t>Bergvik skog öst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45842</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45842</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45842</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19304-2025</t>
        </is>
      </c>
      <c r="B1255" s="1" t="n">
        <v>45769</v>
      </c>
      <c r="C1255" s="1" t="n">
        <v>45842</v>
      </c>
      <c r="D1255" t="inlineStr">
        <is>
          <t>VÄSTMANLANDS LÄN</t>
        </is>
      </c>
      <c r="E1255" t="inlineStr">
        <is>
          <t>SALA</t>
        </is>
      </c>
      <c r="F1255" t="inlineStr">
        <is>
          <t>Bergvik skog öst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45842</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19398-2025</t>
        </is>
      </c>
      <c r="B1257" s="1" t="n">
        <v>45769</v>
      </c>
      <c r="C1257" s="1" t="n">
        <v>45842</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19381-2025</t>
        </is>
      </c>
      <c r="B1258" s="1" t="n">
        <v>45769</v>
      </c>
      <c r="C1258" s="1" t="n">
        <v>45842</v>
      </c>
      <c r="D1258" t="inlineStr">
        <is>
          <t>VÄSTMANLANDS LÄN</t>
        </is>
      </c>
      <c r="E1258" t="inlineStr">
        <is>
          <t>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19241-2025</t>
        </is>
      </c>
      <c r="B1259" s="1" t="n">
        <v>45769</v>
      </c>
      <c r="C1259" s="1" t="n">
        <v>45842</v>
      </c>
      <c r="D1259" t="inlineStr">
        <is>
          <t>VÄSTMANLANDS LÄN</t>
        </is>
      </c>
      <c r="E1259" t="inlineStr">
        <is>
          <t>SALA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21168-2025</t>
        </is>
      </c>
      <c r="B1260" s="1" t="n">
        <v>45777</v>
      </c>
      <c r="C1260" s="1" t="n">
        <v>45842</v>
      </c>
      <c r="D1260" t="inlineStr">
        <is>
          <t>VÄSTMANLANDS LÄN</t>
        </is>
      </c>
      <c r="E1260" t="inlineStr">
        <is>
          <t>SALA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45842</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21751-2025</t>
        </is>
      </c>
      <c r="B1262" s="1" t="n">
        <v>45783</v>
      </c>
      <c r="C1262" s="1" t="n">
        <v>45842</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v>
      </c>
      <c r="C1263" s="1" t="n">
        <v>45842</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21721-2025</t>
        </is>
      </c>
      <c r="B1264" s="1" t="n">
        <v>45783</v>
      </c>
      <c r="C1264" s="1" t="n">
        <v>45842</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22126-2025</t>
        </is>
      </c>
      <c r="B1265" s="1" t="n">
        <v>45785</v>
      </c>
      <c r="C1265" s="1" t="n">
        <v>45842</v>
      </c>
      <c r="D1265" t="inlineStr">
        <is>
          <t>VÄSTMANLANDS LÄN</t>
        </is>
      </c>
      <c r="E1265" t="inlineStr">
        <is>
          <t>SALA</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45842</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22370-2025</t>
        </is>
      </c>
      <c r="B1267" s="1" t="n">
        <v>45786</v>
      </c>
      <c r="C1267" s="1" t="n">
        <v>45842</v>
      </c>
      <c r="D1267" t="inlineStr">
        <is>
          <t>VÄSTMANLANDS LÄN</t>
        </is>
      </c>
      <c r="E1267" t="inlineStr">
        <is>
          <t>SALA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22383-2025</t>
        </is>
      </c>
      <c r="B1268" s="1" t="n">
        <v>45786</v>
      </c>
      <c r="C1268" s="1" t="n">
        <v>45842</v>
      </c>
      <c r="D1268" t="inlineStr">
        <is>
          <t>VÄSTMANLANDS LÄN</t>
        </is>
      </c>
      <c r="E1268" t="inlineStr">
        <is>
          <t>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45842</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45842</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22625-2025</t>
        </is>
      </c>
      <c r="B1271" s="1" t="n">
        <v>45789</v>
      </c>
      <c r="C1271" s="1" t="n">
        <v>45842</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45842</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23804-2025</t>
        </is>
      </c>
      <c r="B1273" s="1" t="n">
        <v>45793</v>
      </c>
      <c r="C1273" s="1" t="n">
        <v>45842</v>
      </c>
      <c r="D1273" t="inlineStr">
        <is>
          <t>VÄSTMANLANDS LÄN</t>
        </is>
      </c>
      <c r="E1273" t="inlineStr">
        <is>
          <t>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24169-2025</t>
        </is>
      </c>
      <c r="B1274" s="1" t="n">
        <v>45796</v>
      </c>
      <c r="C1274" s="1" t="n">
        <v>45842</v>
      </c>
      <c r="D1274" t="inlineStr">
        <is>
          <t>VÄSTMANLANDS LÄN</t>
        </is>
      </c>
      <c r="E1274" t="inlineStr">
        <is>
          <t>SALA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24410-2025</t>
        </is>
      </c>
      <c r="B1275" s="1" t="n">
        <v>45797</v>
      </c>
      <c r="C1275" s="1" t="n">
        <v>45842</v>
      </c>
      <c r="D1275" t="inlineStr">
        <is>
          <t>VÄSTMANLANDS LÄN</t>
        </is>
      </c>
      <c r="E1275" t="inlineStr">
        <is>
          <t>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45842</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24460-2025</t>
        </is>
      </c>
      <c r="B1277" s="1" t="n">
        <v>45798</v>
      </c>
      <c r="C1277" s="1" t="n">
        <v>45842</v>
      </c>
      <c r="D1277" t="inlineStr">
        <is>
          <t>VÄSTMANLANDS LÄN</t>
        </is>
      </c>
      <c r="E1277" t="inlineStr">
        <is>
          <t>SALA</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24910-2025</t>
        </is>
      </c>
      <c r="B1278" s="1" t="n">
        <v>45799</v>
      </c>
      <c r="C1278" s="1" t="n">
        <v>45842</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24907-2025</t>
        </is>
      </c>
      <c r="B1279" s="1" t="n">
        <v>45799</v>
      </c>
      <c r="C1279" s="1" t="n">
        <v>45842</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26661-2025</t>
        </is>
      </c>
      <c r="B1280" s="1" t="n">
        <v>45810</v>
      </c>
      <c r="C1280" s="1" t="n">
        <v>45842</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27981-2025</t>
        </is>
      </c>
      <c r="B1281" s="1" t="n">
        <v>45817</v>
      </c>
      <c r="C1281" s="1" t="n">
        <v>45842</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27989-2025</t>
        </is>
      </c>
      <c r="B1282" s="1" t="n">
        <v>45817</v>
      </c>
      <c r="C1282" s="1" t="n">
        <v>45842</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28193-2025</t>
        </is>
      </c>
      <c r="B1283" s="1" t="n">
        <v>45818</v>
      </c>
      <c r="C1283" s="1" t="n">
        <v>45842</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45842</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45842</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45842</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45842</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45842</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45842</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28849-2025</t>
        </is>
      </c>
      <c r="B1290" s="1" t="n">
        <v>45820</v>
      </c>
      <c r="C1290" s="1" t="n">
        <v>45842</v>
      </c>
      <c r="D1290" t="inlineStr">
        <is>
          <t>VÄSTMANLANDS LÄN</t>
        </is>
      </c>
      <c r="E1290" t="inlineStr">
        <is>
          <t>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29085-2025</t>
        </is>
      </c>
      <c r="B1291" s="1" t="n">
        <v>45821</v>
      </c>
      <c r="C1291" s="1" t="n">
        <v>45842</v>
      </c>
      <c r="D1291" t="inlineStr">
        <is>
          <t>VÄSTMANLANDS LÄN</t>
        </is>
      </c>
      <c r="E1291" t="inlineStr">
        <is>
          <t>SALA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29826-2025</t>
        </is>
      </c>
      <c r="B1292" s="1" t="n">
        <v>45825</v>
      </c>
      <c r="C1292" s="1" t="n">
        <v>45842</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45842</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29972-2025</t>
        </is>
      </c>
      <c r="B1294" s="1" t="n">
        <v>45826</v>
      </c>
      <c r="C1294" s="1" t="n">
        <v>45842</v>
      </c>
      <c r="D1294" t="inlineStr">
        <is>
          <t>VÄSTMANLANDS LÄN</t>
        </is>
      </c>
      <c r="E1294" t="inlineStr">
        <is>
          <t>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31065-2025</t>
        </is>
      </c>
      <c r="B1295" s="1" t="n">
        <v>45832</v>
      </c>
      <c r="C1295" s="1" t="n">
        <v>45842</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30899-2025</t>
        </is>
      </c>
      <c r="B1296" s="1" t="n">
        <v>45832</v>
      </c>
      <c r="C1296" s="1" t="n">
        <v>45842</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45842</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30866-2025</t>
        </is>
      </c>
      <c r="B1298" s="1" t="n">
        <v>45832</v>
      </c>
      <c r="C1298" s="1" t="n">
        <v>45842</v>
      </c>
      <c r="D1298" t="inlineStr">
        <is>
          <t>VÄSTMANLANDS LÄN</t>
        </is>
      </c>
      <c r="E1298" t="inlineStr">
        <is>
          <t>SALA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31296-2025</t>
        </is>
      </c>
      <c r="B1299" s="1" t="n">
        <v>45833</v>
      </c>
      <c r="C1299" s="1" t="n">
        <v>45842</v>
      </c>
      <c r="D1299" t="inlineStr">
        <is>
          <t>VÄSTMANLANDS LÄN</t>
        </is>
      </c>
      <c r="E1299" t="inlineStr">
        <is>
          <t>SALA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31573-2025</t>
        </is>
      </c>
      <c r="B1300" s="1" t="n">
        <v>45833</v>
      </c>
      <c r="C1300" s="1" t="n">
        <v>45842</v>
      </c>
      <c r="D1300" t="inlineStr">
        <is>
          <t>VÄSTMANLANDS LÄN</t>
        </is>
      </c>
      <c r="E1300" t="inlineStr">
        <is>
          <t>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31554-2025</t>
        </is>
      </c>
      <c r="B1301" s="1" t="n">
        <v>45833</v>
      </c>
      <c r="C1301" s="1" t="n">
        <v>45842</v>
      </c>
      <c r="D1301" t="inlineStr">
        <is>
          <t>VÄSTMANLANDS LÄN</t>
        </is>
      </c>
      <c r="E1301" t="inlineStr">
        <is>
          <t>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31288-2025</t>
        </is>
      </c>
      <c r="B1302" s="1" t="n">
        <v>45833</v>
      </c>
      <c r="C1302" s="1" t="n">
        <v>45842</v>
      </c>
      <c r="D1302" t="inlineStr">
        <is>
          <t>VÄSTMANLANDS LÄN</t>
        </is>
      </c>
      <c r="E1302" t="inlineStr">
        <is>
          <t>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31610-2025</t>
        </is>
      </c>
      <c r="B1303" s="1" t="n">
        <v>45833</v>
      </c>
      <c r="C1303" s="1" t="n">
        <v>45842</v>
      </c>
      <c r="D1303" t="inlineStr">
        <is>
          <t>VÄSTMANLANDS LÄN</t>
        </is>
      </c>
      <c r="E1303" t="inlineStr">
        <is>
          <t>SALA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31608-2025</t>
        </is>
      </c>
      <c r="B1304" s="1" t="n">
        <v>45833</v>
      </c>
      <c r="C1304" s="1" t="n">
        <v>45842</v>
      </c>
      <c r="D1304" t="inlineStr">
        <is>
          <t>VÄSTMANLANDS LÄN</t>
        </is>
      </c>
      <c r="E1304" t="inlineStr">
        <is>
          <t>SALA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31612-2025</t>
        </is>
      </c>
      <c r="B1305" s="1" t="n">
        <v>45833</v>
      </c>
      <c r="C1305" s="1" t="n">
        <v>45842</v>
      </c>
      <c r="D1305" t="inlineStr">
        <is>
          <t>VÄSTMANLANDS LÄN</t>
        </is>
      </c>
      <c r="E1305" t="inlineStr">
        <is>
          <t>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31863-2025</t>
        </is>
      </c>
      <c r="B1306" s="1" t="n">
        <v>45834</v>
      </c>
      <c r="C1306" s="1" t="n">
        <v>45842</v>
      </c>
      <c r="D1306" t="inlineStr">
        <is>
          <t>VÄSTMANLANDS LÄN</t>
        </is>
      </c>
      <c r="E1306" t="inlineStr">
        <is>
          <t>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31864-2025</t>
        </is>
      </c>
      <c r="B1307" s="1" t="n">
        <v>45834</v>
      </c>
      <c r="C1307" s="1" t="n">
        <v>45842</v>
      </c>
      <c r="D1307" t="inlineStr">
        <is>
          <t>VÄSTMANLANDS LÄN</t>
        </is>
      </c>
      <c r="E1307" t="inlineStr">
        <is>
          <t>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31869-2025</t>
        </is>
      </c>
      <c r="B1308" s="1" t="n">
        <v>45834</v>
      </c>
      <c r="C1308" s="1" t="n">
        <v>45842</v>
      </c>
      <c r="D1308" t="inlineStr">
        <is>
          <t>VÄSTMANLANDS LÄN</t>
        </is>
      </c>
      <c r="E1308" t="inlineStr">
        <is>
          <t>SALA</t>
        </is>
      </c>
      <c r="G1308" t="n">
        <v>17.5</v>
      </c>
      <c r="H1308" t="n">
        <v>0</v>
      </c>
      <c r="I1308" t="n">
        <v>0</v>
      </c>
      <c r="J1308" t="n">
        <v>0</v>
      </c>
      <c r="K1308" t="n">
        <v>0</v>
      </c>
      <c r="L1308" t="n">
        <v>0</v>
      </c>
      <c r="M1308" t="n">
        <v>0</v>
      </c>
      <c r="N1308" t="n">
        <v>0</v>
      </c>
      <c r="O1308" t="n">
        <v>0</v>
      </c>
      <c r="P1308" t="n">
        <v>0</v>
      </c>
      <c r="Q1308" t="n">
        <v>0</v>
      </c>
      <c r="R1308" s="2" t="inlineStr"/>
    </row>
    <row r="1309" ht="15" customHeight="1">
      <c r="A1309" t="inlineStr">
        <is>
          <t>A 31748-2025</t>
        </is>
      </c>
      <c r="B1309" s="1" t="n">
        <v>45834</v>
      </c>
      <c r="C1309" s="1" t="n">
        <v>45842</v>
      </c>
      <c r="D1309" t="inlineStr">
        <is>
          <t>VÄSTMANLANDS LÄN</t>
        </is>
      </c>
      <c r="E1309" t="inlineStr">
        <is>
          <t>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45842</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31887-2025</t>
        </is>
      </c>
      <c r="B1311" s="1" t="n">
        <v>45834</v>
      </c>
      <c r="C1311" s="1" t="n">
        <v>45842</v>
      </c>
      <c r="D1311" t="inlineStr">
        <is>
          <t>VÄSTMANLANDS LÄN</t>
        </is>
      </c>
      <c r="E1311" t="inlineStr">
        <is>
          <t>SALA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31771-2025</t>
        </is>
      </c>
      <c r="B1312" s="1" t="n">
        <v>45834</v>
      </c>
      <c r="C1312" s="1" t="n">
        <v>45842</v>
      </c>
      <c r="D1312" t="inlineStr">
        <is>
          <t>VÄSTMANLANDS LÄN</t>
        </is>
      </c>
      <c r="E1312" t="inlineStr">
        <is>
          <t>SALA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45842</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32207-2025</t>
        </is>
      </c>
      <c r="B1314" s="1" t="n">
        <v>45835</v>
      </c>
      <c r="C1314" s="1" t="n">
        <v>45842</v>
      </c>
      <c r="D1314" t="inlineStr">
        <is>
          <t>VÄSTMANLANDS LÄN</t>
        </is>
      </c>
      <c r="E1314" t="inlineStr">
        <is>
          <t>SALA</t>
        </is>
      </c>
      <c r="F1314" t="inlineStr">
        <is>
          <t>Bergvik skog öst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32210-2025</t>
        </is>
      </c>
      <c r="B1315" s="1" t="n">
        <v>45835</v>
      </c>
      <c r="C1315" s="1" t="n">
        <v>45842</v>
      </c>
      <c r="D1315" t="inlineStr">
        <is>
          <t>VÄSTMANLANDS LÄN</t>
        </is>
      </c>
      <c r="E1315" t="inlineStr">
        <is>
          <t>SALA</t>
        </is>
      </c>
      <c r="F1315" t="inlineStr">
        <is>
          <t>Bergvik skog öst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32205-2025</t>
        </is>
      </c>
      <c r="B1316" s="1" t="n">
        <v>45835</v>
      </c>
      <c r="C1316" s="1" t="n">
        <v>45842</v>
      </c>
      <c r="D1316" t="inlineStr">
        <is>
          <t>VÄSTMANLANDS LÄN</t>
        </is>
      </c>
      <c r="E1316" t="inlineStr">
        <is>
          <t>SALA</t>
        </is>
      </c>
      <c r="F1316" t="inlineStr">
        <is>
          <t>Bergvik skog öst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32201-2025</t>
        </is>
      </c>
      <c r="B1317" s="1" t="n">
        <v>45835</v>
      </c>
      <c r="C1317" s="1" t="n">
        <v>45842</v>
      </c>
      <c r="D1317" t="inlineStr">
        <is>
          <t>VÄSTMANLANDS LÄN</t>
        </is>
      </c>
      <c r="E1317" t="inlineStr">
        <is>
          <t>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32286-2025</t>
        </is>
      </c>
      <c r="B1318" s="1" t="n">
        <v>45835</v>
      </c>
      <c r="C1318" s="1" t="n">
        <v>45842</v>
      </c>
      <c r="D1318" t="inlineStr">
        <is>
          <t>VÄSTMANLANDS LÄN</t>
        </is>
      </c>
      <c r="E1318" t="inlineStr">
        <is>
          <t>SALA</t>
        </is>
      </c>
      <c r="G1318" t="n">
        <v>6.4</v>
      </c>
      <c r="H1318" t="n">
        <v>0</v>
      </c>
      <c r="I1318" t="n">
        <v>0</v>
      </c>
      <c r="J1318" t="n">
        <v>0</v>
      </c>
      <c r="K1318" t="n">
        <v>0</v>
      </c>
      <c r="L1318" t="n">
        <v>0</v>
      </c>
      <c r="M1318" t="n">
        <v>0</v>
      </c>
      <c r="N1318" t="n">
        <v>0</v>
      </c>
      <c r="O1318" t="n">
        <v>0</v>
      </c>
      <c r="P1318" t="n">
        <v>0</v>
      </c>
      <c r="Q1318" t="n">
        <v>0</v>
      </c>
      <c r="R1318" s="2" t="inlineStr"/>
    </row>
    <row r="1319">
      <c r="A1319" t="inlineStr">
        <is>
          <t>A 32902-2025</t>
        </is>
      </c>
      <c r="B1319" s="1" t="n">
        <v>45839</v>
      </c>
      <c r="C1319" s="1" t="n">
        <v>45842</v>
      </c>
      <c r="D1319" t="inlineStr">
        <is>
          <t>VÄSTMANLANDS LÄN</t>
        </is>
      </c>
      <c r="E1319" t="inlineStr">
        <is>
          <t>SALA</t>
        </is>
      </c>
      <c r="G1319" t="n">
        <v>8.199999999999999</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2025-07-04T19:07:20Z</dcterms:created>
  <dcterms:modified xmlns:dcterms="http://purl.org/dc/terms/" xmlns:xsi="http://www.w3.org/2001/XMLSchema-instance" xsi:type="dcterms:W3CDTF">2025-07-04T19:07:30Z</dcterms:modified>
</cp:coreProperties>
</file>