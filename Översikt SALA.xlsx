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46127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46127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46127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46127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46127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46127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1182-2022</t>
        </is>
      </c>
      <c r="B8" s="1" t="n">
        <v>44572</v>
      </c>
      <c r="C8" s="1" t="n">
        <v>46127</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3566-2024</t>
        </is>
      </c>
      <c r="B9" s="1" t="n">
        <v>45320.63596064815</v>
      </c>
      <c r="C9" s="1" t="n">
        <v>46127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46127</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27488-2023</t>
        </is>
      </c>
      <c r="B11" s="1" t="n">
        <v>45097</v>
      </c>
      <c r="C11" s="1" t="n">
        <v>46127</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46127</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46127</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46127</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46127</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46127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46127</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46127</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46127</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Kötticka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46127</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46127</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3930-2026</t>
        </is>
      </c>
      <c r="B22" s="1" t="n">
        <v>46043</v>
      </c>
      <c r="C22" s="1" t="n">
        <v>46127</v>
      </c>
      <c r="D22" t="inlineStr">
        <is>
          <t>VÄSTMANLANDS LÄN</t>
        </is>
      </c>
      <c r="E22" t="inlineStr">
        <is>
          <t>SALA</t>
        </is>
      </c>
      <c r="G22" t="n">
        <v>17.4</v>
      </c>
      <c r="H22" t="n">
        <v>1</v>
      </c>
      <c r="I22" t="n">
        <v>0</v>
      </c>
      <c r="J22" t="n">
        <v>2</v>
      </c>
      <c r="K22" t="n">
        <v>1</v>
      </c>
      <c r="L22" t="n">
        <v>0</v>
      </c>
      <c r="M22" t="n">
        <v>0</v>
      </c>
      <c r="N22" t="n">
        <v>0</v>
      </c>
      <c r="O22" t="n">
        <v>3</v>
      </c>
      <c r="P22" t="n">
        <v>1</v>
      </c>
      <c r="Q22" t="n">
        <v>3</v>
      </c>
      <c r="R22" s="2" t="inlineStr">
        <is>
          <t>Knärot
Gränsticka
Ullticka</t>
        </is>
      </c>
      <c r="S22">
        <f>HYPERLINK("https://klasma.github.io/Logging_1981/artfynd/A 3930-2026 artfynd.xlsx", "A 3930-2026")</f>
        <v/>
      </c>
      <c r="T22">
        <f>HYPERLINK("https://klasma.github.io/Logging_1981/kartor/A 3930-2026 karta.png", "A 3930-2026")</f>
        <v/>
      </c>
      <c r="U22">
        <f>HYPERLINK("https://klasma.github.io/Logging_1981/knärot/A 3930-2026 karta knärot.png", "A 3930-2026")</f>
        <v/>
      </c>
      <c r="V22">
        <f>HYPERLINK("https://klasma.github.io/Logging_1981/klagomål/A 3930-2026 FSC-klagomål.docx", "A 3930-2026")</f>
        <v/>
      </c>
      <c r="W22">
        <f>HYPERLINK("https://klasma.github.io/Logging_1981/klagomålsmail/A 3930-2026 FSC-klagomål mail.docx", "A 3930-2026")</f>
        <v/>
      </c>
      <c r="X22">
        <f>HYPERLINK("https://klasma.github.io/Logging_1981/tillsyn/A 3930-2026 tillsynsbegäran.docx", "A 3930-2026")</f>
        <v/>
      </c>
      <c r="Y22">
        <f>HYPERLINK("https://klasma.github.io/Logging_1981/tillsynsmail/A 3930-2026 tillsynsbegäran mail.docx", "A 3930-2026")</f>
        <v/>
      </c>
    </row>
    <row r="23" ht="15" customHeight="1">
      <c r="A23" t="inlineStr">
        <is>
          <t>A 3567-2024</t>
        </is>
      </c>
      <c r="B23" s="1" t="n">
        <v>45320.63706018519</v>
      </c>
      <c r="C23" s="1" t="n">
        <v>46127</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46127</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46127</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62768-2021</t>
        </is>
      </c>
      <c r="B26" s="1" t="n">
        <v>44504</v>
      </c>
      <c r="C26" s="1" t="n">
        <v>46127</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52909-2022</t>
        </is>
      </c>
      <c r="B27" s="1" t="n">
        <v>44875</v>
      </c>
      <c r="C27" s="1" t="n">
        <v>46127</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46127</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24872-2025</t>
        </is>
      </c>
      <c r="B29" s="1" t="n">
        <v>45799.49038194444</v>
      </c>
      <c r="C29" s="1" t="n">
        <v>46127</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46127</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59826-2025</t>
        </is>
      </c>
      <c r="B31" s="1" t="n">
        <v>45992.65416666667</v>
      </c>
      <c r="C31" s="1" t="n">
        <v>46127</v>
      </c>
      <c r="D31" t="inlineStr">
        <is>
          <t>VÄSTMANLANDS LÄN</t>
        </is>
      </c>
      <c r="E31" t="inlineStr">
        <is>
          <t>SALA</t>
        </is>
      </c>
      <c r="G31" t="n">
        <v>2.7</v>
      </c>
      <c r="H31" t="n">
        <v>0</v>
      </c>
      <c r="I31" t="n">
        <v>1</v>
      </c>
      <c r="J31" t="n">
        <v>1</v>
      </c>
      <c r="K31" t="n">
        <v>0</v>
      </c>
      <c r="L31" t="n">
        <v>0</v>
      </c>
      <c r="M31" t="n">
        <v>0</v>
      </c>
      <c r="N31" t="n">
        <v>0</v>
      </c>
      <c r="O31" t="n">
        <v>1</v>
      </c>
      <c r="P31" t="n">
        <v>0</v>
      </c>
      <c r="Q31" t="n">
        <v>2</v>
      </c>
      <c r="R31" s="2" t="inlineStr">
        <is>
          <t>Motaggsvamp
Gullgröppa</t>
        </is>
      </c>
      <c r="S31">
        <f>HYPERLINK("https://klasma.github.io/Logging_1981/artfynd/A 59826-2025 artfynd.xlsx", "A 59826-2025")</f>
        <v/>
      </c>
      <c r="T31">
        <f>HYPERLINK("https://klasma.github.io/Logging_1981/kartor/A 59826-2025 karta.png", "A 59826-2025")</f>
        <v/>
      </c>
      <c r="V31">
        <f>HYPERLINK("https://klasma.github.io/Logging_1981/klagomål/A 59826-2025 FSC-klagomål.docx", "A 59826-2025")</f>
        <v/>
      </c>
      <c r="W31">
        <f>HYPERLINK("https://klasma.github.io/Logging_1981/klagomålsmail/A 59826-2025 FSC-klagomål mail.docx", "A 59826-2025")</f>
        <v/>
      </c>
      <c r="X31">
        <f>HYPERLINK("https://klasma.github.io/Logging_1981/tillsyn/A 59826-2025 tillsynsbegäran.docx", "A 59826-2025")</f>
        <v/>
      </c>
      <c r="Y31">
        <f>HYPERLINK("https://klasma.github.io/Logging_1981/tillsynsmail/A 59826-2025 tillsynsbegäran mail.docx", "A 59826-2025")</f>
        <v/>
      </c>
    </row>
    <row r="32" ht="15" customHeight="1">
      <c r="A32" t="inlineStr">
        <is>
          <t>A 1500-2022</t>
        </is>
      </c>
      <c r="B32" s="1" t="n">
        <v>44573.54357638889</v>
      </c>
      <c r="C32" s="1" t="n">
        <v>46127</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46127</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46127</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63584-2025</t>
        </is>
      </c>
      <c r="B35" s="1" t="n">
        <v>46013.77002314815</v>
      </c>
      <c r="C35" s="1" t="n">
        <v>46127</v>
      </c>
      <c r="D35" t="inlineStr">
        <is>
          <t>VÄSTMANLANDS LÄN</t>
        </is>
      </c>
      <c r="E35" t="inlineStr">
        <is>
          <t>SALA</t>
        </is>
      </c>
      <c r="G35" t="n">
        <v>7.3</v>
      </c>
      <c r="H35" t="n">
        <v>1</v>
      </c>
      <c r="I35" t="n">
        <v>0</v>
      </c>
      <c r="J35" t="n">
        <v>1</v>
      </c>
      <c r="K35" t="n">
        <v>1</v>
      </c>
      <c r="L35" t="n">
        <v>0</v>
      </c>
      <c r="M35" t="n">
        <v>0</v>
      </c>
      <c r="N35" t="n">
        <v>0</v>
      </c>
      <c r="O35" t="n">
        <v>2</v>
      </c>
      <c r="P35" t="n">
        <v>1</v>
      </c>
      <c r="Q35" t="n">
        <v>2</v>
      </c>
      <c r="R35" s="2" t="inlineStr">
        <is>
          <t>Knärot
Vedtrappmossa</t>
        </is>
      </c>
      <c r="S35">
        <f>HYPERLINK("https://klasma.github.io/Logging_1981/artfynd/A 63584-2025 artfynd.xlsx", "A 63584-2025")</f>
        <v/>
      </c>
      <c r="T35">
        <f>HYPERLINK("https://klasma.github.io/Logging_1981/kartor/A 63584-2025 karta.png", "A 63584-2025")</f>
        <v/>
      </c>
      <c r="U35">
        <f>HYPERLINK("https://klasma.github.io/Logging_1981/knärot/A 63584-2025 karta knärot.png", "A 63584-2025")</f>
        <v/>
      </c>
      <c r="V35">
        <f>HYPERLINK("https://klasma.github.io/Logging_1981/klagomål/A 63584-2025 FSC-klagomål.docx", "A 63584-2025")</f>
        <v/>
      </c>
      <c r="W35">
        <f>HYPERLINK("https://klasma.github.io/Logging_1981/klagomålsmail/A 63584-2025 FSC-klagomål mail.docx", "A 63584-2025")</f>
        <v/>
      </c>
      <c r="X35">
        <f>HYPERLINK("https://klasma.github.io/Logging_1981/tillsyn/A 63584-2025 tillsynsbegäran.docx", "A 63584-2025")</f>
        <v/>
      </c>
      <c r="Y35">
        <f>HYPERLINK("https://klasma.github.io/Logging_1981/tillsynsmail/A 63584-2025 tillsynsbegäran mail.docx", "A 63584-2025")</f>
        <v/>
      </c>
    </row>
    <row r="36" ht="15" customHeight="1">
      <c r="A36" t="inlineStr">
        <is>
          <t>A 14485-2026</t>
        </is>
      </c>
      <c r="B36" s="1" t="n">
        <v>46100.59055555556</v>
      </c>
      <c r="C36" s="1" t="n">
        <v>46127</v>
      </c>
      <c r="D36" t="inlineStr">
        <is>
          <t>VÄSTMANLANDS LÄN</t>
        </is>
      </c>
      <c r="E36" t="inlineStr">
        <is>
          <t>SALA</t>
        </is>
      </c>
      <c r="F36" t="inlineStr">
        <is>
          <t>Sveaskog</t>
        </is>
      </c>
      <c r="G36" t="n">
        <v>13.6</v>
      </c>
      <c r="H36" t="n">
        <v>1</v>
      </c>
      <c r="I36" t="n">
        <v>0</v>
      </c>
      <c r="J36" t="n">
        <v>2</v>
      </c>
      <c r="K36" t="n">
        <v>0</v>
      </c>
      <c r="L36" t="n">
        <v>0</v>
      </c>
      <c r="M36" t="n">
        <v>0</v>
      </c>
      <c r="N36" t="n">
        <v>0</v>
      </c>
      <c r="O36" t="n">
        <v>2</v>
      </c>
      <c r="P36" t="n">
        <v>0</v>
      </c>
      <c r="Q36" t="n">
        <v>2</v>
      </c>
      <c r="R36" s="2" t="inlineStr">
        <is>
          <t>Motaggsvamp
Talltita</t>
        </is>
      </c>
      <c r="S36">
        <f>HYPERLINK("https://klasma.github.io/Logging_1981/artfynd/A 14485-2026 artfynd.xlsx", "A 14485-2026")</f>
        <v/>
      </c>
      <c r="T36">
        <f>HYPERLINK("https://klasma.github.io/Logging_1981/kartor/A 14485-2026 karta.png", "A 14485-2026")</f>
        <v/>
      </c>
      <c r="V36">
        <f>HYPERLINK("https://klasma.github.io/Logging_1981/klagomål/A 14485-2026 FSC-klagomål.docx", "A 14485-2026")</f>
        <v/>
      </c>
      <c r="W36">
        <f>HYPERLINK("https://klasma.github.io/Logging_1981/klagomålsmail/A 14485-2026 FSC-klagomål mail.docx", "A 14485-2026")</f>
        <v/>
      </c>
      <c r="X36">
        <f>HYPERLINK("https://klasma.github.io/Logging_1981/tillsyn/A 14485-2026 tillsynsbegäran.docx", "A 14485-2026")</f>
        <v/>
      </c>
      <c r="Y36">
        <f>HYPERLINK("https://klasma.github.io/Logging_1981/tillsynsmail/A 14485-2026 tillsynsbegäran mail.docx", "A 14485-2026")</f>
        <v/>
      </c>
      <c r="Z36">
        <f>HYPERLINK("https://klasma.github.io/Logging_1981/fåglar/A 14485-2026 prioriterade fågelarter.docx", "A 14485-2026")</f>
        <v/>
      </c>
    </row>
    <row r="37" ht="15" customHeight="1">
      <c r="A37" t="inlineStr">
        <is>
          <t>A 11846-2024</t>
        </is>
      </c>
      <c r="B37" s="1" t="n">
        <v>45376.4047337963</v>
      </c>
      <c r="C37" s="1" t="n">
        <v>46127</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46127</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46127</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46127</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55995-2025</t>
        </is>
      </c>
      <c r="B41" s="1" t="n">
        <v>45973.56733796297</v>
      </c>
      <c r="C41" s="1" t="n">
        <v>46127</v>
      </c>
      <c r="D41" t="inlineStr">
        <is>
          <t>VÄSTMANLANDS LÄN</t>
        </is>
      </c>
      <c r="E41" t="inlineStr">
        <is>
          <t>SALA</t>
        </is>
      </c>
      <c r="F41" t="inlineStr">
        <is>
          <t>Sveaskog</t>
        </is>
      </c>
      <c r="G41" t="n">
        <v>4.5</v>
      </c>
      <c r="H41" t="n">
        <v>1</v>
      </c>
      <c r="I41" t="n">
        <v>0</v>
      </c>
      <c r="J41" t="n">
        <v>0</v>
      </c>
      <c r="K41" t="n">
        <v>0</v>
      </c>
      <c r="L41" t="n">
        <v>0</v>
      </c>
      <c r="M41" t="n">
        <v>0</v>
      </c>
      <c r="N41" t="n">
        <v>0</v>
      </c>
      <c r="O41" t="n">
        <v>0</v>
      </c>
      <c r="P41" t="n">
        <v>0</v>
      </c>
      <c r="Q41" t="n">
        <v>1</v>
      </c>
      <c r="R41" s="2" t="inlineStr">
        <is>
          <t>Fläcknycklar</t>
        </is>
      </c>
      <c r="S41">
        <f>HYPERLINK("https://klasma.github.io/Logging_1981/artfynd/A 55995-2025 artfynd.xlsx", "A 55995-2025")</f>
        <v/>
      </c>
      <c r="T41">
        <f>HYPERLINK("https://klasma.github.io/Logging_1981/kartor/A 55995-2025 karta.png", "A 55995-2025")</f>
        <v/>
      </c>
      <c r="V41">
        <f>HYPERLINK("https://klasma.github.io/Logging_1981/klagomål/A 55995-2025 FSC-klagomål.docx", "A 55995-2025")</f>
        <v/>
      </c>
      <c r="W41">
        <f>HYPERLINK("https://klasma.github.io/Logging_1981/klagomålsmail/A 55995-2025 FSC-klagomål mail.docx", "A 55995-2025")</f>
        <v/>
      </c>
      <c r="X41">
        <f>HYPERLINK("https://klasma.github.io/Logging_1981/tillsyn/A 55995-2025 tillsynsbegäran.docx", "A 55995-2025")</f>
        <v/>
      </c>
      <c r="Y41">
        <f>HYPERLINK("https://klasma.github.io/Logging_1981/tillsynsmail/A 55995-2025 tillsynsbegäran mail.docx", "A 55995-2025")</f>
        <v/>
      </c>
    </row>
    <row r="42" ht="15" customHeight="1">
      <c r="A42" t="inlineStr">
        <is>
          <t>A 22950-2025</t>
        </is>
      </c>
      <c r="B42" s="1" t="n">
        <v>45790.50728009259</v>
      </c>
      <c r="C42" s="1" t="n">
        <v>46127</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37166-2024</t>
        </is>
      </c>
      <c r="B43" s="1" t="n">
        <v>45539</v>
      </c>
      <c r="C43" s="1" t="n">
        <v>46127</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46127</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32594-2025</t>
        </is>
      </c>
      <c r="B45" s="1" t="n">
        <v>45838</v>
      </c>
      <c r="C45" s="1" t="n">
        <v>46127</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48705-2025</t>
        </is>
      </c>
      <c r="B46" s="1" t="n">
        <v>45936.62290509259</v>
      </c>
      <c r="C46" s="1" t="n">
        <v>46127</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22350-2024</t>
        </is>
      </c>
      <c r="B47" s="1" t="n">
        <v>45446</v>
      </c>
      <c r="C47" s="1" t="n">
        <v>46127</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14775-2023</t>
        </is>
      </c>
      <c r="B48" s="1" t="n">
        <v>45014</v>
      </c>
      <c r="C48" s="1" t="n">
        <v>46127</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50268-2025</t>
        </is>
      </c>
      <c r="B49" s="1" t="n">
        <v>45944.35162037037</v>
      </c>
      <c r="C49" s="1" t="n">
        <v>46127</v>
      </c>
      <c r="D49" t="inlineStr">
        <is>
          <t>VÄSTMANLANDS LÄN</t>
        </is>
      </c>
      <c r="E49" t="inlineStr">
        <is>
          <t>SALA</t>
        </is>
      </c>
      <c r="G49" t="n">
        <v>0.7</v>
      </c>
      <c r="H49" t="n">
        <v>1</v>
      </c>
      <c r="I49" t="n">
        <v>0</v>
      </c>
      <c r="J49" t="n">
        <v>0</v>
      </c>
      <c r="K49" t="n">
        <v>0</v>
      </c>
      <c r="L49" t="n">
        <v>0</v>
      </c>
      <c r="M49" t="n">
        <v>0</v>
      </c>
      <c r="N49" t="n">
        <v>0</v>
      </c>
      <c r="O49" t="n">
        <v>0</v>
      </c>
      <c r="P49" t="n">
        <v>0</v>
      </c>
      <c r="Q49" t="n">
        <v>1</v>
      </c>
      <c r="R49" s="2" t="inlineStr">
        <is>
          <t>Fläcknycklar</t>
        </is>
      </c>
      <c r="S49">
        <f>HYPERLINK("https://klasma.github.io/Logging_1981/artfynd/A 50268-2025 artfynd.xlsx", "A 50268-2025")</f>
        <v/>
      </c>
      <c r="T49">
        <f>HYPERLINK("https://klasma.github.io/Logging_1981/kartor/A 50268-2025 karta.png", "A 50268-2025")</f>
        <v/>
      </c>
      <c r="V49">
        <f>HYPERLINK("https://klasma.github.io/Logging_1981/klagomål/A 50268-2025 FSC-klagomål.docx", "A 50268-2025")</f>
        <v/>
      </c>
      <c r="W49">
        <f>HYPERLINK("https://klasma.github.io/Logging_1981/klagomålsmail/A 50268-2025 FSC-klagomål mail.docx", "A 50268-2025")</f>
        <v/>
      </c>
      <c r="X49">
        <f>HYPERLINK("https://klasma.github.io/Logging_1981/tillsyn/A 50268-2025 tillsynsbegäran.docx", "A 50268-2025")</f>
        <v/>
      </c>
      <c r="Y49">
        <f>HYPERLINK("https://klasma.github.io/Logging_1981/tillsynsmail/A 50268-2025 tillsynsbegäran mail.docx", "A 50268-2025")</f>
        <v/>
      </c>
    </row>
    <row r="50" ht="15" customHeight="1">
      <c r="A50" t="inlineStr">
        <is>
          <t>A 12509-2023</t>
        </is>
      </c>
      <c r="B50" s="1" t="n">
        <v>44999.95988425926</v>
      </c>
      <c r="C50" s="1" t="n">
        <v>46127</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53052-2025</t>
        </is>
      </c>
      <c r="B51" s="1" t="n">
        <v>45958.36266203703</v>
      </c>
      <c r="C51" s="1" t="n">
        <v>46127</v>
      </c>
      <c r="D51" t="inlineStr">
        <is>
          <t>VÄSTMANLANDS LÄN</t>
        </is>
      </c>
      <c r="E51" t="inlineStr">
        <is>
          <t>SALA</t>
        </is>
      </c>
      <c r="F51" t="inlineStr">
        <is>
          <t>Sveaskog</t>
        </is>
      </c>
      <c r="G51" t="n">
        <v>1.1</v>
      </c>
      <c r="H51" t="n">
        <v>0</v>
      </c>
      <c r="I51" t="n">
        <v>0</v>
      </c>
      <c r="J51" t="n">
        <v>1</v>
      </c>
      <c r="K51" t="n">
        <v>0</v>
      </c>
      <c r="L51" t="n">
        <v>0</v>
      </c>
      <c r="M51" t="n">
        <v>0</v>
      </c>
      <c r="N51" t="n">
        <v>0</v>
      </c>
      <c r="O51" t="n">
        <v>1</v>
      </c>
      <c r="P51" t="n">
        <v>0</v>
      </c>
      <c r="Q51" t="n">
        <v>1</v>
      </c>
      <c r="R51" s="2" t="inlineStr">
        <is>
          <t>Motaggsvamp</t>
        </is>
      </c>
      <c r="S51">
        <f>HYPERLINK("https://klasma.github.io/Logging_1981/artfynd/A 53052-2025 artfynd.xlsx", "A 53052-2025")</f>
        <v/>
      </c>
      <c r="T51">
        <f>HYPERLINK("https://klasma.github.io/Logging_1981/kartor/A 53052-2025 karta.png", "A 53052-2025")</f>
        <v/>
      </c>
      <c r="V51">
        <f>HYPERLINK("https://klasma.github.io/Logging_1981/klagomål/A 53052-2025 FSC-klagomål.docx", "A 53052-2025")</f>
        <v/>
      </c>
      <c r="W51">
        <f>HYPERLINK("https://klasma.github.io/Logging_1981/klagomålsmail/A 53052-2025 FSC-klagomål mail.docx", "A 53052-2025")</f>
        <v/>
      </c>
      <c r="X51">
        <f>HYPERLINK("https://klasma.github.io/Logging_1981/tillsyn/A 53052-2025 tillsynsbegäran.docx", "A 53052-2025")</f>
        <v/>
      </c>
      <c r="Y51">
        <f>HYPERLINK("https://klasma.github.io/Logging_1981/tillsynsmail/A 53052-2025 tillsynsbegäran mail.docx", "A 53052-2025")</f>
        <v/>
      </c>
    </row>
    <row r="52" ht="15" customHeight="1">
      <c r="A52" t="inlineStr">
        <is>
          <t>A 38255-2025</t>
        </is>
      </c>
      <c r="B52" s="1" t="n">
        <v>45883.38020833334</v>
      </c>
      <c r="C52" s="1" t="n">
        <v>46127</v>
      </c>
      <c r="D52" t="inlineStr">
        <is>
          <t>VÄSTMANLANDS LÄN</t>
        </is>
      </c>
      <c r="E52" t="inlineStr">
        <is>
          <t>SALA</t>
        </is>
      </c>
      <c r="G52" t="n">
        <v>0.9</v>
      </c>
      <c r="H52" t="n">
        <v>1</v>
      </c>
      <c r="I52" t="n">
        <v>0</v>
      </c>
      <c r="J52" t="n">
        <v>0</v>
      </c>
      <c r="K52" t="n">
        <v>1</v>
      </c>
      <c r="L52" t="n">
        <v>0</v>
      </c>
      <c r="M52" t="n">
        <v>0</v>
      </c>
      <c r="N52" t="n">
        <v>0</v>
      </c>
      <c r="O52" t="n">
        <v>1</v>
      </c>
      <c r="P52" t="n">
        <v>1</v>
      </c>
      <c r="Q52" t="n">
        <v>1</v>
      </c>
      <c r="R52" s="2" t="inlineStr">
        <is>
          <t>Knärot</t>
        </is>
      </c>
      <c r="S52">
        <f>HYPERLINK("https://klasma.github.io/Logging_1981/artfynd/A 38255-2025 artfynd.xlsx", "A 38255-2025")</f>
        <v/>
      </c>
      <c r="T52">
        <f>HYPERLINK("https://klasma.github.io/Logging_1981/kartor/A 38255-2025 karta.png", "A 38255-2025")</f>
        <v/>
      </c>
      <c r="U52">
        <f>HYPERLINK("https://klasma.github.io/Logging_1981/knärot/A 38255-2025 karta knärot.png", "A 38255-2025")</f>
        <v/>
      </c>
      <c r="V52">
        <f>HYPERLINK("https://klasma.github.io/Logging_1981/klagomål/A 38255-2025 FSC-klagomål.docx", "A 38255-2025")</f>
        <v/>
      </c>
      <c r="W52">
        <f>HYPERLINK("https://klasma.github.io/Logging_1981/klagomålsmail/A 38255-2025 FSC-klagomål mail.docx", "A 38255-2025")</f>
        <v/>
      </c>
      <c r="X52">
        <f>HYPERLINK("https://klasma.github.io/Logging_1981/tillsyn/A 38255-2025 tillsynsbegäran.docx", "A 38255-2025")</f>
        <v/>
      </c>
      <c r="Y52">
        <f>HYPERLINK("https://klasma.github.io/Logging_1981/tillsynsmail/A 38255-2025 tillsynsbegäran mail.docx", "A 38255-2025")</f>
        <v/>
      </c>
    </row>
    <row r="53" ht="15" customHeight="1">
      <c r="A53" t="inlineStr">
        <is>
          <t>A 60852-2024</t>
        </is>
      </c>
      <c r="B53" s="1" t="n">
        <v>45644</v>
      </c>
      <c r="C53" s="1" t="n">
        <v>46127</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19361-2025</t>
        </is>
      </c>
      <c r="B54" s="1" t="n">
        <v>45769.63357638889</v>
      </c>
      <c r="C54" s="1" t="n">
        <v>46127</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46127</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43175-2023</t>
        </is>
      </c>
      <c r="B56" s="1" t="n">
        <v>45183</v>
      </c>
      <c r="C56" s="1" t="n">
        <v>46127</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55550-2023</t>
        </is>
      </c>
      <c r="B57" s="1" t="n">
        <v>45232</v>
      </c>
      <c r="C57" s="1" t="n">
        <v>46127</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14488-2026</t>
        </is>
      </c>
      <c r="B58" s="1" t="n">
        <v>46100.59216435185</v>
      </c>
      <c r="C58" s="1" t="n">
        <v>46127</v>
      </c>
      <c r="D58" t="inlineStr">
        <is>
          <t>VÄSTMANLANDS LÄN</t>
        </is>
      </c>
      <c r="E58" t="inlineStr">
        <is>
          <t>SALA</t>
        </is>
      </c>
      <c r="F58" t="inlineStr">
        <is>
          <t>Sveaskog</t>
        </is>
      </c>
      <c r="G58" t="n">
        <v>1.5</v>
      </c>
      <c r="H58" t="n">
        <v>1</v>
      </c>
      <c r="I58" t="n">
        <v>0</v>
      </c>
      <c r="J58" t="n">
        <v>0</v>
      </c>
      <c r="K58" t="n">
        <v>0</v>
      </c>
      <c r="L58" t="n">
        <v>0</v>
      </c>
      <c r="M58" t="n">
        <v>0</v>
      </c>
      <c r="N58" t="n">
        <v>0</v>
      </c>
      <c r="O58" t="n">
        <v>0</v>
      </c>
      <c r="P58" t="n">
        <v>0</v>
      </c>
      <c r="Q58" t="n">
        <v>1</v>
      </c>
      <c r="R58" s="2" t="inlineStr">
        <is>
          <t>Mattlummer</t>
        </is>
      </c>
      <c r="S58">
        <f>HYPERLINK("https://klasma.github.io/Logging_1981/artfynd/A 14488-2026 artfynd.xlsx", "A 14488-2026")</f>
        <v/>
      </c>
      <c r="T58">
        <f>HYPERLINK("https://klasma.github.io/Logging_1981/kartor/A 14488-2026 karta.png", "A 14488-2026")</f>
        <v/>
      </c>
      <c r="V58">
        <f>HYPERLINK("https://klasma.github.io/Logging_1981/klagomål/A 14488-2026 FSC-klagomål.docx", "A 14488-2026")</f>
        <v/>
      </c>
      <c r="W58">
        <f>HYPERLINK("https://klasma.github.io/Logging_1981/klagomålsmail/A 14488-2026 FSC-klagomål mail.docx", "A 14488-2026")</f>
        <v/>
      </c>
      <c r="X58">
        <f>HYPERLINK("https://klasma.github.io/Logging_1981/tillsyn/A 14488-2026 tillsynsbegäran.docx", "A 14488-2026")</f>
        <v/>
      </c>
      <c r="Y58">
        <f>HYPERLINK("https://klasma.github.io/Logging_1981/tillsynsmail/A 14488-2026 tillsynsbegäran mail.docx", "A 14488-2026")</f>
        <v/>
      </c>
    </row>
    <row r="59" ht="15" customHeight="1">
      <c r="A59" t="inlineStr">
        <is>
          <t>A 14487-2026</t>
        </is>
      </c>
      <c r="B59" s="1" t="n">
        <v>46100.59162037037</v>
      </c>
      <c r="C59" s="1" t="n">
        <v>46127</v>
      </c>
      <c r="D59" t="inlineStr">
        <is>
          <t>VÄSTMANLANDS LÄN</t>
        </is>
      </c>
      <c r="E59" t="inlineStr">
        <is>
          <t>SALA</t>
        </is>
      </c>
      <c r="F59" t="inlineStr">
        <is>
          <t>Sveaskog</t>
        </is>
      </c>
      <c r="G59" t="n">
        <v>6.7</v>
      </c>
      <c r="H59" t="n">
        <v>0</v>
      </c>
      <c r="I59" t="n">
        <v>0</v>
      </c>
      <c r="J59" t="n">
        <v>1</v>
      </c>
      <c r="K59" t="n">
        <v>0</v>
      </c>
      <c r="L59" t="n">
        <v>0</v>
      </c>
      <c r="M59" t="n">
        <v>0</v>
      </c>
      <c r="N59" t="n">
        <v>0</v>
      </c>
      <c r="O59" t="n">
        <v>1</v>
      </c>
      <c r="P59" t="n">
        <v>0</v>
      </c>
      <c r="Q59" t="n">
        <v>1</v>
      </c>
      <c r="R59" s="2" t="inlineStr">
        <is>
          <t>Motaggsvamp</t>
        </is>
      </c>
      <c r="S59">
        <f>HYPERLINK("https://klasma.github.io/Logging_1981/artfynd/A 14487-2026 artfynd.xlsx", "A 14487-2026")</f>
        <v/>
      </c>
      <c r="T59">
        <f>HYPERLINK("https://klasma.github.io/Logging_1981/kartor/A 14487-2026 karta.png", "A 14487-2026")</f>
        <v/>
      </c>
      <c r="V59">
        <f>HYPERLINK("https://klasma.github.io/Logging_1981/klagomål/A 14487-2026 FSC-klagomål.docx", "A 14487-2026")</f>
        <v/>
      </c>
      <c r="W59">
        <f>HYPERLINK("https://klasma.github.io/Logging_1981/klagomålsmail/A 14487-2026 FSC-klagomål mail.docx", "A 14487-2026")</f>
        <v/>
      </c>
      <c r="X59">
        <f>HYPERLINK("https://klasma.github.io/Logging_1981/tillsyn/A 14487-2026 tillsynsbegäran.docx", "A 14487-2026")</f>
        <v/>
      </c>
      <c r="Y59">
        <f>HYPERLINK("https://klasma.github.io/Logging_1981/tillsynsmail/A 14487-2026 tillsynsbegäran mail.docx", "A 14487-2026")</f>
        <v/>
      </c>
    </row>
    <row r="60" ht="15" customHeight="1">
      <c r="A60" t="inlineStr">
        <is>
          <t>A 7672-2026</t>
        </is>
      </c>
      <c r="B60" s="1" t="n">
        <v>46062.42077546296</v>
      </c>
      <c r="C60" s="1" t="n">
        <v>46127</v>
      </c>
      <c r="D60" t="inlineStr">
        <is>
          <t>VÄSTMANLANDS LÄN</t>
        </is>
      </c>
      <c r="E60" t="inlineStr">
        <is>
          <t>SALA</t>
        </is>
      </c>
      <c r="G60" t="n">
        <v>2.9</v>
      </c>
      <c r="H60" t="n">
        <v>1</v>
      </c>
      <c r="I60" t="n">
        <v>0</v>
      </c>
      <c r="J60" t="n">
        <v>0</v>
      </c>
      <c r="K60" t="n">
        <v>0</v>
      </c>
      <c r="L60" t="n">
        <v>0</v>
      </c>
      <c r="M60" t="n">
        <v>0</v>
      </c>
      <c r="N60" t="n">
        <v>0</v>
      </c>
      <c r="O60" t="n">
        <v>0</v>
      </c>
      <c r="P60" t="n">
        <v>0</v>
      </c>
      <c r="Q60" t="n">
        <v>1</v>
      </c>
      <c r="R60" s="2" t="inlineStr">
        <is>
          <t>Nattviol</t>
        </is>
      </c>
      <c r="S60">
        <f>HYPERLINK("https://klasma.github.io/Logging_1981/artfynd/A 7672-2026 artfynd.xlsx", "A 7672-2026")</f>
        <v/>
      </c>
      <c r="T60">
        <f>HYPERLINK("https://klasma.github.io/Logging_1981/kartor/A 7672-2026 karta.png", "A 7672-2026")</f>
        <v/>
      </c>
      <c r="V60">
        <f>HYPERLINK("https://klasma.github.io/Logging_1981/klagomål/A 7672-2026 FSC-klagomål.docx", "A 7672-2026")</f>
        <v/>
      </c>
      <c r="W60">
        <f>HYPERLINK("https://klasma.github.io/Logging_1981/klagomålsmail/A 7672-2026 FSC-klagomål mail.docx", "A 7672-2026")</f>
        <v/>
      </c>
      <c r="X60">
        <f>HYPERLINK("https://klasma.github.io/Logging_1981/tillsyn/A 7672-2026 tillsynsbegäran.docx", "A 7672-2026")</f>
        <v/>
      </c>
      <c r="Y60">
        <f>HYPERLINK("https://klasma.github.io/Logging_1981/tillsynsmail/A 7672-2026 tillsynsbegäran mail.docx", "A 7672-2026")</f>
        <v/>
      </c>
    </row>
    <row r="61" ht="15" customHeight="1">
      <c r="A61" t="inlineStr">
        <is>
          <t>A 41270-2024</t>
        </is>
      </c>
      <c r="B61" s="1" t="n">
        <v>45559</v>
      </c>
      <c r="C61" s="1" t="n">
        <v>46127</v>
      </c>
      <c r="D61" t="inlineStr">
        <is>
          <t>VÄSTMANLANDS LÄN</t>
        </is>
      </c>
      <c r="E61" t="inlineStr">
        <is>
          <t>SALA</t>
        </is>
      </c>
      <c r="G61" t="n">
        <v>15.2</v>
      </c>
      <c r="H61" t="n">
        <v>1</v>
      </c>
      <c r="I61" t="n">
        <v>0</v>
      </c>
      <c r="J61" t="n">
        <v>1</v>
      </c>
      <c r="K61" t="n">
        <v>0</v>
      </c>
      <c r="L61" t="n">
        <v>0</v>
      </c>
      <c r="M61" t="n">
        <v>0</v>
      </c>
      <c r="N61" t="n">
        <v>0</v>
      </c>
      <c r="O61" t="n">
        <v>1</v>
      </c>
      <c r="P61" t="n">
        <v>0</v>
      </c>
      <c r="Q61" t="n">
        <v>1</v>
      </c>
      <c r="R61" s="2" t="inlineStr">
        <is>
          <t>Havsörn</t>
        </is>
      </c>
      <c r="S61">
        <f>HYPERLINK("https://klasma.github.io/Logging_1981/artfynd/A 41270-2024 artfynd.xlsx", "A 41270-2024")</f>
        <v/>
      </c>
      <c r="T61">
        <f>HYPERLINK("https://klasma.github.io/Logging_1981/kartor/A 41270-2024 karta.png", "A 41270-2024")</f>
        <v/>
      </c>
      <c r="V61">
        <f>HYPERLINK("https://klasma.github.io/Logging_1981/klagomål/A 41270-2024 FSC-klagomål.docx", "A 41270-2024")</f>
        <v/>
      </c>
      <c r="W61">
        <f>HYPERLINK("https://klasma.github.io/Logging_1981/klagomålsmail/A 41270-2024 FSC-klagomål mail.docx", "A 41270-2024")</f>
        <v/>
      </c>
      <c r="X61">
        <f>HYPERLINK("https://klasma.github.io/Logging_1981/tillsyn/A 41270-2024 tillsynsbegäran.docx", "A 41270-2024")</f>
        <v/>
      </c>
      <c r="Y61">
        <f>HYPERLINK("https://klasma.github.io/Logging_1981/tillsynsmail/A 41270-2024 tillsynsbegäran mail.docx", "A 41270-2024")</f>
        <v/>
      </c>
      <c r="Z61">
        <f>HYPERLINK("https://klasma.github.io/Logging_1981/fåglar/A 41270-2024 prioriterade fågelarter.docx", "A 41270-2024")</f>
        <v/>
      </c>
    </row>
    <row r="62" ht="15" customHeight="1">
      <c r="A62" t="inlineStr">
        <is>
          <t>A 43068-2024</t>
        </is>
      </c>
      <c r="B62" s="1" t="n">
        <v>45567</v>
      </c>
      <c r="C62" s="1" t="n">
        <v>46127</v>
      </c>
      <c r="D62" t="inlineStr">
        <is>
          <t>VÄSTMANLANDS LÄN</t>
        </is>
      </c>
      <c r="E62" t="inlineStr">
        <is>
          <t>SALA</t>
        </is>
      </c>
      <c r="G62" t="n">
        <v>1.1</v>
      </c>
      <c r="H62" t="n">
        <v>0</v>
      </c>
      <c r="I62" t="n">
        <v>1</v>
      </c>
      <c r="J62" t="n">
        <v>0</v>
      </c>
      <c r="K62" t="n">
        <v>0</v>
      </c>
      <c r="L62" t="n">
        <v>0</v>
      </c>
      <c r="M62" t="n">
        <v>0</v>
      </c>
      <c r="N62" t="n">
        <v>0</v>
      </c>
      <c r="O62" t="n">
        <v>0</v>
      </c>
      <c r="P62" t="n">
        <v>0</v>
      </c>
      <c r="Q62" t="n">
        <v>1</v>
      </c>
      <c r="R62" s="2" t="inlineStr">
        <is>
          <t>Vedticka</t>
        </is>
      </c>
      <c r="S62">
        <f>HYPERLINK("https://klasma.github.io/Logging_1981/artfynd/A 43068-2024 artfynd.xlsx", "A 43068-2024")</f>
        <v/>
      </c>
      <c r="T62">
        <f>HYPERLINK("https://klasma.github.io/Logging_1981/kartor/A 43068-2024 karta.png", "A 43068-2024")</f>
        <v/>
      </c>
      <c r="V62">
        <f>HYPERLINK("https://klasma.github.io/Logging_1981/klagomål/A 43068-2024 FSC-klagomål.docx", "A 43068-2024")</f>
        <v/>
      </c>
      <c r="W62">
        <f>HYPERLINK("https://klasma.github.io/Logging_1981/klagomålsmail/A 43068-2024 FSC-klagomål mail.docx", "A 43068-2024")</f>
        <v/>
      </c>
      <c r="X62">
        <f>HYPERLINK("https://klasma.github.io/Logging_1981/tillsyn/A 43068-2024 tillsynsbegäran.docx", "A 43068-2024")</f>
        <v/>
      </c>
      <c r="Y62">
        <f>HYPERLINK("https://klasma.github.io/Logging_1981/tillsynsmail/A 43068-2024 tillsynsbegäran mail.docx", "A 43068-2024")</f>
        <v/>
      </c>
    </row>
    <row r="63" ht="15" customHeight="1">
      <c r="A63" t="inlineStr">
        <is>
          <t>A 7919-2022</t>
        </is>
      </c>
      <c r="B63" s="1" t="n">
        <v>44608</v>
      </c>
      <c r="C63" s="1" t="n">
        <v>46127</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29985-2022</t>
        </is>
      </c>
      <c r="B64" s="1" t="n">
        <v>44756</v>
      </c>
      <c r="C64" s="1" t="n">
        <v>46127</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7731-2023</t>
        </is>
      </c>
      <c r="B65" s="1" t="n">
        <v>44973</v>
      </c>
      <c r="C65" s="1" t="n">
        <v>46127</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56704-2022</t>
        </is>
      </c>
      <c r="B66" s="1" t="n">
        <v>44893.78075231481</v>
      </c>
      <c r="C66" s="1" t="n">
        <v>46127</v>
      </c>
      <c r="D66" t="inlineStr">
        <is>
          <t>VÄSTMANLANDS LÄN</t>
        </is>
      </c>
      <c r="E66" t="inlineStr">
        <is>
          <t>SALA</t>
        </is>
      </c>
      <c r="G66" t="n">
        <v>3.2</v>
      </c>
      <c r="H66" t="n">
        <v>1</v>
      </c>
      <c r="I66" t="n">
        <v>0</v>
      </c>
      <c r="J66" t="n">
        <v>0</v>
      </c>
      <c r="K66" t="n">
        <v>1</v>
      </c>
      <c r="L66" t="n">
        <v>0</v>
      </c>
      <c r="M66" t="n">
        <v>0</v>
      </c>
      <c r="N66" t="n">
        <v>0</v>
      </c>
      <c r="O66" t="n">
        <v>1</v>
      </c>
      <c r="P66" t="n">
        <v>1</v>
      </c>
      <c r="Q66" t="n">
        <v>1</v>
      </c>
      <c r="R66" s="2" t="inlineStr">
        <is>
          <t>Knärot</t>
        </is>
      </c>
      <c r="S66">
        <f>HYPERLINK("https://klasma.github.io/Logging_1981/artfynd/A 56704-2022 artfynd.xlsx", "A 56704-2022")</f>
        <v/>
      </c>
      <c r="T66">
        <f>HYPERLINK("https://klasma.github.io/Logging_1981/kartor/A 56704-2022 karta.png", "A 56704-2022")</f>
        <v/>
      </c>
      <c r="U66">
        <f>HYPERLINK("https://klasma.github.io/Logging_1981/knärot/A 56704-2022 karta knärot.png", "A 56704-2022")</f>
        <v/>
      </c>
      <c r="V66">
        <f>HYPERLINK("https://klasma.github.io/Logging_1981/klagomål/A 56704-2022 FSC-klagomål.docx", "A 56704-2022")</f>
        <v/>
      </c>
      <c r="W66">
        <f>HYPERLINK("https://klasma.github.io/Logging_1981/klagomålsmail/A 56704-2022 FSC-klagomål mail.docx", "A 56704-2022")</f>
        <v/>
      </c>
      <c r="X66">
        <f>HYPERLINK("https://klasma.github.io/Logging_1981/tillsyn/A 56704-2022 tillsynsbegäran.docx", "A 56704-2022")</f>
        <v/>
      </c>
      <c r="Y66">
        <f>HYPERLINK("https://klasma.github.io/Logging_1981/tillsynsmail/A 56704-2022 tillsynsbegäran mail.docx", "A 56704-2022")</f>
        <v/>
      </c>
    </row>
    <row r="67" ht="15" customHeight="1">
      <c r="A67" t="inlineStr">
        <is>
          <t>A 21738-2025</t>
        </is>
      </c>
      <c r="B67" s="1" t="n">
        <v>45783.59173611111</v>
      </c>
      <c r="C67" s="1" t="n">
        <v>46127</v>
      </c>
      <c r="D67" t="inlineStr">
        <is>
          <t>VÄSTMANLANDS LÄN</t>
        </is>
      </c>
      <c r="E67" t="inlineStr">
        <is>
          <t>SALA</t>
        </is>
      </c>
      <c r="G67" t="n">
        <v>2.1</v>
      </c>
      <c r="H67" t="n">
        <v>0</v>
      </c>
      <c r="I67" t="n">
        <v>0</v>
      </c>
      <c r="J67" t="n">
        <v>1</v>
      </c>
      <c r="K67" t="n">
        <v>0</v>
      </c>
      <c r="L67" t="n">
        <v>0</v>
      </c>
      <c r="M67" t="n">
        <v>0</v>
      </c>
      <c r="N67" t="n">
        <v>0</v>
      </c>
      <c r="O67" t="n">
        <v>1</v>
      </c>
      <c r="P67" t="n">
        <v>0</v>
      </c>
      <c r="Q67" t="n">
        <v>1</v>
      </c>
      <c r="R67" s="2" t="inlineStr">
        <is>
          <t>Motaggsvamp</t>
        </is>
      </c>
      <c r="S67">
        <f>HYPERLINK("https://klasma.github.io/Logging_1981/artfynd/A 21738-2025 artfynd.xlsx", "A 21738-2025")</f>
        <v/>
      </c>
      <c r="T67">
        <f>HYPERLINK("https://klasma.github.io/Logging_1981/kartor/A 21738-2025 karta.png", "A 21738-2025")</f>
        <v/>
      </c>
      <c r="V67">
        <f>HYPERLINK("https://klasma.github.io/Logging_1981/klagomål/A 21738-2025 FSC-klagomål.docx", "A 21738-2025")</f>
        <v/>
      </c>
      <c r="W67">
        <f>HYPERLINK("https://klasma.github.io/Logging_1981/klagomålsmail/A 21738-2025 FSC-klagomål mail.docx", "A 21738-2025")</f>
        <v/>
      </c>
      <c r="X67">
        <f>HYPERLINK("https://klasma.github.io/Logging_1981/tillsyn/A 21738-2025 tillsynsbegäran.docx", "A 21738-2025")</f>
        <v/>
      </c>
      <c r="Y67">
        <f>HYPERLINK("https://klasma.github.io/Logging_1981/tillsynsmail/A 21738-2025 tillsynsbegäran mail.docx", "A 21738-2025")</f>
        <v/>
      </c>
    </row>
    <row r="68" ht="15" customHeight="1">
      <c r="A68" t="inlineStr">
        <is>
          <t>A 66561-2021</t>
        </is>
      </c>
      <c r="B68" s="1" t="n">
        <v>44519.41648148148</v>
      </c>
      <c r="C68" s="1" t="n">
        <v>46127</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73124-2021</t>
        </is>
      </c>
      <c r="B69" s="1" t="n">
        <v>44550</v>
      </c>
      <c r="C69" s="1" t="n">
        <v>46127</v>
      </c>
      <c r="D69" t="inlineStr">
        <is>
          <t>VÄSTMANLANDS LÄN</t>
        </is>
      </c>
      <c r="E69" t="inlineStr">
        <is>
          <t>SALA</t>
        </is>
      </c>
      <c r="G69" t="n">
        <v>2.8</v>
      </c>
      <c r="H69" t="n">
        <v>0</v>
      </c>
      <c r="I69" t="n">
        <v>0</v>
      </c>
      <c r="J69" t="n">
        <v>0</v>
      </c>
      <c r="K69" t="n">
        <v>0</v>
      </c>
      <c r="L69" t="n">
        <v>0</v>
      </c>
      <c r="M69" t="n">
        <v>0</v>
      </c>
      <c r="N69" t="n">
        <v>0</v>
      </c>
      <c r="O69" t="n">
        <v>0</v>
      </c>
      <c r="P69" t="n">
        <v>0</v>
      </c>
      <c r="Q69" t="n">
        <v>0</v>
      </c>
      <c r="R69" s="2" t="inlineStr"/>
    </row>
    <row r="70" ht="15" customHeight="1">
      <c r="A70" t="inlineStr">
        <is>
          <t>A 73788-2021</t>
        </is>
      </c>
      <c r="B70" s="1" t="n">
        <v>44552</v>
      </c>
      <c r="C70" s="1" t="n">
        <v>46127</v>
      </c>
      <c r="D70" t="inlineStr">
        <is>
          <t>VÄSTMANLANDS LÄN</t>
        </is>
      </c>
      <c r="E70" t="inlineStr">
        <is>
          <t>SALA</t>
        </is>
      </c>
      <c r="G70" t="n">
        <v>0.8</v>
      </c>
      <c r="H70" t="n">
        <v>0</v>
      </c>
      <c r="I70" t="n">
        <v>0</v>
      </c>
      <c r="J70" t="n">
        <v>0</v>
      </c>
      <c r="K70" t="n">
        <v>0</v>
      </c>
      <c r="L70" t="n">
        <v>0</v>
      </c>
      <c r="M70" t="n">
        <v>0</v>
      </c>
      <c r="N70" t="n">
        <v>0</v>
      </c>
      <c r="O70" t="n">
        <v>0</v>
      </c>
      <c r="P70" t="n">
        <v>0</v>
      </c>
      <c r="Q70" t="n">
        <v>0</v>
      </c>
      <c r="R70" s="2" t="inlineStr"/>
    </row>
    <row r="71" ht="15" customHeight="1">
      <c r="A71" t="inlineStr">
        <is>
          <t>A 34110-2022</t>
        </is>
      </c>
      <c r="B71" s="1" t="n">
        <v>44791</v>
      </c>
      <c r="C71" s="1" t="n">
        <v>46127</v>
      </c>
      <c r="D71" t="inlineStr">
        <is>
          <t>VÄSTMANLANDS LÄN</t>
        </is>
      </c>
      <c r="E71" t="inlineStr">
        <is>
          <t>SALA</t>
        </is>
      </c>
      <c r="G71" t="n">
        <v>0.2</v>
      </c>
      <c r="H71" t="n">
        <v>0</v>
      </c>
      <c r="I71" t="n">
        <v>0</v>
      </c>
      <c r="J71" t="n">
        <v>0</v>
      </c>
      <c r="K71" t="n">
        <v>0</v>
      </c>
      <c r="L71" t="n">
        <v>0</v>
      </c>
      <c r="M71" t="n">
        <v>0</v>
      </c>
      <c r="N71" t="n">
        <v>0</v>
      </c>
      <c r="O71" t="n">
        <v>0</v>
      </c>
      <c r="P71" t="n">
        <v>0</v>
      </c>
      <c r="Q71" t="n">
        <v>0</v>
      </c>
      <c r="R71" s="2" t="inlineStr"/>
    </row>
    <row r="72" ht="15" customHeight="1">
      <c r="A72" t="inlineStr">
        <is>
          <t>A 43292-2021</t>
        </is>
      </c>
      <c r="B72" s="1" t="n">
        <v>44432</v>
      </c>
      <c r="C72" s="1" t="n">
        <v>46127</v>
      </c>
      <c r="D72" t="inlineStr">
        <is>
          <t>VÄSTMANLANDS LÄN</t>
        </is>
      </c>
      <c r="E72" t="inlineStr">
        <is>
          <t>SALA</t>
        </is>
      </c>
      <c r="G72" t="n">
        <v>15</v>
      </c>
      <c r="H72" t="n">
        <v>0</v>
      </c>
      <c r="I72" t="n">
        <v>0</v>
      </c>
      <c r="J72" t="n">
        <v>0</v>
      </c>
      <c r="K72" t="n">
        <v>0</v>
      </c>
      <c r="L72" t="n">
        <v>0</v>
      </c>
      <c r="M72" t="n">
        <v>0</v>
      </c>
      <c r="N72" t="n">
        <v>0</v>
      </c>
      <c r="O72" t="n">
        <v>0</v>
      </c>
      <c r="P72" t="n">
        <v>0</v>
      </c>
      <c r="Q72" t="n">
        <v>0</v>
      </c>
      <c r="R72" s="2" t="inlineStr"/>
    </row>
    <row r="73" ht="15" customHeight="1">
      <c r="A73" t="inlineStr">
        <is>
          <t>A 28999-2022</t>
        </is>
      </c>
      <c r="B73" s="1" t="n">
        <v>44749</v>
      </c>
      <c r="C73" s="1" t="n">
        <v>46127</v>
      </c>
      <c r="D73" t="inlineStr">
        <is>
          <t>VÄSTMANLANDS LÄN</t>
        </is>
      </c>
      <c r="E73" t="inlineStr">
        <is>
          <t>SALA</t>
        </is>
      </c>
      <c r="G73" t="n">
        <v>5.7</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46127</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46127</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46127</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46127</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46127</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46127</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46127</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46127</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46127</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46127</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46127</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46127</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46127</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46127</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46127</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46127</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46127</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46127</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46127</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46127</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46127</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46127</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46127</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46127</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46127</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46127</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46127</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46127</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46127</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46127</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46127</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46127</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46127</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46127</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46127</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46127</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46127</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46127</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46127</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46127</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46127</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46127</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46127</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46127</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46127</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46127</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46127</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46127</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46127</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46127</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46127</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46127</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46127</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46127</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46127</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46127</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46127</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46127</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46127</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46127</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46127</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46127</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46127</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46127</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46127</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46127</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46127</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46127</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46127</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46127</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46127</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46127</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46127</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46127</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46127</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46127</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46127</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46127</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46127</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46127</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46127</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46127</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46127</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46127</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46127</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46127</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46127</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46127</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46127</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46127</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46127</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46127</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46127</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46127</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46127</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46127</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46127</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46127</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46127</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46127</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46127</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46127</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46127</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46127</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46127</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54910-2023</t>
        </is>
      </c>
      <c r="B179" s="1" t="n">
        <v>45229</v>
      </c>
      <c r="C179" s="1" t="n">
        <v>46127</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35462-2024</t>
        </is>
      </c>
      <c r="B180" s="1" t="n">
        <v>45531</v>
      </c>
      <c r="C180" s="1" t="n">
        <v>46127</v>
      </c>
      <c r="D180" t="inlineStr">
        <is>
          <t>VÄSTMANLANDS LÄN</t>
        </is>
      </c>
      <c r="E180" t="inlineStr">
        <is>
          <t>SALA</t>
        </is>
      </c>
      <c r="G180" t="n">
        <v>0.6</v>
      </c>
      <c r="H180" t="n">
        <v>0</v>
      </c>
      <c r="I180" t="n">
        <v>0</v>
      </c>
      <c r="J180" t="n">
        <v>0</v>
      </c>
      <c r="K180" t="n">
        <v>0</v>
      </c>
      <c r="L180" t="n">
        <v>0</v>
      </c>
      <c r="M180" t="n">
        <v>0</v>
      </c>
      <c r="N180" t="n">
        <v>0</v>
      </c>
      <c r="O180" t="n">
        <v>0</v>
      </c>
      <c r="P180" t="n">
        <v>0</v>
      </c>
      <c r="Q180" t="n">
        <v>0</v>
      </c>
      <c r="R180" s="2" t="inlineStr"/>
    </row>
    <row r="181" ht="15" customHeight="1">
      <c r="A181" t="inlineStr">
        <is>
          <t>A 14024-2025</t>
        </is>
      </c>
      <c r="B181" s="1" t="n">
        <v>45740.34650462963</v>
      </c>
      <c r="C181" s="1" t="n">
        <v>46127</v>
      </c>
      <c r="D181" t="inlineStr">
        <is>
          <t>VÄSTMANLANDS LÄN</t>
        </is>
      </c>
      <c r="E181" t="inlineStr">
        <is>
          <t>SALA</t>
        </is>
      </c>
      <c r="G181" t="n">
        <v>1.1</v>
      </c>
      <c r="H181" t="n">
        <v>0</v>
      </c>
      <c r="I181" t="n">
        <v>0</v>
      </c>
      <c r="J181" t="n">
        <v>0</v>
      </c>
      <c r="K181" t="n">
        <v>0</v>
      </c>
      <c r="L181" t="n">
        <v>0</v>
      </c>
      <c r="M181" t="n">
        <v>0</v>
      </c>
      <c r="N181" t="n">
        <v>0</v>
      </c>
      <c r="O181" t="n">
        <v>0</v>
      </c>
      <c r="P181" t="n">
        <v>0</v>
      </c>
      <c r="Q181" t="n">
        <v>0</v>
      </c>
      <c r="R181" s="2" t="inlineStr"/>
    </row>
    <row r="182" ht="15" customHeight="1">
      <c r="A182" t="inlineStr">
        <is>
          <t>A 26692-2023</t>
        </is>
      </c>
      <c r="B182" s="1" t="n">
        <v>45093.360625</v>
      </c>
      <c r="C182" s="1" t="n">
        <v>46127</v>
      </c>
      <c r="D182" t="inlineStr">
        <is>
          <t>VÄSTMANLANDS LÄN</t>
        </is>
      </c>
      <c r="E182" t="inlineStr">
        <is>
          <t>SALA</t>
        </is>
      </c>
      <c r="G182" t="n">
        <v>1.8</v>
      </c>
      <c r="H182" t="n">
        <v>0</v>
      </c>
      <c r="I182" t="n">
        <v>0</v>
      </c>
      <c r="J182" t="n">
        <v>0</v>
      </c>
      <c r="K182" t="n">
        <v>0</v>
      </c>
      <c r="L182" t="n">
        <v>0</v>
      </c>
      <c r="M182" t="n">
        <v>0</v>
      </c>
      <c r="N182" t="n">
        <v>0</v>
      </c>
      <c r="O182" t="n">
        <v>0</v>
      </c>
      <c r="P182" t="n">
        <v>0</v>
      </c>
      <c r="Q182" t="n">
        <v>0</v>
      </c>
      <c r="R182" s="2" t="inlineStr"/>
    </row>
    <row r="183" ht="15" customHeight="1">
      <c r="A183" t="inlineStr">
        <is>
          <t>A 58107-2021</t>
        </is>
      </c>
      <c r="B183" s="1" t="n">
        <v>44487</v>
      </c>
      <c r="C183" s="1" t="n">
        <v>46127</v>
      </c>
      <c r="D183" t="inlineStr">
        <is>
          <t>VÄSTMANLANDS LÄN</t>
        </is>
      </c>
      <c r="E183" t="inlineStr">
        <is>
          <t>SALA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62449-2023</t>
        </is>
      </c>
      <c r="B184" s="1" t="n">
        <v>45268.49008101852</v>
      </c>
      <c r="C184" s="1" t="n">
        <v>46127</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56543-2024</t>
        </is>
      </c>
      <c r="B185" s="1" t="n">
        <v>45625</v>
      </c>
      <c r="C185" s="1" t="n">
        <v>46127</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31950-2023</t>
        </is>
      </c>
      <c r="B186" s="1" t="n">
        <v>45107</v>
      </c>
      <c r="C186" s="1" t="n">
        <v>46127</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6097-2022</t>
        </is>
      </c>
      <c r="B187" s="1" t="n">
        <v>44599</v>
      </c>
      <c r="C187" s="1" t="n">
        <v>46127</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46127</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46127</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17458-2024</t>
        </is>
      </c>
      <c r="B190" s="1" t="n">
        <v>45415</v>
      </c>
      <c r="C190" s="1" t="n">
        <v>46127</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46127</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46127</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42447-2022</t>
        </is>
      </c>
      <c r="B193" s="1" t="n">
        <v>44831</v>
      </c>
      <c r="C193" s="1" t="n">
        <v>46127</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33732-2023</t>
        </is>
      </c>
      <c r="B194" s="1" t="n">
        <v>45133.32409722222</v>
      </c>
      <c r="C194" s="1" t="n">
        <v>46127</v>
      </c>
      <c r="D194" t="inlineStr">
        <is>
          <t>VÄSTMANLANDS LÄN</t>
        </is>
      </c>
      <c r="E194" t="inlineStr">
        <is>
          <t>SALA</t>
        </is>
      </c>
      <c r="G194" t="n">
        <v>2</v>
      </c>
      <c r="H194" t="n">
        <v>0</v>
      </c>
      <c r="I194" t="n">
        <v>0</v>
      </c>
      <c r="J194" t="n">
        <v>0</v>
      </c>
      <c r="K194" t="n">
        <v>0</v>
      </c>
      <c r="L194" t="n">
        <v>0</v>
      </c>
      <c r="M194" t="n">
        <v>0</v>
      </c>
      <c r="N194" t="n">
        <v>0</v>
      </c>
      <c r="O194" t="n">
        <v>0</v>
      </c>
      <c r="P194" t="n">
        <v>0</v>
      </c>
      <c r="Q194" t="n">
        <v>0</v>
      </c>
      <c r="R194" s="2" t="inlineStr"/>
    </row>
    <row r="195" ht="15" customHeight="1">
      <c r="A195" t="inlineStr">
        <is>
          <t>A 59909-2024</t>
        </is>
      </c>
      <c r="B195" s="1" t="n">
        <v>45641</v>
      </c>
      <c r="C195" s="1" t="n">
        <v>46127</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69232-2021</t>
        </is>
      </c>
      <c r="B196" s="1" t="n">
        <v>44531.39696759259</v>
      </c>
      <c r="C196" s="1" t="n">
        <v>46127</v>
      </c>
      <c r="D196" t="inlineStr">
        <is>
          <t>VÄSTMANLANDS LÄN</t>
        </is>
      </c>
      <c r="E196" t="inlineStr">
        <is>
          <t>SALA</t>
        </is>
      </c>
      <c r="G196" t="n">
        <v>2.3</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46127</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51464-2024</t>
        </is>
      </c>
      <c r="B198" s="1" t="n">
        <v>45604.49768518518</v>
      </c>
      <c r="C198" s="1" t="n">
        <v>46127</v>
      </c>
      <c r="D198" t="inlineStr">
        <is>
          <t>VÄSTMANLANDS LÄN</t>
        </is>
      </c>
      <c r="E198" t="inlineStr">
        <is>
          <t>SALA</t>
        </is>
      </c>
      <c r="G198" t="n">
        <v>3.9</v>
      </c>
      <c r="H198" t="n">
        <v>0</v>
      </c>
      <c r="I198" t="n">
        <v>0</v>
      </c>
      <c r="J198" t="n">
        <v>0</v>
      </c>
      <c r="K198" t="n">
        <v>0</v>
      </c>
      <c r="L198" t="n">
        <v>0</v>
      </c>
      <c r="M198" t="n">
        <v>0</v>
      </c>
      <c r="N198" t="n">
        <v>0</v>
      </c>
      <c r="O198" t="n">
        <v>0</v>
      </c>
      <c r="P198" t="n">
        <v>0</v>
      </c>
      <c r="Q198" t="n">
        <v>0</v>
      </c>
      <c r="R198" s="2" t="inlineStr"/>
    </row>
    <row r="199" ht="15" customHeight="1">
      <c r="A199" t="inlineStr">
        <is>
          <t>A 54603-2024</t>
        </is>
      </c>
      <c r="B199" s="1" t="n">
        <v>45617.68224537037</v>
      </c>
      <c r="C199" s="1" t="n">
        <v>46127</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19398-2025</t>
        </is>
      </c>
      <c r="B200" s="1" t="n">
        <v>45769</v>
      </c>
      <c r="C200" s="1" t="n">
        <v>46127</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4797-2023</t>
        </is>
      </c>
      <c r="B201" s="1" t="n">
        <v>44957</v>
      </c>
      <c r="C201" s="1" t="n">
        <v>46127</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7176-2023</t>
        </is>
      </c>
      <c r="B202" s="1" t="n">
        <v>44970</v>
      </c>
      <c r="C202" s="1" t="n">
        <v>46127</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61517-2024</t>
        </is>
      </c>
      <c r="B203" s="1" t="n">
        <v>45645</v>
      </c>
      <c r="C203" s="1" t="n">
        <v>46127</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43600-2024</t>
        </is>
      </c>
      <c r="B204" s="1" t="n">
        <v>45569</v>
      </c>
      <c r="C204" s="1" t="n">
        <v>46127</v>
      </c>
      <c r="D204" t="inlineStr">
        <is>
          <t>VÄSTMANLANDS LÄN</t>
        </is>
      </c>
      <c r="E204" t="inlineStr">
        <is>
          <t>SALA</t>
        </is>
      </c>
      <c r="G204" t="n">
        <v>0.9</v>
      </c>
      <c r="H204" t="n">
        <v>0</v>
      </c>
      <c r="I204" t="n">
        <v>0</v>
      </c>
      <c r="J204" t="n">
        <v>0</v>
      </c>
      <c r="K204" t="n">
        <v>0</v>
      </c>
      <c r="L204" t="n">
        <v>0</v>
      </c>
      <c r="M204" t="n">
        <v>0</v>
      </c>
      <c r="N204" t="n">
        <v>0</v>
      </c>
      <c r="O204" t="n">
        <v>0</v>
      </c>
      <c r="P204" t="n">
        <v>0</v>
      </c>
      <c r="Q204" t="n">
        <v>0</v>
      </c>
      <c r="R204" s="2" t="inlineStr"/>
    </row>
    <row r="205" ht="15" customHeight="1">
      <c r="A205" t="inlineStr">
        <is>
          <t>A 1638-2023</t>
        </is>
      </c>
      <c r="B205" s="1" t="n">
        <v>44937</v>
      </c>
      <c r="C205" s="1" t="n">
        <v>46127</v>
      </c>
      <c r="D205" t="inlineStr">
        <is>
          <t>VÄSTMANLANDS LÄN</t>
        </is>
      </c>
      <c r="E205" t="inlineStr">
        <is>
          <t>SALA</t>
        </is>
      </c>
      <c r="G205" t="n">
        <v>3.1</v>
      </c>
      <c r="H205" t="n">
        <v>0</v>
      </c>
      <c r="I205" t="n">
        <v>0</v>
      </c>
      <c r="J205" t="n">
        <v>0</v>
      </c>
      <c r="K205" t="n">
        <v>0</v>
      </c>
      <c r="L205" t="n">
        <v>0</v>
      </c>
      <c r="M205" t="n">
        <v>0</v>
      </c>
      <c r="N205" t="n">
        <v>0</v>
      </c>
      <c r="O205" t="n">
        <v>0</v>
      </c>
      <c r="P205" t="n">
        <v>0</v>
      </c>
      <c r="Q205" t="n">
        <v>0</v>
      </c>
      <c r="R205" s="2" t="inlineStr"/>
    </row>
    <row r="206" ht="15" customHeight="1">
      <c r="A206" t="inlineStr">
        <is>
          <t>A 31405-2024</t>
        </is>
      </c>
      <c r="B206" s="1" t="n">
        <v>45505.5490625</v>
      </c>
      <c r="C206" s="1" t="n">
        <v>46127</v>
      </c>
      <c r="D206" t="inlineStr">
        <is>
          <t>VÄSTMANLANDS LÄN</t>
        </is>
      </c>
      <c r="E206" t="inlineStr">
        <is>
          <t>SALA</t>
        </is>
      </c>
      <c r="G206" t="n">
        <v>5.2</v>
      </c>
      <c r="H206" t="n">
        <v>0</v>
      </c>
      <c r="I206" t="n">
        <v>0</v>
      </c>
      <c r="J206" t="n">
        <v>0</v>
      </c>
      <c r="K206" t="n">
        <v>0</v>
      </c>
      <c r="L206" t="n">
        <v>0</v>
      </c>
      <c r="M206" t="n">
        <v>0</v>
      </c>
      <c r="N206" t="n">
        <v>0</v>
      </c>
      <c r="O206" t="n">
        <v>0</v>
      </c>
      <c r="P206" t="n">
        <v>0</v>
      </c>
      <c r="Q206" t="n">
        <v>0</v>
      </c>
      <c r="R206" s="2" t="inlineStr"/>
    </row>
    <row r="207" ht="15" customHeight="1">
      <c r="A207" t="inlineStr">
        <is>
          <t>A 22616-2025</t>
        </is>
      </c>
      <c r="B207" s="1" t="n">
        <v>45789.42752314815</v>
      </c>
      <c r="C207" s="1" t="n">
        <v>46127</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22353-2025</t>
        </is>
      </c>
      <c r="B208" s="1" t="n">
        <v>45786</v>
      </c>
      <c r="C208" s="1" t="n">
        <v>46127</v>
      </c>
      <c r="D208" t="inlineStr">
        <is>
          <t>VÄSTMANLANDS LÄN</t>
        </is>
      </c>
      <c r="E208" t="inlineStr">
        <is>
          <t>SALA</t>
        </is>
      </c>
      <c r="G208" t="n">
        <v>2.5</v>
      </c>
      <c r="H208" t="n">
        <v>0</v>
      </c>
      <c r="I208" t="n">
        <v>0</v>
      </c>
      <c r="J208" t="n">
        <v>0</v>
      </c>
      <c r="K208" t="n">
        <v>0</v>
      </c>
      <c r="L208" t="n">
        <v>0</v>
      </c>
      <c r="M208" t="n">
        <v>0</v>
      </c>
      <c r="N208" t="n">
        <v>0</v>
      </c>
      <c r="O208" t="n">
        <v>0</v>
      </c>
      <c r="P208" t="n">
        <v>0</v>
      </c>
      <c r="Q208" t="n">
        <v>0</v>
      </c>
      <c r="R208" s="2" t="inlineStr"/>
    </row>
    <row r="209" ht="15" customHeight="1">
      <c r="A209" t="inlineStr">
        <is>
          <t>A 22383-2025</t>
        </is>
      </c>
      <c r="B209" s="1" t="n">
        <v>45786</v>
      </c>
      <c r="C209" s="1" t="n">
        <v>46127</v>
      </c>
      <c r="D209" t="inlineStr">
        <is>
          <t>VÄSTMANLANDS LÄN</t>
        </is>
      </c>
      <c r="E209" t="inlineStr">
        <is>
          <t>SALA</t>
        </is>
      </c>
      <c r="G209" t="n">
        <v>2.2</v>
      </c>
      <c r="H209" t="n">
        <v>0</v>
      </c>
      <c r="I209" t="n">
        <v>0</v>
      </c>
      <c r="J209" t="n">
        <v>0</v>
      </c>
      <c r="K209" t="n">
        <v>0</v>
      </c>
      <c r="L209" t="n">
        <v>0</v>
      </c>
      <c r="M209" t="n">
        <v>0</v>
      </c>
      <c r="N209" t="n">
        <v>0</v>
      </c>
      <c r="O209" t="n">
        <v>0</v>
      </c>
      <c r="P209" t="n">
        <v>0</v>
      </c>
      <c r="Q209" t="n">
        <v>0</v>
      </c>
      <c r="R209" s="2" t="inlineStr"/>
    </row>
    <row r="210" ht="15" customHeight="1">
      <c r="A210" t="inlineStr">
        <is>
          <t>A 15972-2024</t>
        </is>
      </c>
      <c r="B210" s="1" t="n">
        <v>45405.56498842593</v>
      </c>
      <c r="C210" s="1" t="n">
        <v>46127</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37958-2024</t>
        </is>
      </c>
      <c r="B211" s="1" t="n">
        <v>45544</v>
      </c>
      <c r="C211" s="1" t="n">
        <v>46127</v>
      </c>
      <c r="D211" t="inlineStr">
        <is>
          <t>VÄSTMANLANDS LÄN</t>
        </is>
      </c>
      <c r="E211" t="inlineStr">
        <is>
          <t>SALA</t>
        </is>
      </c>
      <c r="G211" t="n">
        <v>5.6</v>
      </c>
      <c r="H211" t="n">
        <v>0</v>
      </c>
      <c r="I211" t="n">
        <v>0</v>
      </c>
      <c r="J211" t="n">
        <v>0</v>
      </c>
      <c r="K211" t="n">
        <v>0</v>
      </c>
      <c r="L211" t="n">
        <v>0</v>
      </c>
      <c r="M211" t="n">
        <v>0</v>
      </c>
      <c r="N211" t="n">
        <v>0</v>
      </c>
      <c r="O211" t="n">
        <v>0</v>
      </c>
      <c r="P211" t="n">
        <v>0</v>
      </c>
      <c r="Q211" t="n">
        <v>0</v>
      </c>
      <c r="R211" s="2" t="inlineStr"/>
    </row>
    <row r="212" ht="15" customHeight="1">
      <c r="A212" t="inlineStr">
        <is>
          <t>A 22624-2025</t>
        </is>
      </c>
      <c r="B212" s="1" t="n">
        <v>45789.43327546296</v>
      </c>
      <c r="C212" s="1" t="n">
        <v>46127</v>
      </c>
      <c r="D212" t="inlineStr">
        <is>
          <t>VÄSTMANLANDS LÄN</t>
        </is>
      </c>
      <c r="E212" t="inlineStr">
        <is>
          <t>SALA</t>
        </is>
      </c>
      <c r="G212" t="n">
        <v>1.5</v>
      </c>
      <c r="H212" t="n">
        <v>0</v>
      </c>
      <c r="I212" t="n">
        <v>0</v>
      </c>
      <c r="J212" t="n">
        <v>0</v>
      </c>
      <c r="K212" t="n">
        <v>0</v>
      </c>
      <c r="L212" t="n">
        <v>0</v>
      </c>
      <c r="M212" t="n">
        <v>0</v>
      </c>
      <c r="N212" t="n">
        <v>0</v>
      </c>
      <c r="O212" t="n">
        <v>0</v>
      </c>
      <c r="P212" t="n">
        <v>0</v>
      </c>
      <c r="Q212" t="n">
        <v>0</v>
      </c>
      <c r="R212" s="2" t="inlineStr"/>
    </row>
    <row r="213" ht="15" customHeight="1">
      <c r="A213" t="inlineStr">
        <is>
          <t>A 22370-2025</t>
        </is>
      </c>
      <c r="B213" s="1" t="n">
        <v>45786</v>
      </c>
      <c r="C213" s="1" t="n">
        <v>46127</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1555-2024</t>
        </is>
      </c>
      <c r="B214" s="1" t="n">
        <v>45306</v>
      </c>
      <c r="C214" s="1" t="n">
        <v>46127</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13130-2025</t>
        </is>
      </c>
      <c r="B215" s="1" t="n">
        <v>45734</v>
      </c>
      <c r="C215" s="1" t="n">
        <v>46127</v>
      </c>
      <c r="D215" t="inlineStr">
        <is>
          <t>VÄSTMANLANDS LÄN</t>
        </is>
      </c>
      <c r="E215" t="inlineStr">
        <is>
          <t>SALA</t>
        </is>
      </c>
      <c r="G215" t="n">
        <v>1.5</v>
      </c>
      <c r="H215" t="n">
        <v>0</v>
      </c>
      <c r="I215" t="n">
        <v>0</v>
      </c>
      <c r="J215" t="n">
        <v>0</v>
      </c>
      <c r="K215" t="n">
        <v>0</v>
      </c>
      <c r="L215" t="n">
        <v>0</v>
      </c>
      <c r="M215" t="n">
        <v>0</v>
      </c>
      <c r="N215" t="n">
        <v>0</v>
      </c>
      <c r="O215" t="n">
        <v>0</v>
      </c>
      <c r="P215" t="n">
        <v>0</v>
      </c>
      <c r="Q215" t="n">
        <v>0</v>
      </c>
      <c r="R215" s="2" t="inlineStr"/>
    </row>
    <row r="216" ht="15" customHeight="1">
      <c r="A216" t="inlineStr">
        <is>
          <t>A 38574-2025</t>
        </is>
      </c>
      <c r="B216" s="1" t="n">
        <v>45884.46390046296</v>
      </c>
      <c r="C216" s="1" t="n">
        <v>46127</v>
      </c>
      <c r="D216" t="inlineStr">
        <is>
          <t>VÄSTMANLANDS LÄN</t>
        </is>
      </c>
      <c r="E216" t="inlineStr">
        <is>
          <t>SALA</t>
        </is>
      </c>
      <c r="G216" t="n">
        <v>2.1</v>
      </c>
      <c r="H216" t="n">
        <v>0</v>
      </c>
      <c r="I216" t="n">
        <v>0</v>
      </c>
      <c r="J216" t="n">
        <v>0</v>
      </c>
      <c r="K216" t="n">
        <v>0</v>
      </c>
      <c r="L216" t="n">
        <v>0</v>
      </c>
      <c r="M216" t="n">
        <v>0</v>
      </c>
      <c r="N216" t="n">
        <v>0</v>
      </c>
      <c r="O216" t="n">
        <v>0</v>
      </c>
      <c r="P216" t="n">
        <v>0</v>
      </c>
      <c r="Q216" t="n">
        <v>0</v>
      </c>
      <c r="R216" s="2" t="inlineStr"/>
    </row>
    <row r="217" ht="15" customHeight="1">
      <c r="A217" t="inlineStr">
        <is>
          <t>A 55997-2025</t>
        </is>
      </c>
      <c r="B217" s="1" t="n">
        <v>45973.56833333334</v>
      </c>
      <c r="C217" s="1" t="n">
        <v>46127</v>
      </c>
      <c r="D217" t="inlineStr">
        <is>
          <t>VÄSTMANLANDS LÄN</t>
        </is>
      </c>
      <c r="E217" t="inlineStr">
        <is>
          <t>SALA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23804-2025</t>
        </is>
      </c>
      <c r="B218" s="1" t="n">
        <v>45793.55995370371</v>
      </c>
      <c r="C218" s="1" t="n">
        <v>46127</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22126-2025</t>
        </is>
      </c>
      <c r="B219" s="1" t="n">
        <v>45785</v>
      </c>
      <c r="C219" s="1" t="n">
        <v>46127</v>
      </c>
      <c r="D219" t="inlineStr">
        <is>
          <t>VÄSTMANLANDS LÄN</t>
        </is>
      </c>
      <c r="E219" t="inlineStr">
        <is>
          <t>SALA</t>
        </is>
      </c>
      <c r="G219" t="n">
        <v>10.6</v>
      </c>
      <c r="H219" t="n">
        <v>0</v>
      </c>
      <c r="I219" t="n">
        <v>0</v>
      </c>
      <c r="J219" t="n">
        <v>0</v>
      </c>
      <c r="K219" t="n">
        <v>0</v>
      </c>
      <c r="L219" t="n">
        <v>0</v>
      </c>
      <c r="M219" t="n">
        <v>0</v>
      </c>
      <c r="N219" t="n">
        <v>0</v>
      </c>
      <c r="O219" t="n">
        <v>0</v>
      </c>
      <c r="P219" t="n">
        <v>0</v>
      </c>
      <c r="Q219" t="n">
        <v>0</v>
      </c>
      <c r="R219" s="2" t="inlineStr"/>
    </row>
    <row r="220" ht="15" customHeight="1">
      <c r="A220" t="inlineStr">
        <is>
          <t>A 19297-2025</t>
        </is>
      </c>
      <c r="B220" s="1" t="n">
        <v>45769.56261574074</v>
      </c>
      <c r="C220" s="1" t="n">
        <v>46127</v>
      </c>
      <c r="D220" t="inlineStr">
        <is>
          <t>VÄSTMANLANDS LÄN</t>
        </is>
      </c>
      <c r="E220" t="inlineStr">
        <is>
          <t>SALA</t>
        </is>
      </c>
      <c r="G220" t="n">
        <v>0.8</v>
      </c>
      <c r="H220" t="n">
        <v>0</v>
      </c>
      <c r="I220" t="n">
        <v>0</v>
      </c>
      <c r="J220" t="n">
        <v>0</v>
      </c>
      <c r="K220" t="n">
        <v>0</v>
      </c>
      <c r="L220" t="n">
        <v>0</v>
      </c>
      <c r="M220" t="n">
        <v>0</v>
      </c>
      <c r="N220" t="n">
        <v>0</v>
      </c>
      <c r="O220" t="n">
        <v>0</v>
      </c>
      <c r="P220" t="n">
        <v>0</v>
      </c>
      <c r="Q220" t="n">
        <v>0</v>
      </c>
      <c r="R220" s="2" t="inlineStr"/>
    </row>
    <row r="221" ht="15" customHeight="1">
      <c r="A221" t="inlineStr">
        <is>
          <t>A 15756-2025</t>
        </is>
      </c>
      <c r="B221" s="1" t="n">
        <v>45748.56810185185</v>
      </c>
      <c r="C221" s="1" t="n">
        <v>46127</v>
      </c>
      <c r="D221" t="inlineStr">
        <is>
          <t>VÄSTMANLANDS LÄN</t>
        </is>
      </c>
      <c r="E221" t="inlineStr">
        <is>
          <t>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23810-2025</t>
        </is>
      </c>
      <c r="B222" s="1" t="n">
        <v>45793.56989583333</v>
      </c>
      <c r="C222" s="1" t="n">
        <v>46127</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31000-2022</t>
        </is>
      </c>
      <c r="B223" s="1" t="n">
        <v>44768</v>
      </c>
      <c r="C223" s="1" t="n">
        <v>46127</v>
      </c>
      <c r="D223" t="inlineStr">
        <is>
          <t>VÄSTMANLANDS LÄN</t>
        </is>
      </c>
      <c r="E223" t="inlineStr">
        <is>
          <t>SALA</t>
        </is>
      </c>
      <c r="G223" t="n">
        <v>5.7</v>
      </c>
      <c r="H223" t="n">
        <v>0</v>
      </c>
      <c r="I223" t="n">
        <v>0</v>
      </c>
      <c r="J223" t="n">
        <v>0</v>
      </c>
      <c r="K223" t="n">
        <v>0</v>
      </c>
      <c r="L223" t="n">
        <v>0</v>
      </c>
      <c r="M223" t="n">
        <v>0</v>
      </c>
      <c r="N223" t="n">
        <v>0</v>
      </c>
      <c r="O223" t="n">
        <v>0</v>
      </c>
      <c r="P223" t="n">
        <v>0</v>
      </c>
      <c r="Q223" t="n">
        <v>0</v>
      </c>
      <c r="R223" s="2" t="inlineStr"/>
    </row>
    <row r="224" ht="15" customHeight="1">
      <c r="A224" t="inlineStr">
        <is>
          <t>A 31864-2025</t>
        </is>
      </c>
      <c r="B224" s="1" t="n">
        <v>45834.63819444444</v>
      </c>
      <c r="C224" s="1" t="n">
        <v>46127</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55714-2025</t>
        </is>
      </c>
      <c r="B225" s="1" t="n">
        <v>45972.49131944445</v>
      </c>
      <c r="C225" s="1" t="n">
        <v>46127</v>
      </c>
      <c r="D225" t="inlineStr">
        <is>
          <t>VÄSTMANLANDS LÄN</t>
        </is>
      </c>
      <c r="E225" t="inlineStr">
        <is>
          <t>SALA</t>
        </is>
      </c>
      <c r="G225" t="n">
        <v>6.6</v>
      </c>
      <c r="H225" t="n">
        <v>0</v>
      </c>
      <c r="I225" t="n">
        <v>0</v>
      </c>
      <c r="J225" t="n">
        <v>0</v>
      </c>
      <c r="K225" t="n">
        <v>0</v>
      </c>
      <c r="L225" t="n">
        <v>0</v>
      </c>
      <c r="M225" t="n">
        <v>0</v>
      </c>
      <c r="N225" t="n">
        <v>0</v>
      </c>
      <c r="O225" t="n">
        <v>0</v>
      </c>
      <c r="P225" t="n">
        <v>0</v>
      </c>
      <c r="Q225" t="n">
        <v>0</v>
      </c>
      <c r="R225" s="2" t="inlineStr"/>
    </row>
    <row r="226" ht="15" customHeight="1">
      <c r="A226" t="inlineStr">
        <is>
          <t>A 37183-2024</t>
        </is>
      </c>
      <c r="B226" s="1" t="n">
        <v>45539</v>
      </c>
      <c r="C226" s="1" t="n">
        <v>46127</v>
      </c>
      <c r="D226" t="inlineStr">
        <is>
          <t>VÄSTMANLANDS LÄN</t>
        </is>
      </c>
      <c r="E226" t="inlineStr">
        <is>
          <t>SALA</t>
        </is>
      </c>
      <c r="G226" t="n">
        <v>1.2</v>
      </c>
      <c r="H226" t="n">
        <v>0</v>
      </c>
      <c r="I226" t="n">
        <v>0</v>
      </c>
      <c r="J226" t="n">
        <v>0</v>
      </c>
      <c r="K226" t="n">
        <v>0</v>
      </c>
      <c r="L226" t="n">
        <v>0</v>
      </c>
      <c r="M226" t="n">
        <v>0</v>
      </c>
      <c r="N226" t="n">
        <v>0</v>
      </c>
      <c r="O226" t="n">
        <v>0</v>
      </c>
      <c r="P226" t="n">
        <v>0</v>
      </c>
      <c r="Q226" t="n">
        <v>0</v>
      </c>
      <c r="R226" s="2" t="inlineStr"/>
    </row>
    <row r="227" ht="15" customHeight="1">
      <c r="A227" t="inlineStr">
        <is>
          <t>A 24169-2025</t>
        </is>
      </c>
      <c r="B227" s="1" t="n">
        <v>45796</v>
      </c>
      <c r="C227" s="1" t="n">
        <v>46127</v>
      </c>
      <c r="D227" t="inlineStr">
        <is>
          <t>VÄSTMANLANDS LÄN</t>
        </is>
      </c>
      <c r="E227" t="inlineStr">
        <is>
          <t>SALA</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11210-2025</t>
        </is>
      </c>
      <c r="B228" s="1" t="n">
        <v>45726</v>
      </c>
      <c r="C228" s="1" t="n">
        <v>46127</v>
      </c>
      <c r="D228" t="inlineStr">
        <is>
          <t>VÄSTMANLANDS LÄN</t>
        </is>
      </c>
      <c r="E228" t="inlineStr">
        <is>
          <t>SALA</t>
        </is>
      </c>
      <c r="G228" t="n">
        <v>4.1</v>
      </c>
      <c r="H228" t="n">
        <v>0</v>
      </c>
      <c r="I228" t="n">
        <v>0</v>
      </c>
      <c r="J228" t="n">
        <v>0</v>
      </c>
      <c r="K228" t="n">
        <v>0</v>
      </c>
      <c r="L228" t="n">
        <v>0</v>
      </c>
      <c r="M228" t="n">
        <v>0</v>
      </c>
      <c r="N228" t="n">
        <v>0</v>
      </c>
      <c r="O228" t="n">
        <v>0</v>
      </c>
      <c r="P228" t="n">
        <v>0</v>
      </c>
      <c r="Q228" t="n">
        <v>0</v>
      </c>
      <c r="R228" s="2" t="inlineStr"/>
    </row>
    <row r="229" ht="15" customHeight="1">
      <c r="A229" t="inlineStr">
        <is>
          <t>A 56593-2025</t>
        </is>
      </c>
      <c r="B229" s="1" t="n">
        <v>45975</v>
      </c>
      <c r="C229" s="1" t="n">
        <v>46127</v>
      </c>
      <c r="D229" t="inlineStr">
        <is>
          <t>VÄSTMANLANDS LÄN</t>
        </is>
      </c>
      <c r="E229" t="inlineStr">
        <is>
          <t>SALA</t>
        </is>
      </c>
      <c r="F229" t="inlineStr">
        <is>
          <t>Kyrkan</t>
        </is>
      </c>
      <c r="G229" t="n">
        <v>0.1</v>
      </c>
      <c r="H229" t="n">
        <v>0</v>
      </c>
      <c r="I229" t="n">
        <v>0</v>
      </c>
      <c r="J229" t="n">
        <v>0</v>
      </c>
      <c r="K229" t="n">
        <v>0</v>
      </c>
      <c r="L229" t="n">
        <v>0</v>
      </c>
      <c r="M229" t="n">
        <v>0</v>
      </c>
      <c r="N229" t="n">
        <v>0</v>
      </c>
      <c r="O229" t="n">
        <v>0</v>
      </c>
      <c r="P229" t="n">
        <v>0</v>
      </c>
      <c r="Q229" t="n">
        <v>0</v>
      </c>
      <c r="R229" s="2" t="inlineStr"/>
    </row>
    <row r="230" ht="15" customHeight="1">
      <c r="A230" t="inlineStr">
        <is>
          <t>A 27229-2022</t>
        </is>
      </c>
      <c r="B230" s="1" t="n">
        <v>44741</v>
      </c>
      <c r="C230" s="1" t="n">
        <v>46127</v>
      </c>
      <c r="D230" t="inlineStr">
        <is>
          <t>VÄSTMANLANDS LÄN</t>
        </is>
      </c>
      <c r="E230" t="inlineStr">
        <is>
          <t>SALA</t>
        </is>
      </c>
      <c r="F230" t="inlineStr">
        <is>
          <t>Kommuner</t>
        </is>
      </c>
      <c r="G230" t="n">
        <v>1.4</v>
      </c>
      <c r="H230" t="n">
        <v>0</v>
      </c>
      <c r="I230" t="n">
        <v>0</v>
      </c>
      <c r="J230" t="n">
        <v>0</v>
      </c>
      <c r="K230" t="n">
        <v>0</v>
      </c>
      <c r="L230" t="n">
        <v>0</v>
      </c>
      <c r="M230" t="n">
        <v>0</v>
      </c>
      <c r="N230" t="n">
        <v>0</v>
      </c>
      <c r="O230" t="n">
        <v>0</v>
      </c>
      <c r="P230" t="n">
        <v>0</v>
      </c>
      <c r="Q230" t="n">
        <v>0</v>
      </c>
      <c r="R230" s="2" t="inlineStr"/>
    </row>
    <row r="231" ht="15" customHeight="1">
      <c r="A231" t="inlineStr">
        <is>
          <t>A 24944-2023</t>
        </is>
      </c>
      <c r="B231" s="1" t="n">
        <v>45085</v>
      </c>
      <c r="C231" s="1" t="n">
        <v>46127</v>
      </c>
      <c r="D231" t="inlineStr">
        <is>
          <t>VÄSTMANLANDS LÄN</t>
        </is>
      </c>
      <c r="E231" t="inlineStr">
        <is>
          <t>SALA</t>
        </is>
      </c>
      <c r="G231" t="n">
        <v>3.8</v>
      </c>
      <c r="H231" t="n">
        <v>0</v>
      </c>
      <c r="I231" t="n">
        <v>0</v>
      </c>
      <c r="J231" t="n">
        <v>0</v>
      </c>
      <c r="K231" t="n">
        <v>0</v>
      </c>
      <c r="L231" t="n">
        <v>0</v>
      </c>
      <c r="M231" t="n">
        <v>0</v>
      </c>
      <c r="N231" t="n">
        <v>0</v>
      </c>
      <c r="O231" t="n">
        <v>0</v>
      </c>
      <c r="P231" t="n">
        <v>0</v>
      </c>
      <c r="Q231" t="n">
        <v>0</v>
      </c>
      <c r="R231" s="2" t="inlineStr"/>
    </row>
    <row r="232" ht="15" customHeight="1">
      <c r="A232" t="inlineStr">
        <is>
          <t>A 1793-2023</t>
        </is>
      </c>
      <c r="B232" s="1" t="n">
        <v>44937</v>
      </c>
      <c r="C232" s="1" t="n">
        <v>46127</v>
      </c>
      <c r="D232" t="inlineStr">
        <is>
          <t>VÄSTMANLANDS LÄN</t>
        </is>
      </c>
      <c r="E232" t="inlineStr">
        <is>
          <t>SALA</t>
        </is>
      </c>
      <c r="G232" t="n">
        <v>2.6</v>
      </c>
      <c r="H232" t="n">
        <v>0</v>
      </c>
      <c r="I232" t="n">
        <v>0</v>
      </c>
      <c r="J232" t="n">
        <v>0</v>
      </c>
      <c r="K232" t="n">
        <v>0</v>
      </c>
      <c r="L232" t="n">
        <v>0</v>
      </c>
      <c r="M232" t="n">
        <v>0</v>
      </c>
      <c r="N232" t="n">
        <v>0</v>
      </c>
      <c r="O232" t="n">
        <v>0</v>
      </c>
      <c r="P232" t="n">
        <v>0</v>
      </c>
      <c r="Q232" t="n">
        <v>0</v>
      </c>
      <c r="R232" s="2" t="inlineStr"/>
    </row>
    <row r="233" ht="15" customHeight="1">
      <c r="A233" t="inlineStr">
        <is>
          <t>A 29248-2022</t>
        </is>
      </c>
      <c r="B233" s="1" t="n">
        <v>44750</v>
      </c>
      <c r="C233" s="1" t="n">
        <v>46127</v>
      </c>
      <c r="D233" t="inlineStr">
        <is>
          <t>VÄSTMANLANDS LÄN</t>
        </is>
      </c>
      <c r="E233" t="inlineStr">
        <is>
          <t>SALA</t>
        </is>
      </c>
      <c r="G233" t="n">
        <v>1.6</v>
      </c>
      <c r="H233" t="n">
        <v>0</v>
      </c>
      <c r="I233" t="n">
        <v>0</v>
      </c>
      <c r="J233" t="n">
        <v>0</v>
      </c>
      <c r="K233" t="n">
        <v>0</v>
      </c>
      <c r="L233" t="n">
        <v>0</v>
      </c>
      <c r="M233" t="n">
        <v>0</v>
      </c>
      <c r="N233" t="n">
        <v>0</v>
      </c>
      <c r="O233" t="n">
        <v>0</v>
      </c>
      <c r="P233" t="n">
        <v>0</v>
      </c>
      <c r="Q233" t="n">
        <v>0</v>
      </c>
      <c r="R233" s="2" t="inlineStr"/>
    </row>
    <row r="234" ht="15" customHeight="1">
      <c r="A234" t="inlineStr">
        <is>
          <t>A 39167-2025</t>
        </is>
      </c>
      <c r="B234" s="1" t="n">
        <v>45888</v>
      </c>
      <c r="C234" s="1" t="n">
        <v>46127</v>
      </c>
      <c r="D234" t="inlineStr">
        <is>
          <t>VÄSTMANLANDS LÄN</t>
        </is>
      </c>
      <c r="E234" t="inlineStr">
        <is>
          <t>SALA</t>
        </is>
      </c>
      <c r="G234" t="n">
        <v>5.5</v>
      </c>
      <c r="H234" t="n">
        <v>0</v>
      </c>
      <c r="I234" t="n">
        <v>0</v>
      </c>
      <c r="J234" t="n">
        <v>0</v>
      </c>
      <c r="K234" t="n">
        <v>0</v>
      </c>
      <c r="L234" t="n">
        <v>0</v>
      </c>
      <c r="M234" t="n">
        <v>0</v>
      </c>
      <c r="N234" t="n">
        <v>0</v>
      </c>
      <c r="O234" t="n">
        <v>0</v>
      </c>
      <c r="P234" t="n">
        <v>0</v>
      </c>
      <c r="Q234" t="n">
        <v>0</v>
      </c>
      <c r="R234" s="2" t="inlineStr"/>
    </row>
    <row r="235" ht="15" customHeight="1">
      <c r="A235" t="inlineStr">
        <is>
          <t>A 39182-2025</t>
        </is>
      </c>
      <c r="B235" s="1" t="n">
        <v>45888.66204861111</v>
      </c>
      <c r="C235" s="1" t="n">
        <v>46127</v>
      </c>
      <c r="D235" t="inlineStr">
        <is>
          <t>VÄSTMANLANDS LÄN</t>
        </is>
      </c>
      <c r="E235" t="inlineStr">
        <is>
          <t>SALA</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22397-2022</t>
        </is>
      </c>
      <c r="B236" s="1" t="n">
        <v>44713</v>
      </c>
      <c r="C236" s="1" t="n">
        <v>46127</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28863-2022</t>
        </is>
      </c>
      <c r="B237" s="1" t="n">
        <v>44749.50649305555</v>
      </c>
      <c r="C237" s="1" t="n">
        <v>46127</v>
      </c>
      <c r="D237" t="inlineStr">
        <is>
          <t>VÄSTMANLANDS LÄN</t>
        </is>
      </c>
      <c r="E237" t="inlineStr">
        <is>
          <t>SALA</t>
        </is>
      </c>
      <c r="G237" t="n">
        <v>1.6</v>
      </c>
      <c r="H237" t="n">
        <v>0</v>
      </c>
      <c r="I237" t="n">
        <v>0</v>
      </c>
      <c r="J237" t="n">
        <v>0</v>
      </c>
      <c r="K237" t="n">
        <v>0</v>
      </c>
      <c r="L237" t="n">
        <v>0</v>
      </c>
      <c r="M237" t="n">
        <v>0</v>
      </c>
      <c r="N237" t="n">
        <v>0</v>
      </c>
      <c r="O237" t="n">
        <v>0</v>
      </c>
      <c r="P237" t="n">
        <v>0</v>
      </c>
      <c r="Q237" t="n">
        <v>0</v>
      </c>
      <c r="R237" s="2" t="inlineStr"/>
    </row>
    <row r="238" ht="15" customHeight="1">
      <c r="A238" t="inlineStr">
        <is>
          <t>A 24460-2025</t>
        </is>
      </c>
      <c r="B238" s="1" t="n">
        <v>45798</v>
      </c>
      <c r="C238" s="1" t="n">
        <v>46127</v>
      </c>
      <c r="D238" t="inlineStr">
        <is>
          <t>VÄSTMANLANDS LÄN</t>
        </is>
      </c>
      <c r="E238" t="inlineStr">
        <is>
          <t>SALA</t>
        </is>
      </c>
      <c r="F238" t="inlineStr">
        <is>
          <t>Bergvik skog öst AB</t>
        </is>
      </c>
      <c r="G238" t="n">
        <v>2.6</v>
      </c>
      <c r="H238" t="n">
        <v>0</v>
      </c>
      <c r="I238" t="n">
        <v>0</v>
      </c>
      <c r="J238" t="n">
        <v>0</v>
      </c>
      <c r="K238" t="n">
        <v>0</v>
      </c>
      <c r="L238" t="n">
        <v>0</v>
      </c>
      <c r="M238" t="n">
        <v>0</v>
      </c>
      <c r="N238" t="n">
        <v>0</v>
      </c>
      <c r="O238" t="n">
        <v>0</v>
      </c>
      <c r="P238" t="n">
        <v>0</v>
      </c>
      <c r="Q238" t="n">
        <v>0</v>
      </c>
      <c r="R238" s="2" t="inlineStr"/>
    </row>
    <row r="239" ht="15" customHeight="1">
      <c r="A239" t="inlineStr">
        <is>
          <t>A 24463-2025</t>
        </is>
      </c>
      <c r="B239" s="1" t="n">
        <v>45798</v>
      </c>
      <c r="C239" s="1" t="n">
        <v>46127</v>
      </c>
      <c r="D239" t="inlineStr">
        <is>
          <t>VÄSTMANLANDS LÄN</t>
        </is>
      </c>
      <c r="E239" t="inlineStr">
        <is>
          <t>SALA</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52498-2022</t>
        </is>
      </c>
      <c r="B240" s="1" t="n">
        <v>44874.50152777778</v>
      </c>
      <c r="C240" s="1" t="n">
        <v>46127</v>
      </c>
      <c r="D240" t="inlineStr">
        <is>
          <t>VÄSTMANLANDS LÄN</t>
        </is>
      </c>
      <c r="E240" t="inlineStr">
        <is>
          <t>SALA</t>
        </is>
      </c>
      <c r="G240" t="n">
        <v>2.1</v>
      </c>
      <c r="H240" t="n">
        <v>0</v>
      </c>
      <c r="I240" t="n">
        <v>0</v>
      </c>
      <c r="J240" t="n">
        <v>0</v>
      </c>
      <c r="K240" t="n">
        <v>0</v>
      </c>
      <c r="L240" t="n">
        <v>0</v>
      </c>
      <c r="M240" t="n">
        <v>0</v>
      </c>
      <c r="N240" t="n">
        <v>0</v>
      </c>
      <c r="O240" t="n">
        <v>0</v>
      </c>
      <c r="P240" t="n">
        <v>0</v>
      </c>
      <c r="Q240" t="n">
        <v>0</v>
      </c>
      <c r="R240" s="2" t="inlineStr"/>
    </row>
    <row r="241" ht="15" customHeight="1">
      <c r="A241" t="inlineStr">
        <is>
          <t>A 14919-2025</t>
        </is>
      </c>
      <c r="B241" s="1" t="n">
        <v>45743.54256944444</v>
      </c>
      <c r="C241" s="1" t="n">
        <v>46127</v>
      </c>
      <c r="D241" t="inlineStr">
        <is>
          <t>VÄSTMANLANDS LÄN</t>
        </is>
      </c>
      <c r="E241" t="inlineStr">
        <is>
          <t>SALA</t>
        </is>
      </c>
      <c r="G241" t="n">
        <v>0.6</v>
      </c>
      <c r="H241" t="n">
        <v>0</v>
      </c>
      <c r="I241" t="n">
        <v>0</v>
      </c>
      <c r="J241" t="n">
        <v>0</v>
      </c>
      <c r="K241" t="n">
        <v>0</v>
      </c>
      <c r="L241" t="n">
        <v>0</v>
      </c>
      <c r="M241" t="n">
        <v>0</v>
      </c>
      <c r="N241" t="n">
        <v>0</v>
      </c>
      <c r="O241" t="n">
        <v>0</v>
      </c>
      <c r="P241" t="n">
        <v>0</v>
      </c>
      <c r="Q241" t="n">
        <v>0</v>
      </c>
      <c r="R241" s="2" t="inlineStr"/>
    </row>
    <row r="242" ht="15" customHeight="1">
      <c r="A242" t="inlineStr">
        <is>
          <t>A 14920-2025</t>
        </is>
      </c>
      <c r="B242" s="1" t="n">
        <v>45743</v>
      </c>
      <c r="C242" s="1" t="n">
        <v>46127</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40398-2021</t>
        </is>
      </c>
      <c r="B243" s="1" t="n">
        <v>44419</v>
      </c>
      <c r="C243" s="1" t="n">
        <v>46127</v>
      </c>
      <c r="D243" t="inlineStr">
        <is>
          <t>VÄSTMANLANDS LÄN</t>
        </is>
      </c>
      <c r="E243" t="inlineStr">
        <is>
          <t>SALA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43362-2023</t>
        </is>
      </c>
      <c r="B244" s="1" t="n">
        <v>45183</v>
      </c>
      <c r="C244" s="1" t="n">
        <v>46127</v>
      </c>
      <c r="D244" t="inlineStr">
        <is>
          <t>VÄSTMANLANDS LÄN</t>
        </is>
      </c>
      <c r="E244" t="inlineStr">
        <is>
          <t>SALA</t>
        </is>
      </c>
      <c r="G244" t="n">
        <v>2</v>
      </c>
      <c r="H244" t="n">
        <v>0</v>
      </c>
      <c r="I244" t="n">
        <v>0</v>
      </c>
      <c r="J244" t="n">
        <v>0</v>
      </c>
      <c r="K244" t="n">
        <v>0</v>
      </c>
      <c r="L244" t="n">
        <v>0</v>
      </c>
      <c r="M244" t="n">
        <v>0</v>
      </c>
      <c r="N244" t="n">
        <v>0</v>
      </c>
      <c r="O244" t="n">
        <v>0</v>
      </c>
      <c r="P244" t="n">
        <v>0</v>
      </c>
      <c r="Q244" t="n">
        <v>0</v>
      </c>
      <c r="R244" s="2" t="inlineStr"/>
    </row>
    <row r="245" ht="15" customHeight="1">
      <c r="A245" t="inlineStr">
        <is>
          <t>A 55065-2024</t>
        </is>
      </c>
      <c r="B245" s="1" t="n">
        <v>45618</v>
      </c>
      <c r="C245" s="1" t="n">
        <v>46127</v>
      </c>
      <c r="D245" t="inlineStr">
        <is>
          <t>VÄSTMANLANDS LÄN</t>
        </is>
      </c>
      <c r="E245" t="inlineStr">
        <is>
          <t>SALA</t>
        </is>
      </c>
      <c r="G245" t="n">
        <v>3.5</v>
      </c>
      <c r="H245" t="n">
        <v>0</v>
      </c>
      <c r="I245" t="n">
        <v>0</v>
      </c>
      <c r="J245" t="n">
        <v>0</v>
      </c>
      <c r="K245" t="n">
        <v>0</v>
      </c>
      <c r="L245" t="n">
        <v>0</v>
      </c>
      <c r="M245" t="n">
        <v>0</v>
      </c>
      <c r="N245" t="n">
        <v>0</v>
      </c>
      <c r="O245" t="n">
        <v>0</v>
      </c>
      <c r="P245" t="n">
        <v>0</v>
      </c>
      <c r="Q245" t="n">
        <v>0</v>
      </c>
      <c r="R245" s="2" t="inlineStr"/>
    </row>
    <row r="246" ht="15" customHeight="1">
      <c r="A246" t="inlineStr">
        <is>
          <t>A 24907-2025</t>
        </is>
      </c>
      <c r="B246" s="1" t="n">
        <v>45799</v>
      </c>
      <c r="C246" s="1" t="n">
        <v>46127</v>
      </c>
      <c r="D246" t="inlineStr">
        <is>
          <t>VÄSTMANLANDS LÄN</t>
        </is>
      </c>
      <c r="E246" t="inlineStr">
        <is>
          <t>SALA</t>
        </is>
      </c>
      <c r="G246" t="n">
        <v>3.5</v>
      </c>
      <c r="H246" t="n">
        <v>0</v>
      </c>
      <c r="I246" t="n">
        <v>0</v>
      </c>
      <c r="J246" t="n">
        <v>0</v>
      </c>
      <c r="K246" t="n">
        <v>0</v>
      </c>
      <c r="L246" t="n">
        <v>0</v>
      </c>
      <c r="M246" t="n">
        <v>0</v>
      </c>
      <c r="N246" t="n">
        <v>0</v>
      </c>
      <c r="O246" t="n">
        <v>0</v>
      </c>
      <c r="P246" t="n">
        <v>0</v>
      </c>
      <c r="Q246" t="n">
        <v>0</v>
      </c>
      <c r="R246" s="2" t="inlineStr"/>
    </row>
    <row r="247" ht="15" customHeight="1">
      <c r="A247" t="inlineStr">
        <is>
          <t>A 24910-2025</t>
        </is>
      </c>
      <c r="B247" s="1" t="n">
        <v>45799.53775462963</v>
      </c>
      <c r="C247" s="1" t="n">
        <v>46127</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2900-2023</t>
        </is>
      </c>
      <c r="B248" s="1" t="n">
        <v>44943</v>
      </c>
      <c r="C248" s="1" t="n">
        <v>46127</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6030-2024</t>
        </is>
      </c>
      <c r="B249" s="1" t="n">
        <v>45336.62782407407</v>
      </c>
      <c r="C249" s="1" t="n">
        <v>46127</v>
      </c>
      <c r="D249" t="inlineStr">
        <is>
          <t>VÄSTMANLANDS LÄN</t>
        </is>
      </c>
      <c r="E249" t="inlineStr">
        <is>
          <t>SALA</t>
        </is>
      </c>
      <c r="G249" t="n">
        <v>3.9</v>
      </c>
      <c r="H249" t="n">
        <v>0</v>
      </c>
      <c r="I249" t="n">
        <v>0</v>
      </c>
      <c r="J249" t="n">
        <v>0</v>
      </c>
      <c r="K249" t="n">
        <v>0</v>
      </c>
      <c r="L249" t="n">
        <v>0</v>
      </c>
      <c r="M249" t="n">
        <v>0</v>
      </c>
      <c r="N249" t="n">
        <v>0</v>
      </c>
      <c r="O249" t="n">
        <v>0</v>
      </c>
      <c r="P249" t="n">
        <v>0</v>
      </c>
      <c r="Q249" t="n">
        <v>0</v>
      </c>
      <c r="R249" s="2" t="inlineStr"/>
    </row>
    <row r="250" ht="15" customHeight="1">
      <c r="A250" t="inlineStr">
        <is>
          <t>A 52630-2022</t>
        </is>
      </c>
      <c r="B250" s="1" t="n">
        <v>44874</v>
      </c>
      <c r="C250" s="1" t="n">
        <v>46127</v>
      </c>
      <c r="D250" t="inlineStr">
        <is>
          <t>VÄSTMANLANDS LÄN</t>
        </is>
      </c>
      <c r="E250" t="inlineStr">
        <is>
          <t>SALA</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40559-2025</t>
        </is>
      </c>
      <c r="B251" s="1" t="n">
        <v>45896.45037037037</v>
      </c>
      <c r="C251" s="1" t="n">
        <v>46127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14690-2025</t>
        </is>
      </c>
      <c r="B252" s="1" t="n">
        <v>45742.58212962963</v>
      </c>
      <c r="C252" s="1" t="n">
        <v>46127</v>
      </c>
      <c r="D252" t="inlineStr">
        <is>
          <t>VÄSTMANLANDS LÄN</t>
        </is>
      </c>
      <c r="E252" t="inlineStr">
        <is>
          <t>SALA</t>
        </is>
      </c>
      <c r="G252" t="n">
        <v>3.4</v>
      </c>
      <c r="H252" t="n">
        <v>0</v>
      </c>
      <c r="I252" t="n">
        <v>0</v>
      </c>
      <c r="J252" t="n">
        <v>0</v>
      </c>
      <c r="K252" t="n">
        <v>0</v>
      </c>
      <c r="L252" t="n">
        <v>0</v>
      </c>
      <c r="M252" t="n">
        <v>0</v>
      </c>
      <c r="N252" t="n">
        <v>0</v>
      </c>
      <c r="O252" t="n">
        <v>0</v>
      </c>
      <c r="P252" t="n">
        <v>0</v>
      </c>
      <c r="Q252" t="n">
        <v>0</v>
      </c>
      <c r="R252" s="2" t="inlineStr"/>
    </row>
    <row r="253" ht="15" customHeight="1">
      <c r="A253" t="inlineStr">
        <is>
          <t>A 40556-2025</t>
        </is>
      </c>
      <c r="B253" s="1" t="n">
        <v>45896.44944444444</v>
      </c>
      <c r="C253" s="1" t="n">
        <v>46127</v>
      </c>
      <c r="D253" t="inlineStr">
        <is>
          <t>VÄSTMANLANDS LÄN</t>
        </is>
      </c>
      <c r="E253" t="inlineStr">
        <is>
          <t>SALA</t>
        </is>
      </c>
      <c r="G253" t="n">
        <v>1.9</v>
      </c>
      <c r="H253" t="n">
        <v>0</v>
      </c>
      <c r="I253" t="n">
        <v>0</v>
      </c>
      <c r="J253" t="n">
        <v>0</v>
      </c>
      <c r="K253" t="n">
        <v>0</v>
      </c>
      <c r="L253" t="n">
        <v>0</v>
      </c>
      <c r="M253" t="n">
        <v>0</v>
      </c>
      <c r="N253" t="n">
        <v>0</v>
      </c>
      <c r="O253" t="n">
        <v>0</v>
      </c>
      <c r="P253" t="n">
        <v>0</v>
      </c>
      <c r="Q253" t="n">
        <v>0</v>
      </c>
      <c r="R253" s="2" t="inlineStr"/>
    </row>
    <row r="254" ht="15" customHeight="1">
      <c r="A254" t="inlineStr">
        <is>
          <t>A 40620-2025</t>
        </is>
      </c>
      <c r="B254" s="1" t="n">
        <v>45896.58609953704</v>
      </c>
      <c r="C254" s="1" t="n">
        <v>46127</v>
      </c>
      <c r="D254" t="inlineStr">
        <is>
          <t>VÄSTMANLANDS LÄN</t>
        </is>
      </c>
      <c r="E254" t="inlineStr">
        <is>
          <t>SALA</t>
        </is>
      </c>
      <c r="G254" t="n">
        <v>6.7</v>
      </c>
      <c r="H254" t="n">
        <v>0</v>
      </c>
      <c r="I254" t="n">
        <v>0</v>
      </c>
      <c r="J254" t="n">
        <v>0</v>
      </c>
      <c r="K254" t="n">
        <v>0</v>
      </c>
      <c r="L254" t="n">
        <v>0</v>
      </c>
      <c r="M254" t="n">
        <v>0</v>
      </c>
      <c r="N254" t="n">
        <v>0</v>
      </c>
      <c r="O254" t="n">
        <v>0</v>
      </c>
      <c r="P254" t="n">
        <v>0</v>
      </c>
      <c r="Q254" t="n">
        <v>0</v>
      </c>
      <c r="R254" s="2" t="inlineStr"/>
    </row>
    <row r="255" ht="15" customHeight="1">
      <c r="A255" t="inlineStr">
        <is>
          <t>A 56645-2025</t>
        </is>
      </c>
      <c r="B255" s="1" t="n">
        <v>45975.63063657407</v>
      </c>
      <c r="C255" s="1" t="n">
        <v>46127</v>
      </c>
      <c r="D255" t="inlineStr">
        <is>
          <t>VÄSTMANLANDS LÄN</t>
        </is>
      </c>
      <c r="E255" t="inlineStr">
        <is>
          <t>SALA</t>
        </is>
      </c>
      <c r="F255" t="inlineStr">
        <is>
          <t>Bergvik skog öst AB</t>
        </is>
      </c>
      <c r="G255" t="n">
        <v>5.3</v>
      </c>
      <c r="H255" t="n">
        <v>0</v>
      </c>
      <c r="I255" t="n">
        <v>0</v>
      </c>
      <c r="J255" t="n">
        <v>0</v>
      </c>
      <c r="K255" t="n">
        <v>0</v>
      </c>
      <c r="L255" t="n">
        <v>0</v>
      </c>
      <c r="M255" t="n">
        <v>0</v>
      </c>
      <c r="N255" t="n">
        <v>0</v>
      </c>
      <c r="O255" t="n">
        <v>0</v>
      </c>
      <c r="P255" t="n">
        <v>0</v>
      </c>
      <c r="Q255" t="n">
        <v>0</v>
      </c>
      <c r="R255" s="2" t="inlineStr"/>
    </row>
    <row r="256" ht="15" customHeight="1">
      <c r="A256" t="inlineStr">
        <is>
          <t>A 2521-2025</t>
        </is>
      </c>
      <c r="B256" s="1" t="n">
        <v>45674</v>
      </c>
      <c r="C256" s="1" t="n">
        <v>46127</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41230-2025</t>
        </is>
      </c>
      <c r="B257" s="1" t="n">
        <v>45898</v>
      </c>
      <c r="C257" s="1" t="n">
        <v>46127</v>
      </c>
      <c r="D257" t="inlineStr">
        <is>
          <t>VÄSTMANLANDS LÄN</t>
        </is>
      </c>
      <c r="E257" t="inlineStr">
        <is>
          <t>SALA</t>
        </is>
      </c>
      <c r="G257" t="n">
        <v>2.3</v>
      </c>
      <c r="H257" t="n">
        <v>0</v>
      </c>
      <c r="I257" t="n">
        <v>0</v>
      </c>
      <c r="J257" t="n">
        <v>0</v>
      </c>
      <c r="K257" t="n">
        <v>0</v>
      </c>
      <c r="L257" t="n">
        <v>0</v>
      </c>
      <c r="M257" t="n">
        <v>0</v>
      </c>
      <c r="N257" t="n">
        <v>0</v>
      </c>
      <c r="O257" t="n">
        <v>0</v>
      </c>
      <c r="P257" t="n">
        <v>0</v>
      </c>
      <c r="Q257" t="n">
        <v>0</v>
      </c>
      <c r="R257" s="2" t="inlineStr"/>
    </row>
    <row r="258" ht="15" customHeight="1">
      <c r="A258" t="inlineStr">
        <is>
          <t>A 60548-2024</t>
        </is>
      </c>
      <c r="B258" s="1" t="n">
        <v>45643.80978009259</v>
      </c>
      <c r="C258" s="1" t="n">
        <v>46127</v>
      </c>
      <c r="D258" t="inlineStr">
        <is>
          <t>VÄSTMANLANDS LÄN</t>
        </is>
      </c>
      <c r="E258" t="inlineStr">
        <is>
          <t>SALA</t>
        </is>
      </c>
      <c r="G258" t="n">
        <v>1.6</v>
      </c>
      <c r="H258" t="n">
        <v>0</v>
      </c>
      <c r="I258" t="n">
        <v>0</v>
      </c>
      <c r="J258" t="n">
        <v>0</v>
      </c>
      <c r="K258" t="n">
        <v>0</v>
      </c>
      <c r="L258" t="n">
        <v>0</v>
      </c>
      <c r="M258" t="n">
        <v>0</v>
      </c>
      <c r="N258" t="n">
        <v>0</v>
      </c>
      <c r="O258" t="n">
        <v>0</v>
      </c>
      <c r="P258" t="n">
        <v>0</v>
      </c>
      <c r="Q258" t="n">
        <v>0</v>
      </c>
      <c r="R258" s="2" t="inlineStr"/>
    </row>
    <row r="259" ht="15" customHeight="1">
      <c r="A259" t="inlineStr">
        <is>
          <t>A 56502-2025</t>
        </is>
      </c>
      <c r="B259" s="1" t="n">
        <v>45975</v>
      </c>
      <c r="C259" s="1" t="n">
        <v>46127</v>
      </c>
      <c r="D259" t="inlineStr">
        <is>
          <t>VÄSTMANLANDS LÄN</t>
        </is>
      </c>
      <c r="E259" t="inlineStr">
        <is>
          <t>SALA</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41414-2025</t>
        </is>
      </c>
      <c r="B260" s="1" t="n">
        <v>45901.360625</v>
      </c>
      <c r="C260" s="1" t="n">
        <v>46127</v>
      </c>
      <c r="D260" t="inlineStr">
        <is>
          <t>VÄSTMANLANDS LÄN</t>
        </is>
      </c>
      <c r="E260" t="inlineStr">
        <is>
          <t>SALA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10909-2024</t>
        </is>
      </c>
      <c r="B261" s="1" t="n">
        <v>45370</v>
      </c>
      <c r="C261" s="1" t="n">
        <v>46127</v>
      </c>
      <c r="D261" t="inlineStr">
        <is>
          <t>VÄSTMANLANDS LÄN</t>
        </is>
      </c>
      <c r="E261" t="inlineStr">
        <is>
          <t>SALA</t>
        </is>
      </c>
      <c r="G261" t="n">
        <v>3.3</v>
      </c>
      <c r="H261" t="n">
        <v>0</v>
      </c>
      <c r="I261" t="n">
        <v>0</v>
      </c>
      <c r="J261" t="n">
        <v>0</v>
      </c>
      <c r="K261" t="n">
        <v>0</v>
      </c>
      <c r="L261" t="n">
        <v>0</v>
      </c>
      <c r="M261" t="n">
        <v>0</v>
      </c>
      <c r="N261" t="n">
        <v>0</v>
      </c>
      <c r="O261" t="n">
        <v>0</v>
      </c>
      <c r="P261" t="n">
        <v>0</v>
      </c>
      <c r="Q261" t="n">
        <v>0</v>
      </c>
      <c r="R261" s="2" t="inlineStr"/>
    </row>
    <row r="262" ht="15" customHeight="1">
      <c r="A262" t="inlineStr">
        <is>
          <t>A 61717-2024</t>
        </is>
      </c>
      <c r="B262" s="1" t="n">
        <v>45648</v>
      </c>
      <c r="C262" s="1" t="n">
        <v>46127</v>
      </c>
      <c r="D262" t="inlineStr">
        <is>
          <t>VÄSTMANLANDS LÄN</t>
        </is>
      </c>
      <c r="E262" t="inlineStr">
        <is>
          <t>SALA</t>
        </is>
      </c>
      <c r="G262" t="n">
        <v>3.7</v>
      </c>
      <c r="H262" t="n">
        <v>0</v>
      </c>
      <c r="I262" t="n">
        <v>0</v>
      </c>
      <c r="J262" t="n">
        <v>0</v>
      </c>
      <c r="K262" t="n">
        <v>0</v>
      </c>
      <c r="L262" t="n">
        <v>0</v>
      </c>
      <c r="M262" t="n">
        <v>0</v>
      </c>
      <c r="N262" t="n">
        <v>0</v>
      </c>
      <c r="O262" t="n">
        <v>0</v>
      </c>
      <c r="P262" t="n">
        <v>0</v>
      </c>
      <c r="Q262" t="n">
        <v>0</v>
      </c>
      <c r="R262" s="2" t="inlineStr"/>
    </row>
    <row r="263" ht="15" customHeight="1">
      <c r="A263" t="inlineStr">
        <is>
          <t>A 26761-2023</t>
        </is>
      </c>
      <c r="B263" s="1" t="n">
        <v>45093</v>
      </c>
      <c r="C263" s="1" t="n">
        <v>46127</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53164-2024</t>
        </is>
      </c>
      <c r="B264" s="1" t="n">
        <v>45611.64887731482</v>
      </c>
      <c r="C264" s="1" t="n">
        <v>46127</v>
      </c>
      <c r="D264" t="inlineStr">
        <is>
          <t>VÄSTMANLANDS LÄN</t>
        </is>
      </c>
      <c r="E264" t="inlineStr">
        <is>
          <t>SALA</t>
        </is>
      </c>
      <c r="G264" t="n">
        <v>2.6</v>
      </c>
      <c r="H264" t="n">
        <v>0</v>
      </c>
      <c r="I264" t="n">
        <v>0</v>
      </c>
      <c r="J264" t="n">
        <v>0</v>
      </c>
      <c r="K264" t="n">
        <v>0</v>
      </c>
      <c r="L264" t="n">
        <v>0</v>
      </c>
      <c r="M264" t="n">
        <v>0</v>
      </c>
      <c r="N264" t="n">
        <v>0</v>
      </c>
      <c r="O264" t="n">
        <v>0</v>
      </c>
      <c r="P264" t="n">
        <v>0</v>
      </c>
      <c r="Q264" t="n">
        <v>0</v>
      </c>
      <c r="R264" s="2" t="inlineStr"/>
    </row>
    <row r="265" ht="15" customHeight="1">
      <c r="A265" t="inlineStr">
        <is>
          <t>A 41431-2025</t>
        </is>
      </c>
      <c r="B265" s="1" t="n">
        <v>45901.39347222223</v>
      </c>
      <c r="C265" s="1" t="n">
        <v>46127</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56614-2025</t>
        </is>
      </c>
      <c r="B266" s="1" t="n">
        <v>45975.59288194445</v>
      </c>
      <c r="C266" s="1" t="n">
        <v>46127</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55035-2023</t>
        </is>
      </c>
      <c r="B267" s="1" t="n">
        <v>45229</v>
      </c>
      <c r="C267" s="1" t="n">
        <v>46127</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56611-2025</t>
        </is>
      </c>
      <c r="B268" s="1" t="n">
        <v>45975</v>
      </c>
      <c r="C268" s="1" t="n">
        <v>46127</v>
      </c>
      <c r="D268" t="inlineStr">
        <is>
          <t>VÄSTMANLANDS LÄN</t>
        </is>
      </c>
      <c r="E268" t="inlineStr">
        <is>
          <t>SALA</t>
        </is>
      </c>
      <c r="G268" t="n">
        <v>2.8</v>
      </c>
      <c r="H268" t="n">
        <v>0</v>
      </c>
      <c r="I268" t="n">
        <v>0</v>
      </c>
      <c r="J268" t="n">
        <v>0</v>
      </c>
      <c r="K268" t="n">
        <v>0</v>
      </c>
      <c r="L268" t="n">
        <v>0</v>
      </c>
      <c r="M268" t="n">
        <v>0</v>
      </c>
      <c r="N268" t="n">
        <v>0</v>
      </c>
      <c r="O268" t="n">
        <v>0</v>
      </c>
      <c r="P268" t="n">
        <v>0</v>
      </c>
      <c r="Q268" t="n">
        <v>0</v>
      </c>
      <c r="R268" s="2" t="inlineStr"/>
    </row>
    <row r="269" ht="15" customHeight="1">
      <c r="A269" t="inlineStr">
        <is>
          <t>A 60249-2023</t>
        </is>
      </c>
      <c r="B269" s="1" t="n">
        <v>45258</v>
      </c>
      <c r="C269" s="1" t="n">
        <v>46127</v>
      </c>
      <c r="D269" t="inlineStr">
        <is>
          <t>VÄSTMANLANDS LÄN</t>
        </is>
      </c>
      <c r="E269" t="inlineStr">
        <is>
          <t>SALA</t>
        </is>
      </c>
      <c r="G269" t="n">
        <v>2</v>
      </c>
      <c r="H269" t="n">
        <v>0</v>
      </c>
      <c r="I269" t="n">
        <v>0</v>
      </c>
      <c r="J269" t="n">
        <v>0</v>
      </c>
      <c r="K269" t="n">
        <v>0</v>
      </c>
      <c r="L269" t="n">
        <v>0</v>
      </c>
      <c r="M269" t="n">
        <v>0</v>
      </c>
      <c r="N269" t="n">
        <v>0</v>
      </c>
      <c r="O269" t="n">
        <v>0</v>
      </c>
      <c r="P269" t="n">
        <v>0</v>
      </c>
      <c r="Q269" t="n">
        <v>0</v>
      </c>
      <c r="R269" s="2" t="inlineStr"/>
    </row>
    <row r="270" ht="15" customHeight="1">
      <c r="A270" t="inlineStr">
        <is>
          <t>A 21968-2024</t>
        </is>
      </c>
      <c r="B270" s="1" t="n">
        <v>45443</v>
      </c>
      <c r="C270" s="1" t="n">
        <v>46127</v>
      </c>
      <c r="D270" t="inlineStr">
        <is>
          <t>VÄSTMANLANDS LÄN</t>
        </is>
      </c>
      <c r="E270" t="inlineStr">
        <is>
          <t>SALA</t>
        </is>
      </c>
      <c r="G270" t="n">
        <v>1.9</v>
      </c>
      <c r="H270" t="n">
        <v>0</v>
      </c>
      <c r="I270" t="n">
        <v>0</v>
      </c>
      <c r="J270" t="n">
        <v>0</v>
      </c>
      <c r="K270" t="n">
        <v>0</v>
      </c>
      <c r="L270" t="n">
        <v>0</v>
      </c>
      <c r="M270" t="n">
        <v>0</v>
      </c>
      <c r="N270" t="n">
        <v>0</v>
      </c>
      <c r="O270" t="n">
        <v>0</v>
      </c>
      <c r="P270" t="n">
        <v>0</v>
      </c>
      <c r="Q270" t="n">
        <v>0</v>
      </c>
      <c r="R270" s="2" t="inlineStr"/>
    </row>
    <row r="271" ht="15" customHeight="1">
      <c r="A271" t="inlineStr">
        <is>
          <t>A 42421-2025</t>
        </is>
      </c>
      <c r="B271" s="1" t="n">
        <v>45905.40067129629</v>
      </c>
      <c r="C271" s="1" t="n">
        <v>46127</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26661-2025</t>
        </is>
      </c>
      <c r="B272" s="1" t="n">
        <v>45810</v>
      </c>
      <c r="C272" s="1" t="n">
        <v>46127</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57014-2025</t>
        </is>
      </c>
      <c r="B273" s="1" t="n">
        <v>45978</v>
      </c>
      <c r="C273" s="1" t="n">
        <v>46127</v>
      </c>
      <c r="D273" t="inlineStr">
        <is>
          <t>VÄSTMANLANDS LÄN</t>
        </is>
      </c>
      <c r="E273" t="inlineStr">
        <is>
          <t>SALA</t>
        </is>
      </c>
      <c r="G273" t="n">
        <v>2.2</v>
      </c>
      <c r="H273" t="n">
        <v>0</v>
      </c>
      <c r="I273" t="n">
        <v>0</v>
      </c>
      <c r="J273" t="n">
        <v>0</v>
      </c>
      <c r="K273" t="n">
        <v>0</v>
      </c>
      <c r="L273" t="n">
        <v>0</v>
      </c>
      <c r="M273" t="n">
        <v>0</v>
      </c>
      <c r="N273" t="n">
        <v>0</v>
      </c>
      <c r="O273" t="n">
        <v>0</v>
      </c>
      <c r="P273" t="n">
        <v>0</v>
      </c>
      <c r="Q273" t="n">
        <v>0</v>
      </c>
      <c r="R273" s="2" t="inlineStr"/>
    </row>
    <row r="274" ht="15" customHeight="1">
      <c r="A274" t="inlineStr">
        <is>
          <t>A 17495-2024</t>
        </is>
      </c>
      <c r="B274" s="1" t="n">
        <v>45415</v>
      </c>
      <c r="C274" s="1" t="n">
        <v>46127</v>
      </c>
      <c r="D274" t="inlineStr">
        <is>
          <t>VÄSTMANLANDS LÄN</t>
        </is>
      </c>
      <c r="E274" t="inlineStr">
        <is>
          <t>SALA</t>
        </is>
      </c>
      <c r="G274" t="n">
        <v>3.1</v>
      </c>
      <c r="H274" t="n">
        <v>0</v>
      </c>
      <c r="I274" t="n">
        <v>0</v>
      </c>
      <c r="J274" t="n">
        <v>0</v>
      </c>
      <c r="K274" t="n">
        <v>0</v>
      </c>
      <c r="L274" t="n">
        <v>0</v>
      </c>
      <c r="M274" t="n">
        <v>0</v>
      </c>
      <c r="N274" t="n">
        <v>0</v>
      </c>
      <c r="O274" t="n">
        <v>0</v>
      </c>
      <c r="P274" t="n">
        <v>0</v>
      </c>
      <c r="Q274" t="n">
        <v>0</v>
      </c>
      <c r="R274" s="2" t="inlineStr"/>
    </row>
    <row r="275" ht="15" customHeight="1">
      <c r="A275" t="inlineStr">
        <is>
          <t>A 37263-2025</t>
        </is>
      </c>
      <c r="B275" s="1" t="n">
        <v>45876.4584837963</v>
      </c>
      <c r="C275" s="1" t="n">
        <v>46127</v>
      </c>
      <c r="D275" t="inlineStr">
        <is>
          <t>VÄSTMANLANDS LÄN</t>
        </is>
      </c>
      <c r="E275" t="inlineStr">
        <is>
          <t>SALA</t>
        </is>
      </c>
      <c r="G275" t="n">
        <v>2.3</v>
      </c>
      <c r="H275" t="n">
        <v>0</v>
      </c>
      <c r="I275" t="n">
        <v>0</v>
      </c>
      <c r="J275" t="n">
        <v>0</v>
      </c>
      <c r="K275" t="n">
        <v>0</v>
      </c>
      <c r="L275" t="n">
        <v>0</v>
      </c>
      <c r="M275" t="n">
        <v>0</v>
      </c>
      <c r="N275" t="n">
        <v>0</v>
      </c>
      <c r="O275" t="n">
        <v>0</v>
      </c>
      <c r="P275" t="n">
        <v>0</v>
      </c>
      <c r="Q275" t="n">
        <v>0</v>
      </c>
      <c r="R275" s="2" t="inlineStr"/>
    </row>
    <row r="276" ht="15" customHeight="1">
      <c r="A276" t="inlineStr">
        <is>
          <t>A 43127-2025</t>
        </is>
      </c>
      <c r="B276" s="1" t="n">
        <v>45909</v>
      </c>
      <c r="C276" s="1" t="n">
        <v>46127</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31597-2024</t>
        </is>
      </c>
      <c r="B277" s="1" t="n">
        <v>45506</v>
      </c>
      <c r="C277" s="1" t="n">
        <v>46127</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31599-2024</t>
        </is>
      </c>
      <c r="B278" s="1" t="n">
        <v>45506</v>
      </c>
      <c r="C278" s="1" t="n">
        <v>46127</v>
      </c>
      <c r="D278" t="inlineStr">
        <is>
          <t>VÄSTMANLANDS LÄN</t>
        </is>
      </c>
      <c r="E278" t="inlineStr">
        <is>
          <t>SALA</t>
        </is>
      </c>
      <c r="G278" t="n">
        <v>0.9</v>
      </c>
      <c r="H278" t="n">
        <v>0</v>
      </c>
      <c r="I278" t="n">
        <v>0</v>
      </c>
      <c r="J278" t="n">
        <v>0</v>
      </c>
      <c r="K278" t="n">
        <v>0</v>
      </c>
      <c r="L278" t="n">
        <v>0</v>
      </c>
      <c r="M278" t="n">
        <v>0</v>
      </c>
      <c r="N278" t="n">
        <v>0</v>
      </c>
      <c r="O278" t="n">
        <v>0</v>
      </c>
      <c r="P278" t="n">
        <v>0</v>
      </c>
      <c r="Q278" t="n">
        <v>0</v>
      </c>
      <c r="R278" s="2" t="inlineStr"/>
    </row>
    <row r="279" ht="15" customHeight="1">
      <c r="A279" t="inlineStr">
        <is>
          <t>A 31601-2024</t>
        </is>
      </c>
      <c r="B279" s="1" t="n">
        <v>45506</v>
      </c>
      <c r="C279" s="1" t="n">
        <v>46127</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31608-2024</t>
        </is>
      </c>
      <c r="B280" s="1" t="n">
        <v>45506</v>
      </c>
      <c r="C280" s="1" t="n">
        <v>46127</v>
      </c>
      <c r="D280" t="inlineStr">
        <is>
          <t>VÄSTMANLANDS LÄN</t>
        </is>
      </c>
      <c r="E280" t="inlineStr">
        <is>
          <t>SALA</t>
        </is>
      </c>
      <c r="G280" t="n">
        <v>1.7</v>
      </c>
      <c r="H280" t="n">
        <v>0</v>
      </c>
      <c r="I280" t="n">
        <v>0</v>
      </c>
      <c r="J280" t="n">
        <v>0</v>
      </c>
      <c r="K280" t="n">
        <v>0</v>
      </c>
      <c r="L280" t="n">
        <v>0</v>
      </c>
      <c r="M280" t="n">
        <v>0</v>
      </c>
      <c r="N280" t="n">
        <v>0</v>
      </c>
      <c r="O280" t="n">
        <v>0</v>
      </c>
      <c r="P280" t="n">
        <v>0</v>
      </c>
      <c r="Q280" t="n">
        <v>0</v>
      </c>
      <c r="R280" s="2" t="inlineStr"/>
    </row>
    <row r="281" ht="15" customHeight="1">
      <c r="A281" t="inlineStr">
        <is>
          <t>A 31612-2024</t>
        </is>
      </c>
      <c r="B281" s="1" t="n">
        <v>45506</v>
      </c>
      <c r="C281" s="1" t="n">
        <v>46127</v>
      </c>
      <c r="D281" t="inlineStr">
        <is>
          <t>VÄSTMANLANDS LÄN</t>
        </is>
      </c>
      <c r="E281" t="inlineStr">
        <is>
          <t>SALA</t>
        </is>
      </c>
      <c r="G281" t="n">
        <v>3.2</v>
      </c>
      <c r="H281" t="n">
        <v>0</v>
      </c>
      <c r="I281" t="n">
        <v>0</v>
      </c>
      <c r="J281" t="n">
        <v>0</v>
      </c>
      <c r="K281" t="n">
        <v>0</v>
      </c>
      <c r="L281" t="n">
        <v>0</v>
      </c>
      <c r="M281" t="n">
        <v>0</v>
      </c>
      <c r="N281" t="n">
        <v>0</v>
      </c>
      <c r="O281" t="n">
        <v>0</v>
      </c>
      <c r="P281" t="n">
        <v>0</v>
      </c>
      <c r="Q281" t="n">
        <v>0</v>
      </c>
      <c r="R281" s="2" t="inlineStr"/>
    </row>
    <row r="282" ht="15" customHeight="1">
      <c r="A282" t="inlineStr">
        <is>
          <t>A 52500-2024</t>
        </is>
      </c>
      <c r="B282" s="1" t="n">
        <v>45609</v>
      </c>
      <c r="C282" s="1" t="n">
        <v>46127</v>
      </c>
      <c r="D282" t="inlineStr">
        <is>
          <t>VÄSTMANLANDS LÄN</t>
        </is>
      </c>
      <c r="E282" t="inlineStr">
        <is>
          <t>SALA</t>
        </is>
      </c>
      <c r="G282" t="n">
        <v>1.3</v>
      </c>
      <c r="H282" t="n">
        <v>0</v>
      </c>
      <c r="I282" t="n">
        <v>0</v>
      </c>
      <c r="J282" t="n">
        <v>0</v>
      </c>
      <c r="K282" t="n">
        <v>0</v>
      </c>
      <c r="L282" t="n">
        <v>0</v>
      </c>
      <c r="M282" t="n">
        <v>0</v>
      </c>
      <c r="N282" t="n">
        <v>0</v>
      </c>
      <c r="O282" t="n">
        <v>0</v>
      </c>
      <c r="P282" t="n">
        <v>0</v>
      </c>
      <c r="Q282" t="n">
        <v>0</v>
      </c>
      <c r="R282" s="2" t="inlineStr"/>
    </row>
    <row r="283" ht="15" customHeight="1">
      <c r="A283" t="inlineStr">
        <is>
          <t>A 43128-2025</t>
        </is>
      </c>
      <c r="B283" s="1" t="n">
        <v>45909</v>
      </c>
      <c r="C283" s="1" t="n">
        <v>46127</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40554-2025</t>
        </is>
      </c>
      <c r="B284" s="1" t="n">
        <v>45896.44506944445</v>
      </c>
      <c r="C284" s="1" t="n">
        <v>46127</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43129-2025</t>
        </is>
      </c>
      <c r="B285" s="1" t="n">
        <v>45909</v>
      </c>
      <c r="C285" s="1" t="n">
        <v>46127</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43130-2025</t>
        </is>
      </c>
      <c r="B286" s="1" t="n">
        <v>45909</v>
      </c>
      <c r="C286" s="1" t="n">
        <v>46127</v>
      </c>
      <c r="D286" t="inlineStr">
        <is>
          <t>VÄSTMANLANDS LÄN</t>
        </is>
      </c>
      <c r="E286" t="inlineStr">
        <is>
          <t>SALA</t>
        </is>
      </c>
      <c r="G286" t="n">
        <v>0.9</v>
      </c>
      <c r="H286" t="n">
        <v>0</v>
      </c>
      <c r="I286" t="n">
        <v>0</v>
      </c>
      <c r="J286" t="n">
        <v>0</v>
      </c>
      <c r="K286" t="n">
        <v>0</v>
      </c>
      <c r="L286" t="n">
        <v>0</v>
      </c>
      <c r="M286" t="n">
        <v>0</v>
      </c>
      <c r="N286" t="n">
        <v>0</v>
      </c>
      <c r="O286" t="n">
        <v>0</v>
      </c>
      <c r="P286" t="n">
        <v>0</v>
      </c>
      <c r="Q286" t="n">
        <v>0</v>
      </c>
      <c r="R286" s="2" t="inlineStr"/>
    </row>
    <row r="287" ht="15" customHeight="1">
      <c r="A287" t="inlineStr">
        <is>
          <t>A 43028-2025</t>
        </is>
      </c>
      <c r="B287" s="1" t="n">
        <v>45909.53472222222</v>
      </c>
      <c r="C287" s="1" t="n">
        <v>46127</v>
      </c>
      <c r="D287" t="inlineStr">
        <is>
          <t>VÄSTMANLANDS LÄN</t>
        </is>
      </c>
      <c r="E287" t="inlineStr">
        <is>
          <t>SALA</t>
        </is>
      </c>
      <c r="G287" t="n">
        <v>3.8</v>
      </c>
      <c r="H287" t="n">
        <v>0</v>
      </c>
      <c r="I287" t="n">
        <v>0</v>
      </c>
      <c r="J287" t="n">
        <v>0</v>
      </c>
      <c r="K287" t="n">
        <v>0</v>
      </c>
      <c r="L287" t="n">
        <v>0</v>
      </c>
      <c r="M287" t="n">
        <v>0</v>
      </c>
      <c r="N287" t="n">
        <v>0</v>
      </c>
      <c r="O287" t="n">
        <v>0</v>
      </c>
      <c r="P287" t="n">
        <v>0</v>
      </c>
      <c r="Q287" t="n">
        <v>0</v>
      </c>
      <c r="R287" s="2" t="inlineStr"/>
    </row>
    <row r="288" ht="15" customHeight="1">
      <c r="A288" t="inlineStr">
        <is>
          <t>A 43031-2025</t>
        </is>
      </c>
      <c r="B288" s="1" t="n">
        <v>45909.53856481481</v>
      </c>
      <c r="C288" s="1" t="n">
        <v>46127</v>
      </c>
      <c r="D288" t="inlineStr">
        <is>
          <t>VÄSTMANLANDS LÄN</t>
        </is>
      </c>
      <c r="E288" t="inlineStr">
        <is>
          <t>SALA</t>
        </is>
      </c>
      <c r="G288" t="n">
        <v>0.2</v>
      </c>
      <c r="H288" t="n">
        <v>0</v>
      </c>
      <c r="I288" t="n">
        <v>0</v>
      </c>
      <c r="J288" t="n">
        <v>0</v>
      </c>
      <c r="K288" t="n">
        <v>0</v>
      </c>
      <c r="L288" t="n">
        <v>0</v>
      </c>
      <c r="M288" t="n">
        <v>0</v>
      </c>
      <c r="N288" t="n">
        <v>0</v>
      </c>
      <c r="O288" t="n">
        <v>0</v>
      </c>
      <c r="P288" t="n">
        <v>0</v>
      </c>
      <c r="Q288" t="n">
        <v>0</v>
      </c>
      <c r="R288" s="2" t="inlineStr"/>
    </row>
    <row r="289" ht="15" customHeight="1">
      <c r="A289" t="inlineStr">
        <is>
          <t>A 56949-2023</t>
        </is>
      </c>
      <c r="B289" s="1" t="n">
        <v>45244.61589120371</v>
      </c>
      <c r="C289" s="1" t="n">
        <v>46127</v>
      </c>
      <c r="D289" t="inlineStr">
        <is>
          <t>VÄSTMANLANDS LÄN</t>
        </is>
      </c>
      <c r="E289" t="inlineStr">
        <is>
          <t>SALA</t>
        </is>
      </c>
      <c r="G289" t="n">
        <v>4.7</v>
      </c>
      <c r="H289" t="n">
        <v>0</v>
      </c>
      <c r="I289" t="n">
        <v>0</v>
      </c>
      <c r="J289" t="n">
        <v>0</v>
      </c>
      <c r="K289" t="n">
        <v>0</v>
      </c>
      <c r="L289" t="n">
        <v>0</v>
      </c>
      <c r="M289" t="n">
        <v>0</v>
      </c>
      <c r="N289" t="n">
        <v>0</v>
      </c>
      <c r="O289" t="n">
        <v>0</v>
      </c>
      <c r="P289" t="n">
        <v>0</v>
      </c>
      <c r="Q289" t="n">
        <v>0</v>
      </c>
      <c r="R289" s="2" t="inlineStr"/>
    </row>
    <row r="290" ht="15" customHeight="1">
      <c r="A290" t="inlineStr">
        <is>
          <t>A 43328-2025</t>
        </is>
      </c>
      <c r="B290" s="1" t="n">
        <v>45910</v>
      </c>
      <c r="C290" s="1" t="n">
        <v>46127</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96-2024</t>
        </is>
      </c>
      <c r="B291" s="1" t="n">
        <v>45293.85872685185</v>
      </c>
      <c r="C291" s="1" t="n">
        <v>46127</v>
      </c>
      <c r="D291" t="inlineStr">
        <is>
          <t>VÄSTMANLANDS LÄN</t>
        </is>
      </c>
      <c r="E291" t="inlineStr">
        <is>
          <t>SALA</t>
        </is>
      </c>
      <c r="G291" t="n">
        <v>1.1</v>
      </c>
      <c r="H291" t="n">
        <v>0</v>
      </c>
      <c r="I291" t="n">
        <v>0</v>
      </c>
      <c r="J291" t="n">
        <v>0</v>
      </c>
      <c r="K291" t="n">
        <v>0</v>
      </c>
      <c r="L291" t="n">
        <v>0</v>
      </c>
      <c r="M291" t="n">
        <v>0</v>
      </c>
      <c r="N291" t="n">
        <v>0</v>
      </c>
      <c r="O291" t="n">
        <v>0</v>
      </c>
      <c r="P291" t="n">
        <v>0</v>
      </c>
      <c r="Q291" t="n">
        <v>0</v>
      </c>
      <c r="R291" s="2" t="inlineStr"/>
    </row>
    <row r="292" ht="15" customHeight="1">
      <c r="A292" t="inlineStr">
        <is>
          <t>A 27989-2025</t>
        </is>
      </c>
      <c r="B292" s="1" t="n">
        <v>45817.58716435185</v>
      </c>
      <c r="C292" s="1" t="n">
        <v>46127</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54118-2023</t>
        </is>
      </c>
      <c r="B293" s="1" t="n">
        <v>45232</v>
      </c>
      <c r="C293" s="1" t="n">
        <v>46127</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27981-2025</t>
        </is>
      </c>
      <c r="B294" s="1" t="n">
        <v>45817.57471064815</v>
      </c>
      <c r="C294" s="1" t="n">
        <v>46127</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28193-2025</t>
        </is>
      </c>
      <c r="B295" s="1" t="n">
        <v>45818.425625</v>
      </c>
      <c r="C295" s="1" t="n">
        <v>46127</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28284-2025</t>
        </is>
      </c>
      <c r="B296" s="1" t="n">
        <v>45818.58893518519</v>
      </c>
      <c r="C296" s="1" t="n">
        <v>46127</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46127</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44100-2025</t>
        </is>
      </c>
      <c r="B298" s="1" t="n">
        <v>45915.56707175926</v>
      </c>
      <c r="C298" s="1" t="n">
        <v>46127</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25748-2022</t>
        </is>
      </c>
      <c r="B299" s="1" t="n">
        <v>44732</v>
      </c>
      <c r="C299" s="1" t="n">
        <v>46127</v>
      </c>
      <c r="D299" t="inlineStr">
        <is>
          <t>VÄSTMANLANDS LÄN</t>
        </is>
      </c>
      <c r="E299" t="inlineStr">
        <is>
          <t>SALA</t>
        </is>
      </c>
      <c r="G299" t="n">
        <v>7.7</v>
      </c>
      <c r="H299" t="n">
        <v>0</v>
      </c>
      <c r="I299" t="n">
        <v>0</v>
      </c>
      <c r="J299" t="n">
        <v>0</v>
      </c>
      <c r="K299" t="n">
        <v>0</v>
      </c>
      <c r="L299" t="n">
        <v>0</v>
      </c>
      <c r="M299" t="n">
        <v>0</v>
      </c>
      <c r="N299" t="n">
        <v>0</v>
      </c>
      <c r="O299" t="n">
        <v>0</v>
      </c>
      <c r="P299" t="n">
        <v>0</v>
      </c>
      <c r="Q299" t="n">
        <v>0</v>
      </c>
      <c r="R299" s="2" t="inlineStr"/>
    </row>
    <row r="300" ht="15" customHeight="1">
      <c r="A300" t="inlineStr">
        <is>
          <t>A 28278-2025</t>
        </is>
      </c>
      <c r="B300" s="1" t="n">
        <v>45818.58454861111</v>
      </c>
      <c r="C300" s="1" t="n">
        <v>46127</v>
      </c>
      <c r="D300" t="inlineStr">
        <is>
          <t>VÄSTMANLANDS LÄN</t>
        </is>
      </c>
      <c r="E300" t="inlineStr">
        <is>
          <t>SALA</t>
        </is>
      </c>
      <c r="G300" t="n">
        <v>7.6</v>
      </c>
      <c r="H300" t="n">
        <v>0</v>
      </c>
      <c r="I300" t="n">
        <v>0</v>
      </c>
      <c r="J300" t="n">
        <v>0</v>
      </c>
      <c r="K300" t="n">
        <v>0</v>
      </c>
      <c r="L300" t="n">
        <v>0</v>
      </c>
      <c r="M300" t="n">
        <v>0</v>
      </c>
      <c r="N300" t="n">
        <v>0</v>
      </c>
      <c r="O300" t="n">
        <v>0</v>
      </c>
      <c r="P300" t="n">
        <v>0</v>
      </c>
      <c r="Q300" t="n">
        <v>0</v>
      </c>
      <c r="R300" s="2" t="inlineStr"/>
    </row>
    <row r="301" ht="15" customHeight="1">
      <c r="A301" t="inlineStr">
        <is>
          <t>A 28628-2025</t>
        </is>
      </c>
      <c r="B301" s="1" t="n">
        <v>45819.62158564815</v>
      </c>
      <c r="C301" s="1" t="n">
        <v>46127</v>
      </c>
      <c r="D301" t="inlineStr">
        <is>
          <t>VÄSTMANLANDS LÄN</t>
        </is>
      </c>
      <c r="E301" t="inlineStr">
        <is>
          <t>SALA</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3733-2023</t>
        </is>
      </c>
      <c r="B302" s="1" t="n">
        <v>44951.42501157407</v>
      </c>
      <c r="C302" s="1" t="n">
        <v>46127</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28632-2025</t>
        </is>
      </c>
      <c r="B303" s="1" t="n">
        <v>45819.62344907408</v>
      </c>
      <c r="C303" s="1" t="n">
        <v>46127</v>
      </c>
      <c r="D303" t="inlineStr">
        <is>
          <t>VÄSTMANLANDS LÄN</t>
        </is>
      </c>
      <c r="E303" t="inlineStr">
        <is>
          <t>SALA</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6136-2025</t>
        </is>
      </c>
      <c r="B304" s="1" t="n">
        <v>45698.37601851852</v>
      </c>
      <c r="C304" s="1" t="n">
        <v>46127</v>
      </c>
      <c r="D304" t="inlineStr">
        <is>
          <t>VÄSTMANLANDS LÄN</t>
        </is>
      </c>
      <c r="E304" t="inlineStr">
        <is>
          <t>SALA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6190-2025</t>
        </is>
      </c>
      <c r="B305" s="1" t="n">
        <v>45698</v>
      </c>
      <c r="C305" s="1" t="n">
        <v>46127</v>
      </c>
      <c r="D305" t="inlineStr">
        <is>
          <t>VÄSTMANLANDS LÄN</t>
        </is>
      </c>
      <c r="E305" t="inlineStr">
        <is>
          <t>SALA</t>
        </is>
      </c>
      <c r="F305" t="inlineStr">
        <is>
          <t>Bergvik skog öst AB</t>
        </is>
      </c>
      <c r="G305" t="n">
        <v>4.6</v>
      </c>
      <c r="H305" t="n">
        <v>0</v>
      </c>
      <c r="I305" t="n">
        <v>0</v>
      </c>
      <c r="J305" t="n">
        <v>0</v>
      </c>
      <c r="K305" t="n">
        <v>0</v>
      </c>
      <c r="L305" t="n">
        <v>0</v>
      </c>
      <c r="M305" t="n">
        <v>0</v>
      </c>
      <c r="N305" t="n">
        <v>0</v>
      </c>
      <c r="O305" t="n">
        <v>0</v>
      </c>
      <c r="P305" t="n">
        <v>0</v>
      </c>
      <c r="Q305" t="n">
        <v>0</v>
      </c>
      <c r="R305" s="2" t="inlineStr"/>
    </row>
    <row r="306" ht="15" customHeight="1">
      <c r="A306" t="inlineStr">
        <is>
          <t>A 28630-2025</t>
        </is>
      </c>
      <c r="B306" s="1" t="n">
        <v>45819.62274305556</v>
      </c>
      <c r="C306" s="1" t="n">
        <v>46127</v>
      </c>
      <c r="D306" t="inlineStr">
        <is>
          <t>VÄSTMANLANDS LÄN</t>
        </is>
      </c>
      <c r="E306" t="inlineStr">
        <is>
          <t>SALA</t>
        </is>
      </c>
      <c r="F306" t="inlineStr">
        <is>
          <t>Sveaskog</t>
        </is>
      </c>
      <c r="G306" t="n">
        <v>9</v>
      </c>
      <c r="H306" t="n">
        <v>0</v>
      </c>
      <c r="I306" t="n">
        <v>0</v>
      </c>
      <c r="J306" t="n">
        <v>0</v>
      </c>
      <c r="K306" t="n">
        <v>0</v>
      </c>
      <c r="L306" t="n">
        <v>0</v>
      </c>
      <c r="M306" t="n">
        <v>0</v>
      </c>
      <c r="N306" t="n">
        <v>0</v>
      </c>
      <c r="O306" t="n">
        <v>0</v>
      </c>
      <c r="P306" t="n">
        <v>0</v>
      </c>
      <c r="Q306" t="n">
        <v>0</v>
      </c>
      <c r="R306" s="2" t="inlineStr"/>
    </row>
    <row r="307" ht="15" customHeight="1">
      <c r="A307" t="inlineStr">
        <is>
          <t>A 16760-2024</t>
        </is>
      </c>
      <c r="B307" s="1" t="n">
        <v>45411</v>
      </c>
      <c r="C307" s="1" t="n">
        <v>46127</v>
      </c>
      <c r="D307" t="inlineStr">
        <is>
          <t>VÄSTMANLANDS LÄN</t>
        </is>
      </c>
      <c r="E307" t="inlineStr">
        <is>
          <t>SALA</t>
        </is>
      </c>
      <c r="G307" t="n">
        <v>2.6</v>
      </c>
      <c r="H307" t="n">
        <v>0</v>
      </c>
      <c r="I307" t="n">
        <v>0</v>
      </c>
      <c r="J307" t="n">
        <v>0</v>
      </c>
      <c r="K307" t="n">
        <v>0</v>
      </c>
      <c r="L307" t="n">
        <v>0</v>
      </c>
      <c r="M307" t="n">
        <v>0</v>
      </c>
      <c r="N307" t="n">
        <v>0</v>
      </c>
      <c r="O307" t="n">
        <v>0</v>
      </c>
      <c r="P307" t="n">
        <v>0</v>
      </c>
      <c r="Q307" t="n">
        <v>0</v>
      </c>
      <c r="R307" s="2" t="inlineStr"/>
    </row>
    <row r="308" ht="15" customHeight="1">
      <c r="A308" t="inlineStr">
        <is>
          <t>A 28837-2025</t>
        </is>
      </c>
      <c r="B308" s="1" t="n">
        <v>45820.56243055555</v>
      </c>
      <c r="C308" s="1" t="n">
        <v>46127</v>
      </c>
      <c r="D308" t="inlineStr">
        <is>
          <t>VÄSTMANLANDS LÄN</t>
        </is>
      </c>
      <c r="E308" t="inlineStr">
        <is>
          <t>SALA</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28849-2025</t>
        </is>
      </c>
      <c r="B309" s="1" t="n">
        <v>45820</v>
      </c>
      <c r="C309" s="1" t="n">
        <v>46127</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44524-2025</t>
        </is>
      </c>
      <c r="B310" s="1" t="n">
        <v>45916.72920138889</v>
      </c>
      <c r="C310" s="1" t="n">
        <v>46127</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44486-2025</t>
        </is>
      </c>
      <c r="B311" s="1" t="n">
        <v>45916.65517361111</v>
      </c>
      <c r="C311" s="1" t="n">
        <v>46127</v>
      </c>
      <c r="D311" t="inlineStr">
        <is>
          <t>VÄSTMANLANDS LÄN</t>
        </is>
      </c>
      <c r="E311" t="inlineStr">
        <is>
          <t>SALA</t>
        </is>
      </c>
      <c r="G311" t="n">
        <v>1.7</v>
      </c>
      <c r="H311" t="n">
        <v>0</v>
      </c>
      <c r="I311" t="n">
        <v>0</v>
      </c>
      <c r="J311" t="n">
        <v>0</v>
      </c>
      <c r="K311" t="n">
        <v>0</v>
      </c>
      <c r="L311" t="n">
        <v>0</v>
      </c>
      <c r="M311" t="n">
        <v>0</v>
      </c>
      <c r="N311" t="n">
        <v>0</v>
      </c>
      <c r="O311" t="n">
        <v>0</v>
      </c>
      <c r="P311" t="n">
        <v>0</v>
      </c>
      <c r="Q311" t="n">
        <v>0</v>
      </c>
      <c r="R311" s="2" t="inlineStr"/>
    </row>
    <row r="312" ht="15" customHeight="1">
      <c r="A312" t="inlineStr">
        <is>
          <t>A 29085-2025</t>
        </is>
      </c>
      <c r="B312" s="1" t="n">
        <v>45821</v>
      </c>
      <c r="C312" s="1" t="n">
        <v>46127</v>
      </c>
      <c r="D312" t="inlineStr">
        <is>
          <t>VÄSTMANLANDS LÄN</t>
        </is>
      </c>
      <c r="E312" t="inlineStr">
        <is>
          <t>SALA</t>
        </is>
      </c>
      <c r="G312" t="n">
        <v>3.5</v>
      </c>
      <c r="H312" t="n">
        <v>0</v>
      </c>
      <c r="I312" t="n">
        <v>0</v>
      </c>
      <c r="J312" t="n">
        <v>0</v>
      </c>
      <c r="K312" t="n">
        <v>0</v>
      </c>
      <c r="L312" t="n">
        <v>0</v>
      </c>
      <c r="M312" t="n">
        <v>0</v>
      </c>
      <c r="N312" t="n">
        <v>0</v>
      </c>
      <c r="O312" t="n">
        <v>0</v>
      </c>
      <c r="P312" t="n">
        <v>0</v>
      </c>
      <c r="Q312" t="n">
        <v>0</v>
      </c>
      <c r="R312" s="2" t="inlineStr"/>
    </row>
    <row r="313" ht="15" customHeight="1">
      <c r="A313" t="inlineStr">
        <is>
          <t>A 45177-2025</t>
        </is>
      </c>
      <c r="B313" s="1" t="n">
        <v>45919.52444444445</v>
      </c>
      <c r="C313" s="1" t="n">
        <v>46127</v>
      </c>
      <c r="D313" t="inlineStr">
        <is>
          <t>VÄSTMANLANDS LÄN</t>
        </is>
      </c>
      <c r="E313" t="inlineStr">
        <is>
          <t>SALA</t>
        </is>
      </c>
      <c r="G313" t="n">
        <v>2.4</v>
      </c>
      <c r="H313" t="n">
        <v>0</v>
      </c>
      <c r="I313" t="n">
        <v>0</v>
      </c>
      <c r="J313" t="n">
        <v>0</v>
      </c>
      <c r="K313" t="n">
        <v>0</v>
      </c>
      <c r="L313" t="n">
        <v>0</v>
      </c>
      <c r="M313" t="n">
        <v>0</v>
      </c>
      <c r="N313" t="n">
        <v>0</v>
      </c>
      <c r="O313" t="n">
        <v>0</v>
      </c>
      <c r="P313" t="n">
        <v>0</v>
      </c>
      <c r="Q313" t="n">
        <v>0</v>
      </c>
      <c r="R313" s="2" t="inlineStr"/>
    </row>
    <row r="314" ht="15" customHeight="1">
      <c r="A314" t="inlineStr">
        <is>
          <t>A 6127-2025</t>
        </is>
      </c>
      <c r="B314" s="1" t="n">
        <v>45698</v>
      </c>
      <c r="C314" s="1" t="n">
        <v>46127</v>
      </c>
      <c r="D314" t="inlineStr">
        <is>
          <t>VÄSTMANLANDS LÄN</t>
        </is>
      </c>
      <c r="E314" t="inlineStr">
        <is>
          <t>SALA</t>
        </is>
      </c>
      <c r="F314" t="inlineStr">
        <is>
          <t>Bergvik skog öst AB</t>
        </is>
      </c>
      <c r="G314" t="n">
        <v>4.3</v>
      </c>
      <c r="H314" t="n">
        <v>0</v>
      </c>
      <c r="I314" t="n">
        <v>0</v>
      </c>
      <c r="J314" t="n">
        <v>0</v>
      </c>
      <c r="K314" t="n">
        <v>0</v>
      </c>
      <c r="L314" t="n">
        <v>0</v>
      </c>
      <c r="M314" t="n">
        <v>0</v>
      </c>
      <c r="N314" t="n">
        <v>0</v>
      </c>
      <c r="O314" t="n">
        <v>0</v>
      </c>
      <c r="P314" t="n">
        <v>0</v>
      </c>
      <c r="Q314" t="n">
        <v>0</v>
      </c>
      <c r="R314" s="2" t="inlineStr"/>
    </row>
    <row r="315" ht="15" customHeight="1">
      <c r="A315" t="inlineStr">
        <is>
          <t>A 57414-2025</t>
        </is>
      </c>
      <c r="B315" s="1" t="n">
        <v>45980.45003472222</v>
      </c>
      <c r="C315" s="1" t="n">
        <v>46127</v>
      </c>
      <c r="D315" t="inlineStr">
        <is>
          <t>VÄSTMANLANDS LÄN</t>
        </is>
      </c>
      <c r="E315" t="inlineStr">
        <is>
          <t>SALA</t>
        </is>
      </c>
      <c r="F315" t="inlineStr">
        <is>
          <t>Bergvik skog öst AB</t>
        </is>
      </c>
      <c r="G315" t="n">
        <v>2</v>
      </c>
      <c r="H315" t="n">
        <v>0</v>
      </c>
      <c r="I315" t="n">
        <v>0</v>
      </c>
      <c r="J315" t="n">
        <v>0</v>
      </c>
      <c r="K315" t="n">
        <v>0</v>
      </c>
      <c r="L315" t="n">
        <v>0</v>
      </c>
      <c r="M315" t="n">
        <v>0</v>
      </c>
      <c r="N315" t="n">
        <v>0</v>
      </c>
      <c r="O315" t="n">
        <v>0</v>
      </c>
      <c r="P315" t="n">
        <v>0</v>
      </c>
      <c r="Q315" t="n">
        <v>0</v>
      </c>
      <c r="R315" s="2" t="inlineStr"/>
    </row>
    <row r="316" ht="15" customHeight="1">
      <c r="A316" t="inlineStr">
        <is>
          <t>A 57415-2025</t>
        </is>
      </c>
      <c r="B316" s="1" t="n">
        <v>45980.45099537037</v>
      </c>
      <c r="C316" s="1" t="n">
        <v>46127</v>
      </c>
      <c r="D316" t="inlineStr">
        <is>
          <t>VÄSTMANLANDS LÄN</t>
        </is>
      </c>
      <c r="E316" t="inlineStr">
        <is>
          <t>SALA</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57412-2025</t>
        </is>
      </c>
      <c r="B317" s="1" t="n">
        <v>45980.44883101852</v>
      </c>
      <c r="C317" s="1" t="n">
        <v>46127</v>
      </c>
      <c r="D317" t="inlineStr">
        <is>
          <t>VÄSTMANLANDS LÄN</t>
        </is>
      </c>
      <c r="E317" t="inlineStr">
        <is>
          <t>SALA</t>
        </is>
      </c>
      <c r="F317" t="inlineStr">
        <is>
          <t>Bergvik skog öst AB</t>
        </is>
      </c>
      <c r="G317" t="n">
        <v>4.5</v>
      </c>
      <c r="H317" t="n">
        <v>0</v>
      </c>
      <c r="I317" t="n">
        <v>0</v>
      </c>
      <c r="J317" t="n">
        <v>0</v>
      </c>
      <c r="K317" t="n">
        <v>0</v>
      </c>
      <c r="L317" t="n">
        <v>0</v>
      </c>
      <c r="M317" t="n">
        <v>0</v>
      </c>
      <c r="N317" t="n">
        <v>0</v>
      </c>
      <c r="O317" t="n">
        <v>0</v>
      </c>
      <c r="P317" t="n">
        <v>0</v>
      </c>
      <c r="Q317" t="n">
        <v>0</v>
      </c>
      <c r="R317" s="2" t="inlineStr"/>
    </row>
    <row r="318" ht="15" customHeight="1">
      <c r="A318" t="inlineStr">
        <is>
          <t>A 29691-2025</t>
        </is>
      </c>
      <c r="B318" s="1" t="n">
        <v>45825.53645833334</v>
      </c>
      <c r="C318" s="1" t="n">
        <v>46127</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60541-2024</t>
        </is>
      </c>
      <c r="B319" s="1" t="n">
        <v>45643</v>
      </c>
      <c r="C319" s="1" t="n">
        <v>46127</v>
      </c>
      <c r="D319" t="inlineStr">
        <is>
          <t>VÄSTMANLANDS LÄN</t>
        </is>
      </c>
      <c r="E319" t="inlineStr">
        <is>
          <t>SALA</t>
        </is>
      </c>
      <c r="G319" t="n">
        <v>10.6</v>
      </c>
      <c r="H319" t="n">
        <v>0</v>
      </c>
      <c r="I319" t="n">
        <v>0</v>
      </c>
      <c r="J319" t="n">
        <v>0</v>
      </c>
      <c r="K319" t="n">
        <v>0</v>
      </c>
      <c r="L319" t="n">
        <v>0</v>
      </c>
      <c r="M319" t="n">
        <v>0</v>
      </c>
      <c r="N319" t="n">
        <v>0</v>
      </c>
      <c r="O319" t="n">
        <v>0</v>
      </c>
      <c r="P319" t="n">
        <v>0</v>
      </c>
      <c r="Q319" t="n">
        <v>0</v>
      </c>
      <c r="R319" s="2" t="inlineStr"/>
    </row>
    <row r="320" ht="15" customHeight="1">
      <c r="A320" t="inlineStr">
        <is>
          <t>A 988-2025</t>
        </is>
      </c>
      <c r="B320" s="1" t="n">
        <v>45666.44038194444</v>
      </c>
      <c r="C320" s="1" t="n">
        <v>46127</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43122-2025</t>
        </is>
      </c>
      <c r="B321" s="1" t="n">
        <v>45909</v>
      </c>
      <c r="C321" s="1" t="n">
        <v>46127</v>
      </c>
      <c r="D321" t="inlineStr">
        <is>
          <t>VÄSTMANLANDS LÄN</t>
        </is>
      </c>
      <c r="E321" t="inlineStr">
        <is>
          <t>SALA</t>
        </is>
      </c>
      <c r="G321" t="n">
        <v>3.2</v>
      </c>
      <c r="H321" t="n">
        <v>0</v>
      </c>
      <c r="I321" t="n">
        <v>0</v>
      </c>
      <c r="J321" t="n">
        <v>0</v>
      </c>
      <c r="K321" t="n">
        <v>0</v>
      </c>
      <c r="L321" t="n">
        <v>0</v>
      </c>
      <c r="M321" t="n">
        <v>0</v>
      </c>
      <c r="N321" t="n">
        <v>0</v>
      </c>
      <c r="O321" t="n">
        <v>0</v>
      </c>
      <c r="P321" t="n">
        <v>0</v>
      </c>
      <c r="Q321" t="n">
        <v>0</v>
      </c>
      <c r="R321" s="2" t="inlineStr"/>
    </row>
    <row r="322" ht="15" customHeight="1">
      <c r="A322" t="inlineStr">
        <is>
          <t>A 60328-2024</t>
        </is>
      </c>
      <c r="B322" s="1" t="n">
        <v>45643.38416666666</v>
      </c>
      <c r="C322" s="1" t="n">
        <v>46127</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35016-2024</t>
        </is>
      </c>
      <c r="B323" s="1" t="n">
        <v>45527.59115740741</v>
      </c>
      <c r="C323" s="1" t="n">
        <v>46127</v>
      </c>
      <c r="D323" t="inlineStr">
        <is>
          <t>VÄSTMANLANDS LÄN</t>
        </is>
      </c>
      <c r="E323" t="inlineStr">
        <is>
          <t>SALA</t>
        </is>
      </c>
      <c r="G323" t="n">
        <v>0.4</v>
      </c>
      <c r="H323" t="n">
        <v>0</v>
      </c>
      <c r="I323" t="n">
        <v>0</v>
      </c>
      <c r="J323" t="n">
        <v>0</v>
      </c>
      <c r="K323" t="n">
        <v>0</v>
      </c>
      <c r="L323" t="n">
        <v>0</v>
      </c>
      <c r="M323" t="n">
        <v>0</v>
      </c>
      <c r="N323" t="n">
        <v>0</v>
      </c>
      <c r="O323" t="n">
        <v>0</v>
      </c>
      <c r="P323" t="n">
        <v>0</v>
      </c>
      <c r="Q323" t="n">
        <v>0</v>
      </c>
      <c r="R323" s="2" t="inlineStr"/>
    </row>
    <row r="324" ht="15" customHeight="1">
      <c r="A324" t="inlineStr">
        <is>
          <t>A 25897-2024</t>
        </is>
      </c>
      <c r="B324" s="1" t="n">
        <v>45467.54435185185</v>
      </c>
      <c r="C324" s="1" t="n">
        <v>46127</v>
      </c>
      <c r="D324" t="inlineStr">
        <is>
          <t>VÄSTMANLANDS LÄN</t>
        </is>
      </c>
      <c r="E324" t="inlineStr">
        <is>
          <t>SALA</t>
        </is>
      </c>
      <c r="G324" t="n">
        <v>9.9</v>
      </c>
      <c r="H324" t="n">
        <v>0</v>
      </c>
      <c r="I324" t="n">
        <v>0</v>
      </c>
      <c r="J324" t="n">
        <v>0</v>
      </c>
      <c r="K324" t="n">
        <v>0</v>
      </c>
      <c r="L324" t="n">
        <v>0</v>
      </c>
      <c r="M324" t="n">
        <v>0</v>
      </c>
      <c r="N324" t="n">
        <v>0</v>
      </c>
      <c r="O324" t="n">
        <v>0</v>
      </c>
      <c r="P324" t="n">
        <v>0</v>
      </c>
      <c r="Q324" t="n">
        <v>0</v>
      </c>
      <c r="R324" s="2" t="inlineStr"/>
    </row>
    <row r="325" ht="15" customHeight="1">
      <c r="A325" t="inlineStr">
        <is>
          <t>A 31072-2021</t>
        </is>
      </c>
      <c r="B325" s="1" t="n">
        <v>44368</v>
      </c>
      <c r="C325" s="1" t="n">
        <v>46127</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29826-2025</t>
        </is>
      </c>
      <c r="B326" s="1" t="n">
        <v>45825.85761574074</v>
      </c>
      <c r="C326" s="1" t="n">
        <v>46127</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45371-2025</t>
        </is>
      </c>
      <c r="B327" s="1" t="n">
        <v>45922.39001157408</v>
      </c>
      <c r="C327" s="1" t="n">
        <v>46127</v>
      </c>
      <c r="D327" t="inlineStr">
        <is>
          <t>VÄSTMANLANDS LÄN</t>
        </is>
      </c>
      <c r="E327" t="inlineStr">
        <is>
          <t>SALA</t>
        </is>
      </c>
      <c r="G327" t="n">
        <v>2.1</v>
      </c>
      <c r="H327" t="n">
        <v>0</v>
      </c>
      <c r="I327" t="n">
        <v>0</v>
      </c>
      <c r="J327" t="n">
        <v>0</v>
      </c>
      <c r="K327" t="n">
        <v>0</v>
      </c>
      <c r="L327" t="n">
        <v>0</v>
      </c>
      <c r="M327" t="n">
        <v>0</v>
      </c>
      <c r="N327" t="n">
        <v>0</v>
      </c>
      <c r="O327" t="n">
        <v>0</v>
      </c>
      <c r="P327" t="n">
        <v>0</v>
      </c>
      <c r="Q327" t="n">
        <v>0</v>
      </c>
      <c r="R327" s="2" t="inlineStr"/>
    </row>
    <row r="328" ht="15" customHeight="1">
      <c r="A328" t="inlineStr">
        <is>
          <t>A 57371-2022</t>
        </is>
      </c>
      <c r="B328" s="1" t="n">
        <v>44896.43832175926</v>
      </c>
      <c r="C328" s="1" t="n">
        <v>46127</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22019-2021</t>
        </is>
      </c>
      <c r="B329" s="1" t="n">
        <v>44323</v>
      </c>
      <c r="C329" s="1" t="n">
        <v>46127</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55784-2024</t>
        </is>
      </c>
      <c r="B330" s="1" t="n">
        <v>45623</v>
      </c>
      <c r="C330" s="1" t="n">
        <v>46127</v>
      </c>
      <c r="D330" t="inlineStr">
        <is>
          <t>VÄSTMANLANDS LÄN</t>
        </is>
      </c>
      <c r="E330" t="inlineStr">
        <is>
          <t>SALA</t>
        </is>
      </c>
      <c r="F330" t="inlineStr">
        <is>
          <t>Bergvik skog öst AB</t>
        </is>
      </c>
      <c r="G330" t="n">
        <v>28.4</v>
      </c>
      <c r="H330" t="n">
        <v>0</v>
      </c>
      <c r="I330" t="n">
        <v>0</v>
      </c>
      <c r="J330" t="n">
        <v>0</v>
      </c>
      <c r="K330" t="n">
        <v>0</v>
      </c>
      <c r="L330" t="n">
        <v>0</v>
      </c>
      <c r="M330" t="n">
        <v>0</v>
      </c>
      <c r="N330" t="n">
        <v>0</v>
      </c>
      <c r="O330" t="n">
        <v>0</v>
      </c>
      <c r="P330" t="n">
        <v>0</v>
      </c>
      <c r="Q330" t="n">
        <v>0</v>
      </c>
      <c r="R330" s="2" t="inlineStr"/>
    </row>
    <row r="331" ht="15" customHeight="1">
      <c r="A331" t="inlineStr">
        <is>
          <t>A 45914-2025</t>
        </is>
      </c>
      <c r="B331" s="1" t="n">
        <v>45923.82582175926</v>
      </c>
      <c r="C331" s="1" t="n">
        <v>46127</v>
      </c>
      <c r="D331" t="inlineStr">
        <is>
          <t>VÄSTMANLANDS LÄN</t>
        </is>
      </c>
      <c r="E331" t="inlineStr">
        <is>
          <t>SALA</t>
        </is>
      </c>
      <c r="F331" t="inlineStr">
        <is>
          <t>Kommuner</t>
        </is>
      </c>
      <c r="G331" t="n">
        <v>18.2</v>
      </c>
      <c r="H331" t="n">
        <v>0</v>
      </c>
      <c r="I331" t="n">
        <v>0</v>
      </c>
      <c r="J331" t="n">
        <v>0</v>
      </c>
      <c r="K331" t="n">
        <v>0</v>
      </c>
      <c r="L331" t="n">
        <v>0</v>
      </c>
      <c r="M331" t="n">
        <v>0</v>
      </c>
      <c r="N331" t="n">
        <v>0</v>
      </c>
      <c r="O331" t="n">
        <v>0</v>
      </c>
      <c r="P331" t="n">
        <v>0</v>
      </c>
      <c r="Q331" t="n">
        <v>0</v>
      </c>
      <c r="R331" s="2" t="inlineStr"/>
    </row>
    <row r="332" ht="15" customHeight="1">
      <c r="A332" t="inlineStr">
        <is>
          <t>A 58359-2025</t>
        </is>
      </c>
      <c r="B332" s="1" t="n">
        <v>45985.51594907408</v>
      </c>
      <c r="C332" s="1" t="n">
        <v>46127</v>
      </c>
      <c r="D332" t="inlineStr">
        <is>
          <t>VÄSTMANLANDS LÄN</t>
        </is>
      </c>
      <c r="E332" t="inlineStr">
        <is>
          <t>SALA</t>
        </is>
      </c>
      <c r="G332" t="n">
        <v>3.7</v>
      </c>
      <c r="H332" t="n">
        <v>0</v>
      </c>
      <c r="I332" t="n">
        <v>0</v>
      </c>
      <c r="J332" t="n">
        <v>0</v>
      </c>
      <c r="K332" t="n">
        <v>0</v>
      </c>
      <c r="L332" t="n">
        <v>0</v>
      </c>
      <c r="M332" t="n">
        <v>0</v>
      </c>
      <c r="N332" t="n">
        <v>0</v>
      </c>
      <c r="O332" t="n">
        <v>0</v>
      </c>
      <c r="P332" t="n">
        <v>0</v>
      </c>
      <c r="Q332" t="n">
        <v>0</v>
      </c>
      <c r="R332" s="2" t="inlineStr"/>
    </row>
    <row r="333" ht="15" customHeight="1">
      <c r="A333" t="inlineStr">
        <is>
          <t>A 58364-2025</t>
        </is>
      </c>
      <c r="B333" s="1" t="n">
        <v>45985.5228125</v>
      </c>
      <c r="C333" s="1" t="n">
        <v>46127</v>
      </c>
      <c r="D333" t="inlineStr">
        <is>
          <t>VÄSTMANLANDS LÄN</t>
        </is>
      </c>
      <c r="E333" t="inlineStr">
        <is>
          <t>SALA</t>
        </is>
      </c>
      <c r="G333" t="n">
        <v>2.1</v>
      </c>
      <c r="H333" t="n">
        <v>0</v>
      </c>
      <c r="I333" t="n">
        <v>0</v>
      </c>
      <c r="J333" t="n">
        <v>0</v>
      </c>
      <c r="K333" t="n">
        <v>0</v>
      </c>
      <c r="L333" t="n">
        <v>0</v>
      </c>
      <c r="M333" t="n">
        <v>0</v>
      </c>
      <c r="N333" t="n">
        <v>0</v>
      </c>
      <c r="O333" t="n">
        <v>0</v>
      </c>
      <c r="P333" t="n">
        <v>0</v>
      </c>
      <c r="Q333" t="n">
        <v>0</v>
      </c>
      <c r="R333" s="2" t="inlineStr"/>
    </row>
    <row r="334" ht="15" customHeight="1">
      <c r="A334" t="inlineStr">
        <is>
          <t>A 19803-2024</t>
        </is>
      </c>
      <c r="B334" s="1" t="n">
        <v>45432</v>
      </c>
      <c r="C334" s="1" t="n">
        <v>46127</v>
      </c>
      <c r="D334" t="inlineStr">
        <is>
          <t>VÄSTMANLANDS LÄN</t>
        </is>
      </c>
      <c r="E334" t="inlineStr">
        <is>
          <t>SALA</t>
        </is>
      </c>
      <c r="G334" t="n">
        <v>3.1</v>
      </c>
      <c r="H334" t="n">
        <v>0</v>
      </c>
      <c r="I334" t="n">
        <v>0</v>
      </c>
      <c r="J334" t="n">
        <v>0</v>
      </c>
      <c r="K334" t="n">
        <v>0</v>
      </c>
      <c r="L334" t="n">
        <v>0</v>
      </c>
      <c r="M334" t="n">
        <v>0</v>
      </c>
      <c r="N334" t="n">
        <v>0</v>
      </c>
      <c r="O334" t="n">
        <v>0</v>
      </c>
      <c r="P334" t="n">
        <v>0</v>
      </c>
      <c r="Q334" t="n">
        <v>0</v>
      </c>
      <c r="R334" s="2" t="inlineStr"/>
    </row>
    <row r="335" ht="15" customHeight="1">
      <c r="A335" t="inlineStr">
        <is>
          <t>A 45909-2025</t>
        </is>
      </c>
      <c r="B335" s="1" t="n">
        <v>45923.75078703704</v>
      </c>
      <c r="C335" s="1" t="n">
        <v>46127</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31608-2025</t>
        </is>
      </c>
      <c r="B336" s="1" t="n">
        <v>45833</v>
      </c>
      <c r="C336" s="1" t="n">
        <v>46127</v>
      </c>
      <c r="D336" t="inlineStr">
        <is>
          <t>VÄSTMANLANDS LÄN</t>
        </is>
      </c>
      <c r="E336" t="inlineStr">
        <is>
          <t>SALA</t>
        </is>
      </c>
      <c r="G336" t="n">
        <v>6.1</v>
      </c>
      <c r="H336" t="n">
        <v>0</v>
      </c>
      <c r="I336" t="n">
        <v>0</v>
      </c>
      <c r="J336" t="n">
        <v>0</v>
      </c>
      <c r="K336" t="n">
        <v>0</v>
      </c>
      <c r="L336" t="n">
        <v>0</v>
      </c>
      <c r="M336" t="n">
        <v>0</v>
      </c>
      <c r="N336" t="n">
        <v>0</v>
      </c>
      <c r="O336" t="n">
        <v>0</v>
      </c>
      <c r="P336" t="n">
        <v>0</v>
      </c>
      <c r="Q336" t="n">
        <v>0</v>
      </c>
      <c r="R336" s="2" t="inlineStr"/>
    </row>
    <row r="337" ht="15" customHeight="1">
      <c r="A337" t="inlineStr">
        <is>
          <t>A 30866-2025</t>
        </is>
      </c>
      <c r="B337" s="1" t="n">
        <v>45832.3246875</v>
      </c>
      <c r="C337" s="1" t="n">
        <v>46127</v>
      </c>
      <c r="D337" t="inlineStr">
        <is>
          <t>VÄSTMANLANDS LÄN</t>
        </is>
      </c>
      <c r="E337" t="inlineStr">
        <is>
          <t>SALA</t>
        </is>
      </c>
      <c r="G337" t="n">
        <v>14.3</v>
      </c>
      <c r="H337" t="n">
        <v>0</v>
      </c>
      <c r="I337" t="n">
        <v>0</v>
      </c>
      <c r="J337" t="n">
        <v>0</v>
      </c>
      <c r="K337" t="n">
        <v>0</v>
      </c>
      <c r="L337" t="n">
        <v>0</v>
      </c>
      <c r="M337" t="n">
        <v>0</v>
      </c>
      <c r="N337" t="n">
        <v>0</v>
      </c>
      <c r="O337" t="n">
        <v>0</v>
      </c>
      <c r="P337" t="n">
        <v>0</v>
      </c>
      <c r="Q337" t="n">
        <v>0</v>
      </c>
      <c r="R337" s="2" t="inlineStr"/>
    </row>
    <row r="338" ht="15" customHeight="1">
      <c r="A338" t="inlineStr">
        <is>
          <t>A 30874-2025</t>
        </is>
      </c>
      <c r="B338" s="1" t="n">
        <v>45832.34430555555</v>
      </c>
      <c r="C338" s="1" t="n">
        <v>46127</v>
      </c>
      <c r="D338" t="inlineStr">
        <is>
          <t>VÄSTMANLANDS LÄN</t>
        </is>
      </c>
      <c r="E338" t="inlineStr">
        <is>
          <t>SALA</t>
        </is>
      </c>
      <c r="G338" t="n">
        <v>8.4</v>
      </c>
      <c r="H338" t="n">
        <v>0</v>
      </c>
      <c r="I338" t="n">
        <v>0</v>
      </c>
      <c r="J338" t="n">
        <v>0</v>
      </c>
      <c r="K338" t="n">
        <v>0</v>
      </c>
      <c r="L338" t="n">
        <v>0</v>
      </c>
      <c r="M338" t="n">
        <v>0</v>
      </c>
      <c r="N338" t="n">
        <v>0</v>
      </c>
      <c r="O338" t="n">
        <v>0</v>
      </c>
      <c r="P338" t="n">
        <v>0</v>
      </c>
      <c r="Q338" t="n">
        <v>0</v>
      </c>
      <c r="R338" s="2" t="inlineStr"/>
    </row>
    <row r="339" ht="15" customHeight="1">
      <c r="A339" t="inlineStr">
        <is>
          <t>A 31573-2025</t>
        </is>
      </c>
      <c r="B339" s="1" t="n">
        <v>45833</v>
      </c>
      <c r="C339" s="1" t="n">
        <v>46127</v>
      </c>
      <c r="D339" t="inlineStr">
        <is>
          <t>VÄSTMANLANDS LÄN</t>
        </is>
      </c>
      <c r="E339" t="inlineStr">
        <is>
          <t>SALA</t>
        </is>
      </c>
      <c r="G339" t="n">
        <v>0.6</v>
      </c>
      <c r="H339" t="n">
        <v>0</v>
      </c>
      <c r="I339" t="n">
        <v>0</v>
      </c>
      <c r="J339" t="n">
        <v>0</v>
      </c>
      <c r="K339" t="n">
        <v>0</v>
      </c>
      <c r="L339" t="n">
        <v>0</v>
      </c>
      <c r="M339" t="n">
        <v>0</v>
      </c>
      <c r="N339" t="n">
        <v>0</v>
      </c>
      <c r="O339" t="n">
        <v>0</v>
      </c>
      <c r="P339" t="n">
        <v>0</v>
      </c>
      <c r="Q339" t="n">
        <v>0</v>
      </c>
      <c r="R339" s="2" t="inlineStr"/>
    </row>
    <row r="340" ht="15" customHeight="1">
      <c r="A340" t="inlineStr">
        <is>
          <t>A 58282-2025</t>
        </is>
      </c>
      <c r="B340" s="1" t="n">
        <v>45985.44309027777</v>
      </c>
      <c r="C340" s="1" t="n">
        <v>46127</v>
      </c>
      <c r="D340" t="inlineStr">
        <is>
          <t>VÄSTMANLANDS LÄN</t>
        </is>
      </c>
      <c r="E340" t="inlineStr">
        <is>
          <t>SALA</t>
        </is>
      </c>
      <c r="G340" t="n">
        <v>8.9</v>
      </c>
      <c r="H340" t="n">
        <v>0</v>
      </c>
      <c r="I340" t="n">
        <v>0</v>
      </c>
      <c r="J340" t="n">
        <v>0</v>
      </c>
      <c r="K340" t="n">
        <v>0</v>
      </c>
      <c r="L340" t="n">
        <v>0</v>
      </c>
      <c r="M340" t="n">
        <v>0</v>
      </c>
      <c r="N340" t="n">
        <v>0</v>
      </c>
      <c r="O340" t="n">
        <v>0</v>
      </c>
      <c r="P340" t="n">
        <v>0</v>
      </c>
      <c r="Q340" t="n">
        <v>0</v>
      </c>
      <c r="R340" s="2" t="inlineStr"/>
    </row>
    <row r="341" ht="15" customHeight="1">
      <c r="A341" t="inlineStr">
        <is>
          <t>A 7196-2025</t>
        </is>
      </c>
      <c r="B341" s="1" t="n">
        <v>45702</v>
      </c>
      <c r="C341" s="1" t="n">
        <v>46127</v>
      </c>
      <c r="D341" t="inlineStr">
        <is>
          <t>VÄSTMANLANDS LÄN</t>
        </is>
      </c>
      <c r="E341" t="inlineStr">
        <is>
          <t>SALA</t>
        </is>
      </c>
      <c r="G341" t="n">
        <v>1.3</v>
      </c>
      <c r="H341" t="n">
        <v>0</v>
      </c>
      <c r="I341" t="n">
        <v>0</v>
      </c>
      <c r="J341" t="n">
        <v>0</v>
      </c>
      <c r="K341" t="n">
        <v>0</v>
      </c>
      <c r="L341" t="n">
        <v>0</v>
      </c>
      <c r="M341" t="n">
        <v>0</v>
      </c>
      <c r="N341" t="n">
        <v>0</v>
      </c>
      <c r="O341" t="n">
        <v>0</v>
      </c>
      <c r="P341" t="n">
        <v>0</v>
      </c>
      <c r="Q341" t="n">
        <v>0</v>
      </c>
      <c r="R341" s="2" t="inlineStr"/>
    </row>
    <row r="342" ht="15" customHeight="1">
      <c r="A342" t="inlineStr">
        <is>
          <t>A 31288-2025</t>
        </is>
      </c>
      <c r="B342" s="1" t="n">
        <v>45833</v>
      </c>
      <c r="C342" s="1" t="n">
        <v>46127</v>
      </c>
      <c r="D342" t="inlineStr">
        <is>
          <t>VÄSTMANLANDS LÄN</t>
        </is>
      </c>
      <c r="E342" t="inlineStr">
        <is>
          <t>SALA</t>
        </is>
      </c>
      <c r="G342" t="n">
        <v>3.1</v>
      </c>
      <c r="H342" t="n">
        <v>0</v>
      </c>
      <c r="I342" t="n">
        <v>0</v>
      </c>
      <c r="J342" t="n">
        <v>0</v>
      </c>
      <c r="K342" t="n">
        <v>0</v>
      </c>
      <c r="L342" t="n">
        <v>0</v>
      </c>
      <c r="M342" t="n">
        <v>0</v>
      </c>
      <c r="N342" t="n">
        <v>0</v>
      </c>
      <c r="O342" t="n">
        <v>0</v>
      </c>
      <c r="P342" t="n">
        <v>0</v>
      </c>
      <c r="Q342" t="n">
        <v>0</v>
      </c>
      <c r="R342" s="2" t="inlineStr"/>
    </row>
    <row r="343" ht="15" customHeight="1">
      <c r="A343" t="inlineStr">
        <is>
          <t>A 31554-2025</t>
        </is>
      </c>
      <c r="B343" s="1" t="n">
        <v>45833</v>
      </c>
      <c r="C343" s="1" t="n">
        <v>46127</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46915-2025</t>
        </is>
      </c>
      <c r="B344" s="1" t="n">
        <v>45929.42114583333</v>
      </c>
      <c r="C344" s="1" t="n">
        <v>46127</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30899-2025</t>
        </is>
      </c>
      <c r="B345" s="1" t="n">
        <v>45832.35767361111</v>
      </c>
      <c r="C345" s="1" t="n">
        <v>46127</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40597-2022</t>
        </is>
      </c>
      <c r="B346" s="1" t="n">
        <v>44823.84862268518</v>
      </c>
      <c r="C346" s="1" t="n">
        <v>46127</v>
      </c>
      <c r="D346" t="inlineStr">
        <is>
          <t>VÄSTMANLANDS LÄN</t>
        </is>
      </c>
      <c r="E346" t="inlineStr">
        <is>
          <t>SALA</t>
        </is>
      </c>
      <c r="G346" t="n">
        <v>3.5</v>
      </c>
      <c r="H346" t="n">
        <v>0</v>
      </c>
      <c r="I346" t="n">
        <v>0</v>
      </c>
      <c r="J346" t="n">
        <v>0</v>
      </c>
      <c r="K346" t="n">
        <v>0</v>
      </c>
      <c r="L346" t="n">
        <v>0</v>
      </c>
      <c r="M346" t="n">
        <v>0</v>
      </c>
      <c r="N346" t="n">
        <v>0</v>
      </c>
      <c r="O346" t="n">
        <v>0</v>
      </c>
      <c r="P346" t="n">
        <v>0</v>
      </c>
      <c r="Q346" t="n">
        <v>0</v>
      </c>
      <c r="R346" s="2" t="inlineStr"/>
    </row>
    <row r="347" ht="15" customHeight="1">
      <c r="A347" t="inlineStr">
        <is>
          <t>A 55760-2025</t>
        </is>
      </c>
      <c r="B347" s="1" t="n">
        <v>45972</v>
      </c>
      <c r="C347" s="1" t="n">
        <v>46127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58357-2025</t>
        </is>
      </c>
      <c r="B348" s="1" t="n">
        <v>45985.51518518518</v>
      </c>
      <c r="C348" s="1" t="n">
        <v>46127</v>
      </c>
      <c r="D348" t="inlineStr">
        <is>
          <t>VÄSTMANLANDS LÄN</t>
        </is>
      </c>
      <c r="E348" t="inlineStr">
        <is>
          <t>SALA</t>
        </is>
      </c>
      <c r="G348" t="n">
        <v>3</v>
      </c>
      <c r="H348" t="n">
        <v>0</v>
      </c>
      <c r="I348" t="n">
        <v>0</v>
      </c>
      <c r="J348" t="n">
        <v>0</v>
      </c>
      <c r="K348" t="n">
        <v>0</v>
      </c>
      <c r="L348" t="n">
        <v>0</v>
      </c>
      <c r="M348" t="n">
        <v>0</v>
      </c>
      <c r="N348" t="n">
        <v>0</v>
      </c>
      <c r="O348" t="n">
        <v>0</v>
      </c>
      <c r="P348" t="n">
        <v>0</v>
      </c>
      <c r="Q348" t="n">
        <v>0</v>
      </c>
      <c r="R348" s="2" t="inlineStr"/>
    </row>
    <row r="349" ht="15" customHeight="1">
      <c r="A349" t="inlineStr">
        <is>
          <t>A 31065-2025</t>
        </is>
      </c>
      <c r="B349" s="1" t="n">
        <v>45832.57571759259</v>
      </c>
      <c r="C349" s="1" t="n">
        <v>46127</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46597-2025</t>
        </is>
      </c>
      <c r="B350" s="1" t="n">
        <v>45926.40113425926</v>
      </c>
      <c r="C350" s="1" t="n">
        <v>46127</v>
      </c>
      <c r="D350" t="inlineStr">
        <is>
          <t>VÄSTMANLANDS LÄN</t>
        </is>
      </c>
      <c r="E350" t="inlineStr">
        <is>
          <t>SALA</t>
        </is>
      </c>
      <c r="G350" t="n">
        <v>3.4</v>
      </c>
      <c r="H350" t="n">
        <v>0</v>
      </c>
      <c r="I350" t="n">
        <v>0</v>
      </c>
      <c r="J350" t="n">
        <v>0</v>
      </c>
      <c r="K350" t="n">
        <v>0</v>
      </c>
      <c r="L350" t="n">
        <v>0</v>
      </c>
      <c r="M350" t="n">
        <v>0</v>
      </c>
      <c r="N350" t="n">
        <v>0</v>
      </c>
      <c r="O350" t="n">
        <v>0</v>
      </c>
      <c r="P350" t="n">
        <v>0</v>
      </c>
      <c r="Q350" t="n">
        <v>0</v>
      </c>
      <c r="R350" s="2" t="inlineStr"/>
    </row>
    <row r="351" ht="15" customHeight="1">
      <c r="A351" t="inlineStr">
        <is>
          <t>A 31296-2025</t>
        </is>
      </c>
      <c r="B351" s="1" t="n">
        <v>45833.36765046296</v>
      </c>
      <c r="C351" s="1" t="n">
        <v>46127</v>
      </c>
      <c r="D351" t="inlineStr">
        <is>
          <t>VÄSTMANLANDS LÄN</t>
        </is>
      </c>
      <c r="E351" t="inlineStr">
        <is>
          <t>SALA</t>
        </is>
      </c>
      <c r="G351" t="n">
        <v>3.7</v>
      </c>
      <c r="H351" t="n">
        <v>0</v>
      </c>
      <c r="I351" t="n">
        <v>0</v>
      </c>
      <c r="J351" t="n">
        <v>0</v>
      </c>
      <c r="K351" t="n">
        <v>0</v>
      </c>
      <c r="L351" t="n">
        <v>0</v>
      </c>
      <c r="M351" t="n">
        <v>0</v>
      </c>
      <c r="N351" t="n">
        <v>0</v>
      </c>
      <c r="O351" t="n">
        <v>0</v>
      </c>
      <c r="P351" t="n">
        <v>0</v>
      </c>
      <c r="Q351" t="n">
        <v>0</v>
      </c>
      <c r="R351" s="2" t="inlineStr"/>
    </row>
    <row r="352" ht="15" customHeight="1">
      <c r="A352" t="inlineStr">
        <is>
          <t>A 58365-2025</t>
        </is>
      </c>
      <c r="B352" s="1" t="n">
        <v>45985.52288194445</v>
      </c>
      <c r="C352" s="1" t="n">
        <v>46127</v>
      </c>
      <c r="D352" t="inlineStr">
        <is>
          <t>VÄSTMANLANDS LÄN</t>
        </is>
      </c>
      <c r="E352" t="inlineStr">
        <is>
          <t>SALA</t>
        </is>
      </c>
      <c r="G352" t="n">
        <v>3.9</v>
      </c>
      <c r="H352" t="n">
        <v>0</v>
      </c>
      <c r="I352" t="n">
        <v>0</v>
      </c>
      <c r="J352" t="n">
        <v>0</v>
      </c>
      <c r="K352" t="n">
        <v>0</v>
      </c>
      <c r="L352" t="n">
        <v>0</v>
      </c>
      <c r="M352" t="n">
        <v>0</v>
      </c>
      <c r="N352" t="n">
        <v>0</v>
      </c>
      <c r="O352" t="n">
        <v>0</v>
      </c>
      <c r="P352" t="n">
        <v>0</v>
      </c>
      <c r="Q352" t="n">
        <v>0</v>
      </c>
      <c r="R352" s="2" t="inlineStr"/>
    </row>
    <row r="353" ht="15" customHeight="1">
      <c r="A353" t="inlineStr">
        <is>
          <t>A 31748-2025</t>
        </is>
      </c>
      <c r="B353" s="1" t="n">
        <v>45834</v>
      </c>
      <c r="C353" s="1" t="n">
        <v>46127</v>
      </c>
      <c r="D353" t="inlineStr">
        <is>
          <t>VÄSTMANLANDS LÄN</t>
        </is>
      </c>
      <c r="E353" t="inlineStr">
        <is>
          <t>SALA</t>
        </is>
      </c>
      <c r="G353" t="n">
        <v>2</v>
      </c>
      <c r="H353" t="n">
        <v>0</v>
      </c>
      <c r="I353" t="n">
        <v>0</v>
      </c>
      <c r="J353" t="n">
        <v>0</v>
      </c>
      <c r="K353" t="n">
        <v>0</v>
      </c>
      <c r="L353" t="n">
        <v>0</v>
      </c>
      <c r="M353" t="n">
        <v>0</v>
      </c>
      <c r="N353" t="n">
        <v>0</v>
      </c>
      <c r="O353" t="n">
        <v>0</v>
      </c>
      <c r="P353" t="n">
        <v>0</v>
      </c>
      <c r="Q353" t="n">
        <v>0</v>
      </c>
      <c r="R353" s="2" t="inlineStr"/>
    </row>
    <row r="354" ht="15" customHeight="1">
      <c r="A354" t="inlineStr">
        <is>
          <t>A 32210-2025</t>
        </is>
      </c>
      <c r="B354" s="1" t="n">
        <v>45835</v>
      </c>
      <c r="C354" s="1" t="n">
        <v>46127</v>
      </c>
      <c r="D354" t="inlineStr">
        <is>
          <t>VÄSTMANLANDS LÄN</t>
        </is>
      </c>
      <c r="E354" t="inlineStr">
        <is>
          <t>SALA</t>
        </is>
      </c>
      <c r="F354" t="inlineStr">
        <is>
          <t>Bergvik skog öst AB</t>
        </is>
      </c>
      <c r="G354" t="n">
        <v>1.5</v>
      </c>
      <c r="H354" t="n">
        <v>0</v>
      </c>
      <c r="I354" t="n">
        <v>0</v>
      </c>
      <c r="J354" t="n">
        <v>0</v>
      </c>
      <c r="K354" t="n">
        <v>0</v>
      </c>
      <c r="L354" t="n">
        <v>0</v>
      </c>
      <c r="M354" t="n">
        <v>0</v>
      </c>
      <c r="N354" t="n">
        <v>0</v>
      </c>
      <c r="O354" t="n">
        <v>0</v>
      </c>
      <c r="P354" t="n">
        <v>0</v>
      </c>
      <c r="Q354" t="n">
        <v>0</v>
      </c>
      <c r="R354" s="2" t="inlineStr"/>
    </row>
    <row r="355" ht="15" customHeight="1">
      <c r="A355" t="inlineStr">
        <is>
          <t>A 64925-2023</t>
        </is>
      </c>
      <c r="B355" s="1" t="n">
        <v>45282</v>
      </c>
      <c r="C355" s="1" t="n">
        <v>46127</v>
      </c>
      <c r="D355" t="inlineStr">
        <is>
          <t>VÄSTMANLANDS LÄN</t>
        </is>
      </c>
      <c r="E355" t="inlineStr">
        <is>
          <t>SALA</t>
        </is>
      </c>
      <c r="G355" t="n">
        <v>2.5</v>
      </c>
      <c r="H355" t="n">
        <v>0</v>
      </c>
      <c r="I355" t="n">
        <v>0</v>
      </c>
      <c r="J355" t="n">
        <v>0</v>
      </c>
      <c r="K355" t="n">
        <v>0</v>
      </c>
      <c r="L355" t="n">
        <v>0</v>
      </c>
      <c r="M355" t="n">
        <v>0</v>
      </c>
      <c r="N355" t="n">
        <v>0</v>
      </c>
      <c r="O355" t="n">
        <v>0</v>
      </c>
      <c r="P355" t="n">
        <v>0</v>
      </c>
      <c r="Q355" t="n">
        <v>0</v>
      </c>
      <c r="R355" s="2" t="inlineStr"/>
    </row>
    <row r="356" ht="15" customHeight="1">
      <c r="A356" t="inlineStr">
        <is>
          <t>A 31610-2025</t>
        </is>
      </c>
      <c r="B356" s="1" t="n">
        <v>45833.78650462963</v>
      </c>
      <c r="C356" s="1" t="n">
        <v>46127</v>
      </c>
      <c r="D356" t="inlineStr">
        <is>
          <t>VÄSTMANLANDS LÄN</t>
        </is>
      </c>
      <c r="E356" t="inlineStr">
        <is>
          <t>SALA</t>
        </is>
      </c>
      <c r="G356" t="n">
        <v>8</v>
      </c>
      <c r="H356" t="n">
        <v>0</v>
      </c>
      <c r="I356" t="n">
        <v>0</v>
      </c>
      <c r="J356" t="n">
        <v>0</v>
      </c>
      <c r="K356" t="n">
        <v>0</v>
      </c>
      <c r="L356" t="n">
        <v>0</v>
      </c>
      <c r="M356" t="n">
        <v>0</v>
      </c>
      <c r="N356" t="n">
        <v>0</v>
      </c>
      <c r="O356" t="n">
        <v>0</v>
      </c>
      <c r="P356" t="n">
        <v>0</v>
      </c>
      <c r="Q356" t="n">
        <v>0</v>
      </c>
      <c r="R356" s="2" t="inlineStr"/>
    </row>
    <row r="357" ht="15" customHeight="1">
      <c r="A357" t="inlineStr">
        <is>
          <t>A 47577-2025</t>
        </is>
      </c>
      <c r="B357" s="1" t="n">
        <v>45931.4047337963</v>
      </c>
      <c r="C357" s="1" t="n">
        <v>46127</v>
      </c>
      <c r="D357" t="inlineStr">
        <is>
          <t>VÄSTMANLANDS LÄN</t>
        </is>
      </c>
      <c r="E357" t="inlineStr">
        <is>
          <t>SALA</t>
        </is>
      </c>
      <c r="G357" t="n">
        <v>3.7</v>
      </c>
      <c r="H357" t="n">
        <v>0</v>
      </c>
      <c r="I357" t="n">
        <v>0</v>
      </c>
      <c r="J357" t="n">
        <v>0</v>
      </c>
      <c r="K357" t="n">
        <v>0</v>
      </c>
      <c r="L357" t="n">
        <v>0</v>
      </c>
      <c r="M357" t="n">
        <v>0</v>
      </c>
      <c r="N357" t="n">
        <v>0</v>
      </c>
      <c r="O357" t="n">
        <v>0</v>
      </c>
      <c r="P357" t="n">
        <v>0</v>
      </c>
      <c r="Q357" t="n">
        <v>0</v>
      </c>
      <c r="R357" s="2" t="inlineStr"/>
    </row>
    <row r="358" ht="15" customHeight="1">
      <c r="A358" t="inlineStr">
        <is>
          <t>A 32201-2025</t>
        </is>
      </c>
      <c r="B358" s="1" t="n">
        <v>45835</v>
      </c>
      <c r="C358" s="1" t="n">
        <v>46127</v>
      </c>
      <c r="D358" t="inlineStr">
        <is>
          <t>VÄSTMANLANDS LÄN</t>
        </is>
      </c>
      <c r="E358" t="inlineStr">
        <is>
          <t>SALA</t>
        </is>
      </c>
      <c r="F358" t="inlineStr">
        <is>
          <t>Bergvik skog öst AB</t>
        </is>
      </c>
      <c r="G358" t="n">
        <v>1.8</v>
      </c>
      <c r="H358" t="n">
        <v>0</v>
      </c>
      <c r="I358" t="n">
        <v>0</v>
      </c>
      <c r="J358" t="n">
        <v>0</v>
      </c>
      <c r="K358" t="n">
        <v>0</v>
      </c>
      <c r="L358" t="n">
        <v>0</v>
      </c>
      <c r="M358" t="n">
        <v>0</v>
      </c>
      <c r="N358" t="n">
        <v>0</v>
      </c>
      <c r="O358" t="n">
        <v>0</v>
      </c>
      <c r="P358" t="n">
        <v>0</v>
      </c>
      <c r="Q358" t="n">
        <v>0</v>
      </c>
      <c r="R358" s="2" t="inlineStr"/>
    </row>
    <row r="359" ht="15" customHeight="1">
      <c r="A359" t="inlineStr">
        <is>
          <t>A 31612-2025</t>
        </is>
      </c>
      <c r="B359" s="1" t="n">
        <v>45833.80056712963</v>
      </c>
      <c r="C359" s="1" t="n">
        <v>46127</v>
      </c>
      <c r="D359" t="inlineStr">
        <is>
          <t>VÄSTMANLANDS LÄN</t>
        </is>
      </c>
      <c r="E359" t="inlineStr">
        <is>
          <t>SALA</t>
        </is>
      </c>
      <c r="G359" t="n">
        <v>6.3</v>
      </c>
      <c r="H359" t="n">
        <v>0</v>
      </c>
      <c r="I359" t="n">
        <v>0</v>
      </c>
      <c r="J359" t="n">
        <v>0</v>
      </c>
      <c r="K359" t="n">
        <v>0</v>
      </c>
      <c r="L359" t="n">
        <v>0</v>
      </c>
      <c r="M359" t="n">
        <v>0</v>
      </c>
      <c r="N359" t="n">
        <v>0</v>
      </c>
      <c r="O359" t="n">
        <v>0</v>
      </c>
      <c r="P359" t="n">
        <v>0</v>
      </c>
      <c r="Q359" t="n">
        <v>0</v>
      </c>
      <c r="R359" s="2" t="inlineStr"/>
    </row>
    <row r="360" ht="15" customHeight="1">
      <c r="A360" t="inlineStr">
        <is>
          <t>A 32207-2025</t>
        </is>
      </c>
      <c r="B360" s="1" t="n">
        <v>45835</v>
      </c>
      <c r="C360" s="1" t="n">
        <v>46127</v>
      </c>
      <c r="D360" t="inlineStr">
        <is>
          <t>VÄSTMANLANDS LÄN</t>
        </is>
      </c>
      <c r="E360" t="inlineStr">
        <is>
          <t>SALA</t>
        </is>
      </c>
      <c r="F360" t="inlineStr">
        <is>
          <t>Bergvik skog öst AB</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23406-2024</t>
        </is>
      </c>
      <c r="B361" s="1" t="n">
        <v>45453.58296296297</v>
      </c>
      <c r="C361" s="1" t="n">
        <v>46127</v>
      </c>
      <c r="D361" t="inlineStr">
        <is>
          <t>VÄSTMANLANDS LÄN</t>
        </is>
      </c>
      <c r="E361" t="inlineStr">
        <is>
          <t>SALA</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31762-2025</t>
        </is>
      </c>
      <c r="B362" s="1" t="n">
        <v>45834.49288194445</v>
      </c>
      <c r="C362" s="1" t="n">
        <v>46127</v>
      </c>
      <c r="D362" t="inlineStr">
        <is>
          <t>VÄSTMANLANDS LÄN</t>
        </is>
      </c>
      <c r="E362" t="inlineStr">
        <is>
          <t>SALA</t>
        </is>
      </c>
      <c r="G362" t="n">
        <v>5.9</v>
      </c>
      <c r="H362" t="n">
        <v>0</v>
      </c>
      <c r="I362" t="n">
        <v>0</v>
      </c>
      <c r="J362" t="n">
        <v>0</v>
      </c>
      <c r="K362" t="n">
        <v>0</v>
      </c>
      <c r="L362" t="n">
        <v>0</v>
      </c>
      <c r="M362" t="n">
        <v>0</v>
      </c>
      <c r="N362" t="n">
        <v>0</v>
      </c>
      <c r="O362" t="n">
        <v>0</v>
      </c>
      <c r="P362" t="n">
        <v>0</v>
      </c>
      <c r="Q362" t="n">
        <v>0</v>
      </c>
      <c r="R362" s="2" t="inlineStr"/>
    </row>
    <row r="363" ht="15" customHeight="1">
      <c r="A363" t="inlineStr">
        <is>
          <t>A 31771-2025</t>
        </is>
      </c>
      <c r="B363" s="1" t="n">
        <v>45834.50910879629</v>
      </c>
      <c r="C363" s="1" t="n">
        <v>46127</v>
      </c>
      <c r="D363" t="inlineStr">
        <is>
          <t>VÄSTMANLANDS LÄN</t>
        </is>
      </c>
      <c r="E363" t="inlineStr">
        <is>
          <t>SALA</t>
        </is>
      </c>
      <c r="G363" t="n">
        <v>5.1</v>
      </c>
      <c r="H363" t="n">
        <v>0</v>
      </c>
      <c r="I363" t="n">
        <v>0</v>
      </c>
      <c r="J363" t="n">
        <v>0</v>
      </c>
      <c r="K363" t="n">
        <v>0</v>
      </c>
      <c r="L363" t="n">
        <v>0</v>
      </c>
      <c r="M363" t="n">
        <v>0</v>
      </c>
      <c r="N363" t="n">
        <v>0</v>
      </c>
      <c r="O363" t="n">
        <v>0</v>
      </c>
      <c r="P363" t="n">
        <v>0</v>
      </c>
      <c r="Q363" t="n">
        <v>0</v>
      </c>
      <c r="R363" s="2" t="inlineStr"/>
    </row>
    <row r="364" ht="15" customHeight="1">
      <c r="A364" t="inlineStr">
        <is>
          <t>A 32205-2025</t>
        </is>
      </c>
      <c r="B364" s="1" t="n">
        <v>45835</v>
      </c>
      <c r="C364" s="1" t="n">
        <v>46127</v>
      </c>
      <c r="D364" t="inlineStr">
        <is>
          <t>VÄSTMANLANDS LÄN</t>
        </is>
      </c>
      <c r="E364" t="inlineStr">
        <is>
          <t>SALA</t>
        </is>
      </c>
      <c r="F364" t="inlineStr">
        <is>
          <t>Bergvik skog öst AB</t>
        </is>
      </c>
      <c r="G364" t="n">
        <v>1.1</v>
      </c>
      <c r="H364" t="n">
        <v>0</v>
      </c>
      <c r="I364" t="n">
        <v>0</v>
      </c>
      <c r="J364" t="n">
        <v>0</v>
      </c>
      <c r="K364" t="n">
        <v>0</v>
      </c>
      <c r="L364" t="n">
        <v>0</v>
      </c>
      <c r="M364" t="n">
        <v>0</v>
      </c>
      <c r="N364" t="n">
        <v>0</v>
      </c>
      <c r="O364" t="n">
        <v>0</v>
      </c>
      <c r="P364" t="n">
        <v>0</v>
      </c>
      <c r="Q364" t="n">
        <v>0</v>
      </c>
      <c r="R364" s="2" t="inlineStr"/>
    </row>
    <row r="365" ht="15" customHeight="1">
      <c r="A365" t="inlineStr">
        <is>
          <t>A 32286-2025</t>
        </is>
      </c>
      <c r="B365" s="1" t="n">
        <v>45835</v>
      </c>
      <c r="C365" s="1" t="n">
        <v>46127</v>
      </c>
      <c r="D365" t="inlineStr">
        <is>
          <t>VÄSTMANLANDS LÄN</t>
        </is>
      </c>
      <c r="E365" t="inlineStr">
        <is>
          <t>SALA</t>
        </is>
      </c>
      <c r="G365" t="n">
        <v>6.4</v>
      </c>
      <c r="H365" t="n">
        <v>0</v>
      </c>
      <c r="I365" t="n">
        <v>0</v>
      </c>
      <c r="J365" t="n">
        <v>0</v>
      </c>
      <c r="K365" t="n">
        <v>0</v>
      </c>
      <c r="L365" t="n">
        <v>0</v>
      </c>
      <c r="M365" t="n">
        <v>0</v>
      </c>
      <c r="N365" t="n">
        <v>0</v>
      </c>
      <c r="O365" t="n">
        <v>0</v>
      </c>
      <c r="P365" t="n">
        <v>0</v>
      </c>
      <c r="Q365" t="n">
        <v>0</v>
      </c>
      <c r="R365" s="2" t="inlineStr"/>
    </row>
    <row r="366" ht="15" customHeight="1">
      <c r="A366" t="inlineStr">
        <is>
          <t>A 46661-2025</t>
        </is>
      </c>
      <c r="B366" s="1" t="n">
        <v>45926</v>
      </c>
      <c r="C366" s="1" t="n">
        <v>46127</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16133-2025</t>
        </is>
      </c>
      <c r="B367" s="1" t="n">
        <v>45750</v>
      </c>
      <c r="C367" s="1" t="n">
        <v>46127</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15099-2025</t>
        </is>
      </c>
      <c r="B368" s="1" t="n">
        <v>45744.3434837963</v>
      </c>
      <c r="C368" s="1" t="n">
        <v>46127</v>
      </c>
      <c r="D368" t="inlineStr">
        <is>
          <t>VÄSTMANLANDS LÄN</t>
        </is>
      </c>
      <c r="E368" t="inlineStr">
        <is>
          <t>SALA</t>
        </is>
      </c>
      <c r="F368" t="inlineStr">
        <is>
          <t>Sveaskog</t>
        </is>
      </c>
      <c r="G368" t="n">
        <v>14.4</v>
      </c>
      <c r="H368" t="n">
        <v>0</v>
      </c>
      <c r="I368" t="n">
        <v>0</v>
      </c>
      <c r="J368" t="n">
        <v>0</v>
      </c>
      <c r="K368" t="n">
        <v>0</v>
      </c>
      <c r="L368" t="n">
        <v>0</v>
      </c>
      <c r="M368" t="n">
        <v>0</v>
      </c>
      <c r="N368" t="n">
        <v>0</v>
      </c>
      <c r="O368" t="n">
        <v>0</v>
      </c>
      <c r="P368" t="n">
        <v>0</v>
      </c>
      <c r="Q368" t="n">
        <v>0</v>
      </c>
      <c r="R368" s="2" t="inlineStr"/>
    </row>
    <row r="369" ht="15" customHeight="1">
      <c r="A369" t="inlineStr">
        <is>
          <t>A 32902-2025</t>
        </is>
      </c>
      <c r="B369" s="1" t="n">
        <v>45839</v>
      </c>
      <c r="C369" s="1" t="n">
        <v>46127</v>
      </c>
      <c r="D369" t="inlineStr">
        <is>
          <t>VÄSTMANLANDS LÄN</t>
        </is>
      </c>
      <c r="E369" t="inlineStr">
        <is>
          <t>SALA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60036-2024</t>
        </is>
      </c>
      <c r="B370" s="1" t="n">
        <v>45642.46434027778</v>
      </c>
      <c r="C370" s="1" t="n">
        <v>46127</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52827-2024</t>
        </is>
      </c>
      <c r="B371" s="1" t="n">
        <v>45610</v>
      </c>
      <c r="C371" s="1" t="n">
        <v>46127</v>
      </c>
      <c r="D371" t="inlineStr">
        <is>
          <t>VÄSTMANLANDS LÄN</t>
        </is>
      </c>
      <c r="E371" t="inlineStr">
        <is>
          <t>SALA</t>
        </is>
      </c>
      <c r="G371" t="n">
        <v>0.2</v>
      </c>
      <c r="H371" t="n">
        <v>0</v>
      </c>
      <c r="I371" t="n">
        <v>0</v>
      </c>
      <c r="J371" t="n">
        <v>0</v>
      </c>
      <c r="K371" t="n">
        <v>0</v>
      </c>
      <c r="L371" t="n">
        <v>0</v>
      </c>
      <c r="M371" t="n">
        <v>0</v>
      </c>
      <c r="N371" t="n">
        <v>0</v>
      </c>
      <c r="O371" t="n">
        <v>0</v>
      </c>
      <c r="P371" t="n">
        <v>0</v>
      </c>
      <c r="Q371" t="n">
        <v>0</v>
      </c>
      <c r="R371" s="2" t="inlineStr"/>
    </row>
    <row r="372" ht="15" customHeight="1">
      <c r="A372" t="inlineStr">
        <is>
          <t>A 48057-2025</t>
        </is>
      </c>
      <c r="B372" s="1" t="n">
        <v>45932.67947916667</v>
      </c>
      <c r="C372" s="1" t="n">
        <v>46127</v>
      </c>
      <c r="D372" t="inlineStr">
        <is>
          <t>VÄSTMANLANDS LÄN</t>
        </is>
      </c>
      <c r="E372" t="inlineStr">
        <is>
          <t>SALA</t>
        </is>
      </c>
      <c r="G372" t="n">
        <v>4.3</v>
      </c>
      <c r="H372" t="n">
        <v>0</v>
      </c>
      <c r="I372" t="n">
        <v>0</v>
      </c>
      <c r="J372" t="n">
        <v>0</v>
      </c>
      <c r="K372" t="n">
        <v>0</v>
      </c>
      <c r="L372" t="n">
        <v>0</v>
      </c>
      <c r="M372" t="n">
        <v>0</v>
      </c>
      <c r="N372" t="n">
        <v>0</v>
      </c>
      <c r="O372" t="n">
        <v>0</v>
      </c>
      <c r="P372" t="n">
        <v>0</v>
      </c>
      <c r="Q372" t="n">
        <v>0</v>
      </c>
      <c r="R372" s="2" t="inlineStr"/>
    </row>
    <row r="373" ht="15" customHeight="1">
      <c r="A373" t="inlineStr">
        <is>
          <t>A 16328-2025</t>
        </is>
      </c>
      <c r="B373" s="1" t="n">
        <v>45751</v>
      </c>
      <c r="C373" s="1" t="n">
        <v>46127</v>
      </c>
      <c r="D373" t="inlineStr">
        <is>
          <t>VÄSTMANLANDS LÄN</t>
        </is>
      </c>
      <c r="E373" t="inlineStr">
        <is>
          <t>SALA</t>
        </is>
      </c>
      <c r="G373" t="n">
        <v>2.9</v>
      </c>
      <c r="H373" t="n">
        <v>0</v>
      </c>
      <c r="I373" t="n">
        <v>0</v>
      </c>
      <c r="J373" t="n">
        <v>0</v>
      </c>
      <c r="K373" t="n">
        <v>0</v>
      </c>
      <c r="L373" t="n">
        <v>0</v>
      </c>
      <c r="M373" t="n">
        <v>0</v>
      </c>
      <c r="N373" t="n">
        <v>0</v>
      </c>
      <c r="O373" t="n">
        <v>0</v>
      </c>
      <c r="P373" t="n">
        <v>0</v>
      </c>
      <c r="Q373" t="n">
        <v>0</v>
      </c>
      <c r="R373" s="2" t="inlineStr"/>
    </row>
    <row r="374" ht="15" customHeight="1">
      <c r="A374" t="inlineStr">
        <is>
          <t>A 48710-2025</t>
        </is>
      </c>
      <c r="B374" s="1" t="n">
        <v>45936.63184027778</v>
      </c>
      <c r="C374" s="1" t="n">
        <v>46127</v>
      </c>
      <c r="D374" t="inlineStr">
        <is>
          <t>VÄSTMANLANDS LÄN</t>
        </is>
      </c>
      <c r="E374" t="inlineStr">
        <is>
          <t>SALA</t>
        </is>
      </c>
      <c r="G374" t="n">
        <v>2.7</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46127</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73835-2021</t>
        </is>
      </c>
      <c r="B376" s="1" t="n">
        <v>44552.92112268518</v>
      </c>
      <c r="C376" s="1" t="n">
        <v>46127</v>
      </c>
      <c r="D376" t="inlineStr">
        <is>
          <t>VÄSTMANLANDS LÄN</t>
        </is>
      </c>
      <c r="E376" t="inlineStr">
        <is>
          <t>SALA</t>
        </is>
      </c>
      <c r="G376" t="n">
        <v>2</v>
      </c>
      <c r="H376" t="n">
        <v>0</v>
      </c>
      <c r="I376" t="n">
        <v>0</v>
      </c>
      <c r="J376" t="n">
        <v>0</v>
      </c>
      <c r="K376" t="n">
        <v>0</v>
      </c>
      <c r="L376" t="n">
        <v>0</v>
      </c>
      <c r="M376" t="n">
        <v>0</v>
      </c>
      <c r="N376" t="n">
        <v>0</v>
      </c>
      <c r="O376" t="n">
        <v>0</v>
      </c>
      <c r="P376" t="n">
        <v>0</v>
      </c>
      <c r="Q376" t="n">
        <v>0</v>
      </c>
      <c r="R376" s="2" t="inlineStr"/>
    </row>
    <row r="377" ht="15" customHeight="1">
      <c r="A377" t="inlineStr">
        <is>
          <t>A 48910-2025</t>
        </is>
      </c>
      <c r="B377" s="1" t="n">
        <v>45937.48649305556</v>
      </c>
      <c r="C377" s="1" t="n">
        <v>46127</v>
      </c>
      <c r="D377" t="inlineStr">
        <is>
          <t>VÄSTMANLANDS LÄN</t>
        </is>
      </c>
      <c r="E377" t="inlineStr">
        <is>
          <t>SALA</t>
        </is>
      </c>
      <c r="G377" t="n">
        <v>7.8</v>
      </c>
      <c r="H377" t="n">
        <v>0</v>
      </c>
      <c r="I377" t="n">
        <v>0</v>
      </c>
      <c r="J377" t="n">
        <v>0</v>
      </c>
      <c r="K377" t="n">
        <v>0</v>
      </c>
      <c r="L377" t="n">
        <v>0</v>
      </c>
      <c r="M377" t="n">
        <v>0</v>
      </c>
      <c r="N377" t="n">
        <v>0</v>
      </c>
      <c r="O377" t="n">
        <v>0</v>
      </c>
      <c r="P377" t="n">
        <v>0</v>
      </c>
      <c r="Q377" t="n">
        <v>0</v>
      </c>
      <c r="R377" s="2" t="inlineStr"/>
    </row>
    <row r="378" ht="15" customHeight="1">
      <c r="A378" t="inlineStr">
        <is>
          <t>A 3810-2023</t>
        </is>
      </c>
      <c r="B378" s="1" t="n">
        <v>44951.60454861111</v>
      </c>
      <c r="C378" s="1" t="n">
        <v>46127</v>
      </c>
      <c r="D378" t="inlineStr">
        <is>
          <t>VÄSTMANLANDS LÄN</t>
        </is>
      </c>
      <c r="E378" t="inlineStr">
        <is>
          <t>SALA</t>
        </is>
      </c>
      <c r="G378" t="n">
        <v>4.2</v>
      </c>
      <c r="H378" t="n">
        <v>0</v>
      </c>
      <c r="I378" t="n">
        <v>0</v>
      </c>
      <c r="J378" t="n">
        <v>0</v>
      </c>
      <c r="K378" t="n">
        <v>0</v>
      </c>
      <c r="L378" t="n">
        <v>0</v>
      </c>
      <c r="M378" t="n">
        <v>0</v>
      </c>
      <c r="N378" t="n">
        <v>0</v>
      </c>
      <c r="O378" t="n">
        <v>0</v>
      </c>
      <c r="P378" t="n">
        <v>0</v>
      </c>
      <c r="Q378" t="n">
        <v>0</v>
      </c>
      <c r="R378" s="2" t="inlineStr"/>
    </row>
    <row r="379" ht="15" customHeight="1">
      <c r="A379" t="inlineStr">
        <is>
          <t>A 49585-2025</t>
        </is>
      </c>
      <c r="B379" s="1" t="n">
        <v>45939.5043287037</v>
      </c>
      <c r="C379" s="1" t="n">
        <v>46127</v>
      </c>
      <c r="D379" t="inlineStr">
        <is>
          <t>VÄSTMANLANDS LÄN</t>
        </is>
      </c>
      <c r="E379" t="inlineStr">
        <is>
          <t>SALA</t>
        </is>
      </c>
      <c r="G379" t="n">
        <v>2.2</v>
      </c>
      <c r="H379" t="n">
        <v>0</v>
      </c>
      <c r="I379" t="n">
        <v>0</v>
      </c>
      <c r="J379" t="n">
        <v>0</v>
      </c>
      <c r="K379" t="n">
        <v>0</v>
      </c>
      <c r="L379" t="n">
        <v>0</v>
      </c>
      <c r="M379" t="n">
        <v>0</v>
      </c>
      <c r="N379" t="n">
        <v>0</v>
      </c>
      <c r="O379" t="n">
        <v>0</v>
      </c>
      <c r="P379" t="n">
        <v>0</v>
      </c>
      <c r="Q379" t="n">
        <v>0</v>
      </c>
      <c r="R379" s="2" t="inlineStr"/>
    </row>
    <row r="380" ht="15" customHeight="1">
      <c r="A380" t="inlineStr">
        <is>
          <t>A 59385-2025</t>
        </is>
      </c>
      <c r="B380" s="1" t="n">
        <v>45989.45746527778</v>
      </c>
      <c r="C380" s="1" t="n">
        <v>46127</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59390-2025</t>
        </is>
      </c>
      <c r="B381" s="1" t="n">
        <v>45989.4640162037</v>
      </c>
      <c r="C381" s="1" t="n">
        <v>46127</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51247-2025</t>
        </is>
      </c>
      <c r="B382" s="1" t="n">
        <v>45947.86487268518</v>
      </c>
      <c r="C382" s="1" t="n">
        <v>46127</v>
      </c>
      <c r="D382" t="inlineStr">
        <is>
          <t>VÄSTMANLANDS LÄN</t>
        </is>
      </c>
      <c r="E382" t="inlineStr">
        <is>
          <t>SALA</t>
        </is>
      </c>
      <c r="G382" t="n">
        <v>10.4</v>
      </c>
      <c r="H382" t="n">
        <v>0</v>
      </c>
      <c r="I382" t="n">
        <v>0</v>
      </c>
      <c r="J382" t="n">
        <v>0</v>
      </c>
      <c r="K382" t="n">
        <v>0</v>
      </c>
      <c r="L382" t="n">
        <v>0</v>
      </c>
      <c r="M382" t="n">
        <v>0</v>
      </c>
      <c r="N382" t="n">
        <v>0</v>
      </c>
      <c r="O382" t="n">
        <v>0</v>
      </c>
      <c r="P382" t="n">
        <v>0</v>
      </c>
      <c r="Q382" t="n">
        <v>0</v>
      </c>
      <c r="R382" s="2" t="inlineStr"/>
    </row>
    <row r="383" ht="15" customHeight="1">
      <c r="A383" t="inlineStr">
        <is>
          <t>A 34069-2025</t>
        </is>
      </c>
      <c r="B383" s="1" t="n">
        <v>45845.43560185185</v>
      </c>
      <c r="C383" s="1" t="n">
        <v>46127</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c r="U383">
        <f>HYPERLINK("https://klasma.github.io/Logging_1981/knärot/A 34069-2025 karta knärot.png", "A 34069-2025")</f>
        <v/>
      </c>
      <c r="V383">
        <f>HYPERLINK("https://klasma.github.io/Logging_1981/klagomål/A 34069-2025 FSC-klagomål.docx", "A 34069-2025")</f>
        <v/>
      </c>
      <c r="W383">
        <f>HYPERLINK("https://klasma.github.io/Logging_1981/klagomålsmail/A 34069-2025 FSC-klagomål mail.docx", "A 34069-2025")</f>
        <v/>
      </c>
      <c r="X383">
        <f>HYPERLINK("https://klasma.github.io/Logging_1981/tillsyn/A 34069-2025 tillsynsbegäran.docx", "A 34069-2025")</f>
        <v/>
      </c>
      <c r="Y383">
        <f>HYPERLINK("https://klasma.github.io/Logging_1981/tillsynsmail/A 34069-2025 tillsynsbegäran mail.docx", "A 34069-2025")</f>
        <v/>
      </c>
    </row>
    <row r="384" ht="15" customHeight="1">
      <c r="A384" t="inlineStr">
        <is>
          <t>A 12252-2023</t>
        </is>
      </c>
      <c r="B384" s="1" t="n">
        <v>44995</v>
      </c>
      <c r="C384" s="1" t="n">
        <v>46127</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49640-2025</t>
        </is>
      </c>
      <c r="B385" s="1" t="n">
        <v>45939.61459490741</v>
      </c>
      <c r="C385" s="1" t="n">
        <v>46127</v>
      </c>
      <c r="D385" t="inlineStr">
        <is>
          <t>VÄSTMANLANDS LÄN</t>
        </is>
      </c>
      <c r="E385" t="inlineStr">
        <is>
          <t>SALA</t>
        </is>
      </c>
      <c r="F385" t="inlineStr">
        <is>
          <t>Kommuner</t>
        </is>
      </c>
      <c r="G385" t="n">
        <v>18.8</v>
      </c>
      <c r="H385" t="n">
        <v>0</v>
      </c>
      <c r="I385" t="n">
        <v>0</v>
      </c>
      <c r="J385" t="n">
        <v>0</v>
      </c>
      <c r="K385" t="n">
        <v>0</v>
      </c>
      <c r="L385" t="n">
        <v>0</v>
      </c>
      <c r="M385" t="n">
        <v>0</v>
      </c>
      <c r="N385" t="n">
        <v>0</v>
      </c>
      <c r="O385" t="n">
        <v>0</v>
      </c>
      <c r="P385" t="n">
        <v>0</v>
      </c>
      <c r="Q385" t="n">
        <v>0</v>
      </c>
      <c r="R385" s="2" t="inlineStr"/>
    </row>
    <row r="386" ht="15" customHeight="1">
      <c r="A386" t="inlineStr">
        <is>
          <t>A 15744-2025</t>
        </is>
      </c>
      <c r="B386" s="1" t="n">
        <v>45748</v>
      </c>
      <c r="C386" s="1" t="n">
        <v>46127</v>
      </c>
      <c r="D386" t="inlineStr">
        <is>
          <t>VÄSTMANLANDS LÄN</t>
        </is>
      </c>
      <c r="E386" t="inlineStr">
        <is>
          <t>SALA</t>
        </is>
      </c>
      <c r="G386" t="n">
        <v>1.6</v>
      </c>
      <c r="H386" t="n">
        <v>0</v>
      </c>
      <c r="I386" t="n">
        <v>0</v>
      </c>
      <c r="J386" t="n">
        <v>0</v>
      </c>
      <c r="K386" t="n">
        <v>0</v>
      </c>
      <c r="L386" t="n">
        <v>0</v>
      </c>
      <c r="M386" t="n">
        <v>0</v>
      </c>
      <c r="N386" t="n">
        <v>0</v>
      </c>
      <c r="O386" t="n">
        <v>0</v>
      </c>
      <c r="P386" t="n">
        <v>0</v>
      </c>
      <c r="Q386" t="n">
        <v>0</v>
      </c>
      <c r="R386" s="2" t="inlineStr"/>
    </row>
    <row r="387" ht="15" customHeight="1">
      <c r="A387" t="inlineStr">
        <is>
          <t>A 59817-2025</t>
        </is>
      </c>
      <c r="B387" s="1" t="n">
        <v>45992.63711805556</v>
      </c>
      <c r="C387" s="1" t="n">
        <v>46127</v>
      </c>
      <c r="D387" t="inlineStr">
        <is>
          <t>VÄSTMANLANDS LÄN</t>
        </is>
      </c>
      <c r="E387" t="inlineStr">
        <is>
          <t>SALA</t>
        </is>
      </c>
      <c r="G387" t="n">
        <v>6.9</v>
      </c>
      <c r="H387" t="n">
        <v>0</v>
      </c>
      <c r="I387" t="n">
        <v>0</v>
      </c>
      <c r="J387" t="n">
        <v>0</v>
      </c>
      <c r="K387" t="n">
        <v>0</v>
      </c>
      <c r="L387" t="n">
        <v>0</v>
      </c>
      <c r="M387" t="n">
        <v>0</v>
      </c>
      <c r="N387" t="n">
        <v>0</v>
      </c>
      <c r="O387" t="n">
        <v>0</v>
      </c>
      <c r="P387" t="n">
        <v>0</v>
      </c>
      <c r="Q387" t="n">
        <v>0</v>
      </c>
      <c r="R387" s="2" t="inlineStr"/>
    </row>
    <row r="388" ht="15" customHeight="1">
      <c r="A388" t="inlineStr">
        <is>
          <t>A 59870-2025</t>
        </is>
      </c>
      <c r="B388" s="1" t="n">
        <v>45992.92226851852</v>
      </c>
      <c r="C388" s="1" t="n">
        <v>46127</v>
      </c>
      <c r="D388" t="inlineStr">
        <is>
          <t>VÄSTMANLANDS LÄN</t>
        </is>
      </c>
      <c r="E388" t="inlineStr">
        <is>
          <t>SALA</t>
        </is>
      </c>
      <c r="G388" t="n">
        <v>3.4</v>
      </c>
      <c r="H388" t="n">
        <v>0</v>
      </c>
      <c r="I388" t="n">
        <v>0</v>
      </c>
      <c r="J388" t="n">
        <v>0</v>
      </c>
      <c r="K388" t="n">
        <v>0</v>
      </c>
      <c r="L388" t="n">
        <v>0</v>
      </c>
      <c r="M388" t="n">
        <v>0</v>
      </c>
      <c r="N388" t="n">
        <v>0</v>
      </c>
      <c r="O388" t="n">
        <v>0</v>
      </c>
      <c r="P388" t="n">
        <v>0</v>
      </c>
      <c r="Q388" t="n">
        <v>0</v>
      </c>
      <c r="R388" s="2" t="inlineStr"/>
    </row>
    <row r="389" ht="15" customHeight="1">
      <c r="A389" t="inlineStr">
        <is>
          <t>A 59926-2025</t>
        </is>
      </c>
      <c r="B389" s="1" t="n">
        <v>45993.39221064815</v>
      </c>
      <c r="C389" s="1" t="n">
        <v>46127</v>
      </c>
      <c r="D389" t="inlineStr">
        <is>
          <t>VÄSTMANLANDS LÄN</t>
        </is>
      </c>
      <c r="E389" t="inlineStr">
        <is>
          <t>SALA</t>
        </is>
      </c>
      <c r="G389" t="n">
        <v>7.1</v>
      </c>
      <c r="H389" t="n">
        <v>0</v>
      </c>
      <c r="I389" t="n">
        <v>0</v>
      </c>
      <c r="J389" t="n">
        <v>0</v>
      </c>
      <c r="K389" t="n">
        <v>0</v>
      </c>
      <c r="L389" t="n">
        <v>0</v>
      </c>
      <c r="M389" t="n">
        <v>0</v>
      </c>
      <c r="N389" t="n">
        <v>0</v>
      </c>
      <c r="O389" t="n">
        <v>0</v>
      </c>
      <c r="P389" t="n">
        <v>0</v>
      </c>
      <c r="Q389" t="n">
        <v>0</v>
      </c>
      <c r="R389" s="2" t="inlineStr"/>
    </row>
    <row r="390" ht="15" customHeight="1">
      <c r="A390" t="inlineStr">
        <is>
          <t>A 60017-2025</t>
        </is>
      </c>
      <c r="B390" s="1" t="n">
        <v>45993.59998842593</v>
      </c>
      <c r="C390" s="1" t="n">
        <v>46127</v>
      </c>
      <c r="D390" t="inlineStr">
        <is>
          <t>VÄSTMANLANDS LÄN</t>
        </is>
      </c>
      <c r="E390" t="inlineStr">
        <is>
          <t>SALA</t>
        </is>
      </c>
      <c r="G390" t="n">
        <v>4.4</v>
      </c>
      <c r="H390" t="n">
        <v>0</v>
      </c>
      <c r="I390" t="n">
        <v>0</v>
      </c>
      <c r="J390" t="n">
        <v>0</v>
      </c>
      <c r="K390" t="n">
        <v>0</v>
      </c>
      <c r="L390" t="n">
        <v>0</v>
      </c>
      <c r="M390" t="n">
        <v>0</v>
      </c>
      <c r="N390" t="n">
        <v>0</v>
      </c>
      <c r="O390" t="n">
        <v>0</v>
      </c>
      <c r="P390" t="n">
        <v>0</v>
      </c>
      <c r="Q390" t="n">
        <v>0</v>
      </c>
      <c r="R390" s="2" t="inlineStr"/>
    </row>
    <row r="391" ht="15" customHeight="1">
      <c r="A391" t="inlineStr">
        <is>
          <t>A 50128-2025</t>
        </is>
      </c>
      <c r="B391" s="1" t="n">
        <v>45943.55318287037</v>
      </c>
      <c r="C391" s="1" t="n">
        <v>46127</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50119-2025</t>
        </is>
      </c>
      <c r="B392" s="1" t="n">
        <v>45943.54883101852</v>
      </c>
      <c r="C392" s="1" t="n">
        <v>46127</v>
      </c>
      <c r="D392" t="inlineStr">
        <is>
          <t>VÄSTMANLANDS LÄN</t>
        </is>
      </c>
      <c r="E392" t="inlineStr">
        <is>
          <t>SALA</t>
        </is>
      </c>
      <c r="G392" t="n">
        <v>3.3</v>
      </c>
      <c r="H392" t="n">
        <v>0</v>
      </c>
      <c r="I392" t="n">
        <v>0</v>
      </c>
      <c r="J392" t="n">
        <v>0</v>
      </c>
      <c r="K392" t="n">
        <v>0</v>
      </c>
      <c r="L392" t="n">
        <v>0</v>
      </c>
      <c r="M392" t="n">
        <v>0</v>
      </c>
      <c r="N392" t="n">
        <v>0</v>
      </c>
      <c r="O392" t="n">
        <v>0</v>
      </c>
      <c r="P392" t="n">
        <v>0</v>
      </c>
      <c r="Q392" t="n">
        <v>0</v>
      </c>
      <c r="R392" s="2" t="inlineStr"/>
    </row>
    <row r="393" ht="15" customHeight="1">
      <c r="A393" t="inlineStr">
        <is>
          <t>A 50059-2025</t>
        </is>
      </c>
      <c r="B393" s="1" t="n">
        <v>45943.44125</v>
      </c>
      <c r="C393" s="1" t="n">
        <v>46127</v>
      </c>
      <c r="D393" t="inlineStr">
        <is>
          <t>VÄSTMANLANDS LÄN</t>
        </is>
      </c>
      <c r="E393" t="inlineStr">
        <is>
          <t>SALA</t>
        </is>
      </c>
      <c r="G393" t="n">
        <v>4.4</v>
      </c>
      <c r="H393" t="n">
        <v>0</v>
      </c>
      <c r="I393" t="n">
        <v>0</v>
      </c>
      <c r="J393" t="n">
        <v>0</v>
      </c>
      <c r="K393" t="n">
        <v>0</v>
      </c>
      <c r="L393" t="n">
        <v>0</v>
      </c>
      <c r="M393" t="n">
        <v>0</v>
      </c>
      <c r="N393" t="n">
        <v>0</v>
      </c>
      <c r="O393" t="n">
        <v>0</v>
      </c>
      <c r="P393" t="n">
        <v>0</v>
      </c>
      <c r="Q393" t="n">
        <v>0</v>
      </c>
      <c r="R393" s="2" t="inlineStr"/>
    </row>
    <row r="394" ht="15" customHeight="1">
      <c r="A394" t="inlineStr">
        <is>
          <t>A 25260-2023</t>
        </is>
      </c>
      <c r="B394" s="1" t="n">
        <v>45086</v>
      </c>
      <c r="C394" s="1" t="n">
        <v>46127</v>
      </c>
      <c r="D394" t="inlineStr">
        <is>
          <t>VÄSTMANLANDS LÄN</t>
        </is>
      </c>
      <c r="E394" t="inlineStr">
        <is>
          <t>SALA</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60254-2025</t>
        </is>
      </c>
      <c r="B395" s="1" t="n">
        <v>45994.60146990741</v>
      </c>
      <c r="C395" s="1" t="n">
        <v>46127</v>
      </c>
      <c r="D395" t="inlineStr">
        <is>
          <t>VÄSTMANLANDS LÄN</t>
        </is>
      </c>
      <c r="E395" t="inlineStr">
        <is>
          <t>SALA</t>
        </is>
      </c>
      <c r="G395" t="n">
        <v>1.7</v>
      </c>
      <c r="H395" t="n">
        <v>0</v>
      </c>
      <c r="I395" t="n">
        <v>0</v>
      </c>
      <c r="J395" t="n">
        <v>0</v>
      </c>
      <c r="K395" t="n">
        <v>0</v>
      </c>
      <c r="L395" t="n">
        <v>0</v>
      </c>
      <c r="M395" t="n">
        <v>0</v>
      </c>
      <c r="N395" t="n">
        <v>0</v>
      </c>
      <c r="O395" t="n">
        <v>0</v>
      </c>
      <c r="P395" t="n">
        <v>0</v>
      </c>
      <c r="Q395" t="n">
        <v>0</v>
      </c>
      <c r="R395" s="2" t="inlineStr"/>
    </row>
    <row r="396" ht="15" customHeight="1">
      <c r="A396" t="inlineStr">
        <is>
          <t>A 57404-2024</t>
        </is>
      </c>
      <c r="B396" s="1" t="n">
        <v>45629.71967592592</v>
      </c>
      <c r="C396" s="1" t="n">
        <v>46127</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60259-2025</t>
        </is>
      </c>
      <c r="B397" s="1" t="n">
        <v>45994.60913194445</v>
      </c>
      <c r="C397" s="1" t="n">
        <v>46127</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50249-2025</t>
        </is>
      </c>
      <c r="B398" s="1" t="n">
        <v>45944.31508101852</v>
      </c>
      <c r="C398" s="1" t="n">
        <v>46127</v>
      </c>
      <c r="D398" t="inlineStr">
        <is>
          <t>VÄSTMANLANDS LÄN</t>
        </is>
      </c>
      <c r="E398" t="inlineStr">
        <is>
          <t>SALA</t>
        </is>
      </c>
      <c r="G398" t="n">
        <v>2.3</v>
      </c>
      <c r="H398" t="n">
        <v>0</v>
      </c>
      <c r="I398" t="n">
        <v>0</v>
      </c>
      <c r="J398" t="n">
        <v>0</v>
      </c>
      <c r="K398" t="n">
        <v>0</v>
      </c>
      <c r="L398" t="n">
        <v>0</v>
      </c>
      <c r="M398" t="n">
        <v>0</v>
      </c>
      <c r="N398" t="n">
        <v>0</v>
      </c>
      <c r="O398" t="n">
        <v>0</v>
      </c>
      <c r="P398" t="n">
        <v>0</v>
      </c>
      <c r="Q398" t="n">
        <v>0</v>
      </c>
      <c r="R398" s="2" t="inlineStr"/>
    </row>
    <row r="399" ht="15" customHeight="1">
      <c r="A399" t="inlineStr">
        <is>
          <t>A 60241-2025</t>
        </is>
      </c>
      <c r="B399" s="1" t="n">
        <v>45994.58454861111</v>
      </c>
      <c r="C399" s="1" t="n">
        <v>46127</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13128-2023</t>
        </is>
      </c>
      <c r="B400" s="1" t="n">
        <v>45002</v>
      </c>
      <c r="C400" s="1" t="n">
        <v>46127</v>
      </c>
      <c r="D400" t="inlineStr">
        <is>
          <t>VÄSTMANLANDS LÄN</t>
        </is>
      </c>
      <c r="E400" t="inlineStr">
        <is>
          <t>SALA</t>
        </is>
      </c>
      <c r="G400" t="n">
        <v>7.9</v>
      </c>
      <c r="H400" t="n">
        <v>0</v>
      </c>
      <c r="I400" t="n">
        <v>0</v>
      </c>
      <c r="J400" t="n">
        <v>0</v>
      </c>
      <c r="K400" t="n">
        <v>0</v>
      </c>
      <c r="L400" t="n">
        <v>0</v>
      </c>
      <c r="M400" t="n">
        <v>0</v>
      </c>
      <c r="N400" t="n">
        <v>0</v>
      </c>
      <c r="O400" t="n">
        <v>0</v>
      </c>
      <c r="P400" t="n">
        <v>0</v>
      </c>
      <c r="Q400" t="n">
        <v>0</v>
      </c>
      <c r="R400" s="2" t="inlineStr"/>
    </row>
    <row r="401" ht="15" customHeight="1">
      <c r="A401" t="inlineStr">
        <is>
          <t>A 35775-2025</t>
        </is>
      </c>
      <c r="B401" s="1" t="n">
        <v>45860</v>
      </c>
      <c r="C401" s="1" t="n">
        <v>46127</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35779-2025</t>
        </is>
      </c>
      <c r="B402" s="1" t="n">
        <v>45860.69495370371</v>
      </c>
      <c r="C402" s="1" t="n">
        <v>46127</v>
      </c>
      <c r="D402" t="inlineStr">
        <is>
          <t>VÄSTMANLANDS LÄN</t>
        </is>
      </c>
      <c r="E402" t="inlineStr">
        <is>
          <t>SALA</t>
        </is>
      </c>
      <c r="G402" t="n">
        <v>2.4</v>
      </c>
      <c r="H402" t="n">
        <v>0</v>
      </c>
      <c r="I402" t="n">
        <v>0</v>
      </c>
      <c r="J402" t="n">
        <v>0</v>
      </c>
      <c r="K402" t="n">
        <v>0</v>
      </c>
      <c r="L402" t="n">
        <v>0</v>
      </c>
      <c r="M402" t="n">
        <v>0</v>
      </c>
      <c r="N402" t="n">
        <v>0</v>
      </c>
      <c r="O402" t="n">
        <v>0</v>
      </c>
      <c r="P402" t="n">
        <v>0</v>
      </c>
      <c r="Q402" t="n">
        <v>0</v>
      </c>
      <c r="R402" s="2" t="inlineStr"/>
    </row>
    <row r="403" ht="15" customHeight="1">
      <c r="A403" t="inlineStr">
        <is>
          <t>A 35776-2025</t>
        </is>
      </c>
      <c r="B403" s="1" t="n">
        <v>45860.69211805556</v>
      </c>
      <c r="C403" s="1" t="n">
        <v>46127</v>
      </c>
      <c r="D403" t="inlineStr">
        <is>
          <t>VÄSTMANLANDS LÄN</t>
        </is>
      </c>
      <c r="E403" t="inlineStr">
        <is>
          <t>SALA</t>
        </is>
      </c>
      <c r="G403" t="n">
        <v>14.2</v>
      </c>
      <c r="H403" t="n">
        <v>0</v>
      </c>
      <c r="I403" t="n">
        <v>0</v>
      </c>
      <c r="J403" t="n">
        <v>0</v>
      </c>
      <c r="K403" t="n">
        <v>0</v>
      </c>
      <c r="L403" t="n">
        <v>0</v>
      </c>
      <c r="M403" t="n">
        <v>0</v>
      </c>
      <c r="N403" t="n">
        <v>0</v>
      </c>
      <c r="O403" t="n">
        <v>0</v>
      </c>
      <c r="P403" t="n">
        <v>0</v>
      </c>
      <c r="Q403" t="n">
        <v>0</v>
      </c>
      <c r="R403" s="2" t="inlineStr"/>
    </row>
    <row r="404" ht="15" customHeight="1">
      <c r="A404" t="inlineStr">
        <is>
          <t>A 35715-2025</t>
        </is>
      </c>
      <c r="B404" s="1" t="n">
        <v>45860.42148148148</v>
      </c>
      <c r="C404" s="1" t="n">
        <v>46127</v>
      </c>
      <c r="D404" t="inlineStr">
        <is>
          <t>VÄSTMANLANDS LÄN</t>
        </is>
      </c>
      <c r="E404" t="inlineStr">
        <is>
          <t>SALA</t>
        </is>
      </c>
      <c r="G404" t="n">
        <v>3.8</v>
      </c>
      <c r="H404" t="n">
        <v>0</v>
      </c>
      <c r="I404" t="n">
        <v>0</v>
      </c>
      <c r="J404" t="n">
        <v>0</v>
      </c>
      <c r="K404" t="n">
        <v>0</v>
      </c>
      <c r="L404" t="n">
        <v>0</v>
      </c>
      <c r="M404" t="n">
        <v>0</v>
      </c>
      <c r="N404" t="n">
        <v>0</v>
      </c>
      <c r="O404" t="n">
        <v>0</v>
      </c>
      <c r="P404" t="n">
        <v>0</v>
      </c>
      <c r="Q404" t="n">
        <v>0</v>
      </c>
      <c r="R404" s="2" t="inlineStr"/>
    </row>
    <row r="405" ht="15" customHeight="1">
      <c r="A405" t="inlineStr">
        <is>
          <t>A 35651-2025</t>
        </is>
      </c>
      <c r="B405" s="1" t="n">
        <v>45859.52435185185</v>
      </c>
      <c r="C405" s="1" t="n">
        <v>46127</v>
      </c>
      <c r="D405" t="inlineStr">
        <is>
          <t>VÄSTMANLANDS LÄN</t>
        </is>
      </c>
      <c r="E405" t="inlineStr">
        <is>
          <t>SALA</t>
        </is>
      </c>
      <c r="G405" t="n">
        <v>6.3</v>
      </c>
      <c r="H405" t="n">
        <v>0</v>
      </c>
      <c r="I405" t="n">
        <v>0</v>
      </c>
      <c r="J405" t="n">
        <v>0</v>
      </c>
      <c r="K405" t="n">
        <v>0</v>
      </c>
      <c r="L405" t="n">
        <v>0</v>
      </c>
      <c r="M405" t="n">
        <v>0</v>
      </c>
      <c r="N405" t="n">
        <v>0</v>
      </c>
      <c r="O405" t="n">
        <v>0</v>
      </c>
      <c r="P405" t="n">
        <v>0</v>
      </c>
      <c r="Q405" t="n">
        <v>0</v>
      </c>
      <c r="R405" s="2" t="inlineStr"/>
    </row>
    <row r="406" ht="15" customHeight="1">
      <c r="A406" t="inlineStr">
        <is>
          <t>A 35774-2025</t>
        </is>
      </c>
      <c r="B406" s="1" t="n">
        <v>45860.68780092592</v>
      </c>
      <c r="C406" s="1" t="n">
        <v>46127</v>
      </c>
      <c r="D406" t="inlineStr">
        <is>
          <t>VÄSTMANLANDS LÄN</t>
        </is>
      </c>
      <c r="E406" t="inlineStr">
        <is>
          <t>SALA</t>
        </is>
      </c>
      <c r="G406" t="n">
        <v>6.5</v>
      </c>
      <c r="H406" t="n">
        <v>0</v>
      </c>
      <c r="I406" t="n">
        <v>0</v>
      </c>
      <c r="J406" t="n">
        <v>0</v>
      </c>
      <c r="K406" t="n">
        <v>0</v>
      </c>
      <c r="L406" t="n">
        <v>0</v>
      </c>
      <c r="M406" t="n">
        <v>0</v>
      </c>
      <c r="N406" t="n">
        <v>0</v>
      </c>
      <c r="O406" t="n">
        <v>0</v>
      </c>
      <c r="P406" t="n">
        <v>0</v>
      </c>
      <c r="Q406" t="n">
        <v>0</v>
      </c>
      <c r="R406" s="2" t="inlineStr"/>
    </row>
    <row r="407" ht="15" customHeight="1">
      <c r="A407" t="inlineStr">
        <is>
          <t>A 24864-2024</t>
        </is>
      </c>
      <c r="B407" s="1" t="n">
        <v>45461.48888888889</v>
      </c>
      <c r="C407" s="1" t="n">
        <v>46127</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36060-2025</t>
        </is>
      </c>
      <c r="B408" s="1" t="n">
        <v>45866.39469907407</v>
      </c>
      <c r="C408" s="1" t="n">
        <v>46127</v>
      </c>
      <c r="D408" t="inlineStr">
        <is>
          <t>VÄSTMANLANDS LÄN</t>
        </is>
      </c>
      <c r="E408" t="inlineStr">
        <is>
          <t>SALA</t>
        </is>
      </c>
      <c r="F408" t="inlineStr">
        <is>
          <t>Kommuner</t>
        </is>
      </c>
      <c r="G408" t="n">
        <v>4.3</v>
      </c>
      <c r="H408" t="n">
        <v>0</v>
      </c>
      <c r="I408" t="n">
        <v>0</v>
      </c>
      <c r="J408" t="n">
        <v>0</v>
      </c>
      <c r="K408" t="n">
        <v>0</v>
      </c>
      <c r="L408" t="n">
        <v>0</v>
      </c>
      <c r="M408" t="n">
        <v>0</v>
      </c>
      <c r="N408" t="n">
        <v>0</v>
      </c>
      <c r="O408" t="n">
        <v>0</v>
      </c>
      <c r="P408" t="n">
        <v>0</v>
      </c>
      <c r="Q408" t="n">
        <v>0</v>
      </c>
      <c r="R408" s="2" t="inlineStr"/>
    </row>
    <row r="409" ht="15" customHeight="1">
      <c r="A409" t="inlineStr">
        <is>
          <t>A 36031-2025</t>
        </is>
      </c>
      <c r="B409" s="1" t="n">
        <v>45865.46111111111</v>
      </c>
      <c r="C409" s="1" t="n">
        <v>46127</v>
      </c>
      <c r="D409" t="inlineStr">
        <is>
          <t>VÄSTMANLANDS LÄN</t>
        </is>
      </c>
      <c r="E409" t="inlineStr">
        <is>
          <t>SALA</t>
        </is>
      </c>
      <c r="G409" t="n">
        <v>7.2</v>
      </c>
      <c r="H409" t="n">
        <v>0</v>
      </c>
      <c r="I409" t="n">
        <v>0</v>
      </c>
      <c r="J409" t="n">
        <v>0</v>
      </c>
      <c r="K409" t="n">
        <v>0</v>
      </c>
      <c r="L409" t="n">
        <v>0</v>
      </c>
      <c r="M409" t="n">
        <v>0</v>
      </c>
      <c r="N409" t="n">
        <v>0</v>
      </c>
      <c r="O409" t="n">
        <v>0</v>
      </c>
      <c r="P409" t="n">
        <v>0</v>
      </c>
      <c r="Q409" t="n">
        <v>0</v>
      </c>
      <c r="R409" s="2" t="inlineStr"/>
    </row>
    <row r="410" ht="15" customHeight="1">
      <c r="A410" t="inlineStr">
        <is>
          <t>A 36043-2025</t>
        </is>
      </c>
      <c r="B410" s="1" t="n">
        <v>45866.35333333333</v>
      </c>
      <c r="C410" s="1" t="n">
        <v>46127</v>
      </c>
      <c r="D410" t="inlineStr">
        <is>
          <t>VÄSTMANLANDS LÄN</t>
        </is>
      </c>
      <c r="E410" t="inlineStr">
        <is>
          <t>SALA</t>
        </is>
      </c>
      <c r="F410" t="inlineStr">
        <is>
          <t>Kommuner</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36032-2025</t>
        </is>
      </c>
      <c r="B411" s="1" t="n">
        <v>45865.48740740741</v>
      </c>
      <c r="C411" s="1" t="n">
        <v>46127</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36049-2025</t>
        </is>
      </c>
      <c r="B412" s="1" t="n">
        <v>45866.37065972222</v>
      </c>
      <c r="C412" s="1" t="n">
        <v>46127</v>
      </c>
      <c r="D412" t="inlineStr">
        <is>
          <t>VÄSTMANLANDS LÄN</t>
        </is>
      </c>
      <c r="E412" t="inlineStr">
        <is>
          <t>SALA</t>
        </is>
      </c>
      <c r="F412" t="inlineStr">
        <is>
          <t>Kommuner</t>
        </is>
      </c>
      <c r="G412" t="n">
        <v>1.9</v>
      </c>
      <c r="H412" t="n">
        <v>0</v>
      </c>
      <c r="I412" t="n">
        <v>0</v>
      </c>
      <c r="J412" t="n">
        <v>0</v>
      </c>
      <c r="K412" t="n">
        <v>0</v>
      </c>
      <c r="L412" t="n">
        <v>0</v>
      </c>
      <c r="M412" t="n">
        <v>0</v>
      </c>
      <c r="N412" t="n">
        <v>0</v>
      </c>
      <c r="O412" t="n">
        <v>0</v>
      </c>
      <c r="P412" t="n">
        <v>0</v>
      </c>
      <c r="Q412" t="n">
        <v>0</v>
      </c>
      <c r="R412" s="2" t="inlineStr"/>
    </row>
    <row r="413" ht="15" customHeight="1">
      <c r="A413" t="inlineStr">
        <is>
          <t>A 51764-2025</t>
        </is>
      </c>
      <c r="B413" s="1" t="n">
        <v>45951.63636574074</v>
      </c>
      <c r="C413" s="1" t="n">
        <v>46127</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24755-2021</t>
        </is>
      </c>
      <c r="B414" s="1" t="n">
        <v>44340</v>
      </c>
      <c r="C414" s="1" t="n">
        <v>46127</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51626-2025</t>
        </is>
      </c>
      <c r="B415" s="1" t="n">
        <v>45951.41769675926</v>
      </c>
      <c r="C415" s="1" t="n">
        <v>46127</v>
      </c>
      <c r="D415" t="inlineStr">
        <is>
          <t>VÄSTMANLANDS LÄN</t>
        </is>
      </c>
      <c r="E415" t="inlineStr">
        <is>
          <t>SALA</t>
        </is>
      </c>
      <c r="G415" t="n">
        <v>2.6</v>
      </c>
      <c r="H415" t="n">
        <v>0</v>
      </c>
      <c r="I415" t="n">
        <v>0</v>
      </c>
      <c r="J415" t="n">
        <v>0</v>
      </c>
      <c r="K415" t="n">
        <v>0</v>
      </c>
      <c r="L415" t="n">
        <v>0</v>
      </c>
      <c r="M415" t="n">
        <v>0</v>
      </c>
      <c r="N415" t="n">
        <v>0</v>
      </c>
      <c r="O415" t="n">
        <v>0</v>
      </c>
      <c r="P415" t="n">
        <v>0</v>
      </c>
      <c r="Q415" t="n">
        <v>0</v>
      </c>
      <c r="R415" s="2" t="inlineStr"/>
    </row>
    <row r="416" ht="15" customHeight="1">
      <c r="A416" t="inlineStr">
        <is>
          <t>A 36045-2025</t>
        </is>
      </c>
      <c r="B416" s="1" t="n">
        <v>45866.36200231482</v>
      </c>
      <c r="C416" s="1" t="n">
        <v>46127</v>
      </c>
      <c r="D416" t="inlineStr">
        <is>
          <t>VÄSTMANLANDS LÄN</t>
        </is>
      </c>
      <c r="E416" t="inlineStr">
        <is>
          <t>SALA</t>
        </is>
      </c>
      <c r="F416" t="inlineStr">
        <is>
          <t>Kommuner</t>
        </is>
      </c>
      <c r="G416" t="n">
        <v>1.7</v>
      </c>
      <c r="H416" t="n">
        <v>0</v>
      </c>
      <c r="I416" t="n">
        <v>0</v>
      </c>
      <c r="J416" t="n">
        <v>0</v>
      </c>
      <c r="K416" t="n">
        <v>0</v>
      </c>
      <c r="L416" t="n">
        <v>0</v>
      </c>
      <c r="M416" t="n">
        <v>0</v>
      </c>
      <c r="N416" t="n">
        <v>0</v>
      </c>
      <c r="O416" t="n">
        <v>0</v>
      </c>
      <c r="P416" t="n">
        <v>0</v>
      </c>
      <c r="Q416" t="n">
        <v>0</v>
      </c>
      <c r="R416" s="2" t="inlineStr"/>
    </row>
    <row r="417" ht="15" customHeight="1">
      <c r="A417" t="inlineStr">
        <is>
          <t>A 51690-2025</t>
        </is>
      </c>
      <c r="B417" s="1" t="n">
        <v>45951.53462962963</v>
      </c>
      <c r="C417" s="1" t="n">
        <v>46127</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17766-2025</t>
        </is>
      </c>
      <c r="B418" s="1" t="n">
        <v>45758</v>
      </c>
      <c r="C418" s="1" t="n">
        <v>46127</v>
      </c>
      <c r="D418" t="inlineStr">
        <is>
          <t>VÄSTMANLANDS LÄN</t>
        </is>
      </c>
      <c r="E418" t="inlineStr">
        <is>
          <t>SALA</t>
        </is>
      </c>
      <c r="G418" t="n">
        <v>16.5</v>
      </c>
      <c r="H418" t="n">
        <v>0</v>
      </c>
      <c r="I418" t="n">
        <v>0</v>
      </c>
      <c r="J418" t="n">
        <v>0</v>
      </c>
      <c r="K418" t="n">
        <v>0</v>
      </c>
      <c r="L418" t="n">
        <v>0</v>
      </c>
      <c r="M418" t="n">
        <v>0</v>
      </c>
      <c r="N418" t="n">
        <v>0</v>
      </c>
      <c r="O418" t="n">
        <v>0</v>
      </c>
      <c r="P418" t="n">
        <v>0</v>
      </c>
      <c r="Q418" t="n">
        <v>0</v>
      </c>
      <c r="R418" s="2" t="inlineStr"/>
    </row>
    <row r="419" ht="15" customHeight="1">
      <c r="A419" t="inlineStr">
        <is>
          <t>A 51804-2025</t>
        </is>
      </c>
      <c r="B419" s="1" t="n">
        <v>45951.77697916667</v>
      </c>
      <c r="C419" s="1" t="n">
        <v>46127</v>
      </c>
      <c r="D419" t="inlineStr">
        <is>
          <t>VÄSTMANLANDS LÄN</t>
        </is>
      </c>
      <c r="E419" t="inlineStr">
        <is>
          <t>SALA</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51808-2025</t>
        </is>
      </c>
      <c r="B420" s="1" t="n">
        <v>45951.79302083333</v>
      </c>
      <c r="C420" s="1" t="n">
        <v>46127</v>
      </c>
      <c r="D420" t="inlineStr">
        <is>
          <t>VÄSTMANLANDS LÄN</t>
        </is>
      </c>
      <c r="E420" t="inlineStr">
        <is>
          <t>SALA</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31863-2025</t>
        </is>
      </c>
      <c r="B421" s="1" t="n">
        <v>45834.63303240741</v>
      </c>
      <c r="C421" s="1" t="n">
        <v>46127</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51803-2025</t>
        </is>
      </c>
      <c r="B422" s="1" t="n">
        <v>45951.76818287037</v>
      </c>
      <c r="C422" s="1" t="n">
        <v>46127</v>
      </c>
      <c r="D422" t="inlineStr">
        <is>
          <t>VÄSTMANLANDS LÄN</t>
        </is>
      </c>
      <c r="E422" t="inlineStr">
        <is>
          <t>SALA</t>
        </is>
      </c>
      <c r="F422" t="inlineStr">
        <is>
          <t>Kommuner</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51805-2025</t>
        </is>
      </c>
      <c r="B423" s="1" t="n">
        <v>45951.78359953704</v>
      </c>
      <c r="C423" s="1" t="n">
        <v>46127</v>
      </c>
      <c r="D423" t="inlineStr">
        <is>
          <t>VÄSTMANLANDS LÄN</t>
        </is>
      </c>
      <c r="E423" t="inlineStr">
        <is>
          <t>SALA</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51809-2025</t>
        </is>
      </c>
      <c r="B424" s="1" t="n">
        <v>45951.80116898148</v>
      </c>
      <c r="C424" s="1" t="n">
        <v>46127</v>
      </c>
      <c r="D424" t="inlineStr">
        <is>
          <t>VÄSTMANLANDS LÄN</t>
        </is>
      </c>
      <c r="E424" t="inlineStr">
        <is>
          <t>SALA</t>
        </is>
      </c>
      <c r="F424" t="inlineStr">
        <is>
          <t>Kommuner</t>
        </is>
      </c>
      <c r="G424" t="n">
        <v>3.5</v>
      </c>
      <c r="H424" t="n">
        <v>0</v>
      </c>
      <c r="I424" t="n">
        <v>0</v>
      </c>
      <c r="J424" t="n">
        <v>0</v>
      </c>
      <c r="K424" t="n">
        <v>0</v>
      </c>
      <c r="L424" t="n">
        <v>0</v>
      </c>
      <c r="M424" t="n">
        <v>0</v>
      </c>
      <c r="N424" t="n">
        <v>0</v>
      </c>
      <c r="O424" t="n">
        <v>0</v>
      </c>
      <c r="P424" t="n">
        <v>0</v>
      </c>
      <c r="Q424" t="n">
        <v>0</v>
      </c>
      <c r="R424" s="2" t="inlineStr"/>
    </row>
    <row r="425" ht="15" customHeight="1">
      <c r="A425" t="inlineStr">
        <is>
          <t>A 3546-2025</t>
        </is>
      </c>
      <c r="B425" s="1" t="n">
        <v>45680</v>
      </c>
      <c r="C425" s="1" t="n">
        <v>46127</v>
      </c>
      <c r="D425" t="inlineStr">
        <is>
          <t>VÄSTMANLANDS LÄN</t>
        </is>
      </c>
      <c r="E425" t="inlineStr">
        <is>
          <t>SALA</t>
        </is>
      </c>
      <c r="G425" t="n">
        <v>0.4</v>
      </c>
      <c r="H425" t="n">
        <v>0</v>
      </c>
      <c r="I425" t="n">
        <v>0</v>
      </c>
      <c r="J425" t="n">
        <v>0</v>
      </c>
      <c r="K425" t="n">
        <v>0</v>
      </c>
      <c r="L425" t="n">
        <v>0</v>
      </c>
      <c r="M425" t="n">
        <v>0</v>
      </c>
      <c r="N425" t="n">
        <v>0</v>
      </c>
      <c r="O425" t="n">
        <v>0</v>
      </c>
      <c r="P425" t="n">
        <v>0</v>
      </c>
      <c r="Q425" t="n">
        <v>0</v>
      </c>
      <c r="R425" s="2" t="inlineStr"/>
    </row>
    <row r="426" ht="15" customHeight="1">
      <c r="A426" t="inlineStr">
        <is>
          <t>A 31869-2025</t>
        </is>
      </c>
      <c r="B426" s="1" t="n">
        <v>45834.64555555556</v>
      </c>
      <c r="C426" s="1" t="n">
        <v>46127</v>
      </c>
      <c r="D426" t="inlineStr">
        <is>
          <t>VÄSTMANLANDS LÄN</t>
        </is>
      </c>
      <c r="E426" t="inlineStr">
        <is>
          <t>SALA</t>
        </is>
      </c>
      <c r="G426" t="n">
        <v>17.5</v>
      </c>
      <c r="H426" t="n">
        <v>0</v>
      </c>
      <c r="I426" t="n">
        <v>0</v>
      </c>
      <c r="J426" t="n">
        <v>0</v>
      </c>
      <c r="K426" t="n">
        <v>0</v>
      </c>
      <c r="L426" t="n">
        <v>0</v>
      </c>
      <c r="M426" t="n">
        <v>0</v>
      </c>
      <c r="N426" t="n">
        <v>0</v>
      </c>
      <c r="O426" t="n">
        <v>0</v>
      </c>
      <c r="P426" t="n">
        <v>0</v>
      </c>
      <c r="Q426" t="n">
        <v>0</v>
      </c>
      <c r="R426" s="2" t="inlineStr"/>
    </row>
    <row r="427" ht="15" customHeight="1">
      <c r="A427" t="inlineStr">
        <is>
          <t>A 7664-2023</t>
        </is>
      </c>
      <c r="B427" s="1" t="n">
        <v>44972</v>
      </c>
      <c r="C427" s="1" t="n">
        <v>46127</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28696-2023</t>
        </is>
      </c>
      <c r="B428" s="1" t="n">
        <v>45103.71759259259</v>
      </c>
      <c r="C428" s="1" t="n">
        <v>46127</v>
      </c>
      <c r="D428" t="inlineStr">
        <is>
          <t>VÄSTMANLANDS LÄN</t>
        </is>
      </c>
      <c r="E428" t="inlineStr">
        <is>
          <t>SALA</t>
        </is>
      </c>
      <c r="F428" t="inlineStr">
        <is>
          <t>Kommuner</t>
        </is>
      </c>
      <c r="G428" t="n">
        <v>5.9</v>
      </c>
      <c r="H428" t="n">
        <v>0</v>
      </c>
      <c r="I428" t="n">
        <v>0</v>
      </c>
      <c r="J428" t="n">
        <v>0</v>
      </c>
      <c r="K428" t="n">
        <v>0</v>
      </c>
      <c r="L428" t="n">
        <v>0</v>
      </c>
      <c r="M428" t="n">
        <v>0</v>
      </c>
      <c r="N428" t="n">
        <v>0</v>
      </c>
      <c r="O428" t="n">
        <v>0</v>
      </c>
      <c r="P428" t="n">
        <v>0</v>
      </c>
      <c r="Q428" t="n">
        <v>0</v>
      </c>
      <c r="R428" s="2" t="inlineStr"/>
    </row>
    <row r="429" ht="15" customHeight="1">
      <c r="A429" t="inlineStr">
        <is>
          <t>A 17985-2025</t>
        </is>
      </c>
      <c r="B429" s="1" t="n">
        <v>45761</v>
      </c>
      <c r="C429" s="1" t="n">
        <v>46127</v>
      </c>
      <c r="D429" t="inlineStr">
        <is>
          <t>VÄSTMANLANDS LÄN</t>
        </is>
      </c>
      <c r="E429" t="inlineStr">
        <is>
          <t>SALA</t>
        </is>
      </c>
      <c r="G429" t="n">
        <v>12.5</v>
      </c>
      <c r="H429" t="n">
        <v>0</v>
      </c>
      <c r="I429" t="n">
        <v>0</v>
      </c>
      <c r="J429" t="n">
        <v>0</v>
      </c>
      <c r="K429" t="n">
        <v>0</v>
      </c>
      <c r="L429" t="n">
        <v>0</v>
      </c>
      <c r="M429" t="n">
        <v>0</v>
      </c>
      <c r="N429" t="n">
        <v>0</v>
      </c>
      <c r="O429" t="n">
        <v>0</v>
      </c>
      <c r="P429" t="n">
        <v>0</v>
      </c>
      <c r="Q429" t="n">
        <v>0</v>
      </c>
      <c r="R429" s="2" t="inlineStr"/>
    </row>
    <row r="430" ht="15" customHeight="1">
      <c r="A430" t="inlineStr">
        <is>
          <t>A 6691-2025</t>
        </is>
      </c>
      <c r="B430" s="1" t="n">
        <v>45700.50625</v>
      </c>
      <c r="C430" s="1" t="n">
        <v>46127</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1934-2023</t>
        </is>
      </c>
      <c r="B431" s="1" t="n">
        <v>44939.43024305555</v>
      </c>
      <c r="C431" s="1" t="n">
        <v>46127</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35519-2024</t>
        </is>
      </c>
      <c r="B432" s="1" t="n">
        <v>45531</v>
      </c>
      <c r="C432" s="1" t="n">
        <v>46127</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37103-2025</t>
        </is>
      </c>
      <c r="B433" s="1" t="n">
        <v>45875.47743055555</v>
      </c>
      <c r="C433" s="1" t="n">
        <v>46127</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37017-2025</t>
        </is>
      </c>
      <c r="B434" s="1" t="n">
        <v>45874</v>
      </c>
      <c r="C434" s="1" t="n">
        <v>46127</v>
      </c>
      <c r="D434" t="inlineStr">
        <is>
          <t>VÄSTMANLANDS LÄN</t>
        </is>
      </c>
      <c r="E434" t="inlineStr">
        <is>
          <t>SALA</t>
        </is>
      </c>
      <c r="G434" t="n">
        <v>11.1</v>
      </c>
      <c r="H434" t="n">
        <v>0</v>
      </c>
      <c r="I434" t="n">
        <v>0</v>
      </c>
      <c r="J434" t="n">
        <v>0</v>
      </c>
      <c r="K434" t="n">
        <v>0</v>
      </c>
      <c r="L434" t="n">
        <v>0</v>
      </c>
      <c r="M434" t="n">
        <v>0</v>
      </c>
      <c r="N434" t="n">
        <v>0</v>
      </c>
      <c r="O434" t="n">
        <v>0</v>
      </c>
      <c r="P434" t="n">
        <v>0</v>
      </c>
      <c r="Q434" t="n">
        <v>0</v>
      </c>
      <c r="R434" s="2" t="inlineStr"/>
    </row>
    <row r="435" ht="15" customHeight="1">
      <c r="A435" t="inlineStr">
        <is>
          <t>A 37246-2025</t>
        </is>
      </c>
      <c r="B435" s="1" t="n">
        <v>45876.39435185185</v>
      </c>
      <c r="C435" s="1" t="n">
        <v>46127</v>
      </c>
      <c r="D435" t="inlineStr">
        <is>
          <t>VÄSTMANLANDS LÄN</t>
        </is>
      </c>
      <c r="E435" t="inlineStr">
        <is>
          <t>SALA</t>
        </is>
      </c>
      <c r="G435" t="n">
        <v>2.3</v>
      </c>
      <c r="H435" t="n">
        <v>0</v>
      </c>
      <c r="I435" t="n">
        <v>0</v>
      </c>
      <c r="J435" t="n">
        <v>0</v>
      </c>
      <c r="K435" t="n">
        <v>0</v>
      </c>
      <c r="L435" t="n">
        <v>0</v>
      </c>
      <c r="M435" t="n">
        <v>0</v>
      </c>
      <c r="N435" t="n">
        <v>0</v>
      </c>
      <c r="O435" t="n">
        <v>0</v>
      </c>
      <c r="P435" t="n">
        <v>0</v>
      </c>
      <c r="Q435" t="n">
        <v>0</v>
      </c>
      <c r="R435" s="2" t="inlineStr"/>
    </row>
    <row r="436" ht="15" customHeight="1">
      <c r="A436" t="inlineStr">
        <is>
          <t>A 50241-2023</t>
        </is>
      </c>
      <c r="B436" s="1" t="n">
        <v>45216</v>
      </c>
      <c r="C436" s="1" t="n">
        <v>46127</v>
      </c>
      <c r="D436" t="inlineStr">
        <is>
          <t>VÄSTMANLANDS LÄN</t>
        </is>
      </c>
      <c r="E436" t="inlineStr">
        <is>
          <t>SALA</t>
        </is>
      </c>
      <c r="G436" t="n">
        <v>1.9</v>
      </c>
      <c r="H436" t="n">
        <v>0</v>
      </c>
      <c r="I436" t="n">
        <v>0</v>
      </c>
      <c r="J436" t="n">
        <v>0</v>
      </c>
      <c r="K436" t="n">
        <v>0</v>
      </c>
      <c r="L436" t="n">
        <v>0</v>
      </c>
      <c r="M436" t="n">
        <v>0</v>
      </c>
      <c r="N436" t="n">
        <v>0</v>
      </c>
      <c r="O436" t="n">
        <v>0</v>
      </c>
      <c r="P436" t="n">
        <v>0</v>
      </c>
      <c r="Q436" t="n">
        <v>0</v>
      </c>
      <c r="R436" s="2" t="inlineStr"/>
    </row>
    <row r="437" ht="15" customHeight="1">
      <c r="A437" t="inlineStr">
        <is>
          <t>A 30971-2022</t>
        </is>
      </c>
      <c r="B437" s="1" t="n">
        <v>44768.46725694444</v>
      </c>
      <c r="C437" s="1" t="n">
        <v>46127</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35637-2022</t>
        </is>
      </c>
      <c r="B438" s="1" t="n">
        <v>44799.55194444444</v>
      </c>
      <c r="C438" s="1" t="n">
        <v>46127</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19304-2025</t>
        </is>
      </c>
      <c r="B439" s="1" t="n">
        <v>45769</v>
      </c>
      <c r="C439" s="1" t="n">
        <v>46127</v>
      </c>
      <c r="D439" t="inlineStr">
        <is>
          <t>VÄSTMANLANDS LÄN</t>
        </is>
      </c>
      <c r="E439" t="inlineStr">
        <is>
          <t>SALA</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27038-2023</t>
        </is>
      </c>
      <c r="B440" s="1" t="n">
        <v>45095</v>
      </c>
      <c r="C440" s="1" t="n">
        <v>46127</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37590-2025</t>
        </is>
      </c>
      <c r="B441" s="1" t="n">
        <v>45880.41138888889</v>
      </c>
      <c r="C441" s="1" t="n">
        <v>46127</v>
      </c>
      <c r="D441" t="inlineStr">
        <is>
          <t>VÄSTMANLANDS LÄN</t>
        </is>
      </c>
      <c r="E441" t="inlineStr">
        <is>
          <t>SALA</t>
        </is>
      </c>
      <c r="G441" t="n">
        <v>2.2</v>
      </c>
      <c r="H441" t="n">
        <v>0</v>
      </c>
      <c r="I441" t="n">
        <v>0</v>
      </c>
      <c r="J441" t="n">
        <v>0</v>
      </c>
      <c r="K441" t="n">
        <v>0</v>
      </c>
      <c r="L441" t="n">
        <v>0</v>
      </c>
      <c r="M441" t="n">
        <v>0</v>
      </c>
      <c r="N441" t="n">
        <v>0</v>
      </c>
      <c r="O441" t="n">
        <v>0</v>
      </c>
      <c r="P441" t="n">
        <v>0</v>
      </c>
      <c r="Q441" t="n">
        <v>0</v>
      </c>
      <c r="R441" s="2" t="inlineStr"/>
    </row>
    <row r="442" ht="15" customHeight="1">
      <c r="A442" t="inlineStr">
        <is>
          <t>A 37593-2025</t>
        </is>
      </c>
      <c r="B442" s="1" t="n">
        <v>45880.41325231481</v>
      </c>
      <c r="C442" s="1" t="n">
        <v>46127</v>
      </c>
      <c r="D442" t="inlineStr">
        <is>
          <t>VÄSTMANLANDS LÄN</t>
        </is>
      </c>
      <c r="E442" t="inlineStr">
        <is>
          <t>SALA</t>
        </is>
      </c>
      <c r="G442" t="n">
        <v>1.4</v>
      </c>
      <c r="H442" t="n">
        <v>0</v>
      </c>
      <c r="I442" t="n">
        <v>0</v>
      </c>
      <c r="J442" t="n">
        <v>0</v>
      </c>
      <c r="K442" t="n">
        <v>0</v>
      </c>
      <c r="L442" t="n">
        <v>0</v>
      </c>
      <c r="M442" t="n">
        <v>0</v>
      </c>
      <c r="N442" t="n">
        <v>0</v>
      </c>
      <c r="O442" t="n">
        <v>0</v>
      </c>
      <c r="P442" t="n">
        <v>0</v>
      </c>
      <c r="Q442" t="n">
        <v>0</v>
      </c>
      <c r="R442" s="2" t="inlineStr"/>
    </row>
    <row r="443" ht="15" customHeight="1">
      <c r="A443" t="inlineStr">
        <is>
          <t>A 23182-2022</t>
        </is>
      </c>
      <c r="B443" s="1" t="n">
        <v>44719.79707175926</v>
      </c>
      <c r="C443" s="1" t="n">
        <v>46127</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53725-2025</t>
        </is>
      </c>
      <c r="B444" s="1" t="n">
        <v>45960.63394675926</v>
      </c>
      <c r="C444" s="1" t="n">
        <v>46127</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38636-2024</t>
        </is>
      </c>
      <c r="B445" s="1" t="n">
        <v>45546</v>
      </c>
      <c r="C445" s="1" t="n">
        <v>46127</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53744-2025</t>
        </is>
      </c>
      <c r="B446" s="1" t="n">
        <v>45960.64863425926</v>
      </c>
      <c r="C446" s="1" t="n">
        <v>46127</v>
      </c>
      <c r="D446" t="inlineStr">
        <is>
          <t>VÄSTMANLANDS LÄN</t>
        </is>
      </c>
      <c r="E446" t="inlineStr">
        <is>
          <t>SALA</t>
        </is>
      </c>
      <c r="G446" t="n">
        <v>2</v>
      </c>
      <c r="H446" t="n">
        <v>0</v>
      </c>
      <c r="I446" t="n">
        <v>0</v>
      </c>
      <c r="J446" t="n">
        <v>0</v>
      </c>
      <c r="K446" t="n">
        <v>0</v>
      </c>
      <c r="L446" t="n">
        <v>0</v>
      </c>
      <c r="M446" t="n">
        <v>0</v>
      </c>
      <c r="N446" t="n">
        <v>0</v>
      </c>
      <c r="O446" t="n">
        <v>0</v>
      </c>
      <c r="P446" t="n">
        <v>0</v>
      </c>
      <c r="Q446" t="n">
        <v>0</v>
      </c>
      <c r="R446" s="2" t="inlineStr"/>
    </row>
    <row r="447" ht="15" customHeight="1">
      <c r="A447" t="inlineStr">
        <is>
          <t>A 31859-2023</t>
        </is>
      </c>
      <c r="B447" s="1" t="n">
        <v>45118</v>
      </c>
      <c r="C447" s="1" t="n">
        <v>46127</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c r="U447">
        <f>HYPERLINK("https://klasma.github.io/Logging_1981/knärot/A 31859-2023 karta knärot.png", "A 31859-2023")</f>
        <v/>
      </c>
      <c r="V447">
        <f>HYPERLINK("https://klasma.github.io/Logging_1981/klagomål/A 31859-2023 FSC-klagomål.docx", "A 31859-2023")</f>
        <v/>
      </c>
      <c r="W447">
        <f>HYPERLINK("https://klasma.github.io/Logging_1981/klagomålsmail/A 31859-2023 FSC-klagomål mail.docx", "A 31859-2023")</f>
        <v/>
      </c>
      <c r="X447">
        <f>HYPERLINK("https://klasma.github.io/Logging_1981/tillsyn/A 31859-2023 tillsynsbegäran.docx", "A 31859-2023")</f>
        <v/>
      </c>
      <c r="Y447">
        <f>HYPERLINK("https://klasma.github.io/Logging_1981/tillsynsmail/A 31859-2023 tillsynsbegäran mail.docx", "A 31859-2023")</f>
        <v/>
      </c>
    </row>
    <row r="448" ht="15" customHeight="1">
      <c r="A448" t="inlineStr">
        <is>
          <t>A 7469-2025</t>
        </is>
      </c>
      <c r="B448" s="1" t="n">
        <v>45705</v>
      </c>
      <c r="C448" s="1" t="n">
        <v>46127</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53724-2025</t>
        </is>
      </c>
      <c r="B449" s="1" t="n">
        <v>45960.63174768518</v>
      </c>
      <c r="C449" s="1" t="n">
        <v>46127</v>
      </c>
      <c r="D449" t="inlineStr">
        <is>
          <t>VÄSTMANLANDS LÄN</t>
        </is>
      </c>
      <c r="E449" t="inlineStr">
        <is>
          <t>SALA</t>
        </is>
      </c>
      <c r="G449" t="n">
        <v>2.8</v>
      </c>
      <c r="H449" t="n">
        <v>0</v>
      </c>
      <c r="I449" t="n">
        <v>0</v>
      </c>
      <c r="J449" t="n">
        <v>0</v>
      </c>
      <c r="K449" t="n">
        <v>0</v>
      </c>
      <c r="L449" t="n">
        <v>0</v>
      </c>
      <c r="M449" t="n">
        <v>0</v>
      </c>
      <c r="N449" t="n">
        <v>0</v>
      </c>
      <c r="O449" t="n">
        <v>0</v>
      </c>
      <c r="P449" t="n">
        <v>0</v>
      </c>
      <c r="Q449" t="n">
        <v>0</v>
      </c>
      <c r="R449" s="2" t="inlineStr"/>
    </row>
    <row r="450" ht="15" customHeight="1">
      <c r="A450" t="inlineStr">
        <is>
          <t>A 38294-2025</t>
        </is>
      </c>
      <c r="B450" s="1" t="n">
        <v>45883.44854166666</v>
      </c>
      <c r="C450" s="1" t="n">
        <v>46127</v>
      </c>
      <c r="D450" t="inlineStr">
        <is>
          <t>VÄSTMANLANDS LÄN</t>
        </is>
      </c>
      <c r="E450" t="inlineStr">
        <is>
          <t>SALA</t>
        </is>
      </c>
      <c r="G450" t="n">
        <v>1.5</v>
      </c>
      <c r="H450" t="n">
        <v>0</v>
      </c>
      <c r="I450" t="n">
        <v>0</v>
      </c>
      <c r="J450" t="n">
        <v>0</v>
      </c>
      <c r="K450" t="n">
        <v>0</v>
      </c>
      <c r="L450" t="n">
        <v>0</v>
      </c>
      <c r="M450" t="n">
        <v>0</v>
      </c>
      <c r="N450" t="n">
        <v>0</v>
      </c>
      <c r="O450" t="n">
        <v>0</v>
      </c>
      <c r="P450" t="n">
        <v>0</v>
      </c>
      <c r="Q450" t="n">
        <v>0</v>
      </c>
      <c r="R450" s="2" t="inlineStr"/>
    </row>
    <row r="451" ht="15" customHeight="1">
      <c r="A451" t="inlineStr">
        <is>
          <t>A 60034-2024</t>
        </is>
      </c>
      <c r="B451" s="1" t="n">
        <v>45642.46261574074</v>
      </c>
      <c r="C451" s="1" t="n">
        <v>46127</v>
      </c>
      <c r="D451" t="inlineStr">
        <is>
          <t>VÄSTMANLANDS LÄN</t>
        </is>
      </c>
      <c r="E451" t="inlineStr">
        <is>
          <t>SALA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43359-2024</t>
        </is>
      </c>
      <c r="B452" s="1" t="n">
        <v>45568.57724537037</v>
      </c>
      <c r="C452" s="1" t="n">
        <v>46127</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29972-2025</t>
        </is>
      </c>
      <c r="B453" s="1" t="n">
        <v>45826</v>
      </c>
      <c r="C453" s="1" t="n">
        <v>46127</v>
      </c>
      <c r="D453" t="inlineStr">
        <is>
          <t>VÄSTMANLANDS LÄN</t>
        </is>
      </c>
      <c r="E453" t="inlineStr">
        <is>
          <t>SALA</t>
        </is>
      </c>
      <c r="G453" t="n">
        <v>2.7</v>
      </c>
      <c r="H453" t="n">
        <v>0</v>
      </c>
      <c r="I453" t="n">
        <v>0</v>
      </c>
      <c r="J453" t="n">
        <v>0</v>
      </c>
      <c r="K453" t="n">
        <v>0</v>
      </c>
      <c r="L453" t="n">
        <v>0</v>
      </c>
      <c r="M453" t="n">
        <v>0</v>
      </c>
      <c r="N453" t="n">
        <v>0</v>
      </c>
      <c r="O453" t="n">
        <v>0</v>
      </c>
      <c r="P453" t="n">
        <v>0</v>
      </c>
      <c r="Q453" t="n">
        <v>0</v>
      </c>
      <c r="R453" s="2" t="inlineStr"/>
    </row>
    <row r="454" ht="15" customHeight="1">
      <c r="A454" t="inlineStr">
        <is>
          <t>A 60258-2025</t>
        </is>
      </c>
      <c r="B454" s="1" t="n">
        <v>45994.6064699074</v>
      </c>
      <c r="C454" s="1" t="n">
        <v>46127</v>
      </c>
      <c r="D454" t="inlineStr">
        <is>
          <t>VÄSTMANLANDS LÄN</t>
        </is>
      </c>
      <c r="E454" t="inlineStr">
        <is>
          <t>SALA</t>
        </is>
      </c>
      <c r="G454" t="n">
        <v>2.2</v>
      </c>
      <c r="H454" t="n">
        <v>0</v>
      </c>
      <c r="I454" t="n">
        <v>0</v>
      </c>
      <c r="J454" t="n">
        <v>0</v>
      </c>
      <c r="K454" t="n">
        <v>0</v>
      </c>
      <c r="L454" t="n">
        <v>0</v>
      </c>
      <c r="M454" t="n">
        <v>0</v>
      </c>
      <c r="N454" t="n">
        <v>0</v>
      </c>
      <c r="O454" t="n">
        <v>0</v>
      </c>
      <c r="P454" t="n">
        <v>0</v>
      </c>
      <c r="Q454" t="n">
        <v>0</v>
      </c>
      <c r="R454" s="2" t="inlineStr"/>
    </row>
    <row r="455" ht="15" customHeight="1">
      <c r="A455" t="inlineStr">
        <is>
          <t>A 54344-2025</t>
        </is>
      </c>
      <c r="B455" s="1" t="n">
        <v>45965.36462962963</v>
      </c>
      <c r="C455" s="1" t="n">
        <v>46127</v>
      </c>
      <c r="D455" t="inlineStr">
        <is>
          <t>VÄSTMANLANDS LÄN</t>
        </is>
      </c>
      <c r="E455" t="inlineStr">
        <is>
          <t>SALA</t>
        </is>
      </c>
      <c r="G455" t="n">
        <v>2</v>
      </c>
      <c r="H455" t="n">
        <v>0</v>
      </c>
      <c r="I455" t="n">
        <v>0</v>
      </c>
      <c r="J455" t="n">
        <v>0</v>
      </c>
      <c r="K455" t="n">
        <v>0</v>
      </c>
      <c r="L455" t="n">
        <v>0</v>
      </c>
      <c r="M455" t="n">
        <v>0</v>
      </c>
      <c r="N455" t="n">
        <v>0</v>
      </c>
      <c r="O455" t="n">
        <v>0</v>
      </c>
      <c r="P455" t="n">
        <v>0</v>
      </c>
      <c r="Q455" t="n">
        <v>0</v>
      </c>
      <c r="R455" s="2" t="inlineStr"/>
    </row>
    <row r="456" ht="15" customHeight="1">
      <c r="A456" t="inlineStr">
        <is>
          <t>A 54590-2025</t>
        </is>
      </c>
      <c r="B456" s="1" t="n">
        <v>45965.74199074074</v>
      </c>
      <c r="C456" s="1" t="n">
        <v>46127</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60246-2025</t>
        </is>
      </c>
      <c r="B457" s="1" t="n">
        <v>45994.58931712963</v>
      </c>
      <c r="C457" s="1" t="n">
        <v>46127</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60629-2025</t>
        </is>
      </c>
      <c r="B458" s="1" t="n">
        <v>45996.41972222222</v>
      </c>
      <c r="C458" s="1" t="n">
        <v>46127</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54201-2025</t>
        </is>
      </c>
      <c r="B459" s="1" t="n">
        <v>45964.58055555556</v>
      </c>
      <c r="C459" s="1" t="n">
        <v>46127</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34867-2023</t>
        </is>
      </c>
      <c r="B460" s="1" t="n">
        <v>45142.33481481481</v>
      </c>
      <c r="C460" s="1" t="n">
        <v>46127</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46279-2021</t>
        </is>
      </c>
      <c r="B461" s="1" t="n">
        <v>44442.57797453704</v>
      </c>
      <c r="C461" s="1" t="n">
        <v>46127</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11631-2023</t>
        </is>
      </c>
      <c r="B462" s="1" t="n">
        <v>44994.44001157407</v>
      </c>
      <c r="C462" s="1" t="n">
        <v>46127</v>
      </c>
      <c r="D462" t="inlineStr">
        <is>
          <t>VÄSTMANLANDS LÄN</t>
        </is>
      </c>
      <c r="E462" t="inlineStr">
        <is>
          <t>SALA</t>
        </is>
      </c>
      <c r="F462" t="inlineStr">
        <is>
          <t>Kommuner</t>
        </is>
      </c>
      <c r="G462" t="n">
        <v>1.9</v>
      </c>
      <c r="H462" t="n">
        <v>0</v>
      </c>
      <c r="I462" t="n">
        <v>0</v>
      </c>
      <c r="J462" t="n">
        <v>0</v>
      </c>
      <c r="K462" t="n">
        <v>0</v>
      </c>
      <c r="L462" t="n">
        <v>0</v>
      </c>
      <c r="M462" t="n">
        <v>0</v>
      </c>
      <c r="N462" t="n">
        <v>0</v>
      </c>
      <c r="O462" t="n">
        <v>0</v>
      </c>
      <c r="P462" t="n">
        <v>0</v>
      </c>
      <c r="Q462" t="n">
        <v>0</v>
      </c>
      <c r="R462" s="2" t="inlineStr"/>
    </row>
    <row r="463" ht="15" customHeight="1">
      <c r="A463" t="inlineStr">
        <is>
          <t>A 54893-2025</t>
        </is>
      </c>
      <c r="B463" s="1" t="n">
        <v>45967.36383101852</v>
      </c>
      <c r="C463" s="1" t="n">
        <v>46127</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19033-2025</t>
        </is>
      </c>
      <c r="B464" s="1" t="n">
        <v>45764.65796296296</v>
      </c>
      <c r="C464" s="1" t="n">
        <v>46127</v>
      </c>
      <c r="D464" t="inlineStr">
        <is>
          <t>VÄSTMANLANDS LÄN</t>
        </is>
      </c>
      <c r="E464" t="inlineStr">
        <is>
          <t>SALA</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8775-2024</t>
        </is>
      </c>
      <c r="B465" s="1" t="n">
        <v>45356</v>
      </c>
      <c r="C465" s="1" t="n">
        <v>46127</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48710-2024</t>
        </is>
      </c>
      <c r="B466" s="1" t="n">
        <v>45593.53636574074</v>
      </c>
      <c r="C466" s="1" t="n">
        <v>46127</v>
      </c>
      <c r="D466" t="inlineStr">
        <is>
          <t>VÄSTMANLANDS LÄN</t>
        </is>
      </c>
      <c r="E466" t="inlineStr">
        <is>
          <t>SALA</t>
        </is>
      </c>
      <c r="G466" t="n">
        <v>6.5</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46127</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73673-2021</t>
        </is>
      </c>
      <c r="B468" s="1" t="n">
        <v>44552.46501157407</v>
      </c>
      <c r="C468" s="1" t="n">
        <v>46127</v>
      </c>
      <c r="D468" t="inlineStr">
        <is>
          <t>VÄSTMANLANDS LÄN</t>
        </is>
      </c>
      <c r="E468" t="inlineStr">
        <is>
          <t>SALA</t>
        </is>
      </c>
      <c r="G468" t="n">
        <v>11.4</v>
      </c>
      <c r="H468" t="n">
        <v>0</v>
      </c>
      <c r="I468" t="n">
        <v>0</v>
      </c>
      <c r="J468" t="n">
        <v>0</v>
      </c>
      <c r="K468" t="n">
        <v>0</v>
      </c>
      <c r="L468" t="n">
        <v>0</v>
      </c>
      <c r="M468" t="n">
        <v>0</v>
      </c>
      <c r="N468" t="n">
        <v>0</v>
      </c>
      <c r="O468" t="n">
        <v>0</v>
      </c>
      <c r="P468" t="n">
        <v>0</v>
      </c>
      <c r="Q468" t="n">
        <v>0</v>
      </c>
      <c r="R468" s="2" t="inlineStr"/>
    </row>
    <row r="469" ht="15" customHeight="1">
      <c r="A469" t="inlineStr">
        <is>
          <t>A 24248-2023</t>
        </is>
      </c>
      <c r="B469" s="1" t="n">
        <v>45079</v>
      </c>
      <c r="C469" s="1" t="n">
        <v>46127</v>
      </c>
      <c r="D469" t="inlineStr">
        <is>
          <t>VÄSTMANLANDS LÄN</t>
        </is>
      </c>
      <c r="E469" t="inlineStr">
        <is>
          <t>SALA</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61522-2025</t>
        </is>
      </c>
      <c r="B470" s="1" t="n">
        <v>46001.68684027778</v>
      </c>
      <c r="C470" s="1" t="n">
        <v>46127</v>
      </c>
      <c r="D470" t="inlineStr">
        <is>
          <t>VÄSTMANLANDS LÄN</t>
        </is>
      </c>
      <c r="E470" t="inlineStr">
        <is>
          <t>SALA</t>
        </is>
      </c>
      <c r="G470" t="n">
        <v>5.7</v>
      </c>
      <c r="H470" t="n">
        <v>0</v>
      </c>
      <c r="I470" t="n">
        <v>0</v>
      </c>
      <c r="J470" t="n">
        <v>0</v>
      </c>
      <c r="K470" t="n">
        <v>0</v>
      </c>
      <c r="L470" t="n">
        <v>0</v>
      </c>
      <c r="M470" t="n">
        <v>0</v>
      </c>
      <c r="N470" t="n">
        <v>0</v>
      </c>
      <c r="O470" t="n">
        <v>0</v>
      </c>
      <c r="P470" t="n">
        <v>0</v>
      </c>
      <c r="Q470" t="n">
        <v>0</v>
      </c>
      <c r="R470" s="2" t="inlineStr"/>
    </row>
    <row r="471" ht="15" customHeight="1">
      <c r="A471" t="inlineStr">
        <is>
          <t>A 10559-2024</t>
        </is>
      </c>
      <c r="B471" s="1" t="n">
        <v>45366</v>
      </c>
      <c r="C471" s="1" t="n">
        <v>46127</v>
      </c>
      <c r="D471" t="inlineStr">
        <is>
          <t>VÄSTMANLANDS LÄN</t>
        </is>
      </c>
      <c r="E471" t="inlineStr">
        <is>
          <t>SALA</t>
        </is>
      </c>
      <c r="G471" t="n">
        <v>0.3</v>
      </c>
      <c r="H471" t="n">
        <v>0</v>
      </c>
      <c r="I471" t="n">
        <v>0</v>
      </c>
      <c r="J471" t="n">
        <v>0</v>
      </c>
      <c r="K471" t="n">
        <v>0</v>
      </c>
      <c r="L471" t="n">
        <v>0</v>
      </c>
      <c r="M471" t="n">
        <v>0</v>
      </c>
      <c r="N471" t="n">
        <v>0</v>
      </c>
      <c r="O471" t="n">
        <v>0</v>
      </c>
      <c r="P471" t="n">
        <v>0</v>
      </c>
      <c r="Q471" t="n">
        <v>0</v>
      </c>
      <c r="R471" s="2" t="inlineStr"/>
    </row>
    <row r="472" ht="15" customHeight="1">
      <c r="A472" t="inlineStr">
        <is>
          <t>A 40214-2023</t>
        </is>
      </c>
      <c r="B472" s="1" t="n">
        <v>45169.45173611111</v>
      </c>
      <c r="C472" s="1" t="n">
        <v>46127</v>
      </c>
      <c r="D472" t="inlineStr">
        <is>
          <t>VÄSTMANLANDS LÄN</t>
        </is>
      </c>
      <c r="E472" t="inlineStr">
        <is>
          <t>SALA</t>
        </is>
      </c>
      <c r="G472" t="n">
        <v>5.5</v>
      </c>
      <c r="H472" t="n">
        <v>0</v>
      </c>
      <c r="I472" t="n">
        <v>0</v>
      </c>
      <c r="J472" t="n">
        <v>0</v>
      </c>
      <c r="K472" t="n">
        <v>0</v>
      </c>
      <c r="L472" t="n">
        <v>0</v>
      </c>
      <c r="M472" t="n">
        <v>0</v>
      </c>
      <c r="N472" t="n">
        <v>0</v>
      </c>
      <c r="O472" t="n">
        <v>0</v>
      </c>
      <c r="P472" t="n">
        <v>0</v>
      </c>
      <c r="Q472" t="n">
        <v>0</v>
      </c>
      <c r="R472" s="2" t="inlineStr"/>
    </row>
    <row r="473" ht="15" customHeight="1">
      <c r="A473" t="inlineStr">
        <is>
          <t>A 9856-2022</t>
        </is>
      </c>
      <c r="B473" s="1" t="n">
        <v>44620</v>
      </c>
      <c r="C473" s="1" t="n">
        <v>46127</v>
      </c>
      <c r="D473" t="inlineStr">
        <is>
          <t>VÄSTMANLANDS LÄN</t>
        </is>
      </c>
      <c r="E473" t="inlineStr">
        <is>
          <t>SALA</t>
        </is>
      </c>
      <c r="G473" t="n">
        <v>2.4</v>
      </c>
      <c r="H473" t="n">
        <v>0</v>
      </c>
      <c r="I473" t="n">
        <v>0</v>
      </c>
      <c r="J473" t="n">
        <v>0</v>
      </c>
      <c r="K473" t="n">
        <v>0</v>
      </c>
      <c r="L473" t="n">
        <v>0</v>
      </c>
      <c r="M473" t="n">
        <v>0</v>
      </c>
      <c r="N473" t="n">
        <v>0</v>
      </c>
      <c r="O473" t="n">
        <v>0</v>
      </c>
      <c r="P473" t="n">
        <v>0</v>
      </c>
      <c r="Q473" t="n">
        <v>0</v>
      </c>
      <c r="R473" s="2" t="inlineStr"/>
    </row>
    <row r="474" ht="15" customHeight="1">
      <c r="A474" t="inlineStr">
        <is>
          <t>A 18100-2023</t>
        </is>
      </c>
      <c r="B474" s="1" t="n">
        <v>45040</v>
      </c>
      <c r="C474" s="1" t="n">
        <v>46127</v>
      </c>
      <c r="D474" t="inlineStr">
        <is>
          <t>VÄSTMANLANDS LÄN</t>
        </is>
      </c>
      <c r="E474" t="inlineStr">
        <is>
          <t>SALA</t>
        </is>
      </c>
      <c r="G474" t="n">
        <v>1.8</v>
      </c>
      <c r="H474" t="n">
        <v>0</v>
      </c>
      <c r="I474" t="n">
        <v>0</v>
      </c>
      <c r="J474" t="n">
        <v>0</v>
      </c>
      <c r="K474" t="n">
        <v>0</v>
      </c>
      <c r="L474" t="n">
        <v>0</v>
      </c>
      <c r="M474" t="n">
        <v>0</v>
      </c>
      <c r="N474" t="n">
        <v>0</v>
      </c>
      <c r="O474" t="n">
        <v>0</v>
      </c>
      <c r="P474" t="n">
        <v>0</v>
      </c>
      <c r="Q474" t="n">
        <v>0</v>
      </c>
      <c r="R474" s="2" t="inlineStr"/>
    </row>
    <row r="475" ht="15" customHeight="1">
      <c r="A475" t="inlineStr">
        <is>
          <t>A 23374-2023</t>
        </is>
      </c>
      <c r="B475" s="1" t="n">
        <v>45076.4399537037</v>
      </c>
      <c r="C475" s="1" t="n">
        <v>46127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6134-2024</t>
        </is>
      </c>
      <c r="B476" s="1" t="n">
        <v>45337</v>
      </c>
      <c r="C476" s="1" t="n">
        <v>46127</v>
      </c>
      <c r="D476" t="inlineStr">
        <is>
          <t>VÄSTMANLANDS LÄN</t>
        </is>
      </c>
      <c r="E476" t="inlineStr">
        <is>
          <t>SALA</t>
        </is>
      </c>
      <c r="G476" t="n">
        <v>1.8</v>
      </c>
      <c r="H476" t="n">
        <v>0</v>
      </c>
      <c r="I476" t="n">
        <v>0</v>
      </c>
      <c r="J476" t="n">
        <v>0</v>
      </c>
      <c r="K476" t="n">
        <v>0</v>
      </c>
      <c r="L476" t="n">
        <v>0</v>
      </c>
      <c r="M476" t="n">
        <v>0</v>
      </c>
      <c r="N476" t="n">
        <v>0</v>
      </c>
      <c r="O476" t="n">
        <v>0</v>
      </c>
      <c r="P476" t="n">
        <v>0</v>
      </c>
      <c r="Q476" t="n">
        <v>0</v>
      </c>
      <c r="R476" s="2" t="inlineStr"/>
    </row>
    <row r="477" ht="15" customHeight="1">
      <c r="A477" t="inlineStr">
        <is>
          <t>A 48117-2024</t>
        </is>
      </c>
      <c r="B477" s="1" t="n">
        <v>45589</v>
      </c>
      <c r="C477" s="1" t="n">
        <v>46127</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62523-2025</t>
        </is>
      </c>
      <c r="B478" s="1" t="n">
        <v>46007.61512731481</v>
      </c>
      <c r="C478" s="1" t="n">
        <v>46127</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31082-2021</t>
        </is>
      </c>
      <c r="B479" s="1" t="n">
        <v>44368</v>
      </c>
      <c r="C479" s="1" t="n">
        <v>46127</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31470-2021</t>
        </is>
      </c>
      <c r="B480" s="1" t="n">
        <v>44369</v>
      </c>
      <c r="C480" s="1" t="n">
        <v>46127</v>
      </c>
      <c r="D480" t="inlineStr">
        <is>
          <t>VÄSTMANLANDS LÄN</t>
        </is>
      </c>
      <c r="E480" t="inlineStr">
        <is>
          <t>SALA</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63055-2025</t>
        </is>
      </c>
      <c r="B481" s="1" t="n">
        <v>46009.63619212963</v>
      </c>
      <c r="C481" s="1" t="n">
        <v>46127</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24175-2024</t>
        </is>
      </c>
      <c r="B482" s="1" t="n">
        <v>45456</v>
      </c>
      <c r="C482" s="1" t="n">
        <v>46127</v>
      </c>
      <c r="D482" t="inlineStr">
        <is>
          <t>VÄSTMANLANDS LÄN</t>
        </is>
      </c>
      <c r="E482" t="inlineStr">
        <is>
          <t>SALA</t>
        </is>
      </c>
      <c r="G482" t="n">
        <v>0.6</v>
      </c>
      <c r="H482" t="n">
        <v>0</v>
      </c>
      <c r="I482" t="n">
        <v>0</v>
      </c>
      <c r="J482" t="n">
        <v>0</v>
      </c>
      <c r="K482" t="n">
        <v>0</v>
      </c>
      <c r="L482" t="n">
        <v>0</v>
      </c>
      <c r="M482" t="n">
        <v>0</v>
      </c>
      <c r="N482" t="n">
        <v>0</v>
      </c>
      <c r="O482" t="n">
        <v>0</v>
      </c>
      <c r="P482" t="n">
        <v>0</v>
      </c>
      <c r="Q482" t="n">
        <v>0</v>
      </c>
      <c r="R482" s="2" t="inlineStr"/>
    </row>
    <row r="483" ht="15" customHeight="1">
      <c r="A483" t="inlineStr">
        <is>
          <t>A 63051-2025</t>
        </is>
      </c>
      <c r="B483" s="1" t="n">
        <v>46009.63134259259</v>
      </c>
      <c r="C483" s="1" t="n">
        <v>46127</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28328-2023</t>
        </is>
      </c>
      <c r="B484" s="1" t="n">
        <v>45099.71063657408</v>
      </c>
      <c r="C484" s="1" t="n">
        <v>46127</v>
      </c>
      <c r="D484" t="inlineStr">
        <is>
          <t>VÄSTMANLANDS LÄN</t>
        </is>
      </c>
      <c r="E484" t="inlineStr">
        <is>
          <t>SALA</t>
        </is>
      </c>
      <c r="G484" t="n">
        <v>1.8</v>
      </c>
      <c r="H484" t="n">
        <v>0</v>
      </c>
      <c r="I484" t="n">
        <v>0</v>
      </c>
      <c r="J484" t="n">
        <v>0</v>
      </c>
      <c r="K484" t="n">
        <v>0</v>
      </c>
      <c r="L484" t="n">
        <v>0</v>
      </c>
      <c r="M484" t="n">
        <v>0</v>
      </c>
      <c r="N484" t="n">
        <v>0</v>
      </c>
      <c r="O484" t="n">
        <v>0</v>
      </c>
      <c r="P484" t="n">
        <v>0</v>
      </c>
      <c r="Q484" t="n">
        <v>0</v>
      </c>
      <c r="R484" s="2" t="inlineStr"/>
    </row>
    <row r="485" ht="15" customHeight="1">
      <c r="A485" t="inlineStr">
        <is>
          <t>A 63046-2025</t>
        </is>
      </c>
      <c r="B485" s="1" t="n">
        <v>46009.62373842593</v>
      </c>
      <c r="C485" s="1" t="n">
        <v>46127</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61715-2024</t>
        </is>
      </c>
      <c r="B486" s="1" t="n">
        <v>45648.89519675926</v>
      </c>
      <c r="C486" s="1" t="n">
        <v>46127</v>
      </c>
      <c r="D486" t="inlineStr">
        <is>
          <t>VÄSTMANLANDS LÄN</t>
        </is>
      </c>
      <c r="E486" t="inlineStr">
        <is>
          <t>SALA</t>
        </is>
      </c>
      <c r="G486" t="n">
        <v>2.5</v>
      </c>
      <c r="H486" t="n">
        <v>0</v>
      </c>
      <c r="I486" t="n">
        <v>0</v>
      </c>
      <c r="J486" t="n">
        <v>0</v>
      </c>
      <c r="K486" t="n">
        <v>0</v>
      </c>
      <c r="L486" t="n">
        <v>0</v>
      </c>
      <c r="M486" t="n">
        <v>0</v>
      </c>
      <c r="N486" t="n">
        <v>0</v>
      </c>
      <c r="O486" t="n">
        <v>0</v>
      </c>
      <c r="P486" t="n">
        <v>0</v>
      </c>
      <c r="Q486" t="n">
        <v>0</v>
      </c>
      <c r="R486" s="2" t="inlineStr"/>
    </row>
    <row r="487" ht="15" customHeight="1">
      <c r="A487" t="inlineStr">
        <is>
          <t>A 38195-2021</t>
        </is>
      </c>
      <c r="B487" s="1" t="n">
        <v>44405</v>
      </c>
      <c r="C487" s="1" t="n">
        <v>46127</v>
      </c>
      <c r="D487" t="inlineStr">
        <is>
          <t>VÄSTMANLANDS LÄN</t>
        </is>
      </c>
      <c r="E487" t="inlineStr">
        <is>
          <t>SALA</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63353-2025</t>
        </is>
      </c>
      <c r="B488" s="1" t="n">
        <v>46010.66670138889</v>
      </c>
      <c r="C488" s="1" t="n">
        <v>46127</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6132-2025</t>
        </is>
      </c>
      <c r="B489" s="1" t="n">
        <v>45698</v>
      </c>
      <c r="C489" s="1" t="n">
        <v>46127</v>
      </c>
      <c r="D489" t="inlineStr">
        <is>
          <t>VÄSTMANLANDS LÄN</t>
        </is>
      </c>
      <c r="E489" t="inlineStr">
        <is>
          <t>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21777-2022</t>
        </is>
      </c>
      <c r="B490" s="1" t="n">
        <v>44708.48194444444</v>
      </c>
      <c r="C490" s="1" t="n">
        <v>46127</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63269-2025</t>
        </is>
      </c>
      <c r="B491" s="1" t="n">
        <v>46010</v>
      </c>
      <c r="C491" s="1" t="n">
        <v>46127</v>
      </c>
      <c r="D491" t="inlineStr">
        <is>
          <t>VÄSTMANLANDS LÄN</t>
        </is>
      </c>
      <c r="E491" t="inlineStr">
        <is>
          <t>SALA</t>
        </is>
      </c>
      <c r="G491" t="n">
        <v>6.4</v>
      </c>
      <c r="H491" t="n">
        <v>0</v>
      </c>
      <c r="I491" t="n">
        <v>0</v>
      </c>
      <c r="J491" t="n">
        <v>0</v>
      </c>
      <c r="K491" t="n">
        <v>0</v>
      </c>
      <c r="L491" t="n">
        <v>0</v>
      </c>
      <c r="M491" t="n">
        <v>0</v>
      </c>
      <c r="N491" t="n">
        <v>0</v>
      </c>
      <c r="O491" t="n">
        <v>0</v>
      </c>
      <c r="P491" t="n">
        <v>0</v>
      </c>
      <c r="Q491" t="n">
        <v>0</v>
      </c>
      <c r="R491" s="2" t="inlineStr"/>
    </row>
    <row r="492" ht="15" customHeight="1">
      <c r="A492" t="inlineStr">
        <is>
          <t>A 11389-2024</t>
        </is>
      </c>
      <c r="B492" s="1" t="n">
        <v>45372.45016203704</v>
      </c>
      <c r="C492" s="1" t="n">
        <v>46127</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17722-2025</t>
        </is>
      </c>
      <c r="B493" s="1" t="n">
        <v>45758</v>
      </c>
      <c r="C493" s="1" t="n">
        <v>46127</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63749-2025</t>
        </is>
      </c>
      <c r="B494" s="1" t="n">
        <v>46017.75243055556</v>
      </c>
      <c r="C494" s="1" t="n">
        <v>46127</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2925-2024</t>
        </is>
      </c>
      <c r="B495" s="1" t="n">
        <v>45315.58909722222</v>
      </c>
      <c r="C495" s="1" t="n">
        <v>46127</v>
      </c>
      <c r="D495" t="inlineStr">
        <is>
          <t>VÄSTMANLANDS LÄN</t>
        </is>
      </c>
      <c r="E495" t="inlineStr">
        <is>
          <t>SALA</t>
        </is>
      </c>
      <c r="G495" t="n">
        <v>1.3</v>
      </c>
      <c r="H495" t="n">
        <v>0</v>
      </c>
      <c r="I495" t="n">
        <v>0</v>
      </c>
      <c r="J495" t="n">
        <v>0</v>
      </c>
      <c r="K495" t="n">
        <v>0</v>
      </c>
      <c r="L495" t="n">
        <v>0</v>
      </c>
      <c r="M495" t="n">
        <v>0</v>
      </c>
      <c r="N495" t="n">
        <v>0</v>
      </c>
      <c r="O495" t="n">
        <v>0</v>
      </c>
      <c r="P495" t="n">
        <v>0</v>
      </c>
      <c r="Q495" t="n">
        <v>0</v>
      </c>
      <c r="R495" s="2" t="inlineStr"/>
    </row>
    <row r="496" ht="15" customHeight="1">
      <c r="A496" t="inlineStr">
        <is>
          <t>A 63748-2025</t>
        </is>
      </c>
      <c r="B496" s="1" t="n">
        <v>46017.71640046296</v>
      </c>
      <c r="C496" s="1" t="n">
        <v>46127</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39439-2021</t>
        </is>
      </c>
      <c r="B497" s="1" t="n">
        <v>44414</v>
      </c>
      <c r="C497" s="1" t="n">
        <v>46127</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3332-2024</t>
        </is>
      </c>
      <c r="B498" s="1" t="n">
        <v>45317</v>
      </c>
      <c r="C498" s="1" t="n">
        <v>46127</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2529-2022</t>
        </is>
      </c>
      <c r="B499" s="1" t="n">
        <v>44579.86452546297</v>
      </c>
      <c r="C499" s="1" t="n">
        <v>46127</v>
      </c>
      <c r="D499" t="inlineStr">
        <is>
          <t>VÄSTMANLANDS LÄN</t>
        </is>
      </c>
      <c r="E499" t="inlineStr">
        <is>
          <t>SALA</t>
        </is>
      </c>
      <c r="G499" t="n">
        <v>1.7</v>
      </c>
      <c r="H499" t="n">
        <v>0</v>
      </c>
      <c r="I499" t="n">
        <v>0</v>
      </c>
      <c r="J499" t="n">
        <v>0</v>
      </c>
      <c r="K499" t="n">
        <v>0</v>
      </c>
      <c r="L499" t="n">
        <v>0</v>
      </c>
      <c r="M499" t="n">
        <v>0</v>
      </c>
      <c r="N499" t="n">
        <v>0</v>
      </c>
      <c r="O499" t="n">
        <v>0</v>
      </c>
      <c r="P499" t="n">
        <v>0</v>
      </c>
      <c r="Q499" t="n">
        <v>0</v>
      </c>
      <c r="R499" s="2" t="inlineStr"/>
    </row>
    <row r="500" ht="15" customHeight="1">
      <c r="A500" t="inlineStr">
        <is>
          <t>A 13471-2025</t>
        </is>
      </c>
      <c r="B500" s="1" t="n">
        <v>45736.40579861111</v>
      </c>
      <c r="C500" s="1" t="n">
        <v>46127</v>
      </c>
      <c r="D500" t="inlineStr">
        <is>
          <t>VÄSTMANLANDS LÄN</t>
        </is>
      </c>
      <c r="E500" t="inlineStr">
        <is>
          <t>SALA</t>
        </is>
      </c>
      <c r="G500" t="n">
        <v>1.1</v>
      </c>
      <c r="H500" t="n">
        <v>0</v>
      </c>
      <c r="I500" t="n">
        <v>0</v>
      </c>
      <c r="J500" t="n">
        <v>0</v>
      </c>
      <c r="K500" t="n">
        <v>0</v>
      </c>
      <c r="L500" t="n">
        <v>0</v>
      </c>
      <c r="M500" t="n">
        <v>0</v>
      </c>
      <c r="N500" t="n">
        <v>0</v>
      </c>
      <c r="O500" t="n">
        <v>0</v>
      </c>
      <c r="P500" t="n">
        <v>0</v>
      </c>
      <c r="Q500" t="n">
        <v>0</v>
      </c>
      <c r="R500" s="2" t="inlineStr"/>
    </row>
    <row r="501" ht="15" customHeight="1">
      <c r="A501" t="inlineStr">
        <is>
          <t>A 15681-2025</t>
        </is>
      </c>
      <c r="B501" s="1" t="n">
        <v>45748.45454861111</v>
      </c>
      <c r="C501" s="1" t="n">
        <v>46127</v>
      </c>
      <c r="D501" t="inlineStr">
        <is>
          <t>VÄSTMANLANDS LÄN</t>
        </is>
      </c>
      <c r="E501" t="inlineStr">
        <is>
          <t>SALA</t>
        </is>
      </c>
      <c r="F501" t="inlineStr">
        <is>
          <t>Bergvik skog öst AB</t>
        </is>
      </c>
      <c r="G501" t="n">
        <v>4.3</v>
      </c>
      <c r="H501" t="n">
        <v>0</v>
      </c>
      <c r="I501" t="n">
        <v>0</v>
      </c>
      <c r="J501" t="n">
        <v>0</v>
      </c>
      <c r="K501" t="n">
        <v>0</v>
      </c>
      <c r="L501" t="n">
        <v>0</v>
      </c>
      <c r="M501" t="n">
        <v>0</v>
      </c>
      <c r="N501" t="n">
        <v>0</v>
      </c>
      <c r="O501" t="n">
        <v>0</v>
      </c>
      <c r="P501" t="n">
        <v>0</v>
      </c>
      <c r="Q501" t="n">
        <v>0</v>
      </c>
      <c r="R501" s="2" t="inlineStr"/>
    </row>
    <row r="502" ht="15" customHeight="1">
      <c r="A502" t="inlineStr">
        <is>
          <t>A 18431-2023</t>
        </is>
      </c>
      <c r="B502" s="1" t="n">
        <v>45042</v>
      </c>
      <c r="C502" s="1" t="n">
        <v>46127</v>
      </c>
      <c r="D502" t="inlineStr">
        <is>
          <t>VÄSTMANLANDS LÄN</t>
        </is>
      </c>
      <c r="E502" t="inlineStr">
        <is>
          <t>SALA</t>
        </is>
      </c>
      <c r="G502" t="n">
        <v>1.9</v>
      </c>
      <c r="H502" t="n">
        <v>0</v>
      </c>
      <c r="I502" t="n">
        <v>0</v>
      </c>
      <c r="J502" t="n">
        <v>0</v>
      </c>
      <c r="K502" t="n">
        <v>0</v>
      </c>
      <c r="L502" t="n">
        <v>0</v>
      </c>
      <c r="M502" t="n">
        <v>0</v>
      </c>
      <c r="N502" t="n">
        <v>0</v>
      </c>
      <c r="O502" t="n">
        <v>0</v>
      </c>
      <c r="P502" t="n">
        <v>0</v>
      </c>
      <c r="Q502" t="n">
        <v>0</v>
      </c>
      <c r="R502" s="2" t="inlineStr"/>
    </row>
    <row r="503" ht="15" customHeight="1">
      <c r="A503" t="inlineStr">
        <is>
          <t>A 27424-2023</t>
        </is>
      </c>
      <c r="B503" s="1" t="n">
        <v>45097.37690972222</v>
      </c>
      <c r="C503" s="1" t="n">
        <v>46127</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58701-2021</t>
        </is>
      </c>
      <c r="B504" s="1" t="n">
        <v>44489.46454861111</v>
      </c>
      <c r="C504" s="1" t="n">
        <v>46127</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11244-2024</t>
        </is>
      </c>
      <c r="B505" s="1" t="n">
        <v>45371</v>
      </c>
      <c r="C505" s="1" t="n">
        <v>46127</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12225-2023</t>
        </is>
      </c>
      <c r="B506" s="1" t="n">
        <v>44995</v>
      </c>
      <c r="C506" s="1" t="n">
        <v>46127</v>
      </c>
      <c r="D506" t="inlineStr">
        <is>
          <t>VÄSTMANLANDS LÄN</t>
        </is>
      </c>
      <c r="E506" t="inlineStr">
        <is>
          <t>SALA</t>
        </is>
      </c>
      <c r="G506" t="n">
        <v>0.9</v>
      </c>
      <c r="H506" t="n">
        <v>0</v>
      </c>
      <c r="I506" t="n">
        <v>0</v>
      </c>
      <c r="J506" t="n">
        <v>0</v>
      </c>
      <c r="K506" t="n">
        <v>0</v>
      </c>
      <c r="L506" t="n">
        <v>0</v>
      </c>
      <c r="M506" t="n">
        <v>0</v>
      </c>
      <c r="N506" t="n">
        <v>0</v>
      </c>
      <c r="O506" t="n">
        <v>0</v>
      </c>
      <c r="P506" t="n">
        <v>0</v>
      </c>
      <c r="Q506" t="n">
        <v>0</v>
      </c>
      <c r="R506" s="2" t="inlineStr"/>
    </row>
    <row r="507" ht="15" customHeight="1">
      <c r="A507" t="inlineStr">
        <is>
          <t>A 910-2026</t>
        </is>
      </c>
      <c r="B507" s="1" t="n">
        <v>46030.4771412037</v>
      </c>
      <c r="C507" s="1" t="n">
        <v>46127</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914-2026</t>
        </is>
      </c>
      <c r="B508" s="1" t="n">
        <v>46030.47952546296</v>
      </c>
      <c r="C508" s="1" t="n">
        <v>46127</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948-2026</t>
        </is>
      </c>
      <c r="B509" s="1" t="n">
        <v>46030.53986111111</v>
      </c>
      <c r="C509" s="1" t="n">
        <v>46127</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61874-2021</t>
        </is>
      </c>
      <c r="B510" s="1" t="n">
        <v>44502</v>
      </c>
      <c r="C510" s="1" t="n">
        <v>46127</v>
      </c>
      <c r="D510" t="inlineStr">
        <is>
          <t>VÄSTMANLANDS LÄN</t>
        </is>
      </c>
      <c r="E510" t="inlineStr">
        <is>
          <t>SALA</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62651-2022</t>
        </is>
      </c>
      <c r="B511" s="1" t="n">
        <v>44917</v>
      </c>
      <c r="C511" s="1" t="n">
        <v>46127</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15968-2024</t>
        </is>
      </c>
      <c r="B512" s="1" t="n">
        <v>45405.56021990741</v>
      </c>
      <c r="C512" s="1" t="n">
        <v>46127</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60730-2023</t>
        </is>
      </c>
      <c r="B513" s="1" t="n">
        <v>45260</v>
      </c>
      <c r="C513" s="1" t="n">
        <v>46127</v>
      </c>
      <c r="D513" t="inlineStr">
        <is>
          <t>VÄSTMANLANDS LÄN</t>
        </is>
      </c>
      <c r="E513" t="inlineStr">
        <is>
          <t>SALA</t>
        </is>
      </c>
      <c r="G513" t="n">
        <v>1.3</v>
      </c>
      <c r="H513" t="n">
        <v>0</v>
      </c>
      <c r="I513" t="n">
        <v>0</v>
      </c>
      <c r="J513" t="n">
        <v>0</v>
      </c>
      <c r="K513" t="n">
        <v>0</v>
      </c>
      <c r="L513" t="n">
        <v>0</v>
      </c>
      <c r="M513" t="n">
        <v>0</v>
      </c>
      <c r="N513" t="n">
        <v>0</v>
      </c>
      <c r="O513" t="n">
        <v>0</v>
      </c>
      <c r="P513" t="n">
        <v>0</v>
      </c>
      <c r="Q513" t="n">
        <v>0</v>
      </c>
      <c r="R513" s="2" t="inlineStr"/>
    </row>
    <row r="514" ht="15" customHeight="1">
      <c r="A514" t="inlineStr">
        <is>
          <t>A 60731-2023</t>
        </is>
      </c>
      <c r="B514" s="1" t="n">
        <v>45260</v>
      </c>
      <c r="C514" s="1" t="n">
        <v>46127</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1705-2026</t>
        </is>
      </c>
      <c r="B515" s="1" t="n">
        <v>46034.59930555556</v>
      </c>
      <c r="C515" s="1" t="n">
        <v>46127</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18461-2024</t>
        </is>
      </c>
      <c r="B516" s="1" t="n">
        <v>45425.47435185185</v>
      </c>
      <c r="C516" s="1" t="n">
        <v>46127</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4663-2022</t>
        </is>
      </c>
      <c r="B517" s="1" t="n">
        <v>44592.45429398148</v>
      </c>
      <c r="C517" s="1" t="n">
        <v>46127</v>
      </c>
      <c r="D517" t="inlineStr">
        <is>
          <t>VÄSTMANLANDS LÄN</t>
        </is>
      </c>
      <c r="E517" t="inlineStr">
        <is>
          <t>SALA</t>
        </is>
      </c>
      <c r="G517" t="n">
        <v>2.5</v>
      </c>
      <c r="H517" t="n">
        <v>0</v>
      </c>
      <c r="I517" t="n">
        <v>0</v>
      </c>
      <c r="J517" t="n">
        <v>0</v>
      </c>
      <c r="K517" t="n">
        <v>0</v>
      </c>
      <c r="L517" t="n">
        <v>0</v>
      </c>
      <c r="M517" t="n">
        <v>0</v>
      </c>
      <c r="N517" t="n">
        <v>0</v>
      </c>
      <c r="O517" t="n">
        <v>0</v>
      </c>
      <c r="P517" t="n">
        <v>0</v>
      </c>
      <c r="Q517" t="n">
        <v>0</v>
      </c>
      <c r="R517" s="2" t="inlineStr"/>
    </row>
    <row r="518" ht="15" customHeight="1">
      <c r="A518" t="inlineStr">
        <is>
          <t>A 6032-2025</t>
        </is>
      </c>
      <c r="B518" s="1" t="n">
        <v>45695.6371875</v>
      </c>
      <c r="C518" s="1" t="n">
        <v>46127</v>
      </c>
      <c r="D518" t="inlineStr">
        <is>
          <t>VÄSTMANLANDS LÄN</t>
        </is>
      </c>
      <c r="E518" t="inlineStr">
        <is>
          <t>SALA</t>
        </is>
      </c>
      <c r="F518" t="inlineStr">
        <is>
          <t>Bergvik skog öst AB</t>
        </is>
      </c>
      <c r="G518" t="n">
        <v>8.1</v>
      </c>
      <c r="H518" t="n">
        <v>0</v>
      </c>
      <c r="I518" t="n">
        <v>0</v>
      </c>
      <c r="J518" t="n">
        <v>0</v>
      </c>
      <c r="K518" t="n">
        <v>0</v>
      </c>
      <c r="L518" t="n">
        <v>0</v>
      </c>
      <c r="M518" t="n">
        <v>0</v>
      </c>
      <c r="N518" t="n">
        <v>0</v>
      </c>
      <c r="O518" t="n">
        <v>0</v>
      </c>
      <c r="P518" t="n">
        <v>0</v>
      </c>
      <c r="Q518" t="n">
        <v>0</v>
      </c>
      <c r="R518" s="2" t="inlineStr"/>
    </row>
    <row r="519" ht="15" customHeight="1">
      <c r="A519" t="inlineStr">
        <is>
          <t>A 2766-2024</t>
        </is>
      </c>
      <c r="B519" s="1" t="n">
        <v>45314.60950231482</v>
      </c>
      <c r="C519" s="1" t="n">
        <v>46127</v>
      </c>
      <c r="D519" t="inlineStr">
        <is>
          <t>VÄSTMANLANDS LÄN</t>
        </is>
      </c>
      <c r="E519" t="inlineStr">
        <is>
          <t>SALA</t>
        </is>
      </c>
      <c r="G519" t="n">
        <v>2.8</v>
      </c>
      <c r="H519" t="n">
        <v>0</v>
      </c>
      <c r="I519" t="n">
        <v>0</v>
      </c>
      <c r="J519" t="n">
        <v>0</v>
      </c>
      <c r="K519" t="n">
        <v>0</v>
      </c>
      <c r="L519" t="n">
        <v>0</v>
      </c>
      <c r="M519" t="n">
        <v>0</v>
      </c>
      <c r="N519" t="n">
        <v>0</v>
      </c>
      <c r="O519" t="n">
        <v>0</v>
      </c>
      <c r="P519" t="n">
        <v>0</v>
      </c>
      <c r="Q519" t="n">
        <v>0</v>
      </c>
      <c r="R519" s="2" t="inlineStr"/>
    </row>
    <row r="520" ht="15" customHeight="1">
      <c r="A520" t="inlineStr">
        <is>
          <t>A 6351-2023</t>
        </is>
      </c>
      <c r="B520" s="1" t="n">
        <v>44965</v>
      </c>
      <c r="C520" s="1" t="n">
        <v>46127</v>
      </c>
      <c r="D520" t="inlineStr">
        <is>
          <t>VÄSTMANLANDS LÄN</t>
        </is>
      </c>
      <c r="E520" t="inlineStr">
        <is>
          <t>SALA</t>
        </is>
      </c>
      <c r="F520" t="inlineStr">
        <is>
          <t>Kommuner</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45187-2024</t>
        </is>
      </c>
      <c r="B521" s="1" t="n">
        <v>45575</v>
      </c>
      <c r="C521" s="1" t="n">
        <v>46127</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33527-2023</t>
        </is>
      </c>
      <c r="B522" s="1" t="n">
        <v>45131</v>
      </c>
      <c r="C522" s="1" t="n">
        <v>46127</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7377-2023</t>
        </is>
      </c>
      <c r="B523" s="1" t="n">
        <v>44971</v>
      </c>
      <c r="C523" s="1" t="n">
        <v>46127</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21159-2022</t>
        </is>
      </c>
      <c r="B524" s="1" t="n">
        <v>44704</v>
      </c>
      <c r="C524" s="1" t="n">
        <v>46127</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11799-2026</t>
        </is>
      </c>
      <c r="B525" s="1" t="n">
        <v>46085.34180555555</v>
      </c>
      <c r="C525" s="1" t="n">
        <v>46127</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56688-2024</t>
        </is>
      </c>
      <c r="B526" s="1" t="n">
        <v>45627.66478009259</v>
      </c>
      <c r="C526" s="1" t="n">
        <v>46127</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16159-2024</t>
        </is>
      </c>
      <c r="B527" s="1" t="n">
        <v>45406</v>
      </c>
      <c r="C527" s="1" t="n">
        <v>46127</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66307-2021</t>
        </is>
      </c>
      <c r="B528" s="1" t="n">
        <v>44518.48670138889</v>
      </c>
      <c r="C528" s="1" t="n">
        <v>46127</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27262-2024</t>
        </is>
      </c>
      <c r="B529" s="1" t="n">
        <v>45471</v>
      </c>
      <c r="C529" s="1" t="n">
        <v>46127</v>
      </c>
      <c r="D529" t="inlineStr">
        <is>
          <t>VÄSTMANLANDS LÄN</t>
        </is>
      </c>
      <c r="E529" t="inlineStr">
        <is>
          <t>SALA</t>
        </is>
      </c>
      <c r="G529" t="n">
        <v>0.8</v>
      </c>
      <c r="H529" t="n">
        <v>0</v>
      </c>
      <c r="I529" t="n">
        <v>0</v>
      </c>
      <c r="J529" t="n">
        <v>0</v>
      </c>
      <c r="K529" t="n">
        <v>0</v>
      </c>
      <c r="L529" t="n">
        <v>0</v>
      </c>
      <c r="M529" t="n">
        <v>0</v>
      </c>
      <c r="N529" t="n">
        <v>0</v>
      </c>
      <c r="O529" t="n">
        <v>0</v>
      </c>
      <c r="P529" t="n">
        <v>0</v>
      </c>
      <c r="Q529" t="n">
        <v>0</v>
      </c>
      <c r="R529" s="2" t="inlineStr"/>
    </row>
    <row r="530" ht="15" customHeight="1">
      <c r="A530" t="inlineStr">
        <is>
          <t>A 10913-2025</t>
        </is>
      </c>
      <c r="B530" s="1" t="n">
        <v>45722.73423611111</v>
      </c>
      <c r="C530" s="1" t="n">
        <v>46127</v>
      </c>
      <c r="D530" t="inlineStr">
        <is>
          <t>VÄSTMANLANDS LÄN</t>
        </is>
      </c>
      <c r="E530" t="inlineStr">
        <is>
          <t>SALA</t>
        </is>
      </c>
      <c r="G530" t="n">
        <v>7.6</v>
      </c>
      <c r="H530" t="n">
        <v>0</v>
      </c>
      <c r="I530" t="n">
        <v>0</v>
      </c>
      <c r="J530" t="n">
        <v>0</v>
      </c>
      <c r="K530" t="n">
        <v>0</v>
      </c>
      <c r="L530" t="n">
        <v>0</v>
      </c>
      <c r="M530" t="n">
        <v>0</v>
      </c>
      <c r="N530" t="n">
        <v>0</v>
      </c>
      <c r="O530" t="n">
        <v>0</v>
      </c>
      <c r="P530" t="n">
        <v>0</v>
      </c>
      <c r="Q530" t="n">
        <v>0</v>
      </c>
      <c r="R530" s="2" t="inlineStr"/>
    </row>
    <row r="531" ht="15" customHeight="1">
      <c r="A531" t="inlineStr">
        <is>
          <t>A 4214-2026</t>
        </is>
      </c>
      <c r="B531" s="1" t="n">
        <v>46044.76459490741</v>
      </c>
      <c r="C531" s="1" t="n">
        <v>46127</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35410-2022</t>
        </is>
      </c>
      <c r="B532" s="1" t="n">
        <v>44798.62576388889</v>
      </c>
      <c r="C532" s="1" t="n">
        <v>46127</v>
      </c>
      <c r="D532" t="inlineStr">
        <is>
          <t>VÄSTMANLANDS LÄN</t>
        </is>
      </c>
      <c r="E532" t="inlineStr">
        <is>
          <t>SALA</t>
        </is>
      </c>
      <c r="G532" t="n">
        <v>1.6</v>
      </c>
      <c r="H532" t="n">
        <v>0</v>
      </c>
      <c r="I532" t="n">
        <v>0</v>
      </c>
      <c r="J532" t="n">
        <v>0</v>
      </c>
      <c r="K532" t="n">
        <v>0</v>
      </c>
      <c r="L532" t="n">
        <v>0</v>
      </c>
      <c r="M532" t="n">
        <v>0</v>
      </c>
      <c r="N532" t="n">
        <v>0</v>
      </c>
      <c r="O532" t="n">
        <v>0</v>
      </c>
      <c r="P532" t="n">
        <v>0</v>
      </c>
      <c r="Q532" t="n">
        <v>0</v>
      </c>
      <c r="R532" s="2" t="inlineStr"/>
    </row>
    <row r="533" ht="15" customHeight="1">
      <c r="A533" t="inlineStr">
        <is>
          <t>A 4712-2026</t>
        </is>
      </c>
      <c r="B533" s="1" t="n">
        <v>46048.46082175926</v>
      </c>
      <c r="C533" s="1" t="n">
        <v>46127</v>
      </c>
      <c r="D533" t="inlineStr">
        <is>
          <t>VÄSTMANLANDS LÄN</t>
        </is>
      </c>
      <c r="E533" t="inlineStr">
        <is>
          <t>SALA</t>
        </is>
      </c>
      <c r="G533" t="n">
        <v>4.1</v>
      </c>
      <c r="H533" t="n">
        <v>0</v>
      </c>
      <c r="I533" t="n">
        <v>0</v>
      </c>
      <c r="J533" t="n">
        <v>0</v>
      </c>
      <c r="K533" t="n">
        <v>0</v>
      </c>
      <c r="L533" t="n">
        <v>0</v>
      </c>
      <c r="M533" t="n">
        <v>0</v>
      </c>
      <c r="N533" t="n">
        <v>0</v>
      </c>
      <c r="O533" t="n">
        <v>0</v>
      </c>
      <c r="P533" t="n">
        <v>0</v>
      </c>
      <c r="Q533" t="n">
        <v>0</v>
      </c>
      <c r="R533" s="2" t="inlineStr"/>
    </row>
    <row r="534" ht="15" customHeight="1">
      <c r="A534" t="inlineStr">
        <is>
          <t>A 1118-2024</t>
        </is>
      </c>
      <c r="B534" s="1" t="n">
        <v>45302</v>
      </c>
      <c r="C534" s="1" t="n">
        <v>46127</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4664-2026</t>
        </is>
      </c>
      <c r="B535" s="1" t="n">
        <v>46048.41061342593</v>
      </c>
      <c r="C535" s="1" t="n">
        <v>46127</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12497-2026</t>
        </is>
      </c>
      <c r="B536" s="1" t="n">
        <v>46090.57240740741</v>
      </c>
      <c r="C536" s="1" t="n">
        <v>46127</v>
      </c>
      <c r="D536" t="inlineStr">
        <is>
          <t>VÄSTMANLANDS LÄN</t>
        </is>
      </c>
      <c r="E536" t="inlineStr">
        <is>
          <t>SALA</t>
        </is>
      </c>
      <c r="G536" t="n">
        <v>1.3</v>
      </c>
      <c r="H536" t="n">
        <v>0</v>
      </c>
      <c r="I536" t="n">
        <v>0</v>
      </c>
      <c r="J536" t="n">
        <v>0</v>
      </c>
      <c r="K536" t="n">
        <v>0</v>
      </c>
      <c r="L536" t="n">
        <v>0</v>
      </c>
      <c r="M536" t="n">
        <v>0</v>
      </c>
      <c r="N536" t="n">
        <v>0</v>
      </c>
      <c r="O536" t="n">
        <v>0</v>
      </c>
      <c r="P536" t="n">
        <v>0</v>
      </c>
      <c r="Q536" t="n">
        <v>0</v>
      </c>
      <c r="R536" s="2" t="inlineStr"/>
    </row>
    <row r="537" ht="15" customHeight="1">
      <c r="A537" t="inlineStr">
        <is>
          <t>A 4683-2026</t>
        </is>
      </c>
      <c r="B537" s="1" t="n">
        <v>46048.43489583334</v>
      </c>
      <c r="C537" s="1" t="n">
        <v>46127</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4681-2026</t>
        </is>
      </c>
      <c r="B538" s="1" t="n">
        <v>46048.43016203704</v>
      </c>
      <c r="C538" s="1" t="n">
        <v>46127</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53864-2022</t>
        </is>
      </c>
      <c r="B539" s="1" t="n">
        <v>44880.64016203704</v>
      </c>
      <c r="C539" s="1" t="n">
        <v>46127</v>
      </c>
      <c r="D539" t="inlineStr">
        <is>
          <t>VÄSTMANLANDS LÄN</t>
        </is>
      </c>
      <c r="E539" t="inlineStr">
        <is>
          <t>SALA</t>
        </is>
      </c>
      <c r="G539" t="n">
        <v>5.9</v>
      </c>
      <c r="H539" t="n">
        <v>0</v>
      </c>
      <c r="I539" t="n">
        <v>0</v>
      </c>
      <c r="J539" t="n">
        <v>0</v>
      </c>
      <c r="K539" t="n">
        <v>0</v>
      </c>
      <c r="L539" t="n">
        <v>0</v>
      </c>
      <c r="M539" t="n">
        <v>0</v>
      </c>
      <c r="N539" t="n">
        <v>0</v>
      </c>
      <c r="O539" t="n">
        <v>0</v>
      </c>
      <c r="P539" t="n">
        <v>0</v>
      </c>
      <c r="Q539" t="n">
        <v>0</v>
      </c>
      <c r="R539" s="2" t="inlineStr"/>
    </row>
    <row r="540" ht="15" customHeight="1">
      <c r="A540" t="inlineStr">
        <is>
          <t>A 40085-2024</t>
        </is>
      </c>
      <c r="B540" s="1" t="n">
        <v>45554</v>
      </c>
      <c r="C540" s="1" t="n">
        <v>46127</v>
      </c>
      <c r="D540" t="inlineStr">
        <is>
          <t>VÄSTMANLANDS LÄN</t>
        </is>
      </c>
      <c r="E540" t="inlineStr">
        <is>
          <t>SALA</t>
        </is>
      </c>
      <c r="G540" t="n">
        <v>2.8</v>
      </c>
      <c r="H540" t="n">
        <v>0</v>
      </c>
      <c r="I540" t="n">
        <v>0</v>
      </c>
      <c r="J540" t="n">
        <v>0</v>
      </c>
      <c r="K540" t="n">
        <v>0</v>
      </c>
      <c r="L540" t="n">
        <v>0</v>
      </c>
      <c r="M540" t="n">
        <v>0</v>
      </c>
      <c r="N540" t="n">
        <v>0</v>
      </c>
      <c r="O540" t="n">
        <v>0</v>
      </c>
      <c r="P540" t="n">
        <v>0</v>
      </c>
      <c r="Q540" t="n">
        <v>0</v>
      </c>
      <c r="R540" s="2" t="inlineStr"/>
    </row>
    <row r="541" ht="15" customHeight="1">
      <c r="A541" t="inlineStr">
        <is>
          <t>A 3551-2024</t>
        </is>
      </c>
      <c r="B541" s="1" t="n">
        <v>45320.61099537037</v>
      </c>
      <c r="C541" s="1" t="n">
        <v>46127</v>
      </c>
      <c r="D541" t="inlineStr">
        <is>
          <t>VÄSTMANLANDS LÄN</t>
        </is>
      </c>
      <c r="E541" t="inlineStr">
        <is>
          <t>SALA</t>
        </is>
      </c>
      <c r="F541" t="inlineStr">
        <is>
          <t>Kommuner</t>
        </is>
      </c>
      <c r="G541" t="n">
        <v>6</v>
      </c>
      <c r="H541" t="n">
        <v>0</v>
      </c>
      <c r="I541" t="n">
        <v>0</v>
      </c>
      <c r="J541" t="n">
        <v>0</v>
      </c>
      <c r="K541" t="n">
        <v>0</v>
      </c>
      <c r="L541" t="n">
        <v>0</v>
      </c>
      <c r="M541" t="n">
        <v>0</v>
      </c>
      <c r="N541" t="n">
        <v>0</v>
      </c>
      <c r="O541" t="n">
        <v>0</v>
      </c>
      <c r="P541" t="n">
        <v>0</v>
      </c>
      <c r="Q541" t="n">
        <v>0</v>
      </c>
      <c r="R541" s="2" t="inlineStr"/>
    </row>
    <row r="542" ht="15" customHeight="1">
      <c r="A542" t="inlineStr">
        <is>
          <t>A 4624-2026</t>
        </is>
      </c>
      <c r="B542" s="1" t="n">
        <v>46048.38107638889</v>
      </c>
      <c r="C542" s="1" t="n">
        <v>46127</v>
      </c>
      <c r="D542" t="inlineStr">
        <is>
          <t>VÄSTMANLANDS LÄN</t>
        </is>
      </c>
      <c r="E542" t="inlineStr">
        <is>
          <t>SALA</t>
        </is>
      </c>
      <c r="G542" t="n">
        <v>12.3</v>
      </c>
      <c r="H542" t="n">
        <v>0</v>
      </c>
      <c r="I542" t="n">
        <v>0</v>
      </c>
      <c r="J542" t="n">
        <v>0</v>
      </c>
      <c r="K542" t="n">
        <v>0</v>
      </c>
      <c r="L542" t="n">
        <v>0</v>
      </c>
      <c r="M542" t="n">
        <v>0</v>
      </c>
      <c r="N542" t="n">
        <v>0</v>
      </c>
      <c r="O542" t="n">
        <v>0</v>
      </c>
      <c r="P542" t="n">
        <v>0</v>
      </c>
      <c r="Q542" t="n">
        <v>0</v>
      </c>
      <c r="R542" s="2" t="inlineStr"/>
    </row>
    <row r="543" ht="15" customHeight="1">
      <c r="A543" t="inlineStr">
        <is>
          <t>A 5525-2026</t>
        </is>
      </c>
      <c r="B543" s="1" t="n">
        <v>46050.65055555556</v>
      </c>
      <c r="C543" s="1" t="n">
        <v>46127</v>
      </c>
      <c r="D543" t="inlineStr">
        <is>
          <t>VÄSTMANLANDS LÄN</t>
        </is>
      </c>
      <c r="E543" t="inlineStr">
        <is>
          <t>SALA</t>
        </is>
      </c>
      <c r="G543" t="n">
        <v>13.1</v>
      </c>
      <c r="H543" t="n">
        <v>0</v>
      </c>
      <c r="I543" t="n">
        <v>0</v>
      </c>
      <c r="J543" t="n">
        <v>0</v>
      </c>
      <c r="K543" t="n">
        <v>0</v>
      </c>
      <c r="L543" t="n">
        <v>0</v>
      </c>
      <c r="M543" t="n">
        <v>0</v>
      </c>
      <c r="N543" t="n">
        <v>0</v>
      </c>
      <c r="O543" t="n">
        <v>0</v>
      </c>
      <c r="P543" t="n">
        <v>0</v>
      </c>
      <c r="Q543" t="n">
        <v>0</v>
      </c>
      <c r="R543" s="2" t="inlineStr"/>
    </row>
    <row r="544" ht="15" customHeight="1">
      <c r="A544" t="inlineStr">
        <is>
          <t>A 22961-2023</t>
        </is>
      </c>
      <c r="B544" s="1" t="n">
        <v>45072</v>
      </c>
      <c r="C544" s="1" t="n">
        <v>46127</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22963-2023</t>
        </is>
      </c>
      <c r="B545" s="1" t="n">
        <v>45072</v>
      </c>
      <c r="C545" s="1" t="n">
        <v>46127</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13033-2026</t>
        </is>
      </c>
      <c r="B546" s="1" t="n">
        <v>46092.91247685185</v>
      </c>
      <c r="C546" s="1" t="n">
        <v>46127</v>
      </c>
      <c r="D546" t="inlineStr">
        <is>
          <t>VÄSTMANLANDS LÄN</t>
        </is>
      </c>
      <c r="E546" t="inlineStr">
        <is>
          <t>SALA</t>
        </is>
      </c>
      <c r="G546" t="n">
        <v>11.7</v>
      </c>
      <c r="H546" t="n">
        <v>0</v>
      </c>
      <c r="I546" t="n">
        <v>0</v>
      </c>
      <c r="J546" t="n">
        <v>0</v>
      </c>
      <c r="K546" t="n">
        <v>0</v>
      </c>
      <c r="L546" t="n">
        <v>0</v>
      </c>
      <c r="M546" t="n">
        <v>0</v>
      </c>
      <c r="N546" t="n">
        <v>0</v>
      </c>
      <c r="O546" t="n">
        <v>0</v>
      </c>
      <c r="P546" t="n">
        <v>0</v>
      </c>
      <c r="Q546" t="n">
        <v>0</v>
      </c>
      <c r="R546" s="2" t="inlineStr"/>
    </row>
    <row r="547" ht="15" customHeight="1">
      <c r="A547" t="inlineStr">
        <is>
          <t>A 54960-2024</t>
        </is>
      </c>
      <c r="B547" s="1" t="n">
        <v>45619.85208333333</v>
      </c>
      <c r="C547" s="1" t="n">
        <v>46127</v>
      </c>
      <c r="D547" t="inlineStr">
        <is>
          <t>VÄSTMANLANDS LÄN</t>
        </is>
      </c>
      <c r="E547" t="inlineStr">
        <is>
          <t>SALA</t>
        </is>
      </c>
      <c r="G547" t="n">
        <v>2.6</v>
      </c>
      <c r="H547" t="n">
        <v>0</v>
      </c>
      <c r="I547" t="n">
        <v>0</v>
      </c>
      <c r="J547" t="n">
        <v>0</v>
      </c>
      <c r="K547" t="n">
        <v>0</v>
      </c>
      <c r="L547" t="n">
        <v>0</v>
      </c>
      <c r="M547" t="n">
        <v>0</v>
      </c>
      <c r="N547" t="n">
        <v>0</v>
      </c>
      <c r="O547" t="n">
        <v>0</v>
      </c>
      <c r="P547" t="n">
        <v>0</v>
      </c>
      <c r="Q547" t="n">
        <v>0</v>
      </c>
      <c r="R547" s="2" t="inlineStr"/>
    </row>
    <row r="548" ht="15" customHeight="1">
      <c r="A548" t="inlineStr">
        <is>
          <t>A 5219-2026</t>
        </is>
      </c>
      <c r="B548" s="1" t="n">
        <v>46049.76225694444</v>
      </c>
      <c r="C548" s="1" t="n">
        <v>46127</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5418-2026</t>
        </is>
      </c>
      <c r="B549" s="1" t="n">
        <v>46050.53740740741</v>
      </c>
      <c r="C549" s="1" t="n">
        <v>46127</v>
      </c>
      <c r="D549" t="inlineStr">
        <is>
          <t>VÄSTMANLANDS LÄN</t>
        </is>
      </c>
      <c r="E549" t="inlineStr">
        <is>
          <t>SALA</t>
        </is>
      </c>
      <c r="G549" t="n">
        <v>0.9</v>
      </c>
      <c r="H549" t="n">
        <v>0</v>
      </c>
      <c r="I549" t="n">
        <v>0</v>
      </c>
      <c r="J549" t="n">
        <v>0</v>
      </c>
      <c r="K549" t="n">
        <v>0</v>
      </c>
      <c r="L549" t="n">
        <v>0</v>
      </c>
      <c r="M549" t="n">
        <v>0</v>
      </c>
      <c r="N549" t="n">
        <v>0</v>
      </c>
      <c r="O549" t="n">
        <v>0</v>
      </c>
      <c r="P549" t="n">
        <v>0</v>
      </c>
      <c r="Q549" t="n">
        <v>0</v>
      </c>
      <c r="R549" s="2" t="inlineStr"/>
    </row>
    <row r="550" ht="15" customHeight="1">
      <c r="A550" t="inlineStr">
        <is>
          <t>A 13032-2026</t>
        </is>
      </c>
      <c r="B550" s="1" t="n">
        <v>46092.90436342593</v>
      </c>
      <c r="C550" s="1" t="n">
        <v>46127</v>
      </c>
      <c r="D550" t="inlineStr">
        <is>
          <t>VÄSTMANLANDS LÄN</t>
        </is>
      </c>
      <c r="E550" t="inlineStr">
        <is>
          <t>SALA</t>
        </is>
      </c>
      <c r="G550" t="n">
        <v>3.4</v>
      </c>
      <c r="H550" t="n">
        <v>0</v>
      </c>
      <c r="I550" t="n">
        <v>0</v>
      </c>
      <c r="J550" t="n">
        <v>0</v>
      </c>
      <c r="K550" t="n">
        <v>0</v>
      </c>
      <c r="L550" t="n">
        <v>0</v>
      </c>
      <c r="M550" t="n">
        <v>0</v>
      </c>
      <c r="N550" t="n">
        <v>0</v>
      </c>
      <c r="O550" t="n">
        <v>0</v>
      </c>
      <c r="P550" t="n">
        <v>0</v>
      </c>
      <c r="Q550" t="n">
        <v>0</v>
      </c>
      <c r="R550" s="2" t="inlineStr"/>
    </row>
    <row r="551" ht="15" customHeight="1">
      <c r="A551" t="inlineStr">
        <is>
          <t>A 27228-2023</t>
        </is>
      </c>
      <c r="B551" s="1" t="n">
        <v>45096.59189814814</v>
      </c>
      <c r="C551" s="1" t="n">
        <v>46127</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26507-2023</t>
        </is>
      </c>
      <c r="B552" s="1" t="n">
        <v>45092</v>
      </c>
      <c r="C552" s="1" t="n">
        <v>46127</v>
      </c>
      <c r="D552" t="inlineStr">
        <is>
          <t>VÄSTMANLANDS LÄN</t>
        </is>
      </c>
      <c r="E552" t="inlineStr">
        <is>
          <t>SALA</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6183-2025</t>
        </is>
      </c>
      <c r="B553" s="1" t="n">
        <v>45698</v>
      </c>
      <c r="C553" s="1" t="n">
        <v>46127</v>
      </c>
      <c r="D553" t="inlineStr">
        <is>
          <t>VÄSTMANLANDS LÄN</t>
        </is>
      </c>
      <c r="E553" t="inlineStr">
        <is>
          <t>SALA</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16543-2023</t>
        </is>
      </c>
      <c r="B554" s="1" t="n">
        <v>45029</v>
      </c>
      <c r="C554" s="1" t="n">
        <v>46127</v>
      </c>
      <c r="D554" t="inlineStr">
        <is>
          <t>VÄSTMANLANDS LÄN</t>
        </is>
      </c>
      <c r="E554" t="inlineStr">
        <is>
          <t>SALA</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43176-2023</t>
        </is>
      </c>
      <c r="B555" s="1" t="n">
        <v>45183</v>
      </c>
      <c r="C555" s="1" t="n">
        <v>46127</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37624-2024</t>
        </is>
      </c>
      <c r="B556" s="1" t="n">
        <v>45541</v>
      </c>
      <c r="C556" s="1" t="n">
        <v>46127</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57895-2024</t>
        </is>
      </c>
      <c r="B557" s="1" t="n">
        <v>45631</v>
      </c>
      <c r="C557" s="1" t="n">
        <v>46127</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47086-2022</t>
        </is>
      </c>
      <c r="B558" s="1" t="n">
        <v>44852</v>
      </c>
      <c r="C558" s="1" t="n">
        <v>46127</v>
      </c>
      <c r="D558" t="inlineStr">
        <is>
          <t>VÄSTMANLANDS LÄN</t>
        </is>
      </c>
      <c r="E558" t="inlineStr">
        <is>
          <t>SALA</t>
        </is>
      </c>
      <c r="G558" t="n">
        <v>12.5</v>
      </c>
      <c r="H558" t="n">
        <v>0</v>
      </c>
      <c r="I558" t="n">
        <v>0</v>
      </c>
      <c r="J558" t="n">
        <v>0</v>
      </c>
      <c r="K558" t="n">
        <v>0</v>
      </c>
      <c r="L558" t="n">
        <v>0</v>
      </c>
      <c r="M558" t="n">
        <v>0</v>
      </c>
      <c r="N558" t="n">
        <v>0</v>
      </c>
      <c r="O558" t="n">
        <v>0</v>
      </c>
      <c r="P558" t="n">
        <v>0</v>
      </c>
      <c r="Q558" t="n">
        <v>0</v>
      </c>
      <c r="R558" s="2" t="inlineStr"/>
    </row>
    <row r="559" ht="15" customHeight="1">
      <c r="A559" t="inlineStr">
        <is>
          <t>A 56687-2024</t>
        </is>
      </c>
      <c r="B559" s="1" t="n">
        <v>45627.63271990741</v>
      </c>
      <c r="C559" s="1" t="n">
        <v>46127</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54347-2024</t>
        </is>
      </c>
      <c r="B560" s="1" t="n">
        <v>45617.39325231482</v>
      </c>
      <c r="C560" s="1" t="n">
        <v>46127</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64693-2023</t>
        </is>
      </c>
      <c r="B561" s="1" t="n">
        <v>45281.63850694444</v>
      </c>
      <c r="C561" s="1" t="n">
        <v>46127</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64695-2023</t>
        </is>
      </c>
      <c r="B562" s="1" t="n">
        <v>45281.64099537037</v>
      </c>
      <c r="C562" s="1" t="n">
        <v>46127</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27486-2022</t>
        </is>
      </c>
      <c r="B563" s="1" t="n">
        <v>44742.60846064815</v>
      </c>
      <c r="C563" s="1" t="n">
        <v>46127</v>
      </c>
      <c r="D563" t="inlineStr">
        <is>
          <t>VÄSTMANLANDS LÄN</t>
        </is>
      </c>
      <c r="E563" t="inlineStr">
        <is>
          <t>SALA</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35003-2024</t>
        </is>
      </c>
      <c r="B564" s="1" t="n">
        <v>45527.56790509259</v>
      </c>
      <c r="C564" s="1" t="n">
        <v>46127</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5894-2026</t>
        </is>
      </c>
      <c r="B565" s="1" t="n">
        <v>46052.42412037037</v>
      </c>
      <c r="C565" s="1" t="n">
        <v>46127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13996-2026</t>
        </is>
      </c>
      <c r="B566" s="1" t="n">
        <v>46098.63159722222</v>
      </c>
      <c r="C566" s="1" t="n">
        <v>46127</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48688-2024</t>
        </is>
      </c>
      <c r="B567" s="1" t="n">
        <v>45593.50541666667</v>
      </c>
      <c r="C567" s="1" t="n">
        <v>46127</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63933-2023</t>
        </is>
      </c>
      <c r="B568" s="1" t="n">
        <v>45278</v>
      </c>
      <c r="C568" s="1" t="n">
        <v>46127</v>
      </c>
      <c r="D568" t="inlineStr">
        <is>
          <t>VÄSTMANLANDS LÄN</t>
        </is>
      </c>
      <c r="E568" t="inlineStr">
        <is>
          <t>SALA</t>
        </is>
      </c>
      <c r="G568" t="n">
        <v>1.4</v>
      </c>
      <c r="H568" t="n">
        <v>0</v>
      </c>
      <c r="I568" t="n">
        <v>0</v>
      </c>
      <c r="J568" t="n">
        <v>0</v>
      </c>
      <c r="K568" t="n">
        <v>0</v>
      </c>
      <c r="L568" t="n">
        <v>0</v>
      </c>
      <c r="M568" t="n">
        <v>0</v>
      </c>
      <c r="N568" t="n">
        <v>0</v>
      </c>
      <c r="O568" t="n">
        <v>0</v>
      </c>
      <c r="P568" t="n">
        <v>0</v>
      </c>
      <c r="Q568" t="n">
        <v>0</v>
      </c>
      <c r="R568" s="2" t="inlineStr"/>
    </row>
    <row r="569" ht="15" customHeight="1">
      <c r="A569" t="inlineStr">
        <is>
          <t>A 44746-2024</t>
        </is>
      </c>
      <c r="B569" s="1" t="n">
        <v>45574.59813657407</v>
      </c>
      <c r="C569" s="1" t="n">
        <v>46127</v>
      </c>
      <c r="D569" t="inlineStr">
        <is>
          <t>VÄSTMANLANDS LÄN</t>
        </is>
      </c>
      <c r="E569" t="inlineStr">
        <is>
          <t>SALA</t>
        </is>
      </c>
      <c r="G569" t="n">
        <v>6.7</v>
      </c>
      <c r="H569" t="n">
        <v>0</v>
      </c>
      <c r="I569" t="n">
        <v>0</v>
      </c>
      <c r="J569" t="n">
        <v>0</v>
      </c>
      <c r="K569" t="n">
        <v>0</v>
      </c>
      <c r="L569" t="n">
        <v>0</v>
      </c>
      <c r="M569" t="n">
        <v>0</v>
      </c>
      <c r="N569" t="n">
        <v>0</v>
      </c>
      <c r="O569" t="n">
        <v>0</v>
      </c>
      <c r="P569" t="n">
        <v>0</v>
      </c>
      <c r="Q569" t="n">
        <v>0</v>
      </c>
      <c r="R569" s="2" t="inlineStr"/>
    </row>
    <row r="570" ht="15" customHeight="1">
      <c r="A570" t="inlineStr">
        <is>
          <t>A 33273-2023</t>
        </is>
      </c>
      <c r="B570" s="1" t="n">
        <v>45127</v>
      </c>
      <c r="C570" s="1" t="n">
        <v>46127</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6021-2026</t>
        </is>
      </c>
      <c r="B571" s="1" t="n">
        <v>46050</v>
      </c>
      <c r="C571" s="1" t="n">
        <v>46127</v>
      </c>
      <c r="D571" t="inlineStr">
        <is>
          <t>VÄSTMANLANDS LÄN</t>
        </is>
      </c>
      <c r="E571" t="inlineStr">
        <is>
          <t>SALA</t>
        </is>
      </c>
      <c r="G571" t="n">
        <v>1.9</v>
      </c>
      <c r="H571" t="n">
        <v>0</v>
      </c>
      <c r="I571" t="n">
        <v>0</v>
      </c>
      <c r="J571" t="n">
        <v>0</v>
      </c>
      <c r="K571" t="n">
        <v>0</v>
      </c>
      <c r="L571" t="n">
        <v>0</v>
      </c>
      <c r="M571" t="n">
        <v>0</v>
      </c>
      <c r="N571" t="n">
        <v>0</v>
      </c>
      <c r="O571" t="n">
        <v>0</v>
      </c>
      <c r="P571" t="n">
        <v>0</v>
      </c>
      <c r="Q571" t="n">
        <v>0</v>
      </c>
      <c r="R571" s="2" t="inlineStr"/>
    </row>
    <row r="572" ht="15" customHeight="1">
      <c r="A572" t="inlineStr">
        <is>
          <t>A 11696-2025</t>
        </is>
      </c>
      <c r="B572" s="1" t="n">
        <v>45727</v>
      </c>
      <c r="C572" s="1" t="n">
        <v>46127</v>
      </c>
      <c r="D572" t="inlineStr">
        <is>
          <t>VÄSTMANLANDS LÄN</t>
        </is>
      </c>
      <c r="E572" t="inlineStr">
        <is>
          <t>SALA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14000-2026</t>
        </is>
      </c>
      <c r="B573" s="1" t="n">
        <v>46098.64246527778</v>
      </c>
      <c r="C573" s="1" t="n">
        <v>46127</v>
      </c>
      <c r="D573" t="inlineStr">
        <is>
          <t>VÄSTMANLANDS LÄN</t>
        </is>
      </c>
      <c r="E573" t="inlineStr">
        <is>
          <t>SALA</t>
        </is>
      </c>
      <c r="G573" t="n">
        <v>0.8</v>
      </c>
      <c r="H573" t="n">
        <v>0</v>
      </c>
      <c r="I573" t="n">
        <v>0</v>
      </c>
      <c r="J573" t="n">
        <v>0</v>
      </c>
      <c r="K573" t="n">
        <v>0</v>
      </c>
      <c r="L573" t="n">
        <v>0</v>
      </c>
      <c r="M573" t="n">
        <v>0</v>
      </c>
      <c r="N573" t="n">
        <v>0</v>
      </c>
      <c r="O573" t="n">
        <v>0</v>
      </c>
      <c r="P573" t="n">
        <v>0</v>
      </c>
      <c r="Q573" t="n">
        <v>0</v>
      </c>
      <c r="R573" s="2" t="inlineStr"/>
    </row>
    <row r="574" ht="15" customHeight="1">
      <c r="A574" t="inlineStr">
        <is>
          <t>A 60545-2024</t>
        </is>
      </c>
      <c r="B574" s="1" t="n">
        <v>45643</v>
      </c>
      <c r="C574" s="1" t="n">
        <v>46127</v>
      </c>
      <c r="D574" t="inlineStr">
        <is>
          <t>VÄSTMANLANDS LÄN</t>
        </is>
      </c>
      <c r="E574" t="inlineStr">
        <is>
          <t>SALA</t>
        </is>
      </c>
      <c r="G574" t="n">
        <v>3.3</v>
      </c>
      <c r="H574" t="n">
        <v>0</v>
      </c>
      <c r="I574" t="n">
        <v>0</v>
      </c>
      <c r="J574" t="n">
        <v>0</v>
      </c>
      <c r="K574" t="n">
        <v>0</v>
      </c>
      <c r="L574" t="n">
        <v>0</v>
      </c>
      <c r="M574" t="n">
        <v>0</v>
      </c>
      <c r="N574" t="n">
        <v>0</v>
      </c>
      <c r="O574" t="n">
        <v>0</v>
      </c>
      <c r="P574" t="n">
        <v>0</v>
      </c>
      <c r="Q574" t="n">
        <v>0</v>
      </c>
      <c r="R574" s="2" t="inlineStr"/>
    </row>
    <row r="575" ht="15" customHeight="1">
      <c r="A575" t="inlineStr">
        <is>
          <t>A 60547-2024</t>
        </is>
      </c>
      <c r="B575" s="1" t="n">
        <v>45643</v>
      </c>
      <c r="C575" s="1" t="n">
        <v>46127</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14490-2026</t>
        </is>
      </c>
      <c r="B576" s="1" t="n">
        <v>46100.59277777778</v>
      </c>
      <c r="C576" s="1" t="n">
        <v>46127</v>
      </c>
      <c r="D576" t="inlineStr">
        <is>
          <t>VÄSTMANLANDS LÄN</t>
        </is>
      </c>
      <c r="E576" t="inlineStr">
        <is>
          <t>SALA</t>
        </is>
      </c>
      <c r="F576" t="inlineStr">
        <is>
          <t>Sveaskog</t>
        </is>
      </c>
      <c r="G576" t="n">
        <v>2.6</v>
      </c>
      <c r="H576" t="n">
        <v>0</v>
      </c>
      <c r="I576" t="n">
        <v>0</v>
      </c>
      <c r="J576" t="n">
        <v>0</v>
      </c>
      <c r="K576" t="n">
        <v>0</v>
      </c>
      <c r="L576" t="n">
        <v>0</v>
      </c>
      <c r="M576" t="n">
        <v>0</v>
      </c>
      <c r="N576" t="n">
        <v>0</v>
      </c>
      <c r="O576" t="n">
        <v>0</v>
      </c>
      <c r="P576" t="n">
        <v>0</v>
      </c>
      <c r="Q576" t="n">
        <v>0</v>
      </c>
      <c r="R576" s="2" t="inlineStr"/>
    </row>
    <row r="577" ht="15" customHeight="1">
      <c r="A577" t="inlineStr">
        <is>
          <t>A 1985-2022</t>
        </is>
      </c>
      <c r="B577" s="1" t="n">
        <v>44575</v>
      </c>
      <c r="C577" s="1" t="n">
        <v>46127</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14481-2026</t>
        </is>
      </c>
      <c r="B578" s="1" t="n">
        <v>46100.58707175926</v>
      </c>
      <c r="C578" s="1" t="n">
        <v>46127</v>
      </c>
      <c r="D578" t="inlineStr">
        <is>
          <t>VÄSTMANLANDS LÄN</t>
        </is>
      </c>
      <c r="E578" t="inlineStr">
        <is>
          <t>SALA</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14482-2026</t>
        </is>
      </c>
      <c r="B579" s="1" t="n">
        <v>46100.588125</v>
      </c>
      <c r="C579" s="1" t="n">
        <v>46127</v>
      </c>
      <c r="D579" t="inlineStr">
        <is>
          <t>VÄSTMANLANDS LÄN</t>
        </is>
      </c>
      <c r="E579" t="inlineStr">
        <is>
          <t>SALA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14484-2026</t>
        </is>
      </c>
      <c r="B580" s="1" t="n">
        <v>46100.5887962963</v>
      </c>
      <c r="C580" s="1" t="n">
        <v>46127</v>
      </c>
      <c r="D580" t="inlineStr">
        <is>
          <t>VÄSTMANLANDS LÄN</t>
        </is>
      </c>
      <c r="E580" t="inlineStr">
        <is>
          <t>SALA</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7327-2026</t>
        </is>
      </c>
      <c r="B581" s="1" t="n">
        <v>46058.68371527778</v>
      </c>
      <c r="C581" s="1" t="n">
        <v>46127</v>
      </c>
      <c r="D581" t="inlineStr">
        <is>
          <t>VÄSTMANLANDS LÄN</t>
        </is>
      </c>
      <c r="E581" t="inlineStr">
        <is>
          <t>SALA</t>
        </is>
      </c>
      <c r="G581" t="n">
        <v>5.8</v>
      </c>
      <c r="H581" t="n">
        <v>0</v>
      </c>
      <c r="I581" t="n">
        <v>0</v>
      </c>
      <c r="J581" t="n">
        <v>0</v>
      </c>
      <c r="K581" t="n">
        <v>0</v>
      </c>
      <c r="L581" t="n">
        <v>0</v>
      </c>
      <c r="M581" t="n">
        <v>0</v>
      </c>
      <c r="N581" t="n">
        <v>0</v>
      </c>
      <c r="O581" t="n">
        <v>0</v>
      </c>
      <c r="P581" t="n">
        <v>0</v>
      </c>
      <c r="Q581" t="n">
        <v>0</v>
      </c>
      <c r="R581" s="2" t="inlineStr"/>
    </row>
    <row r="582" ht="15" customHeight="1">
      <c r="A582" t="inlineStr">
        <is>
          <t>A 7332-2026</t>
        </is>
      </c>
      <c r="B582" s="1" t="n">
        <v>46058.68884259259</v>
      </c>
      <c r="C582" s="1" t="n">
        <v>46127</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27261-2024</t>
        </is>
      </c>
      <c r="B583" s="1" t="n">
        <v>45471</v>
      </c>
      <c r="C583" s="1" t="n">
        <v>46127</v>
      </c>
      <c r="D583" t="inlineStr">
        <is>
          <t>VÄSTMANLANDS LÄN</t>
        </is>
      </c>
      <c r="E583" t="inlineStr">
        <is>
          <t>SALA</t>
        </is>
      </c>
      <c r="G583" t="n">
        <v>6.1</v>
      </c>
      <c r="H583" t="n">
        <v>0</v>
      </c>
      <c r="I583" t="n">
        <v>0</v>
      </c>
      <c r="J583" t="n">
        <v>0</v>
      </c>
      <c r="K583" t="n">
        <v>0</v>
      </c>
      <c r="L583" t="n">
        <v>0</v>
      </c>
      <c r="M583" t="n">
        <v>0</v>
      </c>
      <c r="N583" t="n">
        <v>0</v>
      </c>
      <c r="O583" t="n">
        <v>0</v>
      </c>
      <c r="P583" t="n">
        <v>0</v>
      </c>
      <c r="Q583" t="n">
        <v>0</v>
      </c>
      <c r="R583" s="2" t="inlineStr"/>
    </row>
    <row r="584" ht="15" customHeight="1">
      <c r="A584" t="inlineStr">
        <is>
          <t>A 11617-2026</t>
        </is>
      </c>
      <c r="B584" s="1" t="n">
        <v>46084</v>
      </c>
      <c r="C584" s="1" t="n">
        <v>46127</v>
      </c>
      <c r="D584" t="inlineStr">
        <is>
          <t>VÄSTMANLANDS LÄN</t>
        </is>
      </c>
      <c r="E584" t="inlineStr">
        <is>
          <t>SALA</t>
        </is>
      </c>
      <c r="F584" t="inlineStr">
        <is>
          <t>Kyrkan</t>
        </is>
      </c>
      <c r="G584" t="n">
        <v>3.7</v>
      </c>
      <c r="H584" t="n">
        <v>0</v>
      </c>
      <c r="I584" t="n">
        <v>0</v>
      </c>
      <c r="J584" t="n">
        <v>0</v>
      </c>
      <c r="K584" t="n">
        <v>0</v>
      </c>
      <c r="L584" t="n">
        <v>0</v>
      </c>
      <c r="M584" t="n">
        <v>0</v>
      </c>
      <c r="N584" t="n">
        <v>0</v>
      </c>
      <c r="O584" t="n">
        <v>0</v>
      </c>
      <c r="P584" t="n">
        <v>0</v>
      </c>
      <c r="Q584" t="n">
        <v>0</v>
      </c>
      <c r="R584" s="2" t="inlineStr"/>
    </row>
    <row r="585" ht="15" customHeight="1">
      <c r="A585" t="inlineStr">
        <is>
          <t>A 35976-2024</t>
        </is>
      </c>
      <c r="B585" s="1" t="n">
        <v>45533.49555555556</v>
      </c>
      <c r="C585" s="1" t="n">
        <v>46127</v>
      </c>
      <c r="D585" t="inlineStr">
        <is>
          <t>VÄSTMANLANDS LÄN</t>
        </is>
      </c>
      <c r="E585" t="inlineStr">
        <is>
          <t>SALA</t>
        </is>
      </c>
      <c r="G585" t="n">
        <v>2.3</v>
      </c>
      <c r="H585" t="n">
        <v>0</v>
      </c>
      <c r="I585" t="n">
        <v>0</v>
      </c>
      <c r="J585" t="n">
        <v>0</v>
      </c>
      <c r="K585" t="n">
        <v>0</v>
      </c>
      <c r="L585" t="n">
        <v>0</v>
      </c>
      <c r="M585" t="n">
        <v>0</v>
      </c>
      <c r="N585" t="n">
        <v>0</v>
      </c>
      <c r="O585" t="n">
        <v>0</v>
      </c>
      <c r="P585" t="n">
        <v>0</v>
      </c>
      <c r="Q585" t="n">
        <v>0</v>
      </c>
      <c r="R585" s="2" t="inlineStr"/>
    </row>
    <row r="586" ht="15" customHeight="1">
      <c r="A586" t="inlineStr">
        <is>
          <t>A 7324-2026</t>
        </is>
      </c>
      <c r="B586" s="1" t="n">
        <v>46058.68023148148</v>
      </c>
      <c r="C586" s="1" t="n">
        <v>46127</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7329-2026</t>
        </is>
      </c>
      <c r="B587" s="1" t="n">
        <v>46058.68678240741</v>
      </c>
      <c r="C587" s="1" t="n">
        <v>46127</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55556-2023</t>
        </is>
      </c>
      <c r="B588" s="1" t="n">
        <v>45232</v>
      </c>
      <c r="C588" s="1" t="n">
        <v>46127</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57650-2024</t>
        </is>
      </c>
      <c r="B589" s="1" t="n">
        <v>45630</v>
      </c>
      <c r="C589" s="1" t="n">
        <v>46127</v>
      </c>
      <c r="D589" t="inlineStr">
        <is>
          <t>VÄSTMANLANDS LÄN</t>
        </is>
      </c>
      <c r="E589" t="inlineStr">
        <is>
          <t>SALA</t>
        </is>
      </c>
      <c r="G589" t="n">
        <v>0.6</v>
      </c>
      <c r="H589" t="n">
        <v>0</v>
      </c>
      <c r="I589" t="n">
        <v>0</v>
      </c>
      <c r="J589" t="n">
        <v>0</v>
      </c>
      <c r="K589" t="n">
        <v>0</v>
      </c>
      <c r="L589" t="n">
        <v>0</v>
      </c>
      <c r="M589" t="n">
        <v>0</v>
      </c>
      <c r="N589" t="n">
        <v>0</v>
      </c>
      <c r="O589" t="n">
        <v>0</v>
      </c>
      <c r="P589" t="n">
        <v>0</v>
      </c>
      <c r="Q589" t="n">
        <v>0</v>
      </c>
      <c r="R589" s="2" t="inlineStr"/>
    </row>
    <row r="590" ht="15" customHeight="1">
      <c r="A590" t="inlineStr">
        <is>
          <t>A 50479-2022</t>
        </is>
      </c>
      <c r="B590" s="1" t="n">
        <v>44861</v>
      </c>
      <c r="C590" s="1" t="n">
        <v>46127</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45790-2023</t>
        </is>
      </c>
      <c r="B591" s="1" t="n">
        <v>45195.45958333334</v>
      </c>
      <c r="C591" s="1" t="n">
        <v>46127</v>
      </c>
      <c r="D591" t="inlineStr">
        <is>
          <t>VÄSTMANLANDS LÄN</t>
        </is>
      </c>
      <c r="E591" t="inlineStr">
        <is>
          <t>SALA</t>
        </is>
      </c>
      <c r="G591" t="n">
        <v>5.7</v>
      </c>
      <c r="H591" t="n">
        <v>0</v>
      </c>
      <c r="I591" t="n">
        <v>0</v>
      </c>
      <c r="J591" t="n">
        <v>0</v>
      </c>
      <c r="K591" t="n">
        <v>0</v>
      </c>
      <c r="L591" t="n">
        <v>0</v>
      </c>
      <c r="M591" t="n">
        <v>0</v>
      </c>
      <c r="N591" t="n">
        <v>0</v>
      </c>
      <c r="O591" t="n">
        <v>0</v>
      </c>
      <c r="P591" t="n">
        <v>0</v>
      </c>
      <c r="Q591" t="n">
        <v>0</v>
      </c>
      <c r="R591" s="2" t="inlineStr"/>
    </row>
    <row r="592" ht="15" customHeight="1">
      <c r="A592" t="inlineStr">
        <is>
          <t>A 7654-2026</t>
        </is>
      </c>
      <c r="B592" s="1" t="n">
        <v>46062.38828703704</v>
      </c>
      <c r="C592" s="1" t="n">
        <v>46127</v>
      </c>
      <c r="D592" t="inlineStr">
        <is>
          <t>VÄSTMANLANDS LÄN</t>
        </is>
      </c>
      <c r="E592" t="inlineStr">
        <is>
          <t>SALA</t>
        </is>
      </c>
      <c r="G592" t="n">
        <v>4.5</v>
      </c>
      <c r="H592" t="n">
        <v>0</v>
      </c>
      <c r="I592" t="n">
        <v>0</v>
      </c>
      <c r="J592" t="n">
        <v>0</v>
      </c>
      <c r="K592" t="n">
        <v>0</v>
      </c>
      <c r="L592" t="n">
        <v>0</v>
      </c>
      <c r="M592" t="n">
        <v>0</v>
      </c>
      <c r="N592" t="n">
        <v>0</v>
      </c>
      <c r="O592" t="n">
        <v>0</v>
      </c>
      <c r="P592" t="n">
        <v>0</v>
      </c>
      <c r="Q592" t="n">
        <v>0</v>
      </c>
      <c r="R592" s="2" t="inlineStr"/>
    </row>
    <row r="593" ht="15" customHeight="1">
      <c r="A593" t="inlineStr">
        <is>
          <t>A 7588-2026</t>
        </is>
      </c>
      <c r="B593" s="1" t="n">
        <v>46061.83528935185</v>
      </c>
      <c r="C593" s="1" t="n">
        <v>46127</v>
      </c>
      <c r="D593" t="inlineStr">
        <is>
          <t>VÄSTMANLANDS LÄN</t>
        </is>
      </c>
      <c r="E593" t="inlineStr">
        <is>
          <t>SALA</t>
        </is>
      </c>
      <c r="G593" t="n">
        <v>2.8</v>
      </c>
      <c r="H593" t="n">
        <v>0</v>
      </c>
      <c r="I593" t="n">
        <v>0</v>
      </c>
      <c r="J593" t="n">
        <v>0</v>
      </c>
      <c r="K593" t="n">
        <v>0</v>
      </c>
      <c r="L593" t="n">
        <v>0</v>
      </c>
      <c r="M593" t="n">
        <v>0</v>
      </c>
      <c r="N593" t="n">
        <v>0</v>
      </c>
      <c r="O593" t="n">
        <v>0</v>
      </c>
      <c r="P593" t="n">
        <v>0</v>
      </c>
      <c r="Q593" t="n">
        <v>0</v>
      </c>
      <c r="R593" s="2" t="inlineStr"/>
    </row>
    <row r="594" ht="15" customHeight="1">
      <c r="A594" t="inlineStr">
        <is>
          <t>A 7611-2026</t>
        </is>
      </c>
      <c r="B594" s="1" t="n">
        <v>46062.32387731481</v>
      </c>
      <c r="C594" s="1" t="n">
        <v>46127</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7676-2026</t>
        </is>
      </c>
      <c r="B595" s="1" t="n">
        <v>46062.42498842593</v>
      </c>
      <c r="C595" s="1" t="n">
        <v>46127</v>
      </c>
      <c r="D595" t="inlineStr">
        <is>
          <t>VÄSTMANLANDS LÄN</t>
        </is>
      </c>
      <c r="E595" t="inlineStr">
        <is>
          <t>SALA</t>
        </is>
      </c>
      <c r="G595" t="n">
        <v>2.1</v>
      </c>
      <c r="H595" t="n">
        <v>0</v>
      </c>
      <c r="I595" t="n">
        <v>0</v>
      </c>
      <c r="J595" t="n">
        <v>0</v>
      </c>
      <c r="K595" t="n">
        <v>0</v>
      </c>
      <c r="L595" t="n">
        <v>0</v>
      </c>
      <c r="M595" t="n">
        <v>0</v>
      </c>
      <c r="N595" t="n">
        <v>0</v>
      </c>
      <c r="O595" t="n">
        <v>0</v>
      </c>
      <c r="P595" t="n">
        <v>0</v>
      </c>
      <c r="Q595" t="n">
        <v>0</v>
      </c>
      <c r="R595" s="2" t="inlineStr"/>
    </row>
    <row r="596" ht="15" customHeight="1">
      <c r="A596" t="inlineStr">
        <is>
          <t>A 7593-2026</t>
        </is>
      </c>
      <c r="B596" s="1" t="n">
        <v>46061.88057870371</v>
      </c>
      <c r="C596" s="1" t="n">
        <v>46127</v>
      </c>
      <c r="D596" t="inlineStr">
        <is>
          <t>VÄSTMANLANDS LÄN</t>
        </is>
      </c>
      <c r="E596" t="inlineStr">
        <is>
          <t>SALA</t>
        </is>
      </c>
      <c r="G596" t="n">
        <v>7.5</v>
      </c>
      <c r="H596" t="n">
        <v>0</v>
      </c>
      <c r="I596" t="n">
        <v>0</v>
      </c>
      <c r="J596" t="n">
        <v>0</v>
      </c>
      <c r="K596" t="n">
        <v>0</v>
      </c>
      <c r="L596" t="n">
        <v>0</v>
      </c>
      <c r="M596" t="n">
        <v>0</v>
      </c>
      <c r="N596" t="n">
        <v>0</v>
      </c>
      <c r="O596" t="n">
        <v>0</v>
      </c>
      <c r="P596" t="n">
        <v>0</v>
      </c>
      <c r="Q596" t="n">
        <v>0</v>
      </c>
      <c r="R596" s="2" t="inlineStr"/>
    </row>
    <row r="597" ht="15" customHeight="1">
      <c r="A597" t="inlineStr">
        <is>
          <t>A 7597-2026</t>
        </is>
      </c>
      <c r="B597" s="1" t="n">
        <v>46061.91765046296</v>
      </c>
      <c r="C597" s="1" t="n">
        <v>46127</v>
      </c>
      <c r="D597" t="inlineStr">
        <is>
          <t>VÄSTMANLANDS LÄN</t>
        </is>
      </c>
      <c r="E597" t="inlineStr">
        <is>
          <t>SALA</t>
        </is>
      </c>
      <c r="G597" t="n">
        <v>0.6</v>
      </c>
      <c r="H597" t="n">
        <v>0</v>
      </c>
      <c r="I597" t="n">
        <v>0</v>
      </c>
      <c r="J597" t="n">
        <v>0</v>
      </c>
      <c r="K597" t="n">
        <v>0</v>
      </c>
      <c r="L597" t="n">
        <v>0</v>
      </c>
      <c r="M597" t="n">
        <v>0</v>
      </c>
      <c r="N597" t="n">
        <v>0</v>
      </c>
      <c r="O597" t="n">
        <v>0</v>
      </c>
      <c r="P597" t="n">
        <v>0</v>
      </c>
      <c r="Q597" t="n">
        <v>0</v>
      </c>
      <c r="R597" s="2" t="inlineStr"/>
    </row>
    <row r="598" ht="15" customHeight="1">
      <c r="A598" t="inlineStr">
        <is>
          <t>A 2928-2024</t>
        </is>
      </c>
      <c r="B598" s="1" t="n">
        <v>45315.59041666667</v>
      </c>
      <c r="C598" s="1" t="n">
        <v>46127</v>
      </c>
      <c r="D598" t="inlineStr">
        <is>
          <t>VÄSTMANLANDS LÄN</t>
        </is>
      </c>
      <c r="E598" t="inlineStr">
        <is>
          <t>SALA</t>
        </is>
      </c>
      <c r="G598" t="n">
        <v>1.4</v>
      </c>
      <c r="H598" t="n">
        <v>0</v>
      </c>
      <c r="I598" t="n">
        <v>0</v>
      </c>
      <c r="J598" t="n">
        <v>0</v>
      </c>
      <c r="K598" t="n">
        <v>0</v>
      </c>
      <c r="L598" t="n">
        <v>0</v>
      </c>
      <c r="M598" t="n">
        <v>0</v>
      </c>
      <c r="N598" t="n">
        <v>0</v>
      </c>
      <c r="O598" t="n">
        <v>0</v>
      </c>
      <c r="P598" t="n">
        <v>0</v>
      </c>
      <c r="Q598" t="n">
        <v>0</v>
      </c>
      <c r="R598" s="2" t="inlineStr"/>
    </row>
    <row r="599" ht="15" customHeight="1">
      <c r="A599" t="inlineStr">
        <is>
          <t>A 73673-2021</t>
        </is>
      </c>
      <c r="B599" s="1" t="n">
        <v>44552.46501157407</v>
      </c>
      <c r="C599" s="1" t="n">
        <v>46127</v>
      </c>
      <c r="D599" t="inlineStr">
        <is>
          <t>VÄSTMANLANDS LÄN</t>
        </is>
      </c>
      <c r="E599" t="inlineStr">
        <is>
          <t>SALA</t>
        </is>
      </c>
      <c r="G599" t="n">
        <v>11.4</v>
      </c>
      <c r="H599" t="n">
        <v>0</v>
      </c>
      <c r="I599" t="n">
        <v>0</v>
      </c>
      <c r="J599" t="n">
        <v>0</v>
      </c>
      <c r="K599" t="n">
        <v>0</v>
      </c>
      <c r="L599" t="n">
        <v>0</v>
      </c>
      <c r="M599" t="n">
        <v>0</v>
      </c>
      <c r="N599" t="n">
        <v>0</v>
      </c>
      <c r="O599" t="n">
        <v>0</v>
      </c>
      <c r="P599" t="n">
        <v>0</v>
      </c>
      <c r="Q599" t="n">
        <v>0</v>
      </c>
      <c r="R599" s="2" t="inlineStr"/>
    </row>
    <row r="600" ht="15" customHeight="1">
      <c r="A600" t="inlineStr">
        <is>
          <t>A 7661-2026</t>
        </is>
      </c>
      <c r="B600" s="1" t="n">
        <v>46062.39614583334</v>
      </c>
      <c r="C600" s="1" t="n">
        <v>46127</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7584-2026</t>
        </is>
      </c>
      <c r="B601" s="1" t="n">
        <v>46061.81653935185</v>
      </c>
      <c r="C601" s="1" t="n">
        <v>46127</v>
      </c>
      <c r="D601" t="inlineStr">
        <is>
          <t>VÄSTMANLANDS LÄN</t>
        </is>
      </c>
      <c r="E601" t="inlineStr">
        <is>
          <t>SALA</t>
        </is>
      </c>
      <c r="G601" t="n">
        <v>16.7</v>
      </c>
      <c r="H601" t="n">
        <v>0</v>
      </c>
      <c r="I601" t="n">
        <v>0</v>
      </c>
      <c r="J601" t="n">
        <v>0</v>
      </c>
      <c r="K601" t="n">
        <v>0</v>
      </c>
      <c r="L601" t="n">
        <v>0</v>
      </c>
      <c r="M601" t="n">
        <v>0</v>
      </c>
      <c r="N601" t="n">
        <v>0</v>
      </c>
      <c r="O601" t="n">
        <v>0</v>
      </c>
      <c r="P601" t="n">
        <v>0</v>
      </c>
      <c r="Q601" t="n">
        <v>0</v>
      </c>
      <c r="R601" s="2" t="inlineStr"/>
    </row>
    <row r="602" ht="15" customHeight="1">
      <c r="A602" t="inlineStr">
        <is>
          <t>A 7590-2026</t>
        </is>
      </c>
      <c r="B602" s="1" t="n">
        <v>46061.85252314815</v>
      </c>
      <c r="C602" s="1" t="n">
        <v>46127</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7596-2026</t>
        </is>
      </c>
      <c r="B603" s="1" t="n">
        <v>46061.90922453703</v>
      </c>
      <c r="C603" s="1" t="n">
        <v>46127</v>
      </c>
      <c r="D603" t="inlineStr">
        <is>
          <t>VÄSTMANLANDS LÄN</t>
        </is>
      </c>
      <c r="E603" t="inlineStr">
        <is>
          <t>SALA</t>
        </is>
      </c>
      <c r="G603" t="n">
        <v>3.1</v>
      </c>
      <c r="H603" t="n">
        <v>0</v>
      </c>
      <c r="I603" t="n">
        <v>0</v>
      </c>
      <c r="J603" t="n">
        <v>0</v>
      </c>
      <c r="K603" t="n">
        <v>0</v>
      </c>
      <c r="L603" t="n">
        <v>0</v>
      </c>
      <c r="M603" t="n">
        <v>0</v>
      </c>
      <c r="N603" t="n">
        <v>0</v>
      </c>
      <c r="O603" t="n">
        <v>0</v>
      </c>
      <c r="P603" t="n">
        <v>0</v>
      </c>
      <c r="Q603" t="n">
        <v>0</v>
      </c>
      <c r="R603" s="2" t="inlineStr"/>
    </row>
    <row r="604" ht="15" customHeight="1">
      <c r="A604" t="inlineStr">
        <is>
          <t>A 40871-2021</t>
        </is>
      </c>
      <c r="B604" s="1" t="n">
        <v>44421</v>
      </c>
      <c r="C604" s="1" t="n">
        <v>46127</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7850-2026</t>
        </is>
      </c>
      <c r="B605" s="1" t="n">
        <v>46062.66236111111</v>
      </c>
      <c r="C605" s="1" t="n">
        <v>46127</v>
      </c>
      <c r="D605" t="inlineStr">
        <is>
          <t>VÄSTMANLANDS LÄN</t>
        </is>
      </c>
      <c r="E605" t="inlineStr">
        <is>
          <t>SALA</t>
        </is>
      </c>
      <c r="G605" t="n">
        <v>2.3</v>
      </c>
      <c r="H605" t="n">
        <v>0</v>
      </c>
      <c r="I605" t="n">
        <v>0</v>
      </c>
      <c r="J605" t="n">
        <v>0</v>
      </c>
      <c r="K605" t="n">
        <v>0</v>
      </c>
      <c r="L605" t="n">
        <v>0</v>
      </c>
      <c r="M605" t="n">
        <v>0</v>
      </c>
      <c r="N605" t="n">
        <v>0</v>
      </c>
      <c r="O605" t="n">
        <v>0</v>
      </c>
      <c r="P605" t="n">
        <v>0</v>
      </c>
      <c r="Q605" t="n">
        <v>0</v>
      </c>
      <c r="R605" s="2" t="inlineStr"/>
    </row>
    <row r="606" ht="15" customHeight="1">
      <c r="A606" t="inlineStr">
        <is>
          <t>A 7595-2026</t>
        </is>
      </c>
      <c r="B606" s="1" t="n">
        <v>46061.90009259259</v>
      </c>
      <c r="C606" s="1" t="n">
        <v>46127</v>
      </c>
      <c r="D606" t="inlineStr">
        <is>
          <t>VÄSTMANLANDS LÄN</t>
        </is>
      </c>
      <c r="E606" t="inlineStr">
        <is>
          <t>SALA</t>
        </is>
      </c>
      <c r="G606" t="n">
        <v>1.2</v>
      </c>
      <c r="H606" t="n">
        <v>0</v>
      </c>
      <c r="I606" t="n">
        <v>0</v>
      </c>
      <c r="J606" t="n">
        <v>0</v>
      </c>
      <c r="K606" t="n">
        <v>0</v>
      </c>
      <c r="L606" t="n">
        <v>0</v>
      </c>
      <c r="M606" t="n">
        <v>0</v>
      </c>
      <c r="N606" t="n">
        <v>0</v>
      </c>
      <c r="O606" t="n">
        <v>0</v>
      </c>
      <c r="P606" t="n">
        <v>0</v>
      </c>
      <c r="Q606" t="n">
        <v>0</v>
      </c>
      <c r="R606" s="2" t="inlineStr"/>
    </row>
    <row r="607" ht="15" customHeight="1">
      <c r="A607" t="inlineStr">
        <is>
          <t>A 7680-2026</t>
        </is>
      </c>
      <c r="B607" s="1" t="n">
        <v>46062.43087962963</v>
      </c>
      <c r="C607" s="1" t="n">
        <v>46127</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15630-2026</t>
        </is>
      </c>
      <c r="B608" s="1" t="n">
        <v>46106.62283564815</v>
      </c>
      <c r="C608" s="1" t="n">
        <v>46127</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14271-2025</t>
        </is>
      </c>
      <c r="B609" s="1" t="n">
        <v>45740.64129629629</v>
      </c>
      <c r="C609" s="1" t="n">
        <v>46127</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15823-2026</t>
        </is>
      </c>
      <c r="B610" s="1" t="n">
        <v>46107.54096064815</v>
      </c>
      <c r="C610" s="1" t="n">
        <v>46127</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54199-2024</t>
        </is>
      </c>
      <c r="B611" s="1" t="n">
        <v>45616.64703703704</v>
      </c>
      <c r="C611" s="1" t="n">
        <v>46127</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6312-2025</t>
        </is>
      </c>
      <c r="B612" s="1" t="n">
        <v>45698</v>
      </c>
      <c r="C612" s="1" t="n">
        <v>46127</v>
      </c>
      <c r="D612" t="inlineStr">
        <is>
          <t>VÄSTMANLANDS LÄN</t>
        </is>
      </c>
      <c r="E612" t="inlineStr">
        <is>
          <t>SALA</t>
        </is>
      </c>
      <c r="G612" t="n">
        <v>1.2</v>
      </c>
      <c r="H612" t="n">
        <v>0</v>
      </c>
      <c r="I612" t="n">
        <v>0</v>
      </c>
      <c r="J612" t="n">
        <v>0</v>
      </c>
      <c r="K612" t="n">
        <v>0</v>
      </c>
      <c r="L612" t="n">
        <v>0</v>
      </c>
      <c r="M612" t="n">
        <v>0</v>
      </c>
      <c r="N612" t="n">
        <v>0</v>
      </c>
      <c r="O612" t="n">
        <v>0</v>
      </c>
      <c r="P612" t="n">
        <v>0</v>
      </c>
      <c r="Q612" t="n">
        <v>0</v>
      </c>
      <c r="R612" s="2" t="inlineStr"/>
    </row>
    <row r="613" ht="15" customHeight="1">
      <c r="A613" t="inlineStr">
        <is>
          <t>A 44857-2023</t>
        </is>
      </c>
      <c r="B613" s="1" t="n">
        <v>45190.58479166667</v>
      </c>
      <c r="C613" s="1" t="n">
        <v>46127</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16364-2026</t>
        </is>
      </c>
      <c r="B614" s="1" t="n">
        <v>46111.6115625</v>
      </c>
      <c r="C614" s="1" t="n">
        <v>46127</v>
      </c>
      <c r="D614" t="inlineStr">
        <is>
          <t>VÄSTMANLANDS LÄN</t>
        </is>
      </c>
      <c r="E614" t="inlineStr">
        <is>
          <t>SALA</t>
        </is>
      </c>
      <c r="G614" t="n">
        <v>4.7</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46127</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43188-2023</t>
        </is>
      </c>
      <c r="B616" s="1" t="n">
        <v>45183</v>
      </c>
      <c r="C616" s="1" t="n">
        <v>46127</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43205-2023</t>
        </is>
      </c>
      <c r="B617" s="1" t="n">
        <v>45183</v>
      </c>
      <c r="C617" s="1" t="n">
        <v>46127</v>
      </c>
      <c r="D617" t="inlineStr">
        <is>
          <t>VÄSTMANLANDS LÄN</t>
        </is>
      </c>
      <c r="E617" t="inlineStr">
        <is>
          <t>SALA</t>
        </is>
      </c>
      <c r="G617" t="n">
        <v>2.1</v>
      </c>
      <c r="H617" t="n">
        <v>0</v>
      </c>
      <c r="I617" t="n">
        <v>0</v>
      </c>
      <c r="J617" t="n">
        <v>0</v>
      </c>
      <c r="K617" t="n">
        <v>0</v>
      </c>
      <c r="L617" t="n">
        <v>0</v>
      </c>
      <c r="M617" t="n">
        <v>0</v>
      </c>
      <c r="N617" t="n">
        <v>0</v>
      </c>
      <c r="O617" t="n">
        <v>0</v>
      </c>
      <c r="P617" t="n">
        <v>0</v>
      </c>
      <c r="Q617" t="n">
        <v>0</v>
      </c>
      <c r="R617" s="2" t="inlineStr"/>
    </row>
    <row r="618" ht="15" customHeight="1">
      <c r="A618" t="inlineStr">
        <is>
          <t>A 61892-2021</t>
        </is>
      </c>
      <c r="B618" s="1" t="n">
        <v>44502</v>
      </c>
      <c r="C618" s="1" t="n">
        <v>46127</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29213-2022</t>
        </is>
      </c>
      <c r="B619" s="1" t="n">
        <v>44750.57474537037</v>
      </c>
      <c r="C619" s="1" t="n">
        <v>46127</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16354-2026</t>
        </is>
      </c>
      <c r="B620" s="1" t="n">
        <v>46111.5968287037</v>
      </c>
      <c r="C620" s="1" t="n">
        <v>46127</v>
      </c>
      <c r="D620" t="inlineStr">
        <is>
          <t>VÄSTMANLANDS LÄN</t>
        </is>
      </c>
      <c r="E620" t="inlineStr">
        <is>
          <t>SALA</t>
        </is>
      </c>
      <c r="G620" t="n">
        <v>5.2</v>
      </c>
      <c r="H620" t="n">
        <v>0</v>
      </c>
      <c r="I620" t="n">
        <v>0</v>
      </c>
      <c r="J620" t="n">
        <v>0</v>
      </c>
      <c r="K620" t="n">
        <v>0</v>
      </c>
      <c r="L620" t="n">
        <v>0</v>
      </c>
      <c r="M620" t="n">
        <v>0</v>
      </c>
      <c r="N620" t="n">
        <v>0</v>
      </c>
      <c r="O620" t="n">
        <v>0</v>
      </c>
      <c r="P620" t="n">
        <v>0</v>
      </c>
      <c r="Q620" t="n">
        <v>0</v>
      </c>
      <c r="R620" s="2" t="inlineStr"/>
    </row>
    <row r="621" ht="15" customHeight="1">
      <c r="A621" t="inlineStr">
        <is>
          <t>A 59483-2022</t>
        </is>
      </c>
      <c r="B621" s="1" t="n">
        <v>44907.45679398148</v>
      </c>
      <c r="C621" s="1" t="n">
        <v>46127</v>
      </c>
      <c r="D621" t="inlineStr">
        <is>
          <t>VÄSTMANLANDS LÄN</t>
        </is>
      </c>
      <c r="E621" t="inlineStr">
        <is>
          <t>SALA</t>
        </is>
      </c>
      <c r="G621" t="n">
        <v>5.2</v>
      </c>
      <c r="H621" t="n">
        <v>0</v>
      </c>
      <c r="I621" t="n">
        <v>0</v>
      </c>
      <c r="J621" t="n">
        <v>0</v>
      </c>
      <c r="K621" t="n">
        <v>0</v>
      </c>
      <c r="L621" t="n">
        <v>0</v>
      </c>
      <c r="M621" t="n">
        <v>0</v>
      </c>
      <c r="N621" t="n">
        <v>0</v>
      </c>
      <c r="O621" t="n">
        <v>0</v>
      </c>
      <c r="P621" t="n">
        <v>0</v>
      </c>
      <c r="Q621" t="n">
        <v>0</v>
      </c>
      <c r="R621" s="2" t="inlineStr"/>
    </row>
    <row r="622" ht="15" customHeight="1">
      <c r="A622" t="inlineStr">
        <is>
          <t>A 16367-2026</t>
        </is>
      </c>
      <c r="B622" s="1" t="n">
        <v>46111.61380787037</v>
      </c>
      <c r="C622" s="1" t="n">
        <v>46127</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16160-2024</t>
        </is>
      </c>
      <c r="B623" s="1" t="n">
        <v>45406</v>
      </c>
      <c r="C623" s="1" t="n">
        <v>46127</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16598-2026</t>
        </is>
      </c>
      <c r="B624" s="1" t="n">
        <v>46112.59598379629</v>
      </c>
      <c r="C624" s="1" t="n">
        <v>46127</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16369-2026</t>
        </is>
      </c>
      <c r="B625" s="1" t="n">
        <v>46111</v>
      </c>
      <c r="C625" s="1" t="n">
        <v>46127</v>
      </c>
      <c r="D625" t="inlineStr">
        <is>
          <t>VÄSTMANLANDS LÄN</t>
        </is>
      </c>
      <c r="E625" t="inlineStr">
        <is>
          <t>SALA</t>
        </is>
      </c>
      <c r="G625" t="n">
        <v>1.4</v>
      </c>
      <c r="H625" t="n">
        <v>0</v>
      </c>
      <c r="I625" t="n">
        <v>0</v>
      </c>
      <c r="J625" t="n">
        <v>0</v>
      </c>
      <c r="K625" t="n">
        <v>0</v>
      </c>
      <c r="L625" t="n">
        <v>0</v>
      </c>
      <c r="M625" t="n">
        <v>0</v>
      </c>
      <c r="N625" t="n">
        <v>0</v>
      </c>
      <c r="O625" t="n">
        <v>0</v>
      </c>
      <c r="P625" t="n">
        <v>0</v>
      </c>
      <c r="Q625" t="n">
        <v>0</v>
      </c>
      <c r="R625" s="2" t="inlineStr"/>
    </row>
    <row r="626" ht="15" customHeight="1">
      <c r="A626" t="inlineStr">
        <is>
          <t>A 39597-2022</t>
        </is>
      </c>
      <c r="B626" s="1" t="n">
        <v>44818</v>
      </c>
      <c r="C626" s="1" t="n">
        <v>46127</v>
      </c>
      <c r="D626" t="inlineStr">
        <is>
          <t>VÄSTMANLANDS LÄN</t>
        </is>
      </c>
      <c r="E626" t="inlineStr">
        <is>
          <t>SALA</t>
        </is>
      </c>
      <c r="G626" t="n">
        <v>2.3</v>
      </c>
      <c r="H626" t="n">
        <v>0</v>
      </c>
      <c r="I626" t="n">
        <v>0</v>
      </c>
      <c r="J626" t="n">
        <v>0</v>
      </c>
      <c r="K626" t="n">
        <v>0</v>
      </c>
      <c r="L626" t="n">
        <v>0</v>
      </c>
      <c r="M626" t="n">
        <v>0</v>
      </c>
      <c r="N626" t="n">
        <v>0</v>
      </c>
      <c r="O626" t="n">
        <v>0</v>
      </c>
      <c r="P626" t="n">
        <v>0</v>
      </c>
      <c r="Q626" t="n">
        <v>0</v>
      </c>
      <c r="R626" s="2" t="inlineStr"/>
    </row>
    <row r="627" ht="15" customHeight="1">
      <c r="A627" t="inlineStr">
        <is>
          <t>A 22921-2023</t>
        </is>
      </c>
      <c r="B627" s="1" t="n">
        <v>45070</v>
      </c>
      <c r="C627" s="1" t="n">
        <v>46127</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36858-2023</t>
        </is>
      </c>
      <c r="B628" s="1" t="n">
        <v>45154.55184027777</v>
      </c>
      <c r="C628" s="1" t="n">
        <v>46127</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55024-2023</t>
        </is>
      </c>
      <c r="B629" s="1" t="n">
        <v>45229</v>
      </c>
      <c r="C629" s="1" t="n">
        <v>46127</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55032-2023</t>
        </is>
      </c>
      <c r="B630" s="1" t="n">
        <v>45229</v>
      </c>
      <c r="C630" s="1" t="n">
        <v>46127</v>
      </c>
      <c r="D630" t="inlineStr">
        <is>
          <t>VÄSTMANLANDS LÄN</t>
        </is>
      </c>
      <c r="E630" t="inlineStr">
        <is>
          <t>SALA</t>
        </is>
      </c>
      <c r="G630" t="n">
        <v>1.5</v>
      </c>
      <c r="H630" t="n">
        <v>0</v>
      </c>
      <c r="I630" t="n">
        <v>0</v>
      </c>
      <c r="J630" t="n">
        <v>0</v>
      </c>
      <c r="K630" t="n">
        <v>0</v>
      </c>
      <c r="L630" t="n">
        <v>0</v>
      </c>
      <c r="M630" t="n">
        <v>0</v>
      </c>
      <c r="N630" t="n">
        <v>0</v>
      </c>
      <c r="O630" t="n">
        <v>0</v>
      </c>
      <c r="P630" t="n">
        <v>0</v>
      </c>
      <c r="Q630" t="n">
        <v>0</v>
      </c>
      <c r="R630" s="2" t="inlineStr"/>
    </row>
    <row r="631" ht="15" customHeight="1">
      <c r="A631" t="inlineStr">
        <is>
          <t>A 20352-2022</t>
        </is>
      </c>
      <c r="B631" s="1" t="n">
        <v>44699.37318287037</v>
      </c>
      <c r="C631" s="1" t="n">
        <v>46127</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5032-2025</t>
        </is>
      </c>
      <c r="B632" s="1" t="n">
        <v>45691</v>
      </c>
      <c r="C632" s="1" t="n">
        <v>46127</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17117-2023</t>
        </is>
      </c>
      <c r="B633" s="1" t="n">
        <v>45034</v>
      </c>
      <c r="C633" s="1" t="n">
        <v>46127</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19243-2025</t>
        </is>
      </c>
      <c r="B634" s="1" t="n">
        <v>45769</v>
      </c>
      <c r="C634" s="1" t="n">
        <v>46127</v>
      </c>
      <c r="D634" t="inlineStr">
        <is>
          <t>VÄSTMANLANDS LÄN</t>
        </is>
      </c>
      <c r="E634" t="inlineStr">
        <is>
          <t>SALA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7166-2025</t>
        </is>
      </c>
      <c r="B635" s="1" t="n">
        <v>45702</v>
      </c>
      <c r="C635" s="1" t="n">
        <v>46127</v>
      </c>
      <c r="D635" t="inlineStr">
        <is>
          <t>VÄSTMANLANDS LÄN</t>
        </is>
      </c>
      <c r="E635" t="inlineStr">
        <is>
          <t>SALA</t>
        </is>
      </c>
      <c r="G635" t="n">
        <v>6.1</v>
      </c>
      <c r="H635" t="n">
        <v>0</v>
      </c>
      <c r="I635" t="n">
        <v>0</v>
      </c>
      <c r="J635" t="n">
        <v>0</v>
      </c>
      <c r="K635" t="n">
        <v>0</v>
      </c>
      <c r="L635" t="n">
        <v>0</v>
      </c>
      <c r="M635" t="n">
        <v>0</v>
      </c>
      <c r="N635" t="n">
        <v>0</v>
      </c>
      <c r="O635" t="n">
        <v>0</v>
      </c>
      <c r="P635" t="n">
        <v>0</v>
      </c>
      <c r="Q635" t="n">
        <v>0</v>
      </c>
      <c r="R635" s="2" t="inlineStr"/>
    </row>
    <row r="636" ht="15" customHeight="1">
      <c r="A636" t="inlineStr">
        <is>
          <t>A 36393-2023</t>
        </is>
      </c>
      <c r="B636" s="1" t="n">
        <v>45152</v>
      </c>
      <c r="C636" s="1" t="n">
        <v>46127</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26416-2023</t>
        </is>
      </c>
      <c r="B637" s="1" t="n">
        <v>45092.38087962963</v>
      </c>
      <c r="C637" s="1" t="n">
        <v>46127</v>
      </c>
      <c r="D637" t="inlineStr">
        <is>
          <t>VÄSTMANLANDS LÄN</t>
        </is>
      </c>
      <c r="E637" t="inlineStr">
        <is>
          <t>SALA</t>
        </is>
      </c>
      <c r="G637" t="n">
        <v>2.9</v>
      </c>
      <c r="H637" t="n">
        <v>0</v>
      </c>
      <c r="I637" t="n">
        <v>0</v>
      </c>
      <c r="J637" t="n">
        <v>0</v>
      </c>
      <c r="K637" t="n">
        <v>0</v>
      </c>
      <c r="L637" t="n">
        <v>0</v>
      </c>
      <c r="M637" t="n">
        <v>0</v>
      </c>
      <c r="N637" t="n">
        <v>0</v>
      </c>
      <c r="O637" t="n">
        <v>0</v>
      </c>
      <c r="P637" t="n">
        <v>0</v>
      </c>
      <c r="Q637" t="n">
        <v>0</v>
      </c>
      <c r="R637" s="2" t="inlineStr"/>
    </row>
    <row r="638" ht="15" customHeight="1">
      <c r="A638" t="inlineStr">
        <is>
          <t>A 10239-2026</t>
        </is>
      </c>
      <c r="B638" s="1" t="n">
        <v>46076.54824074074</v>
      </c>
      <c r="C638" s="1" t="n">
        <v>46127</v>
      </c>
      <c r="D638" t="inlineStr">
        <is>
          <t>VÄSTMANLANDS LÄN</t>
        </is>
      </c>
      <c r="E638" t="inlineStr">
        <is>
          <t>SALA</t>
        </is>
      </c>
      <c r="G638" t="n">
        <v>1.1</v>
      </c>
      <c r="H638" t="n">
        <v>0</v>
      </c>
      <c r="I638" t="n">
        <v>0</v>
      </c>
      <c r="J638" t="n">
        <v>0</v>
      </c>
      <c r="K638" t="n">
        <v>0</v>
      </c>
      <c r="L638" t="n">
        <v>0</v>
      </c>
      <c r="M638" t="n">
        <v>0</v>
      </c>
      <c r="N638" t="n">
        <v>0</v>
      </c>
      <c r="O638" t="n">
        <v>0</v>
      </c>
      <c r="P638" t="n">
        <v>0</v>
      </c>
      <c r="Q638" t="n">
        <v>0</v>
      </c>
      <c r="R638" s="2" t="inlineStr"/>
    </row>
    <row r="639" ht="15" customHeight="1">
      <c r="A639" t="inlineStr">
        <is>
          <t>A 28661-2024</t>
        </is>
      </c>
      <c r="B639" s="1" t="n">
        <v>45478</v>
      </c>
      <c r="C639" s="1" t="n">
        <v>46127</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27255-2023</t>
        </is>
      </c>
      <c r="B640" s="1" t="n">
        <v>45096</v>
      </c>
      <c r="C640" s="1" t="n">
        <v>46127</v>
      </c>
      <c r="D640" t="inlineStr">
        <is>
          <t>VÄSTMANLANDS LÄN</t>
        </is>
      </c>
      <c r="E640" t="inlineStr">
        <is>
          <t>SALA</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10245-2026</t>
        </is>
      </c>
      <c r="B641" s="1" t="n">
        <v>46076.55144675926</v>
      </c>
      <c r="C641" s="1" t="n">
        <v>46127</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10252-2026</t>
        </is>
      </c>
      <c r="B642" s="1" t="n">
        <v>46076.55700231482</v>
      </c>
      <c r="C642" s="1" t="n">
        <v>46127</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7197-2025</t>
        </is>
      </c>
      <c r="B643" s="1" t="n">
        <v>45702</v>
      </c>
      <c r="C643" s="1" t="n">
        <v>46127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13639-2026</t>
        </is>
      </c>
      <c r="B644" s="1" t="n">
        <v>46097</v>
      </c>
      <c r="C644" s="1" t="n">
        <v>46127</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13752-2025</t>
        </is>
      </c>
      <c r="B645" s="1" t="n">
        <v>45737.41416666667</v>
      </c>
      <c r="C645" s="1" t="n">
        <v>46127</v>
      </c>
      <c r="D645" t="inlineStr">
        <is>
          <t>VÄSTMANLANDS LÄN</t>
        </is>
      </c>
      <c r="E645" t="inlineStr">
        <is>
          <t>SALA</t>
        </is>
      </c>
      <c r="G645" t="n">
        <v>0.4</v>
      </c>
      <c r="H645" t="n">
        <v>0</v>
      </c>
      <c r="I645" t="n">
        <v>0</v>
      </c>
      <c r="J645" t="n">
        <v>0</v>
      </c>
      <c r="K645" t="n">
        <v>0</v>
      </c>
      <c r="L645" t="n">
        <v>0</v>
      </c>
      <c r="M645" t="n">
        <v>0</v>
      </c>
      <c r="N645" t="n">
        <v>0</v>
      </c>
      <c r="O645" t="n">
        <v>0</v>
      </c>
      <c r="P645" t="n">
        <v>0</v>
      </c>
      <c r="Q645" t="n">
        <v>0</v>
      </c>
      <c r="R645" s="2" t="inlineStr"/>
    </row>
    <row r="646" ht="15" customHeight="1">
      <c r="A646" t="inlineStr">
        <is>
          <t>A 2927-2024</t>
        </is>
      </c>
      <c r="B646" s="1" t="n">
        <v>45315.58989583333</v>
      </c>
      <c r="C646" s="1" t="n">
        <v>46127</v>
      </c>
      <c r="D646" t="inlineStr">
        <is>
          <t>VÄSTMANLANDS LÄN</t>
        </is>
      </c>
      <c r="E646" t="inlineStr">
        <is>
          <t>SALA</t>
        </is>
      </c>
      <c r="G646" t="n">
        <v>2.5</v>
      </c>
      <c r="H646" t="n">
        <v>0</v>
      </c>
      <c r="I646" t="n">
        <v>0</v>
      </c>
      <c r="J646" t="n">
        <v>0</v>
      </c>
      <c r="K646" t="n">
        <v>0</v>
      </c>
      <c r="L646" t="n">
        <v>0</v>
      </c>
      <c r="M646" t="n">
        <v>0</v>
      </c>
      <c r="N646" t="n">
        <v>0</v>
      </c>
      <c r="O646" t="n">
        <v>0</v>
      </c>
      <c r="P646" t="n">
        <v>0</v>
      </c>
      <c r="Q646" t="n">
        <v>0</v>
      </c>
      <c r="R646" s="2" t="inlineStr"/>
    </row>
    <row r="647" ht="15" customHeight="1">
      <c r="A647" t="inlineStr">
        <is>
          <t>A 26854-2024</t>
        </is>
      </c>
      <c r="B647" s="1" t="n">
        <v>45470</v>
      </c>
      <c r="C647" s="1" t="n">
        <v>46127</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48570-2024</t>
        </is>
      </c>
      <c r="B648" s="1" t="n">
        <v>45591</v>
      </c>
      <c r="C648" s="1" t="n">
        <v>46127</v>
      </c>
      <c r="D648" t="inlineStr">
        <is>
          <t>VÄSTMANLANDS LÄN</t>
        </is>
      </c>
      <c r="E648" t="inlineStr">
        <is>
          <t>SALA</t>
        </is>
      </c>
      <c r="G648" t="n">
        <v>3</v>
      </c>
      <c r="H648" t="n">
        <v>0</v>
      </c>
      <c r="I648" t="n">
        <v>0</v>
      </c>
      <c r="J648" t="n">
        <v>0</v>
      </c>
      <c r="K648" t="n">
        <v>0</v>
      </c>
      <c r="L648" t="n">
        <v>0</v>
      </c>
      <c r="M648" t="n">
        <v>0</v>
      </c>
      <c r="N648" t="n">
        <v>0</v>
      </c>
      <c r="O648" t="n">
        <v>0</v>
      </c>
      <c r="P648" t="n">
        <v>0</v>
      </c>
      <c r="Q648" t="n">
        <v>0</v>
      </c>
      <c r="R648" s="2" t="inlineStr"/>
    </row>
    <row r="649" ht="15" customHeight="1">
      <c r="A649" t="inlineStr">
        <is>
          <t>A 57883-2024</t>
        </is>
      </c>
      <c r="B649" s="1" t="n">
        <v>45630</v>
      </c>
      <c r="C649" s="1" t="n">
        <v>46127</v>
      </c>
      <c r="D649" t="inlineStr">
        <is>
          <t>VÄSTMANLANDS LÄN</t>
        </is>
      </c>
      <c r="E649" t="inlineStr">
        <is>
          <t>SALA</t>
        </is>
      </c>
      <c r="G649" t="n">
        <v>5.4</v>
      </c>
      <c r="H649" t="n">
        <v>0</v>
      </c>
      <c r="I649" t="n">
        <v>0</v>
      </c>
      <c r="J649" t="n">
        <v>0</v>
      </c>
      <c r="K649" t="n">
        <v>0</v>
      </c>
      <c r="L649" t="n">
        <v>0</v>
      </c>
      <c r="M649" t="n">
        <v>0</v>
      </c>
      <c r="N649" t="n">
        <v>0</v>
      </c>
      <c r="O649" t="n">
        <v>0</v>
      </c>
      <c r="P649" t="n">
        <v>0</v>
      </c>
      <c r="Q649" t="n">
        <v>0</v>
      </c>
      <c r="R649" s="2" t="inlineStr"/>
    </row>
    <row r="650" ht="15" customHeight="1">
      <c r="A650" t="inlineStr">
        <is>
          <t>A 16769-2024</t>
        </is>
      </c>
      <c r="B650" s="1" t="n">
        <v>45411.38738425926</v>
      </c>
      <c r="C650" s="1" t="n">
        <v>46127</v>
      </c>
      <c r="D650" t="inlineStr">
        <is>
          <t>VÄSTMANLANDS LÄN</t>
        </is>
      </c>
      <c r="E650" t="inlineStr">
        <is>
          <t>SALA</t>
        </is>
      </c>
      <c r="G650" t="n">
        <v>12</v>
      </c>
      <c r="H650" t="n">
        <v>0</v>
      </c>
      <c r="I650" t="n">
        <v>0</v>
      </c>
      <c r="J650" t="n">
        <v>0</v>
      </c>
      <c r="K650" t="n">
        <v>0</v>
      </c>
      <c r="L650" t="n">
        <v>0</v>
      </c>
      <c r="M650" t="n">
        <v>0</v>
      </c>
      <c r="N650" t="n">
        <v>0</v>
      </c>
      <c r="O650" t="n">
        <v>0</v>
      </c>
      <c r="P650" t="n">
        <v>0</v>
      </c>
      <c r="Q650" t="n">
        <v>0</v>
      </c>
      <c r="R650" s="2" t="inlineStr"/>
    </row>
    <row r="651" ht="15" customHeight="1">
      <c r="A651" t="inlineStr">
        <is>
          <t>A 18877-2023</t>
        </is>
      </c>
      <c r="B651" s="1" t="n">
        <v>45044</v>
      </c>
      <c r="C651" s="1" t="n">
        <v>46127</v>
      </c>
      <c r="D651" t="inlineStr">
        <is>
          <t>VÄSTMANLANDS LÄN</t>
        </is>
      </c>
      <c r="E651" t="inlineStr">
        <is>
          <t>SALA</t>
        </is>
      </c>
      <c r="F651" t="inlineStr">
        <is>
          <t>Kommuner</t>
        </is>
      </c>
      <c r="G651" t="n">
        <v>4.4</v>
      </c>
      <c r="H651" t="n">
        <v>0</v>
      </c>
      <c r="I651" t="n">
        <v>0</v>
      </c>
      <c r="J651" t="n">
        <v>0</v>
      </c>
      <c r="K651" t="n">
        <v>0</v>
      </c>
      <c r="L651" t="n">
        <v>0</v>
      </c>
      <c r="M651" t="n">
        <v>0</v>
      </c>
      <c r="N651" t="n">
        <v>0</v>
      </c>
      <c r="O651" t="n">
        <v>0</v>
      </c>
      <c r="P651" t="n">
        <v>0</v>
      </c>
      <c r="Q651" t="n">
        <v>0</v>
      </c>
      <c r="R651" s="2" t="inlineStr"/>
    </row>
    <row r="652" ht="15" customHeight="1">
      <c r="A652" t="inlineStr">
        <is>
          <t>A 44544-2024</t>
        </is>
      </c>
      <c r="B652" s="1" t="n">
        <v>45574.46119212963</v>
      </c>
      <c r="C652" s="1" t="n">
        <v>46127</v>
      </c>
      <c r="D652" t="inlineStr">
        <is>
          <t>VÄSTMANLANDS LÄN</t>
        </is>
      </c>
      <c r="E652" t="inlineStr">
        <is>
          <t>SALA</t>
        </is>
      </c>
      <c r="G652" t="n">
        <v>3.3</v>
      </c>
      <c r="H652" t="n">
        <v>0</v>
      </c>
      <c r="I652" t="n">
        <v>0</v>
      </c>
      <c r="J652" t="n">
        <v>0</v>
      </c>
      <c r="K652" t="n">
        <v>0</v>
      </c>
      <c r="L652" t="n">
        <v>0</v>
      </c>
      <c r="M652" t="n">
        <v>0</v>
      </c>
      <c r="N652" t="n">
        <v>0</v>
      </c>
      <c r="O652" t="n">
        <v>0</v>
      </c>
      <c r="P652" t="n">
        <v>0</v>
      </c>
      <c r="Q652" t="n">
        <v>0</v>
      </c>
      <c r="R652" s="2" t="inlineStr"/>
    </row>
    <row r="653" ht="15" customHeight="1">
      <c r="A653" t="inlineStr">
        <is>
          <t>A 60379-2022</t>
        </is>
      </c>
      <c r="B653" s="1" t="n">
        <v>44910</v>
      </c>
      <c r="C653" s="1" t="n">
        <v>46127</v>
      </c>
      <c r="D653" t="inlineStr">
        <is>
          <t>VÄSTMANLANDS LÄN</t>
        </is>
      </c>
      <c r="E653" t="inlineStr">
        <is>
          <t>SALA</t>
        </is>
      </c>
      <c r="F653" t="inlineStr">
        <is>
          <t>Kyrkan</t>
        </is>
      </c>
      <c r="G653" t="n">
        <v>2.5</v>
      </c>
      <c r="H653" t="n">
        <v>0</v>
      </c>
      <c r="I653" t="n">
        <v>0</v>
      </c>
      <c r="J653" t="n">
        <v>0</v>
      </c>
      <c r="K653" t="n">
        <v>0</v>
      </c>
      <c r="L653" t="n">
        <v>0</v>
      </c>
      <c r="M653" t="n">
        <v>0</v>
      </c>
      <c r="N653" t="n">
        <v>0</v>
      </c>
      <c r="O653" t="n">
        <v>0</v>
      </c>
      <c r="P653" t="n">
        <v>0</v>
      </c>
      <c r="Q653" t="n">
        <v>0</v>
      </c>
      <c r="R653" s="2" t="inlineStr"/>
    </row>
    <row r="654" ht="15" customHeight="1">
      <c r="A654" t="inlineStr">
        <is>
          <t>A 56547-2022</t>
        </is>
      </c>
      <c r="B654" s="1" t="n">
        <v>44893.48284722222</v>
      </c>
      <c r="C654" s="1" t="n">
        <v>46127</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29542-2023</t>
        </is>
      </c>
      <c r="B655" s="1" t="n">
        <v>45098</v>
      </c>
      <c r="C655" s="1" t="n">
        <v>46127</v>
      </c>
      <c r="D655" t="inlineStr">
        <is>
          <t>VÄSTMANLANDS LÄN</t>
        </is>
      </c>
      <c r="E655" t="inlineStr">
        <is>
          <t>SALA</t>
        </is>
      </c>
      <c r="G655" t="n">
        <v>4.8</v>
      </c>
      <c r="H655" t="n">
        <v>0</v>
      </c>
      <c r="I655" t="n">
        <v>0</v>
      </c>
      <c r="J655" t="n">
        <v>0</v>
      </c>
      <c r="K655" t="n">
        <v>0</v>
      </c>
      <c r="L655" t="n">
        <v>0</v>
      </c>
      <c r="M655" t="n">
        <v>0</v>
      </c>
      <c r="N655" t="n">
        <v>0</v>
      </c>
      <c r="O655" t="n">
        <v>0</v>
      </c>
      <c r="P655" t="n">
        <v>0</v>
      </c>
      <c r="Q655" t="n">
        <v>0</v>
      </c>
      <c r="R655" s="2" t="inlineStr"/>
    </row>
    <row r="656" ht="15" customHeight="1">
      <c r="A656" t="inlineStr">
        <is>
          <t>A 16638-2023</t>
        </is>
      </c>
      <c r="B656" s="1" t="n">
        <v>45027</v>
      </c>
      <c r="C656" s="1" t="n">
        <v>46127</v>
      </c>
      <c r="D656" t="inlineStr">
        <is>
          <t>VÄSTMANLANDS LÄN</t>
        </is>
      </c>
      <c r="E656" t="inlineStr">
        <is>
          <t>SALA</t>
        </is>
      </c>
      <c r="G656" t="n">
        <v>14.8</v>
      </c>
      <c r="H656" t="n">
        <v>0</v>
      </c>
      <c r="I656" t="n">
        <v>0</v>
      </c>
      <c r="J656" t="n">
        <v>0</v>
      </c>
      <c r="K656" t="n">
        <v>0</v>
      </c>
      <c r="L656" t="n">
        <v>0</v>
      </c>
      <c r="M656" t="n">
        <v>0</v>
      </c>
      <c r="N656" t="n">
        <v>0</v>
      </c>
      <c r="O656" t="n">
        <v>0</v>
      </c>
      <c r="P656" t="n">
        <v>0</v>
      </c>
      <c r="Q656" t="n">
        <v>0</v>
      </c>
      <c r="R656" s="2" t="inlineStr"/>
    </row>
    <row r="657" ht="15" customHeight="1">
      <c r="A657" t="inlineStr">
        <is>
          <t>A 37190-2024</t>
        </is>
      </c>
      <c r="B657" s="1" t="n">
        <v>45539</v>
      </c>
      <c r="C657" s="1" t="n">
        <v>46127</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23222-2023</t>
        </is>
      </c>
      <c r="B658" s="1" t="n">
        <v>45075</v>
      </c>
      <c r="C658" s="1" t="n">
        <v>46127</v>
      </c>
      <c r="D658" t="inlineStr">
        <is>
          <t>VÄSTMANLANDS LÄN</t>
        </is>
      </c>
      <c r="E658" t="inlineStr">
        <is>
          <t>SALA</t>
        </is>
      </c>
      <c r="G658" t="n">
        <v>0.8</v>
      </c>
      <c r="H658" t="n">
        <v>0</v>
      </c>
      <c r="I658" t="n">
        <v>0</v>
      </c>
      <c r="J658" t="n">
        <v>0</v>
      </c>
      <c r="K658" t="n">
        <v>0</v>
      </c>
      <c r="L658" t="n">
        <v>0</v>
      </c>
      <c r="M658" t="n">
        <v>0</v>
      </c>
      <c r="N658" t="n">
        <v>0</v>
      </c>
      <c r="O658" t="n">
        <v>0</v>
      </c>
      <c r="P658" t="n">
        <v>0</v>
      </c>
      <c r="Q658" t="n">
        <v>0</v>
      </c>
      <c r="R658" s="2" t="inlineStr"/>
    </row>
    <row r="659" ht="15" customHeight="1">
      <c r="A659" t="inlineStr">
        <is>
          <t>A 23224-2023</t>
        </is>
      </c>
      <c r="B659" s="1" t="n">
        <v>45075.65040509259</v>
      </c>
      <c r="C659" s="1" t="n">
        <v>46127</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18382-2026</t>
        </is>
      </c>
      <c r="B660" s="1" t="n">
        <v>46126.63601851852</v>
      </c>
      <c r="C660" s="1" t="n">
        <v>46127</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12144-2026</t>
        </is>
      </c>
      <c r="B661" s="1" t="n">
        <v>46086.58008101852</v>
      </c>
      <c r="C661" s="1" t="n">
        <v>46127</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22026-2021</t>
        </is>
      </c>
      <c r="B662" s="1" t="n">
        <v>44323</v>
      </c>
      <c r="C662" s="1" t="n">
        <v>46127</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68864-2021</t>
        </is>
      </c>
      <c r="B663" s="1" t="n">
        <v>44530</v>
      </c>
      <c r="C663" s="1" t="n">
        <v>46127</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19065-2022</t>
        </is>
      </c>
      <c r="B664" s="1" t="n">
        <v>44691.44309027777</v>
      </c>
      <c r="C664" s="1" t="n">
        <v>46127</v>
      </c>
      <c r="D664" t="inlineStr">
        <is>
          <t>VÄSTMANLANDS LÄN</t>
        </is>
      </c>
      <c r="E664" t="inlineStr">
        <is>
          <t>SALA</t>
        </is>
      </c>
      <c r="G664" t="n">
        <v>3.4</v>
      </c>
      <c r="H664" t="n">
        <v>0</v>
      </c>
      <c r="I664" t="n">
        <v>0</v>
      </c>
      <c r="J664" t="n">
        <v>0</v>
      </c>
      <c r="K664" t="n">
        <v>0</v>
      </c>
      <c r="L664" t="n">
        <v>0</v>
      </c>
      <c r="M664" t="n">
        <v>0</v>
      </c>
      <c r="N664" t="n">
        <v>0</v>
      </c>
      <c r="O664" t="n">
        <v>0</v>
      </c>
      <c r="P664" t="n">
        <v>0</v>
      </c>
      <c r="Q664" t="n">
        <v>0</v>
      </c>
      <c r="R664" s="2" t="inlineStr"/>
    </row>
    <row r="665" ht="15" customHeight="1">
      <c r="A665" t="inlineStr">
        <is>
          <t>A 37612-2024</t>
        </is>
      </c>
      <c r="B665" s="1" t="n">
        <v>45541</v>
      </c>
      <c r="C665" s="1" t="n">
        <v>46127</v>
      </c>
      <c r="D665" t="inlineStr">
        <is>
          <t>VÄSTMANLANDS LÄN</t>
        </is>
      </c>
      <c r="E665" t="inlineStr">
        <is>
          <t>SALA</t>
        </is>
      </c>
      <c r="G665" t="n">
        <v>2.2</v>
      </c>
      <c r="H665" t="n">
        <v>0</v>
      </c>
      <c r="I665" t="n">
        <v>0</v>
      </c>
      <c r="J665" t="n">
        <v>0</v>
      </c>
      <c r="K665" t="n">
        <v>0</v>
      </c>
      <c r="L665" t="n">
        <v>0</v>
      </c>
      <c r="M665" t="n">
        <v>0</v>
      </c>
      <c r="N665" t="n">
        <v>0</v>
      </c>
      <c r="O665" t="n">
        <v>0</v>
      </c>
      <c r="P665" t="n">
        <v>0</v>
      </c>
      <c r="Q665" t="n">
        <v>0</v>
      </c>
      <c r="R665" s="2" t="inlineStr"/>
    </row>
    <row r="666" ht="15" customHeight="1">
      <c r="A666" t="inlineStr">
        <is>
          <t>A 37615-2024</t>
        </is>
      </c>
      <c r="B666" s="1" t="n">
        <v>45541.50673611111</v>
      </c>
      <c r="C666" s="1" t="n">
        <v>46127</v>
      </c>
      <c r="D666" t="inlineStr">
        <is>
          <t>VÄSTMANLANDS LÄN</t>
        </is>
      </c>
      <c r="E666" t="inlineStr">
        <is>
          <t>SALA</t>
        </is>
      </c>
      <c r="G666" t="n">
        <v>1.1</v>
      </c>
      <c r="H666" t="n">
        <v>0</v>
      </c>
      <c r="I666" t="n">
        <v>0</v>
      </c>
      <c r="J666" t="n">
        <v>0</v>
      </c>
      <c r="K666" t="n">
        <v>0</v>
      </c>
      <c r="L666" t="n">
        <v>0</v>
      </c>
      <c r="M666" t="n">
        <v>0</v>
      </c>
      <c r="N666" t="n">
        <v>0</v>
      </c>
      <c r="O666" t="n">
        <v>0</v>
      </c>
      <c r="P666" t="n">
        <v>0</v>
      </c>
      <c r="Q666" t="n">
        <v>0</v>
      </c>
      <c r="R666" s="2" t="inlineStr"/>
    </row>
    <row r="667" ht="15" customHeight="1">
      <c r="A667" t="inlineStr">
        <is>
          <t>A 18158-2025</t>
        </is>
      </c>
      <c r="B667" s="1" t="n">
        <v>45761</v>
      </c>
      <c r="C667" s="1" t="n">
        <v>46127</v>
      </c>
      <c r="D667" t="inlineStr">
        <is>
          <t>VÄSTMANLANDS LÄN</t>
        </is>
      </c>
      <c r="E667" t="inlineStr">
        <is>
          <t>SALA</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9962-2025</t>
        </is>
      </c>
      <c r="B668" s="1" t="n">
        <v>45719.37072916667</v>
      </c>
      <c r="C668" s="1" t="n">
        <v>46127</v>
      </c>
      <c r="D668" t="inlineStr">
        <is>
          <t>VÄSTMANLANDS LÄN</t>
        </is>
      </c>
      <c r="E668" t="inlineStr">
        <is>
          <t>SALA</t>
        </is>
      </c>
      <c r="G668" t="n">
        <v>4.5</v>
      </c>
      <c r="H668" t="n">
        <v>0</v>
      </c>
      <c r="I668" t="n">
        <v>0</v>
      </c>
      <c r="J668" t="n">
        <v>0</v>
      </c>
      <c r="K668" t="n">
        <v>0</v>
      </c>
      <c r="L668" t="n">
        <v>0</v>
      </c>
      <c r="M668" t="n">
        <v>0</v>
      </c>
      <c r="N668" t="n">
        <v>0</v>
      </c>
      <c r="O668" t="n">
        <v>0</v>
      </c>
      <c r="P668" t="n">
        <v>0</v>
      </c>
      <c r="Q668" t="n">
        <v>0</v>
      </c>
      <c r="R668" s="2" t="inlineStr"/>
    </row>
    <row r="669" ht="15" customHeight="1">
      <c r="A669" t="inlineStr">
        <is>
          <t>A 37602-2024</t>
        </is>
      </c>
      <c r="B669" s="1" t="n">
        <v>45541</v>
      </c>
      <c r="C669" s="1" t="n">
        <v>46127</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18762-2024</t>
        </is>
      </c>
      <c r="B670" s="1" t="n">
        <v>45426.55240740741</v>
      </c>
      <c r="C670" s="1" t="n">
        <v>46127</v>
      </c>
      <c r="D670" t="inlineStr">
        <is>
          <t>VÄSTMANLANDS LÄN</t>
        </is>
      </c>
      <c r="E670" t="inlineStr">
        <is>
          <t>SALA</t>
        </is>
      </c>
      <c r="G670" t="n">
        <v>6.2</v>
      </c>
      <c r="H670" t="n">
        <v>0</v>
      </c>
      <c r="I670" t="n">
        <v>0</v>
      </c>
      <c r="J670" t="n">
        <v>0</v>
      </c>
      <c r="K670" t="n">
        <v>0</v>
      </c>
      <c r="L670" t="n">
        <v>0</v>
      </c>
      <c r="M670" t="n">
        <v>0</v>
      </c>
      <c r="N670" t="n">
        <v>0</v>
      </c>
      <c r="O670" t="n">
        <v>0</v>
      </c>
      <c r="P670" t="n">
        <v>0</v>
      </c>
      <c r="Q670" t="n">
        <v>0</v>
      </c>
      <c r="R670" s="2" t="inlineStr"/>
    </row>
    <row r="671" ht="15" customHeight="1">
      <c r="A671" t="inlineStr">
        <is>
          <t>A 39011-2023</t>
        </is>
      </c>
      <c r="B671" s="1" t="n">
        <v>45162</v>
      </c>
      <c r="C671" s="1" t="n">
        <v>46127</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46352-2023</t>
        </is>
      </c>
      <c r="B672" s="1" t="n">
        <v>45192</v>
      </c>
      <c r="C672" s="1" t="n">
        <v>46127</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43751-2021</t>
        </is>
      </c>
      <c r="B673" s="1" t="n">
        <v>44433</v>
      </c>
      <c r="C673" s="1" t="n">
        <v>46127</v>
      </c>
      <c r="D673" t="inlineStr">
        <is>
          <t>VÄSTMANLANDS LÄN</t>
        </is>
      </c>
      <c r="E673" t="inlineStr">
        <is>
          <t>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1128-2025</t>
        </is>
      </c>
      <c r="B674" s="1" t="n">
        <v>45666.68469907407</v>
      </c>
      <c r="C674" s="1" t="n">
        <v>46127</v>
      </c>
      <c r="D674" t="inlineStr">
        <is>
          <t>VÄSTMANLANDS LÄN</t>
        </is>
      </c>
      <c r="E674" t="inlineStr">
        <is>
          <t>SALA</t>
        </is>
      </c>
      <c r="G674" t="n">
        <v>2.5</v>
      </c>
      <c r="H674" t="n">
        <v>0</v>
      </c>
      <c r="I674" t="n">
        <v>0</v>
      </c>
      <c r="J674" t="n">
        <v>0</v>
      </c>
      <c r="K674" t="n">
        <v>0</v>
      </c>
      <c r="L674" t="n">
        <v>0</v>
      </c>
      <c r="M674" t="n">
        <v>0</v>
      </c>
      <c r="N674" t="n">
        <v>0</v>
      </c>
      <c r="O674" t="n">
        <v>0</v>
      </c>
      <c r="P674" t="n">
        <v>0</v>
      </c>
      <c r="Q674" t="n">
        <v>0</v>
      </c>
      <c r="R674" s="2" t="inlineStr"/>
    </row>
    <row r="675" ht="15" customHeight="1">
      <c r="A675" t="inlineStr">
        <is>
          <t>A 31950-2023</t>
        </is>
      </c>
      <c r="B675" s="1" t="n">
        <v>45107</v>
      </c>
      <c r="C675" s="1" t="n">
        <v>46127</v>
      </c>
      <c r="D675" t="inlineStr">
        <is>
          <t>VÄSTMANLANDS LÄN</t>
        </is>
      </c>
      <c r="E675" t="inlineStr">
        <is>
          <t>SALA</t>
        </is>
      </c>
      <c r="G675" t="n">
        <v>0.1</v>
      </c>
      <c r="H675" t="n">
        <v>0</v>
      </c>
      <c r="I675" t="n">
        <v>0</v>
      </c>
      <c r="J675" t="n">
        <v>0</v>
      </c>
      <c r="K675" t="n">
        <v>0</v>
      </c>
      <c r="L675" t="n">
        <v>0</v>
      </c>
      <c r="M675" t="n">
        <v>0</v>
      </c>
      <c r="N675" t="n">
        <v>0</v>
      </c>
      <c r="O675" t="n">
        <v>0</v>
      </c>
      <c r="P675" t="n">
        <v>0</v>
      </c>
      <c r="Q675" t="n">
        <v>0</v>
      </c>
      <c r="R675" s="2" t="inlineStr"/>
    </row>
    <row r="676" ht="15" customHeight="1">
      <c r="A676" t="inlineStr">
        <is>
          <t>A 56540-2024</t>
        </is>
      </c>
      <c r="B676" s="1" t="n">
        <v>45625</v>
      </c>
      <c r="C676" s="1" t="n">
        <v>46127</v>
      </c>
      <c r="D676" t="inlineStr">
        <is>
          <t>VÄSTMANLANDS LÄN</t>
        </is>
      </c>
      <c r="E676" t="inlineStr">
        <is>
          <t>SALA</t>
        </is>
      </c>
      <c r="G676" t="n">
        <v>1.8</v>
      </c>
      <c r="H676" t="n">
        <v>0</v>
      </c>
      <c r="I676" t="n">
        <v>0</v>
      </c>
      <c r="J676" t="n">
        <v>0</v>
      </c>
      <c r="K676" t="n">
        <v>0</v>
      </c>
      <c r="L676" t="n">
        <v>0</v>
      </c>
      <c r="M676" t="n">
        <v>0</v>
      </c>
      <c r="N676" t="n">
        <v>0</v>
      </c>
      <c r="O676" t="n">
        <v>0</v>
      </c>
      <c r="P676" t="n">
        <v>0</v>
      </c>
      <c r="Q676" t="n">
        <v>0</v>
      </c>
      <c r="R676" s="2" t="inlineStr"/>
    </row>
    <row r="677" ht="15" customHeight="1">
      <c r="A677" t="inlineStr">
        <is>
          <t>A 6116-2023</t>
        </is>
      </c>
      <c r="B677" s="1" t="n">
        <v>44964</v>
      </c>
      <c r="C677" s="1" t="n">
        <v>46127</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25860-2024</t>
        </is>
      </c>
      <c r="B678" s="1" t="n">
        <v>45467.46278935186</v>
      </c>
      <c r="C678" s="1" t="n">
        <v>46127</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56916-2022</t>
        </is>
      </c>
      <c r="B679" s="1" t="n">
        <v>44888</v>
      </c>
      <c r="C679" s="1" t="n">
        <v>46127</v>
      </c>
      <c r="D679" t="inlineStr">
        <is>
          <t>VÄSTMANLANDS LÄN</t>
        </is>
      </c>
      <c r="E679" t="inlineStr">
        <is>
          <t>SALA</t>
        </is>
      </c>
      <c r="G679" t="n">
        <v>1.7</v>
      </c>
      <c r="H679" t="n">
        <v>0</v>
      </c>
      <c r="I679" t="n">
        <v>0</v>
      </c>
      <c r="J679" t="n">
        <v>0</v>
      </c>
      <c r="K679" t="n">
        <v>0</v>
      </c>
      <c r="L679" t="n">
        <v>0</v>
      </c>
      <c r="M679" t="n">
        <v>0</v>
      </c>
      <c r="N679" t="n">
        <v>0</v>
      </c>
      <c r="O679" t="n">
        <v>0</v>
      </c>
      <c r="P679" t="n">
        <v>0</v>
      </c>
      <c r="Q679" t="n">
        <v>0</v>
      </c>
      <c r="R679" s="2" t="inlineStr"/>
    </row>
    <row r="680" ht="15" customHeight="1">
      <c r="A680" t="inlineStr">
        <is>
          <t>A 71471-2021</t>
        </is>
      </c>
      <c r="B680" s="1" t="n">
        <v>44540.53421296296</v>
      </c>
      <c r="C680" s="1" t="n">
        <v>46127</v>
      </c>
      <c r="D680" t="inlineStr">
        <is>
          <t>VÄSTMANLANDS LÄN</t>
        </is>
      </c>
      <c r="E680" t="inlineStr">
        <is>
          <t>SALA</t>
        </is>
      </c>
      <c r="G680" t="n">
        <v>13</v>
      </c>
      <c r="H680" t="n">
        <v>0</v>
      </c>
      <c r="I680" t="n">
        <v>0</v>
      </c>
      <c r="J680" t="n">
        <v>0</v>
      </c>
      <c r="K680" t="n">
        <v>0</v>
      </c>
      <c r="L680" t="n">
        <v>0</v>
      </c>
      <c r="M680" t="n">
        <v>0</v>
      </c>
      <c r="N680" t="n">
        <v>0</v>
      </c>
      <c r="O680" t="n">
        <v>0</v>
      </c>
      <c r="P680" t="n">
        <v>0</v>
      </c>
      <c r="Q680" t="n">
        <v>0</v>
      </c>
      <c r="R680" s="2" t="inlineStr"/>
    </row>
    <row r="681" ht="15" customHeight="1">
      <c r="A681" t="inlineStr">
        <is>
          <t>A 13987-2023</t>
        </is>
      </c>
      <c r="B681" s="1" t="n">
        <v>45007</v>
      </c>
      <c r="C681" s="1" t="n">
        <v>46127</v>
      </c>
      <c r="D681" t="inlineStr">
        <is>
          <t>VÄSTMANLANDS LÄN</t>
        </is>
      </c>
      <c r="E681" t="inlineStr">
        <is>
          <t>SALA</t>
        </is>
      </c>
      <c r="G681" t="n">
        <v>3.2</v>
      </c>
      <c r="H681" t="n">
        <v>0</v>
      </c>
      <c r="I681" t="n">
        <v>0</v>
      </c>
      <c r="J681" t="n">
        <v>0</v>
      </c>
      <c r="K681" t="n">
        <v>0</v>
      </c>
      <c r="L681" t="n">
        <v>0</v>
      </c>
      <c r="M681" t="n">
        <v>0</v>
      </c>
      <c r="N681" t="n">
        <v>0</v>
      </c>
      <c r="O681" t="n">
        <v>0</v>
      </c>
      <c r="P681" t="n">
        <v>0</v>
      </c>
      <c r="Q681" t="n">
        <v>0</v>
      </c>
      <c r="R681" s="2" t="inlineStr"/>
    </row>
    <row r="682" ht="15" customHeight="1">
      <c r="A682" t="inlineStr">
        <is>
          <t>A 13990-2023</t>
        </is>
      </c>
      <c r="B682" s="1" t="n">
        <v>45007</v>
      </c>
      <c r="C682" s="1" t="n">
        <v>46127</v>
      </c>
      <c r="D682" t="inlineStr">
        <is>
          <t>VÄSTMANLANDS LÄN</t>
        </is>
      </c>
      <c r="E682" t="inlineStr">
        <is>
          <t>SALA</t>
        </is>
      </c>
      <c r="G682" t="n">
        <v>2.6</v>
      </c>
      <c r="H682" t="n">
        <v>0</v>
      </c>
      <c r="I682" t="n">
        <v>0</v>
      </c>
      <c r="J682" t="n">
        <v>0</v>
      </c>
      <c r="K682" t="n">
        <v>0</v>
      </c>
      <c r="L682" t="n">
        <v>0</v>
      </c>
      <c r="M682" t="n">
        <v>0</v>
      </c>
      <c r="N682" t="n">
        <v>0</v>
      </c>
      <c r="O682" t="n">
        <v>0</v>
      </c>
      <c r="P682" t="n">
        <v>0</v>
      </c>
      <c r="Q682" t="n">
        <v>0</v>
      </c>
      <c r="R682" s="2" t="inlineStr"/>
    </row>
    <row r="683" ht="15" customHeight="1">
      <c r="A683" t="inlineStr">
        <is>
          <t>A 1993-2022</t>
        </is>
      </c>
      <c r="B683" s="1" t="n">
        <v>44575</v>
      </c>
      <c r="C683" s="1" t="n">
        <v>46127</v>
      </c>
      <c r="D683" t="inlineStr">
        <is>
          <t>VÄSTMANLANDS LÄN</t>
        </is>
      </c>
      <c r="E683" t="inlineStr">
        <is>
          <t>SALA</t>
        </is>
      </c>
      <c r="G683" t="n">
        <v>1.6</v>
      </c>
      <c r="H683" t="n">
        <v>0</v>
      </c>
      <c r="I683" t="n">
        <v>0</v>
      </c>
      <c r="J683" t="n">
        <v>0</v>
      </c>
      <c r="K683" t="n">
        <v>0</v>
      </c>
      <c r="L683" t="n">
        <v>0</v>
      </c>
      <c r="M683" t="n">
        <v>0</v>
      </c>
      <c r="N683" t="n">
        <v>0</v>
      </c>
      <c r="O683" t="n">
        <v>0</v>
      </c>
      <c r="P683" t="n">
        <v>0</v>
      </c>
      <c r="Q683" t="n">
        <v>0</v>
      </c>
      <c r="R683" s="2" t="inlineStr"/>
    </row>
    <row r="684" ht="15" customHeight="1">
      <c r="A684" t="inlineStr">
        <is>
          <t>A 17051-2025</t>
        </is>
      </c>
      <c r="B684" s="1" t="n">
        <v>45755</v>
      </c>
      <c r="C684" s="1" t="n">
        <v>46127</v>
      </c>
      <c r="D684" t="inlineStr">
        <is>
          <t>VÄSTMANLANDS LÄN</t>
        </is>
      </c>
      <c r="E684" t="inlineStr">
        <is>
          <t>SALA</t>
        </is>
      </c>
      <c r="G684" t="n">
        <v>2.9</v>
      </c>
      <c r="H684" t="n">
        <v>0</v>
      </c>
      <c r="I684" t="n">
        <v>0</v>
      </c>
      <c r="J684" t="n">
        <v>0</v>
      </c>
      <c r="K684" t="n">
        <v>0</v>
      </c>
      <c r="L684" t="n">
        <v>0</v>
      </c>
      <c r="M684" t="n">
        <v>0</v>
      </c>
      <c r="N684" t="n">
        <v>0</v>
      </c>
      <c r="O684" t="n">
        <v>0</v>
      </c>
      <c r="P684" t="n">
        <v>0</v>
      </c>
      <c r="Q684" t="n">
        <v>0</v>
      </c>
      <c r="R684" s="2" t="inlineStr"/>
    </row>
    <row r="685" ht="15" customHeight="1">
      <c r="A685" t="inlineStr">
        <is>
          <t>A 43509-2021</t>
        </is>
      </c>
      <c r="B685" s="1" t="n">
        <v>44433</v>
      </c>
      <c r="C685" s="1" t="n">
        <v>46127</v>
      </c>
      <c r="D685" t="inlineStr">
        <is>
          <t>VÄSTMANLANDS LÄN</t>
        </is>
      </c>
      <c r="E685" t="inlineStr">
        <is>
          <t>SALA</t>
        </is>
      </c>
      <c r="G685" t="n">
        <v>0.8</v>
      </c>
      <c r="H685" t="n">
        <v>0</v>
      </c>
      <c r="I685" t="n">
        <v>0</v>
      </c>
      <c r="J685" t="n">
        <v>0</v>
      </c>
      <c r="K685" t="n">
        <v>0</v>
      </c>
      <c r="L685" t="n">
        <v>0</v>
      </c>
      <c r="M685" t="n">
        <v>0</v>
      </c>
      <c r="N685" t="n">
        <v>0</v>
      </c>
      <c r="O685" t="n">
        <v>0</v>
      </c>
      <c r="P685" t="n">
        <v>0</v>
      </c>
      <c r="Q685" t="n">
        <v>0</v>
      </c>
      <c r="R685" s="2" t="inlineStr"/>
    </row>
    <row r="686" ht="15" customHeight="1">
      <c r="A686" t="inlineStr">
        <is>
          <t>A 54959-2024</t>
        </is>
      </c>
      <c r="B686" s="1" t="n">
        <v>45619</v>
      </c>
      <c r="C686" s="1" t="n">
        <v>46127</v>
      </c>
      <c r="D686" t="inlineStr">
        <is>
          <t>VÄSTMANLANDS LÄN</t>
        </is>
      </c>
      <c r="E686" t="inlineStr">
        <is>
          <t>SALA</t>
        </is>
      </c>
      <c r="G686" t="n">
        <v>1.3</v>
      </c>
      <c r="H686" t="n">
        <v>0</v>
      </c>
      <c r="I686" t="n">
        <v>0</v>
      </c>
      <c r="J686" t="n">
        <v>0</v>
      </c>
      <c r="K686" t="n">
        <v>0</v>
      </c>
      <c r="L686" t="n">
        <v>0</v>
      </c>
      <c r="M686" t="n">
        <v>0</v>
      </c>
      <c r="N686" t="n">
        <v>0</v>
      </c>
      <c r="O686" t="n">
        <v>0</v>
      </c>
      <c r="P686" t="n">
        <v>0</v>
      </c>
      <c r="Q686" t="n">
        <v>0</v>
      </c>
      <c r="R686" s="2" t="inlineStr"/>
    </row>
    <row r="687" ht="15" customHeight="1">
      <c r="A687" t="inlineStr">
        <is>
          <t>A 56964-2023</t>
        </is>
      </c>
      <c r="B687" s="1" t="n">
        <v>45244.63140046296</v>
      </c>
      <c r="C687" s="1" t="n">
        <v>46127</v>
      </c>
      <c r="D687" t="inlineStr">
        <is>
          <t>VÄSTMANLANDS LÄN</t>
        </is>
      </c>
      <c r="E687" t="inlineStr">
        <is>
          <t>SALA</t>
        </is>
      </c>
      <c r="G687" t="n">
        <v>4.6</v>
      </c>
      <c r="H687" t="n">
        <v>0</v>
      </c>
      <c r="I687" t="n">
        <v>0</v>
      </c>
      <c r="J687" t="n">
        <v>0</v>
      </c>
      <c r="K687" t="n">
        <v>0</v>
      </c>
      <c r="L687" t="n">
        <v>0</v>
      </c>
      <c r="M687" t="n">
        <v>0</v>
      </c>
      <c r="N687" t="n">
        <v>0</v>
      </c>
      <c r="O687" t="n">
        <v>0</v>
      </c>
      <c r="P687" t="n">
        <v>0</v>
      </c>
      <c r="Q687" t="n">
        <v>0</v>
      </c>
      <c r="R687" s="2" t="inlineStr"/>
    </row>
    <row r="688" ht="15" customHeight="1">
      <c r="A688" t="inlineStr">
        <is>
          <t>A 37337-2024</t>
        </is>
      </c>
      <c r="B688" s="1" t="n">
        <v>45540</v>
      </c>
      <c r="C688" s="1" t="n">
        <v>46127</v>
      </c>
      <c r="D688" t="inlineStr">
        <is>
          <t>VÄSTMANLANDS LÄN</t>
        </is>
      </c>
      <c r="E688" t="inlineStr">
        <is>
          <t>SALA</t>
        </is>
      </c>
      <c r="G688" t="n">
        <v>6.5</v>
      </c>
      <c r="H688" t="n">
        <v>0</v>
      </c>
      <c r="I688" t="n">
        <v>0</v>
      </c>
      <c r="J688" t="n">
        <v>0</v>
      </c>
      <c r="K688" t="n">
        <v>0</v>
      </c>
      <c r="L688" t="n">
        <v>0</v>
      </c>
      <c r="M688" t="n">
        <v>0</v>
      </c>
      <c r="N688" t="n">
        <v>0</v>
      </c>
      <c r="O688" t="n">
        <v>0</v>
      </c>
      <c r="P688" t="n">
        <v>0</v>
      </c>
      <c r="Q688" t="n">
        <v>0</v>
      </c>
      <c r="R688" s="2" t="inlineStr"/>
    </row>
    <row r="689" ht="15" customHeight="1">
      <c r="A689" t="inlineStr">
        <is>
          <t>A 17120-2023</t>
        </is>
      </c>
      <c r="B689" s="1" t="n">
        <v>45034</v>
      </c>
      <c r="C689" s="1" t="n">
        <v>46127</v>
      </c>
      <c r="D689" t="inlineStr">
        <is>
          <t>VÄSTMANLANDS LÄN</t>
        </is>
      </c>
      <c r="E689" t="inlineStr">
        <is>
          <t>SALA</t>
        </is>
      </c>
      <c r="G689" t="n">
        <v>0.1</v>
      </c>
      <c r="H689" t="n">
        <v>0</v>
      </c>
      <c r="I689" t="n">
        <v>0</v>
      </c>
      <c r="J689" t="n">
        <v>0</v>
      </c>
      <c r="K689" t="n">
        <v>0</v>
      </c>
      <c r="L689" t="n">
        <v>0</v>
      </c>
      <c r="M689" t="n">
        <v>0</v>
      </c>
      <c r="N689" t="n">
        <v>0</v>
      </c>
      <c r="O689" t="n">
        <v>0</v>
      </c>
      <c r="P689" t="n">
        <v>0</v>
      </c>
      <c r="Q689" t="n">
        <v>0</v>
      </c>
      <c r="R689" s="2" t="inlineStr"/>
    </row>
    <row r="690" ht="15" customHeight="1">
      <c r="A690" t="inlineStr">
        <is>
          <t>A 34494-2023</t>
        </is>
      </c>
      <c r="B690" s="1" t="n">
        <v>45133</v>
      </c>
      <c r="C690" s="1" t="n">
        <v>46127</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10579-2022</t>
        </is>
      </c>
      <c r="B691" s="1" t="n">
        <v>44624</v>
      </c>
      <c r="C691" s="1" t="n">
        <v>46127</v>
      </c>
      <c r="D691" t="inlineStr">
        <is>
          <t>VÄSTMANLANDS LÄN</t>
        </is>
      </c>
      <c r="E691" t="inlineStr">
        <is>
          <t>SALA</t>
        </is>
      </c>
      <c r="G691" t="n">
        <v>1</v>
      </c>
      <c r="H691" t="n">
        <v>0</v>
      </c>
      <c r="I691" t="n">
        <v>0</v>
      </c>
      <c r="J691" t="n">
        <v>0</v>
      </c>
      <c r="K691" t="n">
        <v>0</v>
      </c>
      <c r="L691" t="n">
        <v>0</v>
      </c>
      <c r="M691" t="n">
        <v>0</v>
      </c>
      <c r="N691" t="n">
        <v>0</v>
      </c>
      <c r="O691" t="n">
        <v>0</v>
      </c>
      <c r="P691" t="n">
        <v>0</v>
      </c>
      <c r="Q691" t="n">
        <v>0</v>
      </c>
      <c r="R691" s="2" t="inlineStr"/>
    </row>
    <row r="692" ht="15" customHeight="1">
      <c r="A692" t="inlineStr">
        <is>
          <t>A 9335-2022</t>
        </is>
      </c>
      <c r="B692" s="1" t="n">
        <v>44616.56579861111</v>
      </c>
      <c r="C692" s="1" t="n">
        <v>46127</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45313-2024</t>
        </is>
      </c>
      <c r="B693" s="1" t="n">
        <v>45576</v>
      </c>
      <c r="C693" s="1" t="n">
        <v>46127</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23119-2022</t>
        </is>
      </c>
      <c r="B694" s="1" t="n">
        <v>44719.56697916667</v>
      </c>
      <c r="C694" s="1" t="n">
        <v>46127</v>
      </c>
      <c r="D694" t="inlineStr">
        <is>
          <t>VÄSTMANLANDS LÄN</t>
        </is>
      </c>
      <c r="E694" t="inlineStr">
        <is>
          <t>SALA</t>
        </is>
      </c>
      <c r="G694" t="n">
        <v>7</v>
      </c>
      <c r="H694" t="n">
        <v>0</v>
      </c>
      <c r="I694" t="n">
        <v>0</v>
      </c>
      <c r="J694" t="n">
        <v>0</v>
      </c>
      <c r="K694" t="n">
        <v>0</v>
      </c>
      <c r="L694" t="n">
        <v>0</v>
      </c>
      <c r="M694" t="n">
        <v>0</v>
      </c>
      <c r="N694" t="n">
        <v>0</v>
      </c>
      <c r="O694" t="n">
        <v>0</v>
      </c>
      <c r="P694" t="n">
        <v>0</v>
      </c>
      <c r="Q694" t="n">
        <v>0</v>
      </c>
      <c r="R694" s="2" t="inlineStr"/>
    </row>
    <row r="695" ht="15" customHeight="1">
      <c r="A695" t="inlineStr">
        <is>
          <t>A 1196-2023</t>
        </is>
      </c>
      <c r="B695" s="1" t="n">
        <v>44935.82290509259</v>
      </c>
      <c r="C695" s="1" t="n">
        <v>46127</v>
      </c>
      <c r="D695" t="inlineStr">
        <is>
          <t>VÄSTMANLANDS LÄN</t>
        </is>
      </c>
      <c r="E695" t="inlineStr">
        <is>
          <t>SALA</t>
        </is>
      </c>
      <c r="G695" t="n">
        <v>4.1</v>
      </c>
      <c r="H695" t="n">
        <v>0</v>
      </c>
      <c r="I695" t="n">
        <v>0</v>
      </c>
      <c r="J695" t="n">
        <v>0</v>
      </c>
      <c r="K695" t="n">
        <v>0</v>
      </c>
      <c r="L695" t="n">
        <v>0</v>
      </c>
      <c r="M695" t="n">
        <v>0</v>
      </c>
      <c r="N695" t="n">
        <v>0</v>
      </c>
      <c r="O695" t="n">
        <v>0</v>
      </c>
      <c r="P695" t="n">
        <v>0</v>
      </c>
      <c r="Q695" t="n">
        <v>0</v>
      </c>
      <c r="R695" s="2" t="inlineStr"/>
    </row>
    <row r="696" ht="15" customHeight="1">
      <c r="A696" t="inlineStr">
        <is>
          <t>A 52503-2024</t>
        </is>
      </c>
      <c r="B696" s="1" t="n">
        <v>45609.58806712963</v>
      </c>
      <c r="C696" s="1" t="n">
        <v>46127</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7953-2024</t>
        </is>
      </c>
      <c r="B697" s="1" t="n">
        <v>45350</v>
      </c>
      <c r="C697" s="1" t="n">
        <v>46127</v>
      </c>
      <c r="D697" t="inlineStr">
        <is>
          <t>VÄSTMANLANDS LÄN</t>
        </is>
      </c>
      <c r="E697" t="inlineStr">
        <is>
          <t>SALA</t>
        </is>
      </c>
      <c r="G697" t="n">
        <v>2.6</v>
      </c>
      <c r="H697" t="n">
        <v>0</v>
      </c>
      <c r="I697" t="n">
        <v>0</v>
      </c>
      <c r="J697" t="n">
        <v>0</v>
      </c>
      <c r="K697" t="n">
        <v>0</v>
      </c>
      <c r="L697" t="n">
        <v>0</v>
      </c>
      <c r="M697" t="n">
        <v>0</v>
      </c>
      <c r="N697" t="n">
        <v>0</v>
      </c>
      <c r="O697" t="n">
        <v>0</v>
      </c>
      <c r="P697" t="n">
        <v>0</v>
      </c>
      <c r="Q697" t="n">
        <v>0</v>
      </c>
      <c r="R697" s="2" t="inlineStr"/>
    </row>
    <row r="698" ht="15" customHeight="1">
      <c r="A698" t="inlineStr">
        <is>
          <t>A 30028-2024</t>
        </is>
      </c>
      <c r="B698" s="1" t="n">
        <v>45485</v>
      </c>
      <c r="C698" s="1" t="n">
        <v>46127</v>
      </c>
      <c r="D698" t="inlineStr">
        <is>
          <t>VÄSTMANLANDS LÄN</t>
        </is>
      </c>
      <c r="E698" t="inlineStr">
        <is>
          <t>SALA</t>
        </is>
      </c>
      <c r="G698" t="n">
        <v>2.6</v>
      </c>
      <c r="H698" t="n">
        <v>0</v>
      </c>
      <c r="I698" t="n">
        <v>0</v>
      </c>
      <c r="J698" t="n">
        <v>0</v>
      </c>
      <c r="K698" t="n">
        <v>0</v>
      </c>
      <c r="L698" t="n">
        <v>0</v>
      </c>
      <c r="M698" t="n">
        <v>0</v>
      </c>
      <c r="N698" t="n">
        <v>0</v>
      </c>
      <c r="O698" t="n">
        <v>0</v>
      </c>
      <c r="P698" t="n">
        <v>0</v>
      </c>
      <c r="Q698" t="n">
        <v>0</v>
      </c>
      <c r="R698" s="2" t="inlineStr"/>
    </row>
    <row r="699" ht="15" customHeight="1">
      <c r="A699" t="inlineStr">
        <is>
          <t>A 7950-2025</t>
        </is>
      </c>
      <c r="B699" s="1" t="n">
        <v>45707.41799768519</v>
      </c>
      <c r="C699" s="1" t="n">
        <v>46127</v>
      </c>
      <c r="D699" t="inlineStr">
        <is>
          <t>VÄSTMANLANDS LÄN</t>
        </is>
      </c>
      <c r="E699" t="inlineStr">
        <is>
          <t>SALA</t>
        </is>
      </c>
      <c r="G699" t="n">
        <v>3.2</v>
      </c>
      <c r="H699" t="n">
        <v>0</v>
      </c>
      <c r="I699" t="n">
        <v>0</v>
      </c>
      <c r="J699" t="n">
        <v>0</v>
      </c>
      <c r="K699" t="n">
        <v>0</v>
      </c>
      <c r="L699" t="n">
        <v>0</v>
      </c>
      <c r="M699" t="n">
        <v>0</v>
      </c>
      <c r="N699" t="n">
        <v>0</v>
      </c>
      <c r="O699" t="n">
        <v>0</v>
      </c>
      <c r="P699" t="n">
        <v>0</v>
      </c>
      <c r="Q699" t="n">
        <v>0</v>
      </c>
      <c r="R699" s="2" t="inlineStr"/>
    </row>
    <row r="700" ht="15" customHeight="1">
      <c r="A700" t="inlineStr">
        <is>
          <t>A 27657-2023</t>
        </is>
      </c>
      <c r="B700" s="1" t="n">
        <v>45097.76631944445</v>
      </c>
      <c r="C700" s="1" t="n">
        <v>46127</v>
      </c>
      <c r="D700" t="inlineStr">
        <is>
          <t>VÄSTMANLANDS LÄN</t>
        </is>
      </c>
      <c r="E700" t="inlineStr">
        <is>
          <t>SALA</t>
        </is>
      </c>
      <c r="G700" t="n">
        <v>0.1</v>
      </c>
      <c r="H700" t="n">
        <v>0</v>
      </c>
      <c r="I700" t="n">
        <v>0</v>
      </c>
      <c r="J700" t="n">
        <v>0</v>
      </c>
      <c r="K700" t="n">
        <v>0</v>
      </c>
      <c r="L700" t="n">
        <v>0</v>
      </c>
      <c r="M700" t="n">
        <v>0</v>
      </c>
      <c r="N700" t="n">
        <v>0</v>
      </c>
      <c r="O700" t="n">
        <v>0</v>
      </c>
      <c r="P700" t="n">
        <v>0</v>
      </c>
      <c r="Q700" t="n">
        <v>0</v>
      </c>
      <c r="R700" s="2" t="inlineStr"/>
    </row>
    <row r="701" ht="15" customHeight="1">
      <c r="A701" t="inlineStr">
        <is>
          <t>A 13855-2023</t>
        </is>
      </c>
      <c r="B701" s="1" t="n">
        <v>45007</v>
      </c>
      <c r="C701" s="1" t="n">
        <v>46127</v>
      </c>
      <c r="D701" t="inlineStr">
        <is>
          <t>VÄSTMANLANDS LÄN</t>
        </is>
      </c>
      <c r="E701" t="inlineStr">
        <is>
          <t>SALA</t>
        </is>
      </c>
      <c r="G701" t="n">
        <v>2.9</v>
      </c>
      <c r="H701" t="n">
        <v>0</v>
      </c>
      <c r="I701" t="n">
        <v>0</v>
      </c>
      <c r="J701" t="n">
        <v>0</v>
      </c>
      <c r="K701" t="n">
        <v>0</v>
      </c>
      <c r="L701" t="n">
        <v>0</v>
      </c>
      <c r="M701" t="n">
        <v>0</v>
      </c>
      <c r="N701" t="n">
        <v>0</v>
      </c>
      <c r="O701" t="n">
        <v>0</v>
      </c>
      <c r="P701" t="n">
        <v>0</v>
      </c>
      <c r="Q701" t="n">
        <v>0</v>
      </c>
      <c r="R701" s="2" t="inlineStr"/>
    </row>
    <row r="702" ht="15" customHeight="1">
      <c r="A702" t="inlineStr">
        <is>
          <t>A 33309-2022</t>
        </is>
      </c>
      <c r="B702" s="1" t="n">
        <v>44788.40986111111</v>
      </c>
      <c r="C702" s="1" t="n">
        <v>46127</v>
      </c>
      <c r="D702" t="inlineStr">
        <is>
          <t>VÄSTMANLANDS LÄN</t>
        </is>
      </c>
      <c r="E702" t="inlineStr">
        <is>
          <t>SALA</t>
        </is>
      </c>
      <c r="G702" t="n">
        <v>2.6</v>
      </c>
      <c r="H702" t="n">
        <v>0</v>
      </c>
      <c r="I702" t="n">
        <v>0</v>
      </c>
      <c r="J702" t="n">
        <v>0</v>
      </c>
      <c r="K702" t="n">
        <v>0</v>
      </c>
      <c r="L702" t="n">
        <v>0</v>
      </c>
      <c r="M702" t="n">
        <v>0</v>
      </c>
      <c r="N702" t="n">
        <v>0</v>
      </c>
      <c r="O702" t="n">
        <v>0</v>
      </c>
      <c r="P702" t="n">
        <v>0</v>
      </c>
      <c r="Q702" t="n">
        <v>0</v>
      </c>
      <c r="R702" s="2" t="inlineStr"/>
    </row>
    <row r="703" ht="15" customHeight="1">
      <c r="A703" t="inlineStr">
        <is>
          <t>A 47909-2022</t>
        </is>
      </c>
      <c r="B703" s="1" t="n">
        <v>44855</v>
      </c>
      <c r="C703" s="1" t="n">
        <v>46127</v>
      </c>
      <c r="D703" t="inlineStr">
        <is>
          <t>VÄSTMANLANDS LÄN</t>
        </is>
      </c>
      <c r="E703" t="inlineStr">
        <is>
          <t>SALA</t>
        </is>
      </c>
      <c r="F703" t="inlineStr">
        <is>
          <t>Bergvik skog öst AB</t>
        </is>
      </c>
      <c r="G703" t="n">
        <v>2</v>
      </c>
      <c r="H703" t="n">
        <v>0</v>
      </c>
      <c r="I703" t="n">
        <v>0</v>
      </c>
      <c r="J703" t="n">
        <v>0</v>
      </c>
      <c r="K703" t="n">
        <v>0</v>
      </c>
      <c r="L703" t="n">
        <v>0</v>
      </c>
      <c r="M703" t="n">
        <v>0</v>
      </c>
      <c r="N703" t="n">
        <v>0</v>
      </c>
      <c r="O703" t="n">
        <v>0</v>
      </c>
      <c r="P703" t="n">
        <v>0</v>
      </c>
      <c r="Q703" t="n">
        <v>0</v>
      </c>
      <c r="R703" s="2" t="inlineStr"/>
    </row>
    <row r="704" ht="15" customHeight="1">
      <c r="A704" t="inlineStr">
        <is>
          <t>A 15272-2025</t>
        </is>
      </c>
      <c r="B704" s="1" t="n">
        <v>45744</v>
      </c>
      <c r="C704" s="1" t="n">
        <v>46127</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11183-2023</t>
        </is>
      </c>
      <c r="B705" s="1" t="n">
        <v>44992.57782407408</v>
      </c>
      <c r="C705" s="1" t="n">
        <v>46127</v>
      </c>
      <c r="D705" t="inlineStr">
        <is>
          <t>VÄSTMANLANDS LÄN</t>
        </is>
      </c>
      <c r="E705" t="inlineStr">
        <is>
          <t>SALA</t>
        </is>
      </c>
      <c r="G705" t="n">
        <v>0.9</v>
      </c>
      <c r="H705" t="n">
        <v>0</v>
      </c>
      <c r="I705" t="n">
        <v>0</v>
      </c>
      <c r="J705" t="n">
        <v>0</v>
      </c>
      <c r="K705" t="n">
        <v>0</v>
      </c>
      <c r="L705" t="n">
        <v>0</v>
      </c>
      <c r="M705" t="n">
        <v>0</v>
      </c>
      <c r="N705" t="n">
        <v>0</v>
      </c>
      <c r="O705" t="n">
        <v>0</v>
      </c>
      <c r="P705" t="n">
        <v>0</v>
      </c>
      <c r="Q705" t="n">
        <v>0</v>
      </c>
      <c r="R705" s="2" t="inlineStr"/>
    </row>
    <row r="706" ht="15" customHeight="1">
      <c r="A706" t="inlineStr">
        <is>
          <t>A 11190-2023</t>
        </is>
      </c>
      <c r="B706" s="1" t="n">
        <v>44992</v>
      </c>
      <c r="C706" s="1" t="n">
        <v>46127</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53838-2022</t>
        </is>
      </c>
      <c r="B707" s="1" t="n">
        <v>44880.59363425926</v>
      </c>
      <c r="C707" s="1" t="n">
        <v>46127</v>
      </c>
      <c r="D707" t="inlineStr">
        <is>
          <t>VÄSTMANLANDS LÄN</t>
        </is>
      </c>
      <c r="E707" t="inlineStr">
        <is>
          <t>SALA</t>
        </is>
      </c>
      <c r="G707" t="n">
        <v>3.9</v>
      </c>
      <c r="H707" t="n">
        <v>0</v>
      </c>
      <c r="I707" t="n">
        <v>0</v>
      </c>
      <c r="J707" t="n">
        <v>0</v>
      </c>
      <c r="K707" t="n">
        <v>0</v>
      </c>
      <c r="L707" t="n">
        <v>0</v>
      </c>
      <c r="M707" t="n">
        <v>0</v>
      </c>
      <c r="N707" t="n">
        <v>0</v>
      </c>
      <c r="O707" t="n">
        <v>0</v>
      </c>
      <c r="P707" t="n">
        <v>0</v>
      </c>
      <c r="Q707" t="n">
        <v>0</v>
      </c>
      <c r="R707" s="2" t="inlineStr"/>
    </row>
    <row r="708" ht="15" customHeight="1">
      <c r="A708" t="inlineStr">
        <is>
          <t>A 53166-2024</t>
        </is>
      </c>
      <c r="B708" s="1" t="n">
        <v>45611</v>
      </c>
      <c r="C708" s="1" t="n">
        <v>46127</v>
      </c>
      <c r="D708" t="inlineStr">
        <is>
          <t>VÄSTMANLANDS LÄN</t>
        </is>
      </c>
      <c r="E708" t="inlineStr">
        <is>
          <t>SALA</t>
        </is>
      </c>
      <c r="G708" t="n">
        <v>1.5</v>
      </c>
      <c r="H708" t="n">
        <v>0</v>
      </c>
      <c r="I708" t="n">
        <v>0</v>
      </c>
      <c r="J708" t="n">
        <v>0</v>
      </c>
      <c r="K708" t="n">
        <v>0</v>
      </c>
      <c r="L708" t="n">
        <v>0</v>
      </c>
      <c r="M708" t="n">
        <v>0</v>
      </c>
      <c r="N708" t="n">
        <v>0</v>
      </c>
      <c r="O708" t="n">
        <v>0</v>
      </c>
      <c r="P708" t="n">
        <v>0</v>
      </c>
      <c r="Q708" t="n">
        <v>0</v>
      </c>
      <c r="R708" s="2" t="inlineStr"/>
    </row>
    <row r="709" ht="15" customHeight="1">
      <c r="A709" t="inlineStr">
        <is>
          <t>A 28827-2022</t>
        </is>
      </c>
      <c r="B709" s="1" t="n">
        <v>44749.45561342593</v>
      </c>
      <c r="C709" s="1" t="n">
        <v>46127</v>
      </c>
      <c r="D709" t="inlineStr">
        <is>
          <t>VÄSTMANLANDS LÄN</t>
        </is>
      </c>
      <c r="E709" t="inlineStr">
        <is>
          <t>SALA</t>
        </is>
      </c>
      <c r="F709" t="inlineStr">
        <is>
          <t>Kommuner</t>
        </is>
      </c>
      <c r="G709" t="n">
        <v>11.9</v>
      </c>
      <c r="H709" t="n">
        <v>0</v>
      </c>
      <c r="I709" t="n">
        <v>0</v>
      </c>
      <c r="J709" t="n">
        <v>0</v>
      </c>
      <c r="K709" t="n">
        <v>0</v>
      </c>
      <c r="L709" t="n">
        <v>0</v>
      </c>
      <c r="M709" t="n">
        <v>0</v>
      </c>
      <c r="N709" t="n">
        <v>0</v>
      </c>
      <c r="O709" t="n">
        <v>0</v>
      </c>
      <c r="P709" t="n">
        <v>0</v>
      </c>
      <c r="Q709" t="n">
        <v>0</v>
      </c>
      <c r="R709" s="2" t="inlineStr"/>
    </row>
    <row r="710" ht="15" customHeight="1">
      <c r="A710" t="inlineStr">
        <is>
          <t>A 17866-2025</t>
        </is>
      </c>
      <c r="B710" s="1" t="n">
        <v>45758</v>
      </c>
      <c r="C710" s="1" t="n">
        <v>46127</v>
      </c>
      <c r="D710" t="inlineStr">
        <is>
          <t>VÄSTMANLANDS LÄN</t>
        </is>
      </c>
      <c r="E710" t="inlineStr">
        <is>
          <t>SALA</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54836-2024</t>
        </is>
      </c>
      <c r="B711" s="1" t="n">
        <v>45618</v>
      </c>
      <c r="C711" s="1" t="n">
        <v>46127</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64729-2023</t>
        </is>
      </c>
      <c r="B712" s="1" t="n">
        <v>45281</v>
      </c>
      <c r="C712" s="1" t="n">
        <v>46127</v>
      </c>
      <c r="D712" t="inlineStr">
        <is>
          <t>VÄSTMANLANDS LÄN</t>
        </is>
      </c>
      <c r="E712" t="inlineStr">
        <is>
          <t>SALA</t>
        </is>
      </c>
      <c r="G712" t="n">
        <v>1.8</v>
      </c>
      <c r="H712" t="n">
        <v>0</v>
      </c>
      <c r="I712" t="n">
        <v>0</v>
      </c>
      <c r="J712" t="n">
        <v>0</v>
      </c>
      <c r="K712" t="n">
        <v>0</v>
      </c>
      <c r="L712" t="n">
        <v>0</v>
      </c>
      <c r="M712" t="n">
        <v>0</v>
      </c>
      <c r="N712" t="n">
        <v>0</v>
      </c>
      <c r="O712" t="n">
        <v>0</v>
      </c>
      <c r="P712" t="n">
        <v>0</v>
      </c>
      <c r="Q712" t="n">
        <v>0</v>
      </c>
      <c r="R712" s="2" t="inlineStr"/>
    </row>
    <row r="713" ht="15" customHeight="1">
      <c r="A713" t="inlineStr">
        <is>
          <t>A 10585-2022</t>
        </is>
      </c>
      <c r="B713" s="1" t="n">
        <v>44624</v>
      </c>
      <c r="C713" s="1" t="n">
        <v>46127</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46127</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31609-2024</t>
        </is>
      </c>
      <c r="B715" s="1" t="n">
        <v>45506</v>
      </c>
      <c r="C715" s="1" t="n">
        <v>46127</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56057-2023</t>
        </is>
      </c>
      <c r="B716" s="1" t="n">
        <v>45233</v>
      </c>
      <c r="C716" s="1" t="n">
        <v>46127</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62635-2022</t>
        </is>
      </c>
      <c r="B717" s="1" t="n">
        <v>44917</v>
      </c>
      <c r="C717" s="1" t="n">
        <v>46127</v>
      </c>
      <c r="D717" t="inlineStr">
        <is>
          <t>VÄSTMANLANDS LÄN</t>
        </is>
      </c>
      <c r="E717" t="inlineStr">
        <is>
          <t>SALA</t>
        </is>
      </c>
      <c r="G717" t="n">
        <v>0.4</v>
      </c>
      <c r="H717" t="n">
        <v>0</v>
      </c>
      <c r="I717" t="n">
        <v>0</v>
      </c>
      <c r="J717" t="n">
        <v>0</v>
      </c>
      <c r="K717" t="n">
        <v>0</v>
      </c>
      <c r="L717" t="n">
        <v>0</v>
      </c>
      <c r="M717" t="n">
        <v>0</v>
      </c>
      <c r="N717" t="n">
        <v>0</v>
      </c>
      <c r="O717" t="n">
        <v>0</v>
      </c>
      <c r="P717" t="n">
        <v>0</v>
      </c>
      <c r="Q717" t="n">
        <v>0</v>
      </c>
      <c r="R717" s="2" t="inlineStr"/>
    </row>
    <row r="718" ht="15" customHeight="1">
      <c r="A718" t="inlineStr">
        <is>
          <t>A 4852-2023</t>
        </is>
      </c>
      <c r="B718" s="1" t="n">
        <v>44957.72496527778</v>
      </c>
      <c r="C718" s="1" t="n">
        <v>46127</v>
      </c>
      <c r="D718" t="inlineStr">
        <is>
          <t>VÄSTMANLANDS LÄN</t>
        </is>
      </c>
      <c r="E718" t="inlineStr">
        <is>
          <t>SALA</t>
        </is>
      </c>
      <c r="G718" t="n">
        <v>2</v>
      </c>
      <c r="H718" t="n">
        <v>0</v>
      </c>
      <c r="I718" t="n">
        <v>0</v>
      </c>
      <c r="J718" t="n">
        <v>0</v>
      </c>
      <c r="K718" t="n">
        <v>0</v>
      </c>
      <c r="L718" t="n">
        <v>0</v>
      </c>
      <c r="M718" t="n">
        <v>0</v>
      </c>
      <c r="N718" t="n">
        <v>0</v>
      </c>
      <c r="O718" t="n">
        <v>0</v>
      </c>
      <c r="P718" t="n">
        <v>0</v>
      </c>
      <c r="Q718" t="n">
        <v>0</v>
      </c>
      <c r="R718" s="2" t="inlineStr"/>
    </row>
    <row r="719" ht="15" customHeight="1">
      <c r="A719" t="inlineStr">
        <is>
          <t>A 39714-2023</t>
        </is>
      </c>
      <c r="B719" s="1" t="n">
        <v>45167.62133101852</v>
      </c>
      <c r="C719" s="1" t="n">
        <v>46127</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42984-2023</t>
        </is>
      </c>
      <c r="B720" s="1" t="n">
        <v>45179</v>
      </c>
      <c r="C720" s="1" t="n">
        <v>46127</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56535-2022</t>
        </is>
      </c>
      <c r="B721" s="1" t="n">
        <v>44893.47173611111</v>
      </c>
      <c r="C721" s="1" t="n">
        <v>46127</v>
      </c>
      <c r="D721" t="inlineStr">
        <is>
          <t>VÄSTMANLANDS LÄN</t>
        </is>
      </c>
      <c r="E721" t="inlineStr">
        <is>
          <t>SALA</t>
        </is>
      </c>
      <c r="G721" t="n">
        <v>0.5</v>
      </c>
      <c r="H721" t="n">
        <v>0</v>
      </c>
      <c r="I721" t="n">
        <v>0</v>
      </c>
      <c r="J721" t="n">
        <v>0</v>
      </c>
      <c r="K721" t="n">
        <v>0</v>
      </c>
      <c r="L721" t="n">
        <v>0</v>
      </c>
      <c r="M721" t="n">
        <v>0</v>
      </c>
      <c r="N721" t="n">
        <v>0</v>
      </c>
      <c r="O721" t="n">
        <v>0</v>
      </c>
      <c r="P721" t="n">
        <v>0</v>
      </c>
      <c r="Q721" t="n">
        <v>0</v>
      </c>
      <c r="R721" s="2" t="inlineStr"/>
    </row>
    <row r="722" ht="15" customHeight="1">
      <c r="A722" t="inlineStr">
        <is>
          <t>A 60550-2024</t>
        </is>
      </c>
      <c r="B722" s="1" t="n">
        <v>45643</v>
      </c>
      <c r="C722" s="1" t="n">
        <v>46127</v>
      </c>
      <c r="D722" t="inlineStr">
        <is>
          <t>VÄSTMANLANDS LÄN</t>
        </is>
      </c>
      <c r="E722" t="inlineStr">
        <is>
          <t>SALA</t>
        </is>
      </c>
      <c r="G722" t="n">
        <v>0.6</v>
      </c>
      <c r="H722" t="n">
        <v>0</v>
      </c>
      <c r="I722" t="n">
        <v>0</v>
      </c>
      <c r="J722" t="n">
        <v>0</v>
      </c>
      <c r="K722" t="n">
        <v>0</v>
      </c>
      <c r="L722" t="n">
        <v>0</v>
      </c>
      <c r="M722" t="n">
        <v>0</v>
      </c>
      <c r="N722" t="n">
        <v>0</v>
      </c>
      <c r="O722" t="n">
        <v>0</v>
      </c>
      <c r="P722" t="n">
        <v>0</v>
      </c>
      <c r="Q722" t="n">
        <v>0</v>
      </c>
      <c r="R722" s="2" t="inlineStr"/>
    </row>
    <row r="723" ht="15" customHeight="1">
      <c r="A723" t="inlineStr">
        <is>
          <t>A 13746-2025</t>
        </is>
      </c>
      <c r="B723" s="1" t="n">
        <v>45737.40944444444</v>
      </c>
      <c r="C723" s="1" t="n">
        <v>46127</v>
      </c>
      <c r="D723" t="inlineStr">
        <is>
          <t>VÄSTMANLANDS LÄN</t>
        </is>
      </c>
      <c r="E723" t="inlineStr">
        <is>
          <t>SALA</t>
        </is>
      </c>
      <c r="G723" t="n">
        <v>2.1</v>
      </c>
      <c r="H723" t="n">
        <v>0</v>
      </c>
      <c r="I723" t="n">
        <v>0</v>
      </c>
      <c r="J723" t="n">
        <v>0</v>
      </c>
      <c r="K723" t="n">
        <v>0</v>
      </c>
      <c r="L723" t="n">
        <v>0</v>
      </c>
      <c r="M723" t="n">
        <v>0</v>
      </c>
      <c r="N723" t="n">
        <v>0</v>
      </c>
      <c r="O723" t="n">
        <v>0</v>
      </c>
      <c r="P723" t="n">
        <v>0</v>
      </c>
      <c r="Q723" t="n">
        <v>0</v>
      </c>
      <c r="R723" s="2" t="inlineStr"/>
    </row>
    <row r="724" ht="15" customHeight="1">
      <c r="A724" t="inlineStr">
        <is>
          <t>A 29230-2022</t>
        </is>
      </c>
      <c r="B724" s="1" t="n">
        <v>44750</v>
      </c>
      <c r="C724" s="1" t="n">
        <v>46127</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59175-2022</t>
        </is>
      </c>
      <c r="B725" s="1" t="n">
        <v>44904.48502314815</v>
      </c>
      <c r="C725" s="1" t="n">
        <v>46127</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19381-2025</t>
        </is>
      </c>
      <c r="B726" s="1" t="n">
        <v>45769</v>
      </c>
      <c r="C726" s="1" t="n">
        <v>46127</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42938-2023</t>
        </is>
      </c>
      <c r="B727" s="1" t="n">
        <v>45179</v>
      </c>
      <c r="C727" s="1" t="n">
        <v>46127</v>
      </c>
      <c r="D727" t="inlineStr">
        <is>
          <t>VÄSTMANLANDS LÄN</t>
        </is>
      </c>
      <c r="E727" t="inlineStr">
        <is>
          <t>SALA</t>
        </is>
      </c>
      <c r="G727" t="n">
        <v>10.9</v>
      </c>
      <c r="H727" t="n">
        <v>0</v>
      </c>
      <c r="I727" t="n">
        <v>0</v>
      </c>
      <c r="J727" t="n">
        <v>0</v>
      </c>
      <c r="K727" t="n">
        <v>0</v>
      </c>
      <c r="L727" t="n">
        <v>0</v>
      </c>
      <c r="M727" t="n">
        <v>0</v>
      </c>
      <c r="N727" t="n">
        <v>0</v>
      </c>
      <c r="O727" t="n">
        <v>0</v>
      </c>
      <c r="P727" t="n">
        <v>0</v>
      </c>
      <c r="Q727" t="n">
        <v>0</v>
      </c>
      <c r="R727" s="2" t="inlineStr"/>
    </row>
    <row r="728" ht="15" customHeight="1">
      <c r="A728" t="inlineStr">
        <is>
          <t>A 19222-2025</t>
        </is>
      </c>
      <c r="B728" s="1" t="n">
        <v>45769</v>
      </c>
      <c r="C728" s="1" t="n">
        <v>46127</v>
      </c>
      <c r="D728" t="inlineStr">
        <is>
          <t>VÄSTMANLANDS LÄN</t>
        </is>
      </c>
      <c r="E728" t="inlineStr">
        <is>
          <t>SALA</t>
        </is>
      </c>
      <c r="G728" t="n">
        <v>1.8</v>
      </c>
      <c r="H728" t="n">
        <v>0</v>
      </c>
      <c r="I728" t="n">
        <v>0</v>
      </c>
      <c r="J728" t="n">
        <v>0</v>
      </c>
      <c r="K728" t="n">
        <v>0</v>
      </c>
      <c r="L728" t="n">
        <v>0</v>
      </c>
      <c r="M728" t="n">
        <v>0</v>
      </c>
      <c r="N728" t="n">
        <v>0</v>
      </c>
      <c r="O728" t="n">
        <v>0</v>
      </c>
      <c r="P728" t="n">
        <v>0</v>
      </c>
      <c r="Q728" t="n">
        <v>0</v>
      </c>
      <c r="R728" s="2" t="inlineStr"/>
    </row>
    <row r="729" ht="15" customHeight="1">
      <c r="A729" t="inlineStr">
        <is>
          <t>A 19241-2025</t>
        </is>
      </c>
      <c r="B729" s="1" t="n">
        <v>45769</v>
      </c>
      <c r="C729" s="1" t="n">
        <v>46127</v>
      </c>
      <c r="D729" t="inlineStr">
        <is>
          <t>VÄSTMANLANDS LÄN</t>
        </is>
      </c>
      <c r="E729" t="inlineStr">
        <is>
          <t>SALA</t>
        </is>
      </c>
      <c r="G729" t="n">
        <v>3.6</v>
      </c>
      <c r="H729" t="n">
        <v>0</v>
      </c>
      <c r="I729" t="n">
        <v>0</v>
      </c>
      <c r="J729" t="n">
        <v>0</v>
      </c>
      <c r="K729" t="n">
        <v>0</v>
      </c>
      <c r="L729" t="n">
        <v>0</v>
      </c>
      <c r="M729" t="n">
        <v>0</v>
      </c>
      <c r="N729" t="n">
        <v>0</v>
      </c>
      <c r="O729" t="n">
        <v>0</v>
      </c>
      <c r="P729" t="n">
        <v>0</v>
      </c>
      <c r="Q729" t="n">
        <v>0</v>
      </c>
      <c r="R729" s="2" t="inlineStr"/>
    </row>
    <row r="730" ht="15" customHeight="1">
      <c r="A730" t="inlineStr">
        <is>
          <t>A 60823-2024</t>
        </is>
      </c>
      <c r="B730" s="1" t="n">
        <v>45644</v>
      </c>
      <c r="C730" s="1" t="n">
        <v>46127</v>
      </c>
      <c r="D730" t="inlineStr">
        <is>
          <t>VÄSTMANLANDS LÄN</t>
        </is>
      </c>
      <c r="E730" t="inlineStr">
        <is>
          <t>SALA</t>
        </is>
      </c>
      <c r="G730" t="n">
        <v>0.6</v>
      </c>
      <c r="H730" t="n">
        <v>0</v>
      </c>
      <c r="I730" t="n">
        <v>0</v>
      </c>
      <c r="J730" t="n">
        <v>0</v>
      </c>
      <c r="K730" t="n">
        <v>0</v>
      </c>
      <c r="L730" t="n">
        <v>0</v>
      </c>
      <c r="M730" t="n">
        <v>0</v>
      </c>
      <c r="N730" t="n">
        <v>0</v>
      </c>
      <c r="O730" t="n">
        <v>0</v>
      </c>
      <c r="P730" t="n">
        <v>0</v>
      </c>
      <c r="Q730" t="n">
        <v>0</v>
      </c>
      <c r="R730" s="2" t="inlineStr"/>
    </row>
    <row r="731" ht="15" customHeight="1">
      <c r="A731" t="inlineStr">
        <is>
          <t>A 61681-2024</t>
        </is>
      </c>
      <c r="B731" s="1" t="n">
        <v>45647</v>
      </c>
      <c r="C731" s="1" t="n">
        <v>46127</v>
      </c>
      <c r="D731" t="inlineStr">
        <is>
          <t>VÄSTMANLANDS LÄN</t>
        </is>
      </c>
      <c r="E731" t="inlineStr">
        <is>
          <t>SALA</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49661-2024</t>
        </is>
      </c>
      <c r="B732" s="1" t="n">
        <v>45596</v>
      </c>
      <c r="C732" s="1" t="n">
        <v>46127</v>
      </c>
      <c r="D732" t="inlineStr">
        <is>
          <t>VÄSTMANLANDS LÄN</t>
        </is>
      </c>
      <c r="E732" t="inlineStr">
        <is>
          <t>SALA</t>
        </is>
      </c>
      <c r="G732" t="n">
        <v>6.7</v>
      </c>
      <c r="H732" t="n">
        <v>0</v>
      </c>
      <c r="I732" t="n">
        <v>0</v>
      </c>
      <c r="J732" t="n">
        <v>0</v>
      </c>
      <c r="K732" t="n">
        <v>0</v>
      </c>
      <c r="L732" t="n">
        <v>0</v>
      </c>
      <c r="M732" t="n">
        <v>0</v>
      </c>
      <c r="N732" t="n">
        <v>0</v>
      </c>
      <c r="O732" t="n">
        <v>0</v>
      </c>
      <c r="P732" t="n">
        <v>0</v>
      </c>
      <c r="Q732" t="n">
        <v>0</v>
      </c>
      <c r="R732" s="2" t="inlineStr"/>
    </row>
    <row r="733" ht="15" customHeight="1">
      <c r="A733" t="inlineStr">
        <is>
          <t>A 59297-2023</t>
        </is>
      </c>
      <c r="B733" s="1" t="n">
        <v>45253</v>
      </c>
      <c r="C733" s="1" t="n">
        <v>46127</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15965-2024</t>
        </is>
      </c>
      <c r="B734" s="1" t="n">
        <v>45405.55740740741</v>
      </c>
      <c r="C734" s="1" t="n">
        <v>46127</v>
      </c>
      <c r="D734" t="inlineStr">
        <is>
          <t>VÄSTMANLANDS LÄN</t>
        </is>
      </c>
      <c r="E734" t="inlineStr">
        <is>
          <t>SALA</t>
        </is>
      </c>
      <c r="G734" t="n">
        <v>0.5</v>
      </c>
      <c r="H734" t="n">
        <v>0</v>
      </c>
      <c r="I734" t="n">
        <v>0</v>
      </c>
      <c r="J734" t="n">
        <v>0</v>
      </c>
      <c r="K734" t="n">
        <v>0</v>
      </c>
      <c r="L734" t="n">
        <v>0</v>
      </c>
      <c r="M734" t="n">
        <v>0</v>
      </c>
      <c r="N734" t="n">
        <v>0</v>
      </c>
      <c r="O734" t="n">
        <v>0</v>
      </c>
      <c r="P734" t="n">
        <v>0</v>
      </c>
      <c r="Q734" t="n">
        <v>0</v>
      </c>
      <c r="R734" s="2" t="inlineStr"/>
    </row>
    <row r="735" ht="15" customHeight="1">
      <c r="A735" t="inlineStr">
        <is>
          <t>A 23180-2022</t>
        </is>
      </c>
      <c r="B735" s="1" t="n">
        <v>44719.79344907407</v>
      </c>
      <c r="C735" s="1" t="n">
        <v>46127</v>
      </c>
      <c r="D735" t="inlineStr">
        <is>
          <t>VÄSTMANLANDS LÄN</t>
        </is>
      </c>
      <c r="E735" t="inlineStr">
        <is>
          <t>SALA</t>
        </is>
      </c>
      <c r="G735" t="n">
        <v>1.2</v>
      </c>
      <c r="H735" t="n">
        <v>0</v>
      </c>
      <c r="I735" t="n">
        <v>0</v>
      </c>
      <c r="J735" t="n">
        <v>0</v>
      </c>
      <c r="K735" t="n">
        <v>0</v>
      </c>
      <c r="L735" t="n">
        <v>0</v>
      </c>
      <c r="M735" t="n">
        <v>0</v>
      </c>
      <c r="N735" t="n">
        <v>0</v>
      </c>
      <c r="O735" t="n">
        <v>0</v>
      </c>
      <c r="P735" t="n">
        <v>0</v>
      </c>
      <c r="Q735" t="n">
        <v>0</v>
      </c>
      <c r="R735" s="2" t="inlineStr"/>
    </row>
    <row r="736" ht="15" customHeight="1">
      <c r="A736" t="inlineStr">
        <is>
          <t>A 21455-2023</t>
        </is>
      </c>
      <c r="B736" s="1" t="n">
        <v>45058</v>
      </c>
      <c r="C736" s="1" t="n">
        <v>46127</v>
      </c>
      <c r="D736" t="inlineStr">
        <is>
          <t>VÄSTMANLANDS LÄN</t>
        </is>
      </c>
      <c r="E736" t="inlineStr">
        <is>
          <t>SALA</t>
        </is>
      </c>
      <c r="G736" t="n">
        <v>6.4</v>
      </c>
      <c r="H736" t="n">
        <v>0</v>
      </c>
      <c r="I736" t="n">
        <v>0</v>
      </c>
      <c r="J736" t="n">
        <v>0</v>
      </c>
      <c r="K736" t="n">
        <v>0</v>
      </c>
      <c r="L736" t="n">
        <v>0</v>
      </c>
      <c r="M736" t="n">
        <v>0</v>
      </c>
      <c r="N736" t="n">
        <v>0</v>
      </c>
      <c r="O736" t="n">
        <v>0</v>
      </c>
      <c r="P736" t="n">
        <v>0</v>
      </c>
      <c r="Q736" t="n">
        <v>0</v>
      </c>
      <c r="R736" s="2" t="inlineStr"/>
    </row>
    <row r="737" ht="15" customHeight="1">
      <c r="A737" t="inlineStr">
        <is>
          <t>A 21053-2022</t>
        </is>
      </c>
      <c r="B737" s="1" t="n">
        <v>44704</v>
      </c>
      <c r="C737" s="1" t="n">
        <v>46127</v>
      </c>
      <c r="D737" t="inlineStr">
        <is>
          <t>VÄSTMANLANDS LÄN</t>
        </is>
      </c>
      <c r="E737" t="inlineStr">
        <is>
          <t>SALA</t>
        </is>
      </c>
      <c r="G737" t="n">
        <v>2</v>
      </c>
      <c r="H737" t="n">
        <v>0</v>
      </c>
      <c r="I737" t="n">
        <v>0</v>
      </c>
      <c r="J737" t="n">
        <v>0</v>
      </c>
      <c r="K737" t="n">
        <v>0</v>
      </c>
      <c r="L737" t="n">
        <v>0</v>
      </c>
      <c r="M737" t="n">
        <v>0</v>
      </c>
      <c r="N737" t="n">
        <v>0</v>
      </c>
      <c r="O737" t="n">
        <v>0</v>
      </c>
      <c r="P737" t="n">
        <v>0</v>
      </c>
      <c r="Q737" t="n">
        <v>0</v>
      </c>
      <c r="R737" s="2" t="inlineStr"/>
    </row>
    <row r="738" ht="15" customHeight="1">
      <c r="A738" t="inlineStr">
        <is>
          <t>A 11927-2025</t>
        </is>
      </c>
      <c r="B738" s="1" t="n">
        <v>45728.5137962963</v>
      </c>
      <c r="C738" s="1" t="n">
        <v>46127</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50876-2023</t>
        </is>
      </c>
      <c r="B739" s="1" t="n">
        <v>45211</v>
      </c>
      <c r="C739" s="1" t="n">
        <v>46127</v>
      </c>
      <c r="D739" t="inlineStr">
        <is>
          <t>VÄSTMANLANDS LÄN</t>
        </is>
      </c>
      <c r="E739" t="inlineStr">
        <is>
          <t>SALA</t>
        </is>
      </c>
      <c r="G739" t="n">
        <v>1.9</v>
      </c>
      <c r="H739" t="n">
        <v>0</v>
      </c>
      <c r="I739" t="n">
        <v>0</v>
      </c>
      <c r="J739" t="n">
        <v>0</v>
      </c>
      <c r="K739" t="n">
        <v>0</v>
      </c>
      <c r="L739" t="n">
        <v>0</v>
      </c>
      <c r="M739" t="n">
        <v>0</v>
      </c>
      <c r="N739" t="n">
        <v>0</v>
      </c>
      <c r="O739" t="n">
        <v>0</v>
      </c>
      <c r="P739" t="n">
        <v>0</v>
      </c>
      <c r="Q739" t="n">
        <v>0</v>
      </c>
      <c r="R739" s="2" t="inlineStr"/>
    </row>
    <row r="740" ht="15" customHeight="1">
      <c r="A740" t="inlineStr">
        <is>
          <t>A 10255-2024</t>
        </is>
      </c>
      <c r="B740" s="1" t="n">
        <v>45365</v>
      </c>
      <c r="C740" s="1" t="n">
        <v>46127</v>
      </c>
      <c r="D740" t="inlineStr">
        <is>
          <t>VÄSTMANLANDS LÄN</t>
        </is>
      </c>
      <c r="E740" t="inlineStr">
        <is>
          <t>SALA</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62648-2022</t>
        </is>
      </c>
      <c r="B741" s="1" t="n">
        <v>44917</v>
      </c>
      <c r="C741" s="1" t="n">
        <v>46127</v>
      </c>
      <c r="D741" t="inlineStr">
        <is>
          <t>VÄSTMANLANDS LÄN</t>
        </is>
      </c>
      <c r="E741" t="inlineStr">
        <is>
          <t>SALA</t>
        </is>
      </c>
      <c r="G741" t="n">
        <v>0.5</v>
      </c>
      <c r="H741" t="n">
        <v>0</v>
      </c>
      <c r="I741" t="n">
        <v>0</v>
      </c>
      <c r="J741" t="n">
        <v>0</v>
      </c>
      <c r="K741" t="n">
        <v>0</v>
      </c>
      <c r="L741" t="n">
        <v>0</v>
      </c>
      <c r="M741" t="n">
        <v>0</v>
      </c>
      <c r="N741" t="n">
        <v>0</v>
      </c>
      <c r="O741" t="n">
        <v>0</v>
      </c>
      <c r="P741" t="n">
        <v>0</v>
      </c>
      <c r="Q741" t="n">
        <v>0</v>
      </c>
      <c r="R741" s="2" t="inlineStr"/>
    </row>
    <row r="742" ht="15" customHeight="1">
      <c r="A742" t="inlineStr">
        <is>
          <t>A 56548-2024</t>
        </is>
      </c>
      <c r="B742" s="1" t="n">
        <v>45625</v>
      </c>
      <c r="C742" s="1" t="n">
        <v>46127</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5477-2024</t>
        </is>
      </c>
      <c r="B743" s="1" t="n">
        <v>45333.67833333334</v>
      </c>
      <c r="C743" s="1" t="n">
        <v>46127</v>
      </c>
      <c r="D743" t="inlineStr">
        <is>
          <t>VÄSTMANLANDS LÄN</t>
        </is>
      </c>
      <c r="E743" t="inlineStr">
        <is>
          <t>SALA</t>
        </is>
      </c>
      <c r="G743" t="n">
        <v>2.3</v>
      </c>
      <c r="H743" t="n">
        <v>0</v>
      </c>
      <c r="I743" t="n">
        <v>0</v>
      </c>
      <c r="J743" t="n">
        <v>0</v>
      </c>
      <c r="K743" t="n">
        <v>0</v>
      </c>
      <c r="L743" t="n">
        <v>0</v>
      </c>
      <c r="M743" t="n">
        <v>0</v>
      </c>
      <c r="N743" t="n">
        <v>0</v>
      </c>
      <c r="O743" t="n">
        <v>0</v>
      </c>
      <c r="P743" t="n">
        <v>0</v>
      </c>
      <c r="Q743" t="n">
        <v>0</v>
      </c>
      <c r="R743" s="2" t="inlineStr"/>
    </row>
    <row r="744" ht="15" customHeight="1">
      <c r="A744" t="inlineStr">
        <is>
          <t>A 39451-2022</t>
        </is>
      </c>
      <c r="B744" s="1" t="n">
        <v>44818.36606481481</v>
      </c>
      <c r="C744" s="1" t="n">
        <v>46127</v>
      </c>
      <c r="D744" t="inlineStr">
        <is>
          <t>VÄSTMANLANDS LÄN</t>
        </is>
      </c>
      <c r="E744" t="inlineStr">
        <is>
          <t>SALA</t>
        </is>
      </c>
      <c r="G744" t="n">
        <v>9.4</v>
      </c>
      <c r="H744" t="n">
        <v>0</v>
      </c>
      <c r="I744" t="n">
        <v>0</v>
      </c>
      <c r="J744" t="n">
        <v>0</v>
      </c>
      <c r="K744" t="n">
        <v>0</v>
      </c>
      <c r="L744" t="n">
        <v>0</v>
      </c>
      <c r="M744" t="n">
        <v>0</v>
      </c>
      <c r="N744" t="n">
        <v>0</v>
      </c>
      <c r="O744" t="n">
        <v>0</v>
      </c>
      <c r="P744" t="n">
        <v>0</v>
      </c>
      <c r="Q744" t="n">
        <v>0</v>
      </c>
      <c r="R744" s="2" t="inlineStr"/>
    </row>
    <row r="745" ht="15" customHeight="1">
      <c r="A745" t="inlineStr">
        <is>
          <t>A 7772-2023</t>
        </is>
      </c>
      <c r="B745" s="1" t="n">
        <v>44973.40076388889</v>
      </c>
      <c r="C745" s="1" t="n">
        <v>46127</v>
      </c>
      <c r="D745" t="inlineStr">
        <is>
          <t>VÄSTMANLANDS LÄN</t>
        </is>
      </c>
      <c r="E745" t="inlineStr">
        <is>
          <t>SALA</t>
        </is>
      </c>
      <c r="G745" t="n">
        <v>0.5</v>
      </c>
      <c r="H745" t="n">
        <v>0</v>
      </c>
      <c r="I745" t="n">
        <v>0</v>
      </c>
      <c r="J745" t="n">
        <v>0</v>
      </c>
      <c r="K745" t="n">
        <v>0</v>
      </c>
      <c r="L745" t="n">
        <v>0</v>
      </c>
      <c r="M745" t="n">
        <v>0</v>
      </c>
      <c r="N745" t="n">
        <v>0</v>
      </c>
      <c r="O745" t="n">
        <v>0</v>
      </c>
      <c r="P745" t="n">
        <v>0</v>
      </c>
      <c r="Q745" t="n">
        <v>0</v>
      </c>
      <c r="R745" s="2" t="inlineStr"/>
    </row>
    <row r="746" ht="15" customHeight="1">
      <c r="A746" t="inlineStr">
        <is>
          <t>A 19751-2022</t>
        </is>
      </c>
      <c r="B746" s="1" t="n">
        <v>44694</v>
      </c>
      <c r="C746" s="1" t="n">
        <v>46127</v>
      </c>
      <c r="D746" t="inlineStr">
        <is>
          <t>VÄSTMANLANDS LÄN</t>
        </is>
      </c>
      <c r="E746" t="inlineStr">
        <is>
          <t>SALA</t>
        </is>
      </c>
      <c r="G746" t="n">
        <v>2.7</v>
      </c>
      <c r="H746" t="n">
        <v>0</v>
      </c>
      <c r="I746" t="n">
        <v>0</v>
      </c>
      <c r="J746" t="n">
        <v>0</v>
      </c>
      <c r="K746" t="n">
        <v>0</v>
      </c>
      <c r="L746" t="n">
        <v>0</v>
      </c>
      <c r="M746" t="n">
        <v>0</v>
      </c>
      <c r="N746" t="n">
        <v>0</v>
      </c>
      <c r="O746" t="n">
        <v>0</v>
      </c>
      <c r="P746" t="n">
        <v>0</v>
      </c>
      <c r="Q746" t="n">
        <v>0</v>
      </c>
      <c r="R746" s="2" t="inlineStr"/>
    </row>
    <row r="747" ht="15" customHeight="1">
      <c r="A747" t="inlineStr">
        <is>
          <t>A 44713-2023</t>
        </is>
      </c>
      <c r="B747" s="1" t="n">
        <v>45184</v>
      </c>
      <c r="C747" s="1" t="n">
        <v>46127</v>
      </c>
      <c r="D747" t="inlineStr">
        <is>
          <t>VÄSTMANLANDS LÄN</t>
        </is>
      </c>
      <c r="E747" t="inlineStr">
        <is>
          <t>SALA</t>
        </is>
      </c>
      <c r="F747" t="inlineStr">
        <is>
          <t>Kyrkan</t>
        </is>
      </c>
      <c r="G747" t="n">
        <v>7.6</v>
      </c>
      <c r="H747" t="n">
        <v>0</v>
      </c>
      <c r="I747" t="n">
        <v>0</v>
      </c>
      <c r="J747" t="n">
        <v>0</v>
      </c>
      <c r="K747" t="n">
        <v>0</v>
      </c>
      <c r="L747" t="n">
        <v>0</v>
      </c>
      <c r="M747" t="n">
        <v>0</v>
      </c>
      <c r="N747" t="n">
        <v>0</v>
      </c>
      <c r="O747" t="n">
        <v>0</v>
      </c>
      <c r="P747" t="n">
        <v>0</v>
      </c>
      <c r="Q747" t="n">
        <v>0</v>
      </c>
      <c r="R747" s="2" t="inlineStr"/>
    </row>
    <row r="748" ht="15" customHeight="1">
      <c r="A748" t="inlineStr">
        <is>
          <t>A 18713-2025</t>
        </is>
      </c>
      <c r="B748" s="1" t="n">
        <v>45763</v>
      </c>
      <c r="C748" s="1" t="n">
        <v>46127</v>
      </c>
      <c r="D748" t="inlineStr">
        <is>
          <t>VÄSTMANLANDS LÄN</t>
        </is>
      </c>
      <c r="E748" t="inlineStr">
        <is>
          <t>SALA</t>
        </is>
      </c>
      <c r="F748" t="inlineStr">
        <is>
          <t>Bergvik skog öst AB</t>
        </is>
      </c>
      <c r="G748" t="n">
        <v>11.6</v>
      </c>
      <c r="H748" t="n">
        <v>0</v>
      </c>
      <c r="I748" t="n">
        <v>0</v>
      </c>
      <c r="J748" t="n">
        <v>0</v>
      </c>
      <c r="K748" t="n">
        <v>0</v>
      </c>
      <c r="L748" t="n">
        <v>0</v>
      </c>
      <c r="M748" t="n">
        <v>0</v>
      </c>
      <c r="N748" t="n">
        <v>0</v>
      </c>
      <c r="O748" t="n">
        <v>0</v>
      </c>
      <c r="P748" t="n">
        <v>0</v>
      </c>
      <c r="Q748" t="n">
        <v>0</v>
      </c>
      <c r="R748" s="2" t="inlineStr"/>
    </row>
    <row r="749" ht="15" customHeight="1">
      <c r="A749" t="inlineStr">
        <is>
          <t>A 47479-2024</t>
        </is>
      </c>
      <c r="B749" s="1" t="n">
        <v>45587</v>
      </c>
      <c r="C749" s="1" t="n">
        <v>46127</v>
      </c>
      <c r="D749" t="inlineStr">
        <is>
          <t>VÄSTMANLANDS LÄN</t>
        </is>
      </c>
      <c r="E749" t="inlineStr">
        <is>
          <t>SALA</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69236-2021</t>
        </is>
      </c>
      <c r="B750" s="1" t="n">
        <v>44531.4047337963</v>
      </c>
      <c r="C750" s="1" t="n">
        <v>46127</v>
      </c>
      <c r="D750" t="inlineStr">
        <is>
          <t>VÄSTMANLANDS LÄN</t>
        </is>
      </c>
      <c r="E750" t="inlineStr">
        <is>
          <t>SALA</t>
        </is>
      </c>
      <c r="G750" t="n">
        <v>2.8</v>
      </c>
      <c r="H750" t="n">
        <v>0</v>
      </c>
      <c r="I750" t="n">
        <v>0</v>
      </c>
      <c r="J750" t="n">
        <v>0</v>
      </c>
      <c r="K750" t="n">
        <v>0</v>
      </c>
      <c r="L750" t="n">
        <v>0</v>
      </c>
      <c r="M750" t="n">
        <v>0</v>
      </c>
      <c r="N750" t="n">
        <v>0</v>
      </c>
      <c r="O750" t="n">
        <v>0</v>
      </c>
      <c r="P750" t="n">
        <v>0</v>
      </c>
      <c r="Q750" t="n">
        <v>0</v>
      </c>
      <c r="R750" s="2" t="inlineStr"/>
    </row>
    <row r="751" ht="15" customHeight="1">
      <c r="A751" t="inlineStr">
        <is>
          <t>A 25541-2024</t>
        </is>
      </c>
      <c r="B751" s="1" t="n">
        <v>45463.56337962963</v>
      </c>
      <c r="C751" s="1" t="n">
        <v>46127</v>
      </c>
      <c r="D751" t="inlineStr">
        <is>
          <t>VÄSTMANLANDS LÄN</t>
        </is>
      </c>
      <c r="E751" t="inlineStr">
        <is>
          <t>SALA</t>
        </is>
      </c>
      <c r="G751" t="n">
        <v>0.5</v>
      </c>
      <c r="H751" t="n">
        <v>0</v>
      </c>
      <c r="I751" t="n">
        <v>0</v>
      </c>
      <c r="J751" t="n">
        <v>0</v>
      </c>
      <c r="K751" t="n">
        <v>0</v>
      </c>
      <c r="L751" t="n">
        <v>0</v>
      </c>
      <c r="M751" t="n">
        <v>0</v>
      </c>
      <c r="N751" t="n">
        <v>0</v>
      </c>
      <c r="O751" t="n">
        <v>0</v>
      </c>
      <c r="P751" t="n">
        <v>0</v>
      </c>
      <c r="Q751" t="n">
        <v>0</v>
      </c>
      <c r="R751" s="2" t="inlineStr"/>
    </row>
    <row r="752" ht="15" customHeight="1">
      <c r="A752" t="inlineStr">
        <is>
          <t>A 5728-2022</t>
        </is>
      </c>
      <c r="B752" s="1" t="n">
        <v>44596.42082175926</v>
      </c>
      <c r="C752" s="1" t="n">
        <v>46127</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10250-2025</t>
        </is>
      </c>
      <c r="B753" s="1" t="n">
        <v>45720.36165509259</v>
      </c>
      <c r="C753" s="1" t="n">
        <v>46127</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49512-2024</t>
        </is>
      </c>
      <c r="B754" s="1" t="n">
        <v>45591</v>
      </c>
      <c r="C754" s="1" t="n">
        <v>46127</v>
      </c>
      <c r="D754" t="inlineStr">
        <is>
          <t>VÄSTMANLANDS LÄN</t>
        </is>
      </c>
      <c r="E754" t="inlineStr">
        <is>
          <t>SALA</t>
        </is>
      </c>
      <c r="G754" t="n">
        <v>8.1</v>
      </c>
      <c r="H754" t="n">
        <v>0</v>
      </c>
      <c r="I754" t="n">
        <v>0</v>
      </c>
      <c r="J754" t="n">
        <v>0</v>
      </c>
      <c r="K754" t="n">
        <v>0</v>
      </c>
      <c r="L754" t="n">
        <v>0</v>
      </c>
      <c r="M754" t="n">
        <v>0</v>
      </c>
      <c r="N754" t="n">
        <v>0</v>
      </c>
      <c r="O754" t="n">
        <v>0</v>
      </c>
      <c r="P754" t="n">
        <v>0</v>
      </c>
      <c r="Q754" t="n">
        <v>0</v>
      </c>
      <c r="R754" s="2" t="inlineStr"/>
    </row>
    <row r="755" ht="15" customHeight="1">
      <c r="A755" t="inlineStr">
        <is>
          <t>A 42416-2022</t>
        </is>
      </c>
      <c r="B755" s="1" t="n">
        <v>44831</v>
      </c>
      <c r="C755" s="1" t="n">
        <v>46127</v>
      </c>
      <c r="D755" t="inlineStr">
        <is>
          <t>VÄSTMANLANDS LÄN</t>
        </is>
      </c>
      <c r="E755" t="inlineStr">
        <is>
          <t>SALA</t>
        </is>
      </c>
      <c r="G755" t="n">
        <v>2.2</v>
      </c>
      <c r="H755" t="n">
        <v>0</v>
      </c>
      <c r="I755" t="n">
        <v>0</v>
      </c>
      <c r="J755" t="n">
        <v>0</v>
      </c>
      <c r="K755" t="n">
        <v>0</v>
      </c>
      <c r="L755" t="n">
        <v>0</v>
      </c>
      <c r="M755" t="n">
        <v>0</v>
      </c>
      <c r="N755" t="n">
        <v>0</v>
      </c>
      <c r="O755" t="n">
        <v>0</v>
      </c>
      <c r="P755" t="n">
        <v>0</v>
      </c>
      <c r="Q755" t="n">
        <v>0</v>
      </c>
      <c r="R755" s="2" t="inlineStr"/>
    </row>
    <row r="756" ht="15" customHeight="1">
      <c r="A756" t="inlineStr">
        <is>
          <t>A 6135-2023</t>
        </is>
      </c>
      <c r="B756" s="1" t="n">
        <v>44964.62628472222</v>
      </c>
      <c r="C756" s="1" t="n">
        <v>46127</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row>
    <row r="757" ht="15" customHeight="1">
      <c r="A757" t="inlineStr">
        <is>
          <t>A 16693-2023</t>
        </is>
      </c>
      <c r="B757" s="1" t="n">
        <v>45028</v>
      </c>
      <c r="C757" s="1" t="n">
        <v>46127</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8285-2025</t>
        </is>
      </c>
      <c r="B758" s="1" t="n">
        <v>45708</v>
      </c>
      <c r="C758" s="1" t="n">
        <v>46127</v>
      </c>
      <c r="D758" t="inlineStr">
        <is>
          <t>VÄSTMANLANDS LÄN</t>
        </is>
      </c>
      <c r="E758" t="inlineStr">
        <is>
          <t>SALA</t>
        </is>
      </c>
      <c r="G758" t="n">
        <v>5.7</v>
      </c>
      <c r="H758" t="n">
        <v>0</v>
      </c>
      <c r="I758" t="n">
        <v>0</v>
      </c>
      <c r="J758" t="n">
        <v>0</v>
      </c>
      <c r="K758" t="n">
        <v>0</v>
      </c>
      <c r="L758" t="n">
        <v>0</v>
      </c>
      <c r="M758" t="n">
        <v>0</v>
      </c>
      <c r="N758" t="n">
        <v>0</v>
      </c>
      <c r="O758" t="n">
        <v>0</v>
      </c>
      <c r="P758" t="n">
        <v>0</v>
      </c>
      <c r="Q758" t="n">
        <v>0</v>
      </c>
      <c r="R758" s="2" t="inlineStr"/>
    </row>
    <row r="759" ht="15" customHeight="1">
      <c r="A759" t="inlineStr">
        <is>
          <t>A 18340-2025</t>
        </is>
      </c>
      <c r="B759" s="1" t="n">
        <v>45762</v>
      </c>
      <c r="C759" s="1" t="n">
        <v>46127</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56706-2022</t>
        </is>
      </c>
      <c r="B760" s="1" t="n">
        <v>44893.78893518518</v>
      </c>
      <c r="C760" s="1" t="n">
        <v>46127</v>
      </c>
      <c r="D760" t="inlineStr">
        <is>
          <t>VÄSTMANLANDS LÄN</t>
        </is>
      </c>
      <c r="E760" t="inlineStr">
        <is>
          <t>SALA</t>
        </is>
      </c>
      <c r="G760" t="n">
        <v>4.5</v>
      </c>
      <c r="H760" t="n">
        <v>0</v>
      </c>
      <c r="I760" t="n">
        <v>0</v>
      </c>
      <c r="J760" t="n">
        <v>0</v>
      </c>
      <c r="K760" t="n">
        <v>0</v>
      </c>
      <c r="L760" t="n">
        <v>0</v>
      </c>
      <c r="M760" t="n">
        <v>0</v>
      </c>
      <c r="N760" t="n">
        <v>0</v>
      </c>
      <c r="O760" t="n">
        <v>0</v>
      </c>
      <c r="P760" t="n">
        <v>0</v>
      </c>
      <c r="Q760" t="n">
        <v>0</v>
      </c>
      <c r="R760" s="2" t="inlineStr"/>
    </row>
    <row r="761" ht="15" customHeight="1">
      <c r="A761" t="inlineStr">
        <is>
          <t>A 56707-2022</t>
        </is>
      </c>
      <c r="B761" s="1" t="n">
        <v>44893.79412037037</v>
      </c>
      <c r="C761" s="1" t="n">
        <v>46127</v>
      </c>
      <c r="D761" t="inlineStr">
        <is>
          <t>VÄSTMANLANDS LÄN</t>
        </is>
      </c>
      <c r="E761" t="inlineStr">
        <is>
          <t>SALA</t>
        </is>
      </c>
      <c r="G761" t="n">
        <v>1</v>
      </c>
      <c r="H761" t="n">
        <v>0</v>
      </c>
      <c r="I761" t="n">
        <v>0</v>
      </c>
      <c r="J761" t="n">
        <v>0</v>
      </c>
      <c r="K761" t="n">
        <v>0</v>
      </c>
      <c r="L761" t="n">
        <v>0</v>
      </c>
      <c r="M761" t="n">
        <v>0</v>
      </c>
      <c r="N761" t="n">
        <v>0</v>
      </c>
      <c r="O761" t="n">
        <v>0</v>
      </c>
      <c r="P761" t="n">
        <v>0</v>
      </c>
      <c r="Q761" t="n">
        <v>0</v>
      </c>
      <c r="R761" s="2" t="inlineStr"/>
    </row>
    <row r="762" ht="15" customHeight="1">
      <c r="A762" t="inlineStr">
        <is>
          <t>A 48571-2024</t>
        </is>
      </c>
      <c r="B762" s="1" t="n">
        <v>45591</v>
      </c>
      <c r="C762" s="1" t="n">
        <v>46127</v>
      </c>
      <c r="D762" t="inlineStr">
        <is>
          <t>VÄSTMANLANDS LÄN</t>
        </is>
      </c>
      <c r="E762" t="inlineStr">
        <is>
          <t>SALA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13188-2025</t>
        </is>
      </c>
      <c r="B763" s="1" t="n">
        <v>45735.39246527778</v>
      </c>
      <c r="C763" s="1" t="n">
        <v>46127</v>
      </c>
      <c r="D763" t="inlineStr">
        <is>
          <t>VÄSTMANLANDS LÄN</t>
        </is>
      </c>
      <c r="E763" t="inlineStr">
        <is>
          <t>SALA</t>
        </is>
      </c>
      <c r="F763" t="inlineStr">
        <is>
          <t>Naturvårdsverket</t>
        </is>
      </c>
      <c r="G763" t="n">
        <v>18.4</v>
      </c>
      <c r="H763" t="n">
        <v>0</v>
      </c>
      <c r="I763" t="n">
        <v>0</v>
      </c>
      <c r="J763" t="n">
        <v>0</v>
      </c>
      <c r="K763" t="n">
        <v>0</v>
      </c>
      <c r="L763" t="n">
        <v>0</v>
      </c>
      <c r="M763" t="n">
        <v>0</v>
      </c>
      <c r="N763" t="n">
        <v>0</v>
      </c>
      <c r="O763" t="n">
        <v>0</v>
      </c>
      <c r="P763" t="n">
        <v>0</v>
      </c>
      <c r="Q763" t="n">
        <v>0</v>
      </c>
      <c r="R763" s="2" t="inlineStr"/>
    </row>
    <row r="764" ht="15" customHeight="1">
      <c r="A764" t="inlineStr">
        <is>
          <t>A 23431-2024</t>
        </is>
      </c>
      <c r="B764" s="1" t="n">
        <v>45453</v>
      </c>
      <c r="C764" s="1" t="n">
        <v>46127</v>
      </c>
      <c r="D764" t="inlineStr">
        <is>
          <t>VÄSTMANLANDS LÄN</t>
        </is>
      </c>
      <c r="E764" t="inlineStr">
        <is>
          <t>SALA</t>
        </is>
      </c>
      <c r="G764" t="n">
        <v>1.6</v>
      </c>
      <c r="H764" t="n">
        <v>0</v>
      </c>
      <c r="I764" t="n">
        <v>0</v>
      </c>
      <c r="J764" t="n">
        <v>0</v>
      </c>
      <c r="K764" t="n">
        <v>0</v>
      </c>
      <c r="L764" t="n">
        <v>0</v>
      </c>
      <c r="M764" t="n">
        <v>0</v>
      </c>
      <c r="N764" t="n">
        <v>0</v>
      </c>
      <c r="O764" t="n">
        <v>0</v>
      </c>
      <c r="P764" t="n">
        <v>0</v>
      </c>
      <c r="Q764" t="n">
        <v>0</v>
      </c>
      <c r="R764" s="2" t="inlineStr"/>
    </row>
    <row r="765" ht="15" customHeight="1">
      <c r="A765" t="inlineStr">
        <is>
          <t>A 21168-2025</t>
        </is>
      </c>
      <c r="B765" s="1" t="n">
        <v>45777</v>
      </c>
      <c r="C765" s="1" t="n">
        <v>46127</v>
      </c>
      <c r="D765" t="inlineStr">
        <is>
          <t>VÄSTMANLANDS LÄN</t>
        </is>
      </c>
      <c r="E765" t="inlineStr">
        <is>
          <t>SALA</t>
        </is>
      </c>
      <c r="G765" t="n">
        <v>4.5</v>
      </c>
      <c r="H765" t="n">
        <v>0</v>
      </c>
      <c r="I765" t="n">
        <v>0</v>
      </c>
      <c r="J765" t="n">
        <v>0</v>
      </c>
      <c r="K765" t="n">
        <v>0</v>
      </c>
      <c r="L765" t="n">
        <v>0</v>
      </c>
      <c r="M765" t="n">
        <v>0</v>
      </c>
      <c r="N765" t="n">
        <v>0</v>
      </c>
      <c r="O765" t="n">
        <v>0</v>
      </c>
      <c r="P765" t="n">
        <v>0</v>
      </c>
      <c r="Q765" t="n">
        <v>0</v>
      </c>
      <c r="R765" s="2" t="inlineStr"/>
    </row>
    <row r="766" ht="15" customHeight="1">
      <c r="A766" t="inlineStr">
        <is>
          <t>A 21754-2025</t>
        </is>
      </c>
      <c r="B766" s="1" t="n">
        <v>45783.61837962963</v>
      </c>
      <c r="C766" s="1" t="n">
        <v>46127</v>
      </c>
      <c r="D766" t="inlineStr">
        <is>
          <t>VÄSTMANLANDS LÄN</t>
        </is>
      </c>
      <c r="E766" t="inlineStr">
        <is>
          <t>SALA</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21751-2025</t>
        </is>
      </c>
      <c r="B767" s="1" t="n">
        <v>45783.61372685185</v>
      </c>
      <c r="C767" s="1" t="n">
        <v>46127</v>
      </c>
      <c r="D767" t="inlineStr">
        <is>
          <t>VÄSTMANLANDS LÄN</t>
        </is>
      </c>
      <c r="E767" t="inlineStr">
        <is>
          <t>SALA</t>
        </is>
      </c>
      <c r="G767" t="n">
        <v>1</v>
      </c>
      <c r="H767" t="n">
        <v>0</v>
      </c>
      <c r="I767" t="n">
        <v>0</v>
      </c>
      <c r="J767" t="n">
        <v>0</v>
      </c>
      <c r="K767" t="n">
        <v>0</v>
      </c>
      <c r="L767" t="n">
        <v>0</v>
      </c>
      <c r="M767" t="n">
        <v>0</v>
      </c>
      <c r="N767" t="n">
        <v>0</v>
      </c>
      <c r="O767" t="n">
        <v>0</v>
      </c>
      <c r="P767" t="n">
        <v>0</v>
      </c>
      <c r="Q767" t="n">
        <v>0</v>
      </c>
      <c r="R767" s="2" t="inlineStr"/>
    </row>
    <row r="768" ht="15" customHeight="1">
      <c r="A768" t="inlineStr">
        <is>
          <t>A 37587-2024</t>
        </is>
      </c>
      <c r="B768" s="1" t="n">
        <v>45541</v>
      </c>
      <c r="C768" s="1" t="n">
        <v>46127</v>
      </c>
      <c r="D768" t="inlineStr">
        <is>
          <t>VÄSTMANLANDS LÄN</t>
        </is>
      </c>
      <c r="E768" t="inlineStr">
        <is>
          <t>SALA</t>
        </is>
      </c>
      <c r="G768" t="n">
        <v>1.2</v>
      </c>
      <c r="H768" t="n">
        <v>0</v>
      </c>
      <c r="I768" t="n">
        <v>0</v>
      </c>
      <c r="J768" t="n">
        <v>0</v>
      </c>
      <c r="K768" t="n">
        <v>0</v>
      </c>
      <c r="L768" t="n">
        <v>0</v>
      </c>
      <c r="M768" t="n">
        <v>0</v>
      </c>
      <c r="N768" t="n">
        <v>0</v>
      </c>
      <c r="O768" t="n">
        <v>0</v>
      </c>
      <c r="P768" t="n">
        <v>0</v>
      </c>
      <c r="Q768" t="n">
        <v>0</v>
      </c>
      <c r="R768" s="2" t="inlineStr"/>
    </row>
    <row r="769">
      <c r="A769" t="inlineStr">
        <is>
          <t>A 64724-2023</t>
        </is>
      </c>
      <c r="B769" s="1" t="n">
        <v>45281.7602662037</v>
      </c>
      <c r="C769" s="1" t="n">
        <v>46127</v>
      </c>
      <c r="D769" t="inlineStr">
        <is>
          <t>VÄSTMANLANDS LÄN</t>
        </is>
      </c>
      <c r="E769" t="inlineStr">
        <is>
          <t>SALA</t>
        </is>
      </c>
      <c r="G769" t="n">
        <v>2.3</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2026-04-15T14:24:58Z</dcterms:created>
  <dcterms:modified xmlns:dcterms="http://purl.org/dc/terms/" xmlns:xsi="http://www.w3.org/2001/XMLSchema-instance" xsi:type="dcterms:W3CDTF">2026-04-15T14:24:59Z</dcterms:modified>
</cp:coreProperties>
</file>