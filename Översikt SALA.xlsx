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46000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46000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46000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46000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46000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46000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46000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46000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46000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46000</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46000</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10344-2025</t>
        </is>
      </c>
      <c r="B13" s="1" t="n">
        <v>45720</v>
      </c>
      <c r="C13" s="1" t="n">
        <v>46000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46000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46000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46000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46000</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46000</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46000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46000</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46000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46000</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46000</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46000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46000</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46000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46000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46000</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53048-2025</t>
        </is>
      </c>
      <c r="B29" s="1" t="n">
        <v>45958.36018518519</v>
      </c>
      <c r="C29" s="1" t="n">
        <v>46000</v>
      </c>
      <c r="D29" t="inlineStr">
        <is>
          <t>VÄSTMANLANDS LÄN</t>
        </is>
      </c>
      <c r="E29" t="inlineStr">
        <is>
          <t>SALA</t>
        </is>
      </c>
      <c r="F29" t="inlineStr">
        <is>
          <t>Sveaskog</t>
        </is>
      </c>
      <c r="G29" t="n">
        <v>7.5</v>
      </c>
      <c r="H29" t="n">
        <v>1</v>
      </c>
      <c r="I29" t="n">
        <v>1</v>
      </c>
      <c r="J29" t="n">
        <v>1</v>
      </c>
      <c r="K29" t="n">
        <v>0</v>
      </c>
      <c r="L29" t="n">
        <v>0</v>
      </c>
      <c r="M29" t="n">
        <v>0</v>
      </c>
      <c r="N29" t="n">
        <v>0</v>
      </c>
      <c r="O29" t="n">
        <v>1</v>
      </c>
      <c r="P29" t="n">
        <v>0</v>
      </c>
      <c r="Q29" t="n">
        <v>2</v>
      </c>
      <c r="R29" s="2" t="inlineStr">
        <is>
          <t>Motaggsvamp
Plattlummer</t>
        </is>
      </c>
      <c r="S29">
        <f>HYPERLINK("https://klasma.github.io/Logging_1981/artfynd/A 53048-2025 artfynd.xlsx", "A 53048-2025")</f>
        <v/>
      </c>
      <c r="T29">
        <f>HYPERLINK("https://klasma.github.io/Logging_1981/kartor/A 53048-2025 karta.png", "A 53048-2025")</f>
        <v/>
      </c>
      <c r="V29">
        <f>HYPERLINK("https://klasma.github.io/Logging_1981/klagomål/A 53048-2025 FSC-klagomål.docx", "A 53048-2025")</f>
        <v/>
      </c>
      <c r="W29">
        <f>HYPERLINK("https://klasma.github.io/Logging_1981/klagomålsmail/A 53048-2025 FSC-klagomål mail.docx", "A 53048-2025")</f>
        <v/>
      </c>
      <c r="X29">
        <f>HYPERLINK("https://klasma.github.io/Logging_1981/tillsyn/A 53048-2025 tillsynsbegäran.docx", "A 53048-2025")</f>
        <v/>
      </c>
      <c r="Y29">
        <f>HYPERLINK("https://klasma.github.io/Logging_1981/tillsynsmail/A 53048-2025 tillsynsbegäran mail.docx", "A 53048-2025")</f>
        <v/>
      </c>
    </row>
    <row r="30" ht="15" customHeight="1">
      <c r="A30" t="inlineStr">
        <is>
          <t>A 13029-2023</t>
        </is>
      </c>
      <c r="B30" s="1" t="n">
        <v>45001</v>
      </c>
      <c r="C30" s="1" t="n">
        <v>46000</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46000</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46000</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59826-2025</t>
        </is>
      </c>
      <c r="B33" s="1" t="n">
        <v>45992.65416666667</v>
      </c>
      <c r="C33" s="1" t="n">
        <v>46000</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11846-2024</t>
        </is>
      </c>
      <c r="B34" s="1" t="n">
        <v>45376.4047337963</v>
      </c>
      <c r="C34" s="1" t="n">
        <v>46000</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12444-2024</t>
        </is>
      </c>
      <c r="B35" s="1" t="n">
        <v>45379.46285879629</v>
      </c>
      <c r="C35" s="1" t="n">
        <v>46000</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44970-2021</t>
        </is>
      </c>
      <c r="B36" s="1" t="n">
        <v>44438.74399305556</v>
      </c>
      <c r="C36" s="1" t="n">
        <v>46000</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46000</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46000</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46000</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22950-2025</t>
        </is>
      </c>
      <c r="B40" s="1" t="n">
        <v>45790.50728009259</v>
      </c>
      <c r="C40" s="1" t="n">
        <v>46000</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37166-2024</t>
        </is>
      </c>
      <c r="B41" s="1" t="n">
        <v>45539</v>
      </c>
      <c r="C41" s="1" t="n">
        <v>46000</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46000</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53052-2025</t>
        </is>
      </c>
      <c r="B43" s="1" t="n">
        <v>45958.36266203703</v>
      </c>
      <c r="C43" s="1" t="n">
        <v>46000</v>
      </c>
      <c r="D43" t="inlineStr">
        <is>
          <t>VÄSTMANLANDS LÄN</t>
        </is>
      </c>
      <c r="E43" t="inlineStr">
        <is>
          <t>SALA</t>
        </is>
      </c>
      <c r="F43" t="inlineStr">
        <is>
          <t>Sveaskog</t>
        </is>
      </c>
      <c r="G43" t="n">
        <v>1.1</v>
      </c>
      <c r="H43" t="n">
        <v>0</v>
      </c>
      <c r="I43" t="n">
        <v>0</v>
      </c>
      <c r="J43" t="n">
        <v>1</v>
      </c>
      <c r="K43" t="n">
        <v>0</v>
      </c>
      <c r="L43" t="n">
        <v>0</v>
      </c>
      <c r="M43" t="n">
        <v>0</v>
      </c>
      <c r="N43" t="n">
        <v>0</v>
      </c>
      <c r="O43" t="n">
        <v>1</v>
      </c>
      <c r="P43" t="n">
        <v>0</v>
      </c>
      <c r="Q43" t="n">
        <v>1</v>
      </c>
      <c r="R43" s="2" t="inlineStr">
        <is>
          <t>Motaggsvamp</t>
        </is>
      </c>
      <c r="S43">
        <f>HYPERLINK("https://klasma.github.io/Logging_1981/artfynd/A 53052-2025 artfynd.xlsx", "A 53052-2025")</f>
        <v/>
      </c>
      <c r="T43">
        <f>HYPERLINK("https://klasma.github.io/Logging_1981/kartor/A 53052-2025 karta.png", "A 53052-2025")</f>
        <v/>
      </c>
      <c r="V43">
        <f>HYPERLINK("https://klasma.github.io/Logging_1981/klagomål/A 53052-2025 FSC-klagomål.docx", "A 53052-2025")</f>
        <v/>
      </c>
      <c r="W43">
        <f>HYPERLINK("https://klasma.github.io/Logging_1981/klagomålsmail/A 53052-2025 FSC-klagomål mail.docx", "A 53052-2025")</f>
        <v/>
      </c>
      <c r="X43">
        <f>HYPERLINK("https://klasma.github.io/Logging_1981/tillsyn/A 53052-2025 tillsynsbegäran.docx", "A 53052-2025")</f>
        <v/>
      </c>
      <c r="Y43">
        <f>HYPERLINK("https://klasma.github.io/Logging_1981/tillsynsmail/A 53052-2025 tillsynsbegäran mail.docx", "A 53052-2025")</f>
        <v/>
      </c>
    </row>
    <row r="44" ht="15" customHeight="1">
      <c r="A44" t="inlineStr">
        <is>
          <t>A 32594-2025</t>
        </is>
      </c>
      <c r="B44" s="1" t="n">
        <v>45838</v>
      </c>
      <c r="C44" s="1" t="n">
        <v>46000</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22350-2024</t>
        </is>
      </c>
      <c r="B45" s="1" t="n">
        <v>45446</v>
      </c>
      <c r="C45" s="1" t="n">
        <v>46000</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55995-2025</t>
        </is>
      </c>
      <c r="B46" s="1" t="n">
        <v>45973.56733796297</v>
      </c>
      <c r="C46" s="1" t="n">
        <v>46000</v>
      </c>
      <c r="D46" t="inlineStr">
        <is>
          <t>VÄSTMANLANDS LÄN</t>
        </is>
      </c>
      <c r="E46" t="inlineStr">
        <is>
          <t>SALA</t>
        </is>
      </c>
      <c r="F46" t="inlineStr">
        <is>
          <t>Sveaskog</t>
        </is>
      </c>
      <c r="G46" t="n">
        <v>4.5</v>
      </c>
      <c r="H46" t="n">
        <v>1</v>
      </c>
      <c r="I46" t="n">
        <v>0</v>
      </c>
      <c r="J46" t="n">
        <v>0</v>
      </c>
      <c r="K46" t="n">
        <v>0</v>
      </c>
      <c r="L46" t="n">
        <v>0</v>
      </c>
      <c r="M46" t="n">
        <v>0</v>
      </c>
      <c r="N46" t="n">
        <v>0</v>
      </c>
      <c r="O46" t="n">
        <v>0</v>
      </c>
      <c r="P46" t="n">
        <v>0</v>
      </c>
      <c r="Q46" t="n">
        <v>1</v>
      </c>
      <c r="R46" s="2" t="inlineStr">
        <is>
          <t>Fläcknycklar</t>
        </is>
      </c>
      <c r="S46">
        <f>HYPERLINK("https://klasma.github.io/Logging_1981/artfynd/A 55995-2025 artfynd.xlsx", "A 55995-2025")</f>
        <v/>
      </c>
      <c r="T46">
        <f>HYPERLINK("https://klasma.github.io/Logging_1981/kartor/A 55995-2025 karta.png", "A 55995-2025")</f>
        <v/>
      </c>
      <c r="V46">
        <f>HYPERLINK("https://klasma.github.io/Logging_1981/klagomål/A 55995-2025 FSC-klagomål.docx", "A 55995-2025")</f>
        <v/>
      </c>
      <c r="W46">
        <f>HYPERLINK("https://klasma.github.io/Logging_1981/klagomålsmail/A 55995-2025 FSC-klagomål mail.docx", "A 55995-2025")</f>
        <v/>
      </c>
      <c r="X46">
        <f>HYPERLINK("https://klasma.github.io/Logging_1981/tillsyn/A 55995-2025 tillsynsbegäran.docx", "A 55995-2025")</f>
        <v/>
      </c>
      <c r="Y46">
        <f>HYPERLINK("https://klasma.github.io/Logging_1981/tillsynsmail/A 55995-2025 tillsynsbegäran mail.docx", "A 55995-2025")</f>
        <v/>
      </c>
    </row>
    <row r="47" ht="15" customHeight="1">
      <c r="A47" t="inlineStr">
        <is>
          <t>A 14775-2023</t>
        </is>
      </c>
      <c r="B47" s="1" t="n">
        <v>45014</v>
      </c>
      <c r="C47" s="1" t="n">
        <v>46000</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12509-2023</t>
        </is>
      </c>
      <c r="B48" s="1" t="n">
        <v>44999.95988425926</v>
      </c>
      <c r="C48" s="1" t="n">
        <v>46000</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48705-2025</t>
        </is>
      </c>
      <c r="B49" s="1" t="n">
        <v>45936.62290509259</v>
      </c>
      <c r="C49" s="1" t="n">
        <v>46000</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38255-2025</t>
        </is>
      </c>
      <c r="B50" s="1" t="n">
        <v>45883.38020833334</v>
      </c>
      <c r="C50" s="1" t="n">
        <v>46000</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50268-2025</t>
        </is>
      </c>
      <c r="B51" s="1" t="n">
        <v>45944.35162037037</v>
      </c>
      <c r="C51" s="1" t="n">
        <v>46000</v>
      </c>
      <c r="D51" t="inlineStr">
        <is>
          <t>VÄSTMANLANDS LÄN</t>
        </is>
      </c>
      <c r="E51" t="inlineStr">
        <is>
          <t>SALA</t>
        </is>
      </c>
      <c r="G51" t="n">
        <v>0.7</v>
      </c>
      <c r="H51" t="n">
        <v>1</v>
      </c>
      <c r="I51" t="n">
        <v>0</v>
      </c>
      <c r="J51" t="n">
        <v>0</v>
      </c>
      <c r="K51" t="n">
        <v>0</v>
      </c>
      <c r="L51" t="n">
        <v>0</v>
      </c>
      <c r="M51" t="n">
        <v>0</v>
      </c>
      <c r="N51" t="n">
        <v>0</v>
      </c>
      <c r="O51" t="n">
        <v>0</v>
      </c>
      <c r="P51" t="n">
        <v>0</v>
      </c>
      <c r="Q51" t="n">
        <v>1</v>
      </c>
      <c r="R51" s="2" t="inlineStr">
        <is>
          <t>Fläcknycklar</t>
        </is>
      </c>
      <c r="S51">
        <f>HYPERLINK("https://klasma.github.io/Logging_1981/artfynd/A 50268-2025 artfynd.xlsx", "A 50268-2025")</f>
        <v/>
      </c>
      <c r="T51">
        <f>HYPERLINK("https://klasma.github.io/Logging_1981/kartor/A 50268-2025 karta.png", "A 50268-2025")</f>
        <v/>
      </c>
      <c r="V51">
        <f>HYPERLINK("https://klasma.github.io/Logging_1981/klagomål/A 50268-2025 FSC-klagomål.docx", "A 50268-2025")</f>
        <v/>
      </c>
      <c r="W51">
        <f>HYPERLINK("https://klasma.github.io/Logging_1981/klagomålsmail/A 50268-2025 FSC-klagomål mail.docx", "A 50268-2025")</f>
        <v/>
      </c>
      <c r="X51">
        <f>HYPERLINK("https://klasma.github.io/Logging_1981/tillsyn/A 50268-2025 tillsynsbegäran.docx", "A 50268-2025")</f>
        <v/>
      </c>
      <c r="Y51">
        <f>HYPERLINK("https://klasma.github.io/Logging_1981/tillsynsmail/A 50268-2025 tillsynsbegäran mail.docx", "A 50268-2025")</f>
        <v/>
      </c>
    </row>
    <row r="52" ht="15" customHeight="1">
      <c r="A52" t="inlineStr">
        <is>
          <t>A 60852-2024</t>
        </is>
      </c>
      <c r="B52" s="1" t="n">
        <v>45644</v>
      </c>
      <c r="C52" s="1" t="n">
        <v>46000</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19361-2025</t>
        </is>
      </c>
      <c r="B53" s="1" t="n">
        <v>45769.63357638889</v>
      </c>
      <c r="C53" s="1" t="n">
        <v>46000</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46000</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43175-2023</t>
        </is>
      </c>
      <c r="B55" s="1" t="n">
        <v>45183</v>
      </c>
      <c r="C55" s="1" t="n">
        <v>46000</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55550-2023</t>
        </is>
      </c>
      <c r="B56" s="1" t="n">
        <v>45232</v>
      </c>
      <c r="C56" s="1" t="n">
        <v>46000</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46000</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46000</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46000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46000</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46000</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46000</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46000</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69194-2020</t>
        </is>
      </c>
      <c r="B64" s="1" t="n">
        <v>44191</v>
      </c>
      <c r="C64" s="1" t="n">
        <v>46000</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46000</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46000</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46000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46000</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46000</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46000</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46000</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46000</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46000</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46000</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46000</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46000</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46000</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46000</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46000</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46000</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46000</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46000</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46000</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46000</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46000</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46000</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46000</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46000</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46000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46000</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46000</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46000</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46000</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46000</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46000</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46000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46000</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46000</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46000</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46000</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46000</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46000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46000</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46000</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46000</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46000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46000</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46000</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46000</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46000</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46000</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46000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46000</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46000</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46000</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46000</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46000</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46000</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46000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46000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46000</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46000</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46000</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46000</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46000</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46000</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46000</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46000</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46000</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46000</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46000</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46000</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46000</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46000</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46000</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46000</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46000</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46000</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46000</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46000</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46000</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46000</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46000</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46000</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46000</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46000</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46000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46000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46000</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46000</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46000</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46000</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46000</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46000</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46000</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46000</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46000</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46000</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30915-2021</t>
        </is>
      </c>
      <c r="B159" s="1" t="n">
        <v>44365</v>
      </c>
      <c r="C159" s="1" t="n">
        <v>46000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46000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46000</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46000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46000</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46000</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46000</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46000</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46000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46000</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46000</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46000</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46000</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46000</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46000</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46000</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46000</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46000</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46000</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46000</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46000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46000</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46000</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54910-2023</t>
        </is>
      </c>
      <c r="B182" s="1" t="n">
        <v>45229</v>
      </c>
      <c r="C182" s="1" t="n">
        <v>46000</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46000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46000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58107-2021</t>
        </is>
      </c>
      <c r="B185" s="1" t="n">
        <v>44487</v>
      </c>
      <c r="C185" s="1" t="n">
        <v>46000</v>
      </c>
      <c r="D185" t="inlineStr">
        <is>
          <t>VÄSTMANLANDS LÄN</t>
        </is>
      </c>
      <c r="E185" t="inlineStr">
        <is>
          <t>SALA</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46000</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46000</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46000</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46000</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35462-2024</t>
        </is>
      </c>
      <c r="B190" s="1" t="n">
        <v>45531</v>
      </c>
      <c r="C190" s="1" t="n">
        <v>46000</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14024-2025</t>
        </is>
      </c>
      <c r="B191" s="1" t="n">
        <v>45740.34650462963</v>
      </c>
      <c r="C191" s="1" t="n">
        <v>46000</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45002.33291666667</v>
      </c>
      <c r="C192" s="1" t="n">
        <v>46000</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12246-2023</t>
        </is>
      </c>
      <c r="B193" s="1" t="n">
        <v>44995</v>
      </c>
      <c r="C193" s="1" t="n">
        <v>46000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4853-2023</t>
        </is>
      </c>
      <c r="B194" s="1" t="n">
        <v>44957.73234953704</v>
      </c>
      <c r="C194" s="1" t="n">
        <v>46000</v>
      </c>
      <c r="D194" t="inlineStr">
        <is>
          <t>VÄSTMANLANDS LÄN</t>
        </is>
      </c>
      <c r="E194" t="inlineStr">
        <is>
          <t>SALA</t>
        </is>
      </c>
      <c r="G194" t="n">
        <v>2.7</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46000</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46000</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46000</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46000</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41292-2021</t>
        </is>
      </c>
      <c r="B199" s="1" t="n">
        <v>44424</v>
      </c>
      <c r="C199" s="1" t="n">
        <v>46000</v>
      </c>
      <c r="D199" t="inlineStr">
        <is>
          <t>VÄSTMANLANDS LÄN</t>
        </is>
      </c>
      <c r="E199" t="inlineStr">
        <is>
          <t>SALA</t>
        </is>
      </c>
      <c r="G199" t="n">
        <v>0.3</v>
      </c>
      <c r="H199" t="n">
        <v>0</v>
      </c>
      <c r="I199" t="n">
        <v>0</v>
      </c>
      <c r="J199" t="n">
        <v>0</v>
      </c>
      <c r="K199" t="n">
        <v>0</v>
      </c>
      <c r="L199" t="n">
        <v>0</v>
      </c>
      <c r="M199" t="n">
        <v>0</v>
      </c>
      <c r="N199" t="n">
        <v>0</v>
      </c>
      <c r="O199" t="n">
        <v>0</v>
      </c>
      <c r="P199" t="n">
        <v>0</v>
      </c>
      <c r="Q199" t="n">
        <v>0</v>
      </c>
      <c r="R199" s="2" t="inlineStr"/>
    </row>
    <row r="200" ht="15" customHeight="1">
      <c r="A200" t="inlineStr">
        <is>
          <t>A 26692-2023</t>
        </is>
      </c>
      <c r="B200" s="1" t="n">
        <v>45093.360625</v>
      </c>
      <c r="C200" s="1" t="n">
        <v>46000</v>
      </c>
      <c r="D200" t="inlineStr">
        <is>
          <t>VÄSTMANLANDS LÄN</t>
        </is>
      </c>
      <c r="E200" t="inlineStr">
        <is>
          <t>SALA</t>
        </is>
      </c>
      <c r="G200" t="n">
        <v>1.8</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46000</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19398-2025</t>
        </is>
      </c>
      <c r="B202" s="1" t="n">
        <v>45769</v>
      </c>
      <c r="C202" s="1" t="n">
        <v>46000</v>
      </c>
      <c r="D202" t="inlineStr">
        <is>
          <t>VÄSTMANLANDS LÄN</t>
        </is>
      </c>
      <c r="E202" t="inlineStr">
        <is>
          <t>SALA</t>
        </is>
      </c>
      <c r="G202" t="n">
        <v>0.4</v>
      </c>
      <c r="H202" t="n">
        <v>0</v>
      </c>
      <c r="I202" t="n">
        <v>0</v>
      </c>
      <c r="J202" t="n">
        <v>0</v>
      </c>
      <c r="K202" t="n">
        <v>0</v>
      </c>
      <c r="L202" t="n">
        <v>0</v>
      </c>
      <c r="M202" t="n">
        <v>0</v>
      </c>
      <c r="N202" t="n">
        <v>0</v>
      </c>
      <c r="O202" t="n">
        <v>0</v>
      </c>
      <c r="P202" t="n">
        <v>0</v>
      </c>
      <c r="Q202" t="n">
        <v>0</v>
      </c>
      <c r="R202" s="2" t="inlineStr"/>
    </row>
    <row r="203" ht="15" customHeight="1">
      <c r="A203" t="inlineStr">
        <is>
          <t>A 54603-2024</t>
        </is>
      </c>
      <c r="B203" s="1" t="n">
        <v>45617.68224537037</v>
      </c>
      <c r="C203" s="1" t="n">
        <v>46000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4797-2023</t>
        </is>
      </c>
      <c r="B204" s="1" t="n">
        <v>44957</v>
      </c>
      <c r="C204" s="1" t="n">
        <v>46000</v>
      </c>
      <c r="D204" t="inlineStr">
        <is>
          <t>VÄSTMANLANDS LÄN</t>
        </is>
      </c>
      <c r="E204" t="inlineStr">
        <is>
          <t>SALA</t>
        </is>
      </c>
      <c r="G204" t="n">
        <v>5.7</v>
      </c>
      <c r="H204" t="n">
        <v>0</v>
      </c>
      <c r="I204" t="n">
        <v>0</v>
      </c>
      <c r="J204" t="n">
        <v>0</v>
      </c>
      <c r="K204" t="n">
        <v>0</v>
      </c>
      <c r="L204" t="n">
        <v>0</v>
      </c>
      <c r="M204" t="n">
        <v>0</v>
      </c>
      <c r="N204" t="n">
        <v>0</v>
      </c>
      <c r="O204" t="n">
        <v>0</v>
      </c>
      <c r="P204" t="n">
        <v>0</v>
      </c>
      <c r="Q204" t="n">
        <v>0</v>
      </c>
      <c r="R204" s="2" t="inlineStr"/>
    </row>
    <row r="205" ht="15" customHeight="1">
      <c r="A205" t="inlineStr">
        <is>
          <t>A 7176-2023</t>
        </is>
      </c>
      <c r="B205" s="1" t="n">
        <v>44970</v>
      </c>
      <c r="C205" s="1" t="n">
        <v>46000</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43600-2024</t>
        </is>
      </c>
      <c r="B206" s="1" t="n">
        <v>45569</v>
      </c>
      <c r="C206" s="1" t="n">
        <v>46000</v>
      </c>
      <c r="D206" t="inlineStr">
        <is>
          <t>VÄSTMANLANDS LÄN</t>
        </is>
      </c>
      <c r="E206" t="inlineStr">
        <is>
          <t>SALA</t>
        </is>
      </c>
      <c r="G206" t="n">
        <v>0.9</v>
      </c>
      <c r="H206" t="n">
        <v>0</v>
      </c>
      <c r="I206" t="n">
        <v>0</v>
      </c>
      <c r="J206" t="n">
        <v>0</v>
      </c>
      <c r="K206" t="n">
        <v>0</v>
      </c>
      <c r="L206" t="n">
        <v>0</v>
      </c>
      <c r="M206" t="n">
        <v>0</v>
      </c>
      <c r="N206" t="n">
        <v>0</v>
      </c>
      <c r="O206" t="n">
        <v>0</v>
      </c>
      <c r="P206" t="n">
        <v>0</v>
      </c>
      <c r="Q206" t="n">
        <v>0</v>
      </c>
      <c r="R206" s="2" t="inlineStr"/>
    </row>
    <row r="207" ht="15" customHeight="1">
      <c r="A207" t="inlineStr">
        <is>
          <t>A 61517-2024</t>
        </is>
      </c>
      <c r="B207" s="1" t="n">
        <v>45645</v>
      </c>
      <c r="C207" s="1" t="n">
        <v>46000</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31405-2024</t>
        </is>
      </c>
      <c r="B208" s="1" t="n">
        <v>45505.5490625</v>
      </c>
      <c r="C208" s="1" t="n">
        <v>46000</v>
      </c>
      <c r="D208" t="inlineStr">
        <is>
          <t>VÄSTMANLANDS LÄN</t>
        </is>
      </c>
      <c r="E208" t="inlineStr">
        <is>
          <t>SALA</t>
        </is>
      </c>
      <c r="G208" t="n">
        <v>5.2</v>
      </c>
      <c r="H208" t="n">
        <v>0</v>
      </c>
      <c r="I208" t="n">
        <v>0</v>
      </c>
      <c r="J208" t="n">
        <v>0</v>
      </c>
      <c r="K208" t="n">
        <v>0</v>
      </c>
      <c r="L208" t="n">
        <v>0</v>
      </c>
      <c r="M208" t="n">
        <v>0</v>
      </c>
      <c r="N208" t="n">
        <v>0</v>
      </c>
      <c r="O208" t="n">
        <v>0</v>
      </c>
      <c r="P208" t="n">
        <v>0</v>
      </c>
      <c r="Q208" t="n">
        <v>0</v>
      </c>
      <c r="R208" s="2" t="inlineStr"/>
    </row>
    <row r="209" ht="15" customHeight="1">
      <c r="A209" t="inlineStr">
        <is>
          <t>A 22616-2025</t>
        </is>
      </c>
      <c r="B209" s="1" t="n">
        <v>45789.42752314815</v>
      </c>
      <c r="C209" s="1" t="n">
        <v>46000</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1638-2023</t>
        </is>
      </c>
      <c r="B210" s="1" t="n">
        <v>44937</v>
      </c>
      <c r="C210" s="1" t="n">
        <v>46000</v>
      </c>
      <c r="D210" t="inlineStr">
        <is>
          <t>VÄSTMANLANDS LÄN</t>
        </is>
      </c>
      <c r="E210" t="inlineStr">
        <is>
          <t>SALA</t>
        </is>
      </c>
      <c r="G210" t="n">
        <v>3.1</v>
      </c>
      <c r="H210" t="n">
        <v>0</v>
      </c>
      <c r="I210" t="n">
        <v>0</v>
      </c>
      <c r="J210" t="n">
        <v>0</v>
      </c>
      <c r="K210" t="n">
        <v>0</v>
      </c>
      <c r="L210" t="n">
        <v>0</v>
      </c>
      <c r="M210" t="n">
        <v>0</v>
      </c>
      <c r="N210" t="n">
        <v>0</v>
      </c>
      <c r="O210" t="n">
        <v>0</v>
      </c>
      <c r="P210" t="n">
        <v>0</v>
      </c>
      <c r="Q210" t="n">
        <v>0</v>
      </c>
      <c r="R210" s="2" t="inlineStr"/>
    </row>
    <row r="211" ht="15" customHeight="1">
      <c r="A211" t="inlineStr">
        <is>
          <t>A 22353-2025</t>
        </is>
      </c>
      <c r="B211" s="1" t="n">
        <v>45786</v>
      </c>
      <c r="C211" s="1" t="n">
        <v>46000</v>
      </c>
      <c r="D211" t="inlineStr">
        <is>
          <t>VÄSTMANLANDS LÄN</t>
        </is>
      </c>
      <c r="E211" t="inlineStr">
        <is>
          <t>SALA</t>
        </is>
      </c>
      <c r="G211" t="n">
        <v>2.5</v>
      </c>
      <c r="H211" t="n">
        <v>0</v>
      </c>
      <c r="I211" t="n">
        <v>0</v>
      </c>
      <c r="J211" t="n">
        <v>0</v>
      </c>
      <c r="K211" t="n">
        <v>0</v>
      </c>
      <c r="L211" t="n">
        <v>0</v>
      </c>
      <c r="M211" t="n">
        <v>0</v>
      </c>
      <c r="N211" t="n">
        <v>0</v>
      </c>
      <c r="O211" t="n">
        <v>0</v>
      </c>
      <c r="P211" t="n">
        <v>0</v>
      </c>
      <c r="Q211" t="n">
        <v>0</v>
      </c>
      <c r="R211" s="2" t="inlineStr"/>
    </row>
    <row r="212" ht="15" customHeight="1">
      <c r="A212" t="inlineStr">
        <is>
          <t>A 22383-2025</t>
        </is>
      </c>
      <c r="B212" s="1" t="n">
        <v>45786</v>
      </c>
      <c r="C212" s="1" t="n">
        <v>46000</v>
      </c>
      <c r="D212" t="inlineStr">
        <is>
          <t>VÄSTMANLANDS LÄN</t>
        </is>
      </c>
      <c r="E212" t="inlineStr">
        <is>
          <t>SALA</t>
        </is>
      </c>
      <c r="G212" t="n">
        <v>2.2</v>
      </c>
      <c r="H212" t="n">
        <v>0</v>
      </c>
      <c r="I212" t="n">
        <v>0</v>
      </c>
      <c r="J212" t="n">
        <v>0</v>
      </c>
      <c r="K212" t="n">
        <v>0</v>
      </c>
      <c r="L212" t="n">
        <v>0</v>
      </c>
      <c r="M212" t="n">
        <v>0</v>
      </c>
      <c r="N212" t="n">
        <v>0</v>
      </c>
      <c r="O212" t="n">
        <v>0</v>
      </c>
      <c r="P212" t="n">
        <v>0</v>
      </c>
      <c r="Q212" t="n">
        <v>0</v>
      </c>
      <c r="R212" s="2" t="inlineStr"/>
    </row>
    <row r="213" ht="15" customHeight="1">
      <c r="A213" t="inlineStr">
        <is>
          <t>A 15972-2024</t>
        </is>
      </c>
      <c r="B213" s="1" t="n">
        <v>45405.56498842593</v>
      </c>
      <c r="C213" s="1" t="n">
        <v>46000</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22624-2025</t>
        </is>
      </c>
      <c r="B214" s="1" t="n">
        <v>45789.43327546296</v>
      </c>
      <c r="C214" s="1" t="n">
        <v>46000</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37958-2024</t>
        </is>
      </c>
      <c r="B215" s="1" t="n">
        <v>45544</v>
      </c>
      <c r="C215" s="1" t="n">
        <v>46000</v>
      </c>
      <c r="D215" t="inlineStr">
        <is>
          <t>VÄSTMANLANDS LÄN</t>
        </is>
      </c>
      <c r="E215" t="inlineStr">
        <is>
          <t>SALA</t>
        </is>
      </c>
      <c r="G215" t="n">
        <v>5.6</v>
      </c>
      <c r="H215" t="n">
        <v>0</v>
      </c>
      <c r="I215" t="n">
        <v>0</v>
      </c>
      <c r="J215" t="n">
        <v>0</v>
      </c>
      <c r="K215" t="n">
        <v>0</v>
      </c>
      <c r="L215" t="n">
        <v>0</v>
      </c>
      <c r="M215" t="n">
        <v>0</v>
      </c>
      <c r="N215" t="n">
        <v>0</v>
      </c>
      <c r="O215" t="n">
        <v>0</v>
      </c>
      <c r="P215" t="n">
        <v>0</v>
      </c>
      <c r="Q215" t="n">
        <v>0</v>
      </c>
      <c r="R215" s="2" t="inlineStr"/>
    </row>
    <row r="216" ht="15" customHeight="1">
      <c r="A216" t="inlineStr">
        <is>
          <t>A 38574-2025</t>
        </is>
      </c>
      <c r="B216" s="1" t="n">
        <v>45884.46390046296</v>
      </c>
      <c r="C216" s="1" t="n">
        <v>46000</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22370-2025</t>
        </is>
      </c>
      <c r="B217" s="1" t="n">
        <v>45786</v>
      </c>
      <c r="C217" s="1" t="n">
        <v>46000</v>
      </c>
      <c r="D217" t="inlineStr">
        <is>
          <t>VÄSTMANLANDS LÄN</t>
        </is>
      </c>
      <c r="E217" t="inlineStr">
        <is>
          <t>SALA</t>
        </is>
      </c>
      <c r="G217" t="n">
        <v>3.2</v>
      </c>
      <c r="H217" t="n">
        <v>0</v>
      </c>
      <c r="I217" t="n">
        <v>0</v>
      </c>
      <c r="J217" t="n">
        <v>0</v>
      </c>
      <c r="K217" t="n">
        <v>0</v>
      </c>
      <c r="L217" t="n">
        <v>0</v>
      </c>
      <c r="M217" t="n">
        <v>0</v>
      </c>
      <c r="N217" t="n">
        <v>0</v>
      </c>
      <c r="O217" t="n">
        <v>0</v>
      </c>
      <c r="P217" t="n">
        <v>0</v>
      </c>
      <c r="Q217" t="n">
        <v>0</v>
      </c>
      <c r="R217" s="2" t="inlineStr"/>
    </row>
    <row r="218" ht="15" customHeight="1">
      <c r="A218" t="inlineStr">
        <is>
          <t>A 1555-2024</t>
        </is>
      </c>
      <c r="B218" s="1" t="n">
        <v>45306</v>
      </c>
      <c r="C218" s="1" t="n">
        <v>46000</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13130-2025</t>
        </is>
      </c>
      <c r="B219" s="1" t="n">
        <v>45734</v>
      </c>
      <c r="C219" s="1" t="n">
        <v>46000</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31864-2025</t>
        </is>
      </c>
      <c r="B220" s="1" t="n">
        <v>45834.63819444444</v>
      </c>
      <c r="C220" s="1" t="n">
        <v>46000</v>
      </c>
      <c r="D220" t="inlineStr">
        <is>
          <t>VÄSTMANLANDS LÄN</t>
        </is>
      </c>
      <c r="E220" t="inlineStr">
        <is>
          <t>SALA</t>
        </is>
      </c>
      <c r="G220" t="n">
        <v>6.3</v>
      </c>
      <c r="H220" t="n">
        <v>0</v>
      </c>
      <c r="I220" t="n">
        <v>0</v>
      </c>
      <c r="J220" t="n">
        <v>0</v>
      </c>
      <c r="K220" t="n">
        <v>0</v>
      </c>
      <c r="L220" t="n">
        <v>0</v>
      </c>
      <c r="M220" t="n">
        <v>0</v>
      </c>
      <c r="N220" t="n">
        <v>0</v>
      </c>
      <c r="O220" t="n">
        <v>0</v>
      </c>
      <c r="P220" t="n">
        <v>0</v>
      </c>
      <c r="Q220" t="n">
        <v>0</v>
      </c>
      <c r="R220" s="2" t="inlineStr"/>
    </row>
    <row r="221" ht="15" customHeight="1">
      <c r="A221" t="inlineStr">
        <is>
          <t>A 23804-2025</t>
        </is>
      </c>
      <c r="B221" s="1" t="n">
        <v>45793.55995370371</v>
      </c>
      <c r="C221" s="1" t="n">
        <v>46000</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22126-2025</t>
        </is>
      </c>
      <c r="B222" s="1" t="n">
        <v>45785</v>
      </c>
      <c r="C222" s="1" t="n">
        <v>46000</v>
      </c>
      <c r="D222" t="inlineStr">
        <is>
          <t>VÄSTMANLANDS LÄN</t>
        </is>
      </c>
      <c r="E222" t="inlineStr">
        <is>
          <t>SALA</t>
        </is>
      </c>
      <c r="G222" t="n">
        <v>10.6</v>
      </c>
      <c r="H222" t="n">
        <v>0</v>
      </c>
      <c r="I222" t="n">
        <v>0</v>
      </c>
      <c r="J222" t="n">
        <v>0</v>
      </c>
      <c r="K222" t="n">
        <v>0</v>
      </c>
      <c r="L222" t="n">
        <v>0</v>
      </c>
      <c r="M222" t="n">
        <v>0</v>
      </c>
      <c r="N222" t="n">
        <v>0</v>
      </c>
      <c r="O222" t="n">
        <v>0</v>
      </c>
      <c r="P222" t="n">
        <v>0</v>
      </c>
      <c r="Q222" t="n">
        <v>0</v>
      </c>
      <c r="R222" s="2" t="inlineStr"/>
    </row>
    <row r="223" ht="15" customHeight="1">
      <c r="A223" t="inlineStr">
        <is>
          <t>A 16651-2021</t>
        </is>
      </c>
      <c r="B223" s="1" t="n">
        <v>44294.50096064815</v>
      </c>
      <c r="C223" s="1" t="n">
        <v>46000</v>
      </c>
      <c r="D223" t="inlineStr">
        <is>
          <t>VÄSTMANLANDS LÄN</t>
        </is>
      </c>
      <c r="E223" t="inlineStr">
        <is>
          <t>SALA</t>
        </is>
      </c>
      <c r="G223" t="n">
        <v>7.7</v>
      </c>
      <c r="H223" t="n">
        <v>0</v>
      </c>
      <c r="I223" t="n">
        <v>0</v>
      </c>
      <c r="J223" t="n">
        <v>0</v>
      </c>
      <c r="K223" t="n">
        <v>0</v>
      </c>
      <c r="L223" t="n">
        <v>0</v>
      </c>
      <c r="M223" t="n">
        <v>0</v>
      </c>
      <c r="N223" t="n">
        <v>0</v>
      </c>
      <c r="O223" t="n">
        <v>0</v>
      </c>
      <c r="P223" t="n">
        <v>0</v>
      </c>
      <c r="Q223" t="n">
        <v>0</v>
      </c>
      <c r="R223" s="2" t="inlineStr"/>
    </row>
    <row r="224" ht="15" customHeight="1">
      <c r="A224" t="inlineStr">
        <is>
          <t>A 19297-2025</t>
        </is>
      </c>
      <c r="B224" s="1" t="n">
        <v>45769.56261574074</v>
      </c>
      <c r="C224" s="1" t="n">
        <v>46000</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23810-2025</t>
        </is>
      </c>
      <c r="B225" s="1" t="n">
        <v>45793.56989583333</v>
      </c>
      <c r="C225" s="1" t="n">
        <v>46000</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15756-2025</t>
        </is>
      </c>
      <c r="B226" s="1" t="n">
        <v>45748.56810185185</v>
      </c>
      <c r="C226" s="1" t="n">
        <v>46000</v>
      </c>
      <c r="D226" t="inlineStr">
        <is>
          <t>VÄSTMANLANDS LÄN</t>
        </is>
      </c>
      <c r="E226" t="inlineStr">
        <is>
          <t>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39167-2025</t>
        </is>
      </c>
      <c r="B227" s="1" t="n">
        <v>45888</v>
      </c>
      <c r="C227" s="1" t="n">
        <v>46000</v>
      </c>
      <c r="D227" t="inlineStr">
        <is>
          <t>VÄSTMANLANDS LÄN</t>
        </is>
      </c>
      <c r="E227" t="inlineStr">
        <is>
          <t>SALA</t>
        </is>
      </c>
      <c r="G227" t="n">
        <v>5.5</v>
      </c>
      <c r="H227" t="n">
        <v>0</v>
      </c>
      <c r="I227" t="n">
        <v>0</v>
      </c>
      <c r="J227" t="n">
        <v>0</v>
      </c>
      <c r="K227" t="n">
        <v>0</v>
      </c>
      <c r="L227" t="n">
        <v>0</v>
      </c>
      <c r="M227" t="n">
        <v>0</v>
      </c>
      <c r="N227" t="n">
        <v>0</v>
      </c>
      <c r="O227" t="n">
        <v>0</v>
      </c>
      <c r="P227" t="n">
        <v>0</v>
      </c>
      <c r="Q227" t="n">
        <v>0</v>
      </c>
      <c r="R227" s="2" t="inlineStr"/>
    </row>
    <row r="228" ht="15" customHeight="1">
      <c r="A228" t="inlineStr">
        <is>
          <t>A 39182-2025</t>
        </is>
      </c>
      <c r="B228" s="1" t="n">
        <v>45888.66204861111</v>
      </c>
      <c r="C228" s="1" t="n">
        <v>46000</v>
      </c>
      <c r="D228" t="inlineStr">
        <is>
          <t>VÄSTMANLANDS LÄN</t>
        </is>
      </c>
      <c r="E228" t="inlineStr">
        <is>
          <t>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24169-2025</t>
        </is>
      </c>
      <c r="B229" s="1" t="n">
        <v>45796</v>
      </c>
      <c r="C229" s="1" t="n">
        <v>46000</v>
      </c>
      <c r="D229" t="inlineStr">
        <is>
          <t>VÄSTMANLANDS LÄN</t>
        </is>
      </c>
      <c r="E229" t="inlineStr">
        <is>
          <t>SALA</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11210-2025</t>
        </is>
      </c>
      <c r="B230" s="1" t="n">
        <v>45726</v>
      </c>
      <c r="C230" s="1" t="n">
        <v>46000</v>
      </c>
      <c r="D230" t="inlineStr">
        <is>
          <t>VÄSTMANLANDS LÄN</t>
        </is>
      </c>
      <c r="E230" t="inlineStr">
        <is>
          <t>SALA</t>
        </is>
      </c>
      <c r="G230" t="n">
        <v>4.1</v>
      </c>
      <c r="H230" t="n">
        <v>0</v>
      </c>
      <c r="I230" t="n">
        <v>0</v>
      </c>
      <c r="J230" t="n">
        <v>0</v>
      </c>
      <c r="K230" t="n">
        <v>0</v>
      </c>
      <c r="L230" t="n">
        <v>0</v>
      </c>
      <c r="M230" t="n">
        <v>0</v>
      </c>
      <c r="N230" t="n">
        <v>0</v>
      </c>
      <c r="O230" t="n">
        <v>0</v>
      </c>
      <c r="P230" t="n">
        <v>0</v>
      </c>
      <c r="Q230" t="n">
        <v>0</v>
      </c>
      <c r="R230" s="2" t="inlineStr"/>
    </row>
    <row r="231" ht="15" customHeight="1">
      <c r="A231" t="inlineStr">
        <is>
          <t>A 31000-2022</t>
        </is>
      </c>
      <c r="B231" s="1" t="n">
        <v>44768</v>
      </c>
      <c r="C231" s="1" t="n">
        <v>46000</v>
      </c>
      <c r="D231" t="inlineStr">
        <is>
          <t>VÄSTMANLANDS LÄN</t>
        </is>
      </c>
      <c r="E231" t="inlineStr">
        <is>
          <t>SALA</t>
        </is>
      </c>
      <c r="G231" t="n">
        <v>5.7</v>
      </c>
      <c r="H231" t="n">
        <v>0</v>
      </c>
      <c r="I231" t="n">
        <v>0</v>
      </c>
      <c r="J231" t="n">
        <v>0</v>
      </c>
      <c r="K231" t="n">
        <v>0</v>
      </c>
      <c r="L231" t="n">
        <v>0</v>
      </c>
      <c r="M231" t="n">
        <v>0</v>
      </c>
      <c r="N231" t="n">
        <v>0</v>
      </c>
      <c r="O231" t="n">
        <v>0</v>
      </c>
      <c r="P231" t="n">
        <v>0</v>
      </c>
      <c r="Q231" t="n">
        <v>0</v>
      </c>
      <c r="R231" s="2" t="inlineStr"/>
    </row>
    <row r="232" ht="15" customHeight="1">
      <c r="A232" t="inlineStr">
        <is>
          <t>A 37183-2024</t>
        </is>
      </c>
      <c r="B232" s="1" t="n">
        <v>45539</v>
      </c>
      <c r="C232" s="1" t="n">
        <v>46000</v>
      </c>
      <c r="D232" t="inlineStr">
        <is>
          <t>VÄSTMANLANDS LÄN</t>
        </is>
      </c>
      <c r="E232" t="inlineStr">
        <is>
          <t>SALA</t>
        </is>
      </c>
      <c r="G232" t="n">
        <v>1.2</v>
      </c>
      <c r="H232" t="n">
        <v>0</v>
      </c>
      <c r="I232" t="n">
        <v>0</v>
      </c>
      <c r="J232" t="n">
        <v>0</v>
      </c>
      <c r="K232" t="n">
        <v>0</v>
      </c>
      <c r="L232" t="n">
        <v>0</v>
      </c>
      <c r="M232" t="n">
        <v>0</v>
      </c>
      <c r="N232" t="n">
        <v>0</v>
      </c>
      <c r="O232" t="n">
        <v>0</v>
      </c>
      <c r="P232" t="n">
        <v>0</v>
      </c>
      <c r="Q232" t="n">
        <v>0</v>
      </c>
      <c r="R232" s="2" t="inlineStr"/>
    </row>
    <row r="233" ht="15" customHeight="1">
      <c r="A233" t="inlineStr">
        <is>
          <t>A 24944-2023</t>
        </is>
      </c>
      <c r="B233" s="1" t="n">
        <v>45085</v>
      </c>
      <c r="C233" s="1" t="n">
        <v>46000</v>
      </c>
      <c r="D233" t="inlineStr">
        <is>
          <t>VÄSTMANLANDS LÄN</t>
        </is>
      </c>
      <c r="E233" t="inlineStr">
        <is>
          <t>SALA</t>
        </is>
      </c>
      <c r="G233" t="n">
        <v>3.8</v>
      </c>
      <c r="H233" t="n">
        <v>0</v>
      </c>
      <c r="I233" t="n">
        <v>0</v>
      </c>
      <c r="J233" t="n">
        <v>0</v>
      </c>
      <c r="K233" t="n">
        <v>0</v>
      </c>
      <c r="L233" t="n">
        <v>0</v>
      </c>
      <c r="M233" t="n">
        <v>0</v>
      </c>
      <c r="N233" t="n">
        <v>0</v>
      </c>
      <c r="O233" t="n">
        <v>0</v>
      </c>
      <c r="P233" t="n">
        <v>0</v>
      </c>
      <c r="Q233" t="n">
        <v>0</v>
      </c>
      <c r="R233" s="2" t="inlineStr"/>
    </row>
    <row r="234" ht="15" customHeight="1">
      <c r="A234" t="inlineStr">
        <is>
          <t>A 27229-2022</t>
        </is>
      </c>
      <c r="B234" s="1" t="n">
        <v>44741</v>
      </c>
      <c r="C234" s="1" t="n">
        <v>46000</v>
      </c>
      <c r="D234" t="inlineStr">
        <is>
          <t>VÄSTMANLANDS LÄN</t>
        </is>
      </c>
      <c r="E234" t="inlineStr">
        <is>
          <t>SALA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1793-2023</t>
        </is>
      </c>
      <c r="B235" s="1" t="n">
        <v>44937</v>
      </c>
      <c r="C235" s="1" t="n">
        <v>46000</v>
      </c>
      <c r="D235" t="inlineStr">
        <is>
          <t>VÄSTMANLANDS LÄN</t>
        </is>
      </c>
      <c r="E235" t="inlineStr">
        <is>
          <t>SALA</t>
        </is>
      </c>
      <c r="G235" t="n">
        <v>2.6</v>
      </c>
      <c r="H235" t="n">
        <v>0</v>
      </c>
      <c r="I235" t="n">
        <v>0</v>
      </c>
      <c r="J235" t="n">
        <v>0</v>
      </c>
      <c r="K235" t="n">
        <v>0</v>
      </c>
      <c r="L235" t="n">
        <v>0</v>
      </c>
      <c r="M235" t="n">
        <v>0</v>
      </c>
      <c r="N235" t="n">
        <v>0</v>
      </c>
      <c r="O235" t="n">
        <v>0</v>
      </c>
      <c r="P235" t="n">
        <v>0</v>
      </c>
      <c r="Q235" t="n">
        <v>0</v>
      </c>
      <c r="R235" s="2" t="inlineStr"/>
    </row>
    <row r="236" ht="15" customHeight="1">
      <c r="A236" t="inlineStr">
        <is>
          <t>A 29248-2022</t>
        </is>
      </c>
      <c r="B236" s="1" t="n">
        <v>44750</v>
      </c>
      <c r="C236" s="1" t="n">
        <v>46000</v>
      </c>
      <c r="D236" t="inlineStr">
        <is>
          <t>VÄSTMANLANDS LÄN</t>
        </is>
      </c>
      <c r="E236" t="inlineStr">
        <is>
          <t>SALA</t>
        </is>
      </c>
      <c r="G236" t="n">
        <v>1.6</v>
      </c>
      <c r="H236" t="n">
        <v>0</v>
      </c>
      <c r="I236" t="n">
        <v>0</v>
      </c>
      <c r="J236" t="n">
        <v>0</v>
      </c>
      <c r="K236" t="n">
        <v>0</v>
      </c>
      <c r="L236" t="n">
        <v>0</v>
      </c>
      <c r="M236" t="n">
        <v>0</v>
      </c>
      <c r="N236" t="n">
        <v>0</v>
      </c>
      <c r="O236" t="n">
        <v>0</v>
      </c>
      <c r="P236" t="n">
        <v>0</v>
      </c>
      <c r="Q236" t="n">
        <v>0</v>
      </c>
      <c r="R236" s="2" t="inlineStr"/>
    </row>
    <row r="237" ht="15" customHeight="1">
      <c r="A237" t="inlineStr">
        <is>
          <t>A 52498-2022</t>
        </is>
      </c>
      <c r="B237" s="1" t="n">
        <v>44874.50152777778</v>
      </c>
      <c r="C237" s="1" t="n">
        <v>46000</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24460-2025</t>
        </is>
      </c>
      <c r="B238" s="1" t="n">
        <v>45798</v>
      </c>
      <c r="C238" s="1" t="n">
        <v>46000</v>
      </c>
      <c r="D238" t="inlineStr">
        <is>
          <t>VÄSTMANLANDS LÄN</t>
        </is>
      </c>
      <c r="E238" t="inlineStr">
        <is>
          <t>SALA</t>
        </is>
      </c>
      <c r="F238" t="inlineStr">
        <is>
          <t>Bergvik skog öst AB</t>
        </is>
      </c>
      <c r="G238" t="n">
        <v>2.6</v>
      </c>
      <c r="H238" t="n">
        <v>0</v>
      </c>
      <c r="I238" t="n">
        <v>0</v>
      </c>
      <c r="J238" t="n">
        <v>0</v>
      </c>
      <c r="K238" t="n">
        <v>0</v>
      </c>
      <c r="L238" t="n">
        <v>0</v>
      </c>
      <c r="M238" t="n">
        <v>0</v>
      </c>
      <c r="N238" t="n">
        <v>0</v>
      </c>
      <c r="O238" t="n">
        <v>0</v>
      </c>
      <c r="P238" t="n">
        <v>0</v>
      </c>
      <c r="Q238" t="n">
        <v>0</v>
      </c>
      <c r="R238" s="2" t="inlineStr"/>
    </row>
    <row r="239" ht="15" customHeight="1">
      <c r="A239" t="inlineStr">
        <is>
          <t>A 22397-2022</t>
        </is>
      </c>
      <c r="B239" s="1" t="n">
        <v>44713</v>
      </c>
      <c r="C239" s="1" t="n">
        <v>46000</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46000</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28863-2022</t>
        </is>
      </c>
      <c r="B241" s="1" t="n">
        <v>44749.50649305555</v>
      </c>
      <c r="C241" s="1" t="n">
        <v>46000</v>
      </c>
      <c r="D241" t="inlineStr">
        <is>
          <t>VÄSTMANLANDS LÄN</t>
        </is>
      </c>
      <c r="E241" t="inlineStr">
        <is>
          <t>SALA</t>
        </is>
      </c>
      <c r="G241" t="n">
        <v>1.6</v>
      </c>
      <c r="H241" t="n">
        <v>0</v>
      </c>
      <c r="I241" t="n">
        <v>0</v>
      </c>
      <c r="J241" t="n">
        <v>0</v>
      </c>
      <c r="K241" t="n">
        <v>0</v>
      </c>
      <c r="L241" t="n">
        <v>0</v>
      </c>
      <c r="M241" t="n">
        <v>0</v>
      </c>
      <c r="N241" t="n">
        <v>0</v>
      </c>
      <c r="O241" t="n">
        <v>0</v>
      </c>
      <c r="P241" t="n">
        <v>0</v>
      </c>
      <c r="Q241" t="n">
        <v>0</v>
      </c>
      <c r="R241" s="2" t="inlineStr"/>
    </row>
    <row r="242" ht="15" customHeight="1">
      <c r="A242" t="inlineStr">
        <is>
          <t>A 55065-2024</t>
        </is>
      </c>
      <c r="B242" s="1" t="n">
        <v>45618</v>
      </c>
      <c r="C242" s="1" t="n">
        <v>46000</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24907-2025</t>
        </is>
      </c>
      <c r="B243" s="1" t="n">
        <v>45799</v>
      </c>
      <c r="C243" s="1" t="n">
        <v>46000</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24910-2025</t>
        </is>
      </c>
      <c r="B244" s="1" t="n">
        <v>45799.53775462963</v>
      </c>
      <c r="C244" s="1" t="n">
        <v>46000</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7681-2021</t>
        </is>
      </c>
      <c r="B245" s="1" t="n">
        <v>44242</v>
      </c>
      <c r="C245" s="1" t="n">
        <v>46000</v>
      </c>
      <c r="D245" t="inlineStr">
        <is>
          <t>VÄSTMANLANDS LÄN</t>
        </is>
      </c>
      <c r="E245" t="inlineStr">
        <is>
          <t>SALA</t>
        </is>
      </c>
      <c r="F245" t="inlineStr">
        <is>
          <t>Sveaskog</t>
        </is>
      </c>
      <c r="G245" t="n">
        <v>16.1</v>
      </c>
      <c r="H245" t="n">
        <v>0</v>
      </c>
      <c r="I245" t="n">
        <v>0</v>
      </c>
      <c r="J245" t="n">
        <v>0</v>
      </c>
      <c r="K245" t="n">
        <v>0</v>
      </c>
      <c r="L245" t="n">
        <v>0</v>
      </c>
      <c r="M245" t="n">
        <v>0</v>
      </c>
      <c r="N245" t="n">
        <v>0</v>
      </c>
      <c r="O245" t="n">
        <v>0</v>
      </c>
      <c r="P245" t="n">
        <v>0</v>
      </c>
      <c r="Q245" t="n">
        <v>0</v>
      </c>
      <c r="R245" s="2" t="inlineStr"/>
    </row>
    <row r="246" ht="15" customHeight="1">
      <c r="A246" t="inlineStr">
        <is>
          <t>A 14919-2025</t>
        </is>
      </c>
      <c r="B246" s="1" t="n">
        <v>45743.54256944444</v>
      </c>
      <c r="C246" s="1" t="n">
        <v>46000</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14920-2025</t>
        </is>
      </c>
      <c r="B247" s="1" t="n">
        <v>45743</v>
      </c>
      <c r="C247" s="1" t="n">
        <v>46000</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40398-2021</t>
        </is>
      </c>
      <c r="B248" s="1" t="n">
        <v>44419</v>
      </c>
      <c r="C248" s="1" t="n">
        <v>46000</v>
      </c>
      <c r="D248" t="inlineStr">
        <is>
          <t>VÄSTMANLANDS LÄN</t>
        </is>
      </c>
      <c r="E248" t="inlineStr">
        <is>
          <t>SALA</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40559-2025</t>
        </is>
      </c>
      <c r="B249" s="1" t="n">
        <v>45896.45037037037</v>
      </c>
      <c r="C249" s="1" t="n">
        <v>46000</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40556-2025</t>
        </is>
      </c>
      <c r="B250" s="1" t="n">
        <v>45896.44944444444</v>
      </c>
      <c r="C250" s="1" t="n">
        <v>46000</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40620-2025</t>
        </is>
      </c>
      <c r="B251" s="1" t="n">
        <v>45896.58609953704</v>
      </c>
      <c r="C251" s="1" t="n">
        <v>46000</v>
      </c>
      <c r="D251" t="inlineStr">
        <is>
          <t>VÄSTMANLANDS LÄN</t>
        </is>
      </c>
      <c r="E251" t="inlineStr">
        <is>
          <t>SALA</t>
        </is>
      </c>
      <c r="G251" t="n">
        <v>6.7</v>
      </c>
      <c r="H251" t="n">
        <v>0</v>
      </c>
      <c r="I251" t="n">
        <v>0</v>
      </c>
      <c r="J251" t="n">
        <v>0</v>
      </c>
      <c r="K251" t="n">
        <v>0</v>
      </c>
      <c r="L251" t="n">
        <v>0</v>
      </c>
      <c r="M251" t="n">
        <v>0</v>
      </c>
      <c r="N251" t="n">
        <v>0</v>
      </c>
      <c r="O251" t="n">
        <v>0</v>
      </c>
      <c r="P251" t="n">
        <v>0</v>
      </c>
      <c r="Q251" t="n">
        <v>0</v>
      </c>
      <c r="R251" s="2" t="inlineStr"/>
    </row>
    <row r="252" ht="15" customHeight="1">
      <c r="A252" t="inlineStr">
        <is>
          <t>A 43362-2023</t>
        </is>
      </c>
      <c r="B252" s="1" t="n">
        <v>45183</v>
      </c>
      <c r="C252" s="1" t="n">
        <v>46000</v>
      </c>
      <c r="D252" t="inlineStr">
        <is>
          <t>VÄSTMANLANDS LÄN</t>
        </is>
      </c>
      <c r="E252" t="inlineStr">
        <is>
          <t>SALA</t>
        </is>
      </c>
      <c r="G252" t="n">
        <v>2</v>
      </c>
      <c r="H252" t="n">
        <v>0</v>
      </c>
      <c r="I252" t="n">
        <v>0</v>
      </c>
      <c r="J252" t="n">
        <v>0</v>
      </c>
      <c r="K252" t="n">
        <v>0</v>
      </c>
      <c r="L252" t="n">
        <v>0</v>
      </c>
      <c r="M252" t="n">
        <v>0</v>
      </c>
      <c r="N252" t="n">
        <v>0</v>
      </c>
      <c r="O252" t="n">
        <v>0</v>
      </c>
      <c r="P252" t="n">
        <v>0</v>
      </c>
      <c r="Q252" t="n">
        <v>0</v>
      </c>
      <c r="R252" s="2" t="inlineStr"/>
    </row>
    <row r="253" ht="15" customHeight="1">
      <c r="A253" t="inlineStr">
        <is>
          <t>A 2900-2023</t>
        </is>
      </c>
      <c r="B253" s="1" t="n">
        <v>44943</v>
      </c>
      <c r="C253" s="1" t="n">
        <v>46000</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6030-2024</t>
        </is>
      </c>
      <c r="B254" s="1" t="n">
        <v>45336.62782407407</v>
      </c>
      <c r="C254" s="1" t="n">
        <v>46000</v>
      </c>
      <c r="D254" t="inlineStr">
        <is>
          <t>VÄSTMANLANDS LÄN</t>
        </is>
      </c>
      <c r="E254" t="inlineStr">
        <is>
          <t>SALA</t>
        </is>
      </c>
      <c r="G254" t="n">
        <v>3.9</v>
      </c>
      <c r="H254" t="n">
        <v>0</v>
      </c>
      <c r="I254" t="n">
        <v>0</v>
      </c>
      <c r="J254" t="n">
        <v>0</v>
      </c>
      <c r="K254" t="n">
        <v>0</v>
      </c>
      <c r="L254" t="n">
        <v>0</v>
      </c>
      <c r="M254" t="n">
        <v>0</v>
      </c>
      <c r="N254" t="n">
        <v>0</v>
      </c>
      <c r="O254" t="n">
        <v>0</v>
      </c>
      <c r="P254" t="n">
        <v>0</v>
      </c>
      <c r="Q254" t="n">
        <v>0</v>
      </c>
      <c r="R254" s="2" t="inlineStr"/>
    </row>
    <row r="255" ht="15" customHeight="1">
      <c r="A255" t="inlineStr">
        <is>
          <t>A 52630-2022</t>
        </is>
      </c>
      <c r="B255" s="1" t="n">
        <v>44874</v>
      </c>
      <c r="C255" s="1" t="n">
        <v>46000</v>
      </c>
      <c r="D255" t="inlineStr">
        <is>
          <t>VÄSTMANLANDS LÄN</t>
        </is>
      </c>
      <c r="E255" t="inlineStr">
        <is>
          <t>SALA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41230-2025</t>
        </is>
      </c>
      <c r="B256" s="1" t="n">
        <v>45898</v>
      </c>
      <c r="C256" s="1" t="n">
        <v>46000</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41414-2025</t>
        </is>
      </c>
      <c r="B257" s="1" t="n">
        <v>45901.360625</v>
      </c>
      <c r="C257" s="1" t="n">
        <v>46000</v>
      </c>
      <c r="D257" t="inlineStr">
        <is>
          <t>VÄSTMANLANDS LÄN</t>
        </is>
      </c>
      <c r="E257" t="inlineStr">
        <is>
          <t>SALA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14690-2025</t>
        </is>
      </c>
      <c r="B258" s="1" t="n">
        <v>45742.58212962963</v>
      </c>
      <c r="C258" s="1" t="n">
        <v>46000</v>
      </c>
      <c r="D258" t="inlineStr">
        <is>
          <t>VÄSTMANLANDS LÄN</t>
        </is>
      </c>
      <c r="E258" t="inlineStr">
        <is>
          <t>SALA</t>
        </is>
      </c>
      <c r="G258" t="n">
        <v>3.4</v>
      </c>
      <c r="H258" t="n">
        <v>0</v>
      </c>
      <c r="I258" t="n">
        <v>0</v>
      </c>
      <c r="J258" t="n">
        <v>0</v>
      </c>
      <c r="K258" t="n">
        <v>0</v>
      </c>
      <c r="L258" t="n">
        <v>0</v>
      </c>
      <c r="M258" t="n">
        <v>0</v>
      </c>
      <c r="N258" t="n">
        <v>0</v>
      </c>
      <c r="O258" t="n">
        <v>0</v>
      </c>
      <c r="P258" t="n">
        <v>0</v>
      </c>
      <c r="Q258" t="n">
        <v>0</v>
      </c>
      <c r="R258" s="2" t="inlineStr"/>
    </row>
    <row r="259" ht="15" customHeight="1">
      <c r="A259" t="inlineStr">
        <is>
          <t>A 61717-2024</t>
        </is>
      </c>
      <c r="B259" s="1" t="n">
        <v>45648</v>
      </c>
      <c r="C259" s="1" t="n">
        <v>46000</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10909-2024</t>
        </is>
      </c>
      <c r="B260" s="1" t="n">
        <v>45370</v>
      </c>
      <c r="C260" s="1" t="n">
        <v>46000</v>
      </c>
      <c r="D260" t="inlineStr">
        <is>
          <t>VÄSTMANLANDS LÄN</t>
        </is>
      </c>
      <c r="E260" t="inlineStr">
        <is>
          <t>SALA</t>
        </is>
      </c>
      <c r="G260" t="n">
        <v>3.3</v>
      </c>
      <c r="H260" t="n">
        <v>0</v>
      </c>
      <c r="I260" t="n">
        <v>0</v>
      </c>
      <c r="J260" t="n">
        <v>0</v>
      </c>
      <c r="K260" t="n">
        <v>0</v>
      </c>
      <c r="L260" t="n">
        <v>0</v>
      </c>
      <c r="M260" t="n">
        <v>0</v>
      </c>
      <c r="N260" t="n">
        <v>0</v>
      </c>
      <c r="O260" t="n">
        <v>0</v>
      </c>
      <c r="P260" t="n">
        <v>0</v>
      </c>
      <c r="Q260" t="n">
        <v>0</v>
      </c>
      <c r="R260" s="2" t="inlineStr"/>
    </row>
    <row r="261" ht="15" customHeight="1">
      <c r="A261" t="inlineStr">
        <is>
          <t>A 53164-2024</t>
        </is>
      </c>
      <c r="B261" s="1" t="n">
        <v>45611.64887731482</v>
      </c>
      <c r="C261" s="1" t="n">
        <v>46000</v>
      </c>
      <c r="D261" t="inlineStr">
        <is>
          <t>VÄSTMANLANDS LÄN</t>
        </is>
      </c>
      <c r="E261" t="inlineStr">
        <is>
          <t>SALA</t>
        </is>
      </c>
      <c r="G261" t="n">
        <v>2.6</v>
      </c>
      <c r="H261" t="n">
        <v>0</v>
      </c>
      <c r="I261" t="n">
        <v>0</v>
      </c>
      <c r="J261" t="n">
        <v>0</v>
      </c>
      <c r="K261" t="n">
        <v>0</v>
      </c>
      <c r="L261" t="n">
        <v>0</v>
      </c>
      <c r="M261" t="n">
        <v>0</v>
      </c>
      <c r="N261" t="n">
        <v>0</v>
      </c>
      <c r="O261" t="n">
        <v>0</v>
      </c>
      <c r="P261" t="n">
        <v>0</v>
      </c>
      <c r="Q261" t="n">
        <v>0</v>
      </c>
      <c r="R261" s="2" t="inlineStr"/>
    </row>
    <row r="262" ht="15" customHeight="1">
      <c r="A262" t="inlineStr">
        <is>
          <t>A 41431-2025</t>
        </is>
      </c>
      <c r="B262" s="1" t="n">
        <v>45901.39347222223</v>
      </c>
      <c r="C262" s="1" t="n">
        <v>46000</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2521-2025</t>
        </is>
      </c>
      <c r="B263" s="1" t="n">
        <v>45674</v>
      </c>
      <c r="C263" s="1" t="n">
        <v>46000</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46000</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60548-2024</t>
        </is>
      </c>
      <c r="B265" s="1" t="n">
        <v>45643.80978009259</v>
      </c>
      <c r="C265" s="1" t="n">
        <v>46000</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26761-2023</t>
        </is>
      </c>
      <c r="B266" s="1" t="n">
        <v>45093</v>
      </c>
      <c r="C266" s="1" t="n">
        <v>46000</v>
      </c>
      <c r="D266" t="inlineStr">
        <is>
          <t>VÄSTMANLANDS LÄN</t>
        </is>
      </c>
      <c r="E266" t="inlineStr">
        <is>
          <t>SALA</t>
        </is>
      </c>
      <c r="G266" t="n">
        <v>4.3</v>
      </c>
      <c r="H266" t="n">
        <v>0</v>
      </c>
      <c r="I266" t="n">
        <v>0</v>
      </c>
      <c r="J266" t="n">
        <v>0</v>
      </c>
      <c r="K266" t="n">
        <v>0</v>
      </c>
      <c r="L266" t="n">
        <v>0</v>
      </c>
      <c r="M266" t="n">
        <v>0</v>
      </c>
      <c r="N266" t="n">
        <v>0</v>
      </c>
      <c r="O266" t="n">
        <v>0</v>
      </c>
      <c r="P266" t="n">
        <v>0</v>
      </c>
      <c r="Q266" t="n">
        <v>0</v>
      </c>
      <c r="R266" s="2" t="inlineStr"/>
    </row>
    <row r="267" ht="15" customHeight="1">
      <c r="A267" t="inlineStr">
        <is>
          <t>A 21968-2024</t>
        </is>
      </c>
      <c r="B267" s="1" t="n">
        <v>45443</v>
      </c>
      <c r="C267" s="1" t="n">
        <v>46000</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55035-2023</t>
        </is>
      </c>
      <c r="B268" s="1" t="n">
        <v>45229</v>
      </c>
      <c r="C268" s="1" t="n">
        <v>46000</v>
      </c>
      <c r="D268" t="inlineStr">
        <is>
          <t>VÄSTMANLANDS LÄN</t>
        </is>
      </c>
      <c r="E268" t="inlineStr">
        <is>
          <t>SALA</t>
        </is>
      </c>
      <c r="G268" t="n">
        <v>1.1</v>
      </c>
      <c r="H268" t="n">
        <v>0</v>
      </c>
      <c r="I268" t="n">
        <v>0</v>
      </c>
      <c r="J268" t="n">
        <v>0</v>
      </c>
      <c r="K268" t="n">
        <v>0</v>
      </c>
      <c r="L268" t="n">
        <v>0</v>
      </c>
      <c r="M268" t="n">
        <v>0</v>
      </c>
      <c r="N268" t="n">
        <v>0</v>
      </c>
      <c r="O268" t="n">
        <v>0</v>
      </c>
      <c r="P268" t="n">
        <v>0</v>
      </c>
      <c r="Q268" t="n">
        <v>0</v>
      </c>
      <c r="R268" s="2" t="inlineStr"/>
    </row>
    <row r="269" ht="15" customHeight="1">
      <c r="A269" t="inlineStr">
        <is>
          <t>A 26661-2025</t>
        </is>
      </c>
      <c r="B269" s="1" t="n">
        <v>45810</v>
      </c>
      <c r="C269" s="1" t="n">
        <v>46000</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42421-2025</t>
        </is>
      </c>
      <c r="B270" s="1" t="n">
        <v>45905.40067129629</v>
      </c>
      <c r="C270" s="1" t="n">
        <v>46000</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60249-2023</t>
        </is>
      </c>
      <c r="B271" s="1" t="n">
        <v>45258</v>
      </c>
      <c r="C271" s="1" t="n">
        <v>46000</v>
      </c>
      <c r="D271" t="inlineStr">
        <is>
          <t>VÄSTMANLANDS LÄN</t>
        </is>
      </c>
      <c r="E271" t="inlineStr">
        <is>
          <t>SALA</t>
        </is>
      </c>
      <c r="G271" t="n">
        <v>2</v>
      </c>
      <c r="H271" t="n">
        <v>0</v>
      </c>
      <c r="I271" t="n">
        <v>0</v>
      </c>
      <c r="J271" t="n">
        <v>0</v>
      </c>
      <c r="K271" t="n">
        <v>0</v>
      </c>
      <c r="L271" t="n">
        <v>0</v>
      </c>
      <c r="M271" t="n">
        <v>0</v>
      </c>
      <c r="N271" t="n">
        <v>0</v>
      </c>
      <c r="O271" t="n">
        <v>0</v>
      </c>
      <c r="P271" t="n">
        <v>0</v>
      </c>
      <c r="Q271" t="n">
        <v>0</v>
      </c>
      <c r="R271" s="2" t="inlineStr"/>
    </row>
    <row r="272" ht="15" customHeight="1">
      <c r="A272" t="inlineStr">
        <is>
          <t>A 17495-2024</t>
        </is>
      </c>
      <c r="B272" s="1" t="n">
        <v>45415</v>
      </c>
      <c r="C272" s="1" t="n">
        <v>46000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37263-2025</t>
        </is>
      </c>
      <c r="B273" s="1" t="n">
        <v>45876.4584837963</v>
      </c>
      <c r="C273" s="1" t="n">
        <v>46000</v>
      </c>
      <c r="D273" t="inlineStr">
        <is>
          <t>VÄSTMANLANDS LÄN</t>
        </is>
      </c>
      <c r="E273" t="inlineStr">
        <is>
          <t>SALA</t>
        </is>
      </c>
      <c r="G273" t="n">
        <v>2.3</v>
      </c>
      <c r="H273" t="n">
        <v>0</v>
      </c>
      <c r="I273" t="n">
        <v>0</v>
      </c>
      <c r="J273" t="n">
        <v>0</v>
      </c>
      <c r="K273" t="n">
        <v>0</v>
      </c>
      <c r="L273" t="n">
        <v>0</v>
      </c>
      <c r="M273" t="n">
        <v>0</v>
      </c>
      <c r="N273" t="n">
        <v>0</v>
      </c>
      <c r="O273" t="n">
        <v>0</v>
      </c>
      <c r="P273" t="n">
        <v>0</v>
      </c>
      <c r="Q273" t="n">
        <v>0</v>
      </c>
      <c r="R273" s="2" t="inlineStr"/>
    </row>
    <row r="274" ht="15" customHeight="1">
      <c r="A274" t="inlineStr">
        <is>
          <t>A 43127-2025</t>
        </is>
      </c>
      <c r="B274" s="1" t="n">
        <v>45909</v>
      </c>
      <c r="C274" s="1" t="n">
        <v>46000</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43128-2025</t>
        </is>
      </c>
      <c r="B275" s="1" t="n">
        <v>45909</v>
      </c>
      <c r="C275" s="1" t="n">
        <v>46000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40554-2025</t>
        </is>
      </c>
      <c r="B276" s="1" t="n">
        <v>45896.44506944445</v>
      </c>
      <c r="C276" s="1" t="n">
        <v>46000</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43129-2025</t>
        </is>
      </c>
      <c r="B277" s="1" t="n">
        <v>45909</v>
      </c>
      <c r="C277" s="1" t="n">
        <v>46000</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43130-2025</t>
        </is>
      </c>
      <c r="B278" s="1" t="n">
        <v>45909</v>
      </c>
      <c r="C278" s="1" t="n">
        <v>46000</v>
      </c>
      <c r="D278" t="inlineStr">
        <is>
          <t>VÄSTMANLANDS LÄN</t>
        </is>
      </c>
      <c r="E278" t="inlineStr">
        <is>
          <t>SALA</t>
        </is>
      </c>
      <c r="G278" t="n">
        <v>0.9</v>
      </c>
      <c r="H278" t="n">
        <v>0</v>
      </c>
      <c r="I278" t="n">
        <v>0</v>
      </c>
      <c r="J278" t="n">
        <v>0</v>
      </c>
      <c r="K278" t="n">
        <v>0</v>
      </c>
      <c r="L278" t="n">
        <v>0</v>
      </c>
      <c r="M278" t="n">
        <v>0</v>
      </c>
      <c r="N278" t="n">
        <v>0</v>
      </c>
      <c r="O278" t="n">
        <v>0</v>
      </c>
      <c r="P278" t="n">
        <v>0</v>
      </c>
      <c r="Q278" t="n">
        <v>0</v>
      </c>
      <c r="R278" s="2" t="inlineStr"/>
    </row>
    <row r="279" ht="15" customHeight="1">
      <c r="A279" t="inlineStr">
        <is>
          <t>A 31597-2024</t>
        </is>
      </c>
      <c r="B279" s="1" t="n">
        <v>45506</v>
      </c>
      <c r="C279" s="1" t="n">
        <v>46000</v>
      </c>
      <c r="D279" t="inlineStr">
        <is>
          <t>VÄSTMANLANDS LÄN</t>
        </is>
      </c>
      <c r="E279" t="inlineStr">
        <is>
          <t>SALA</t>
        </is>
      </c>
      <c r="G279" t="n">
        <v>2.4</v>
      </c>
      <c r="H279" t="n">
        <v>0</v>
      </c>
      <c r="I279" t="n">
        <v>0</v>
      </c>
      <c r="J279" t="n">
        <v>0</v>
      </c>
      <c r="K279" t="n">
        <v>0</v>
      </c>
      <c r="L279" t="n">
        <v>0</v>
      </c>
      <c r="M279" t="n">
        <v>0</v>
      </c>
      <c r="N279" t="n">
        <v>0</v>
      </c>
      <c r="O279" t="n">
        <v>0</v>
      </c>
      <c r="P279" t="n">
        <v>0</v>
      </c>
      <c r="Q279" t="n">
        <v>0</v>
      </c>
      <c r="R279" s="2" t="inlineStr"/>
    </row>
    <row r="280" ht="15" customHeight="1">
      <c r="A280" t="inlineStr">
        <is>
          <t>A 31599-2024</t>
        </is>
      </c>
      <c r="B280" s="1" t="n">
        <v>45506</v>
      </c>
      <c r="C280" s="1" t="n">
        <v>46000</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31601-2024</t>
        </is>
      </c>
      <c r="B281" s="1" t="n">
        <v>45506</v>
      </c>
      <c r="C281" s="1" t="n">
        <v>46000</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43028-2025</t>
        </is>
      </c>
      <c r="B282" s="1" t="n">
        <v>45909.53472222222</v>
      </c>
      <c r="C282" s="1" t="n">
        <v>46000</v>
      </c>
      <c r="D282" t="inlineStr">
        <is>
          <t>VÄSTMANLANDS LÄN</t>
        </is>
      </c>
      <c r="E282" t="inlineStr">
        <is>
          <t>SALA</t>
        </is>
      </c>
      <c r="G282" t="n">
        <v>3.8</v>
      </c>
      <c r="H282" t="n">
        <v>0</v>
      </c>
      <c r="I282" t="n">
        <v>0</v>
      </c>
      <c r="J282" t="n">
        <v>0</v>
      </c>
      <c r="K282" t="n">
        <v>0</v>
      </c>
      <c r="L282" t="n">
        <v>0</v>
      </c>
      <c r="M282" t="n">
        <v>0</v>
      </c>
      <c r="N282" t="n">
        <v>0</v>
      </c>
      <c r="O282" t="n">
        <v>0</v>
      </c>
      <c r="P282" t="n">
        <v>0</v>
      </c>
      <c r="Q282" t="n">
        <v>0</v>
      </c>
      <c r="R282" s="2" t="inlineStr"/>
    </row>
    <row r="283" ht="15" customHeight="1">
      <c r="A283" t="inlineStr">
        <is>
          <t>A 31608-2024</t>
        </is>
      </c>
      <c r="B283" s="1" t="n">
        <v>45506</v>
      </c>
      <c r="C283" s="1" t="n">
        <v>46000</v>
      </c>
      <c r="D283" t="inlineStr">
        <is>
          <t>VÄSTMANLANDS LÄN</t>
        </is>
      </c>
      <c r="E283" t="inlineStr">
        <is>
          <t>SALA</t>
        </is>
      </c>
      <c r="G283" t="n">
        <v>1.7</v>
      </c>
      <c r="H283" t="n">
        <v>0</v>
      </c>
      <c r="I283" t="n">
        <v>0</v>
      </c>
      <c r="J283" t="n">
        <v>0</v>
      </c>
      <c r="K283" t="n">
        <v>0</v>
      </c>
      <c r="L283" t="n">
        <v>0</v>
      </c>
      <c r="M283" t="n">
        <v>0</v>
      </c>
      <c r="N283" t="n">
        <v>0</v>
      </c>
      <c r="O283" t="n">
        <v>0</v>
      </c>
      <c r="P283" t="n">
        <v>0</v>
      </c>
      <c r="Q283" t="n">
        <v>0</v>
      </c>
      <c r="R283" s="2" t="inlineStr"/>
    </row>
    <row r="284" ht="15" customHeight="1">
      <c r="A284" t="inlineStr">
        <is>
          <t>A 31612-2024</t>
        </is>
      </c>
      <c r="B284" s="1" t="n">
        <v>45506</v>
      </c>
      <c r="C284" s="1" t="n">
        <v>46000</v>
      </c>
      <c r="D284" t="inlineStr">
        <is>
          <t>VÄSTMANLANDS LÄN</t>
        </is>
      </c>
      <c r="E284" t="inlineStr">
        <is>
          <t>SALA</t>
        </is>
      </c>
      <c r="G284" t="n">
        <v>3.2</v>
      </c>
      <c r="H284" t="n">
        <v>0</v>
      </c>
      <c r="I284" t="n">
        <v>0</v>
      </c>
      <c r="J284" t="n">
        <v>0</v>
      </c>
      <c r="K284" t="n">
        <v>0</v>
      </c>
      <c r="L284" t="n">
        <v>0</v>
      </c>
      <c r="M284" t="n">
        <v>0</v>
      </c>
      <c r="N284" t="n">
        <v>0</v>
      </c>
      <c r="O284" t="n">
        <v>0</v>
      </c>
      <c r="P284" t="n">
        <v>0</v>
      </c>
      <c r="Q284" t="n">
        <v>0</v>
      </c>
      <c r="R284" s="2" t="inlineStr"/>
    </row>
    <row r="285" ht="15" customHeight="1">
      <c r="A285" t="inlineStr">
        <is>
          <t>A 43031-2025</t>
        </is>
      </c>
      <c r="B285" s="1" t="n">
        <v>45909.53856481481</v>
      </c>
      <c r="C285" s="1" t="n">
        <v>46000</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52500-2024</t>
        </is>
      </c>
      <c r="B286" s="1" t="n">
        <v>45609</v>
      </c>
      <c r="C286" s="1" t="n">
        <v>46000</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43328-2025</t>
        </is>
      </c>
      <c r="B287" s="1" t="n">
        <v>45910</v>
      </c>
      <c r="C287" s="1" t="n">
        <v>46000</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27989-2025</t>
        </is>
      </c>
      <c r="B288" s="1" t="n">
        <v>45817.58716435185</v>
      </c>
      <c r="C288" s="1" t="n">
        <v>46000</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27981-2025</t>
        </is>
      </c>
      <c r="B289" s="1" t="n">
        <v>45817.57471064815</v>
      </c>
      <c r="C289" s="1" t="n">
        <v>46000</v>
      </c>
      <c r="D289" t="inlineStr">
        <is>
          <t>VÄSTMANLANDS LÄN</t>
        </is>
      </c>
      <c r="E289" t="inlineStr">
        <is>
          <t>SALA</t>
        </is>
      </c>
      <c r="G289" t="n">
        <v>1.7</v>
      </c>
      <c r="H289" t="n">
        <v>0</v>
      </c>
      <c r="I289" t="n">
        <v>0</v>
      </c>
      <c r="J289" t="n">
        <v>0</v>
      </c>
      <c r="K289" t="n">
        <v>0</v>
      </c>
      <c r="L289" t="n">
        <v>0</v>
      </c>
      <c r="M289" t="n">
        <v>0</v>
      </c>
      <c r="N289" t="n">
        <v>0</v>
      </c>
      <c r="O289" t="n">
        <v>0</v>
      </c>
      <c r="P289" t="n">
        <v>0</v>
      </c>
      <c r="Q289" t="n">
        <v>0</v>
      </c>
      <c r="R289" s="2" t="inlineStr"/>
    </row>
    <row r="290" ht="15" customHeight="1">
      <c r="A290" t="inlineStr">
        <is>
          <t>A 28193-2025</t>
        </is>
      </c>
      <c r="B290" s="1" t="n">
        <v>45818.425625</v>
      </c>
      <c r="C290" s="1" t="n">
        <v>46000</v>
      </c>
      <c r="D290" t="inlineStr">
        <is>
          <t>VÄSTMANLANDS LÄN</t>
        </is>
      </c>
      <c r="E290" t="inlineStr">
        <is>
          <t>SALA</t>
        </is>
      </c>
      <c r="G290" t="n">
        <v>1.8</v>
      </c>
      <c r="H290" t="n">
        <v>0</v>
      </c>
      <c r="I290" t="n">
        <v>0</v>
      </c>
      <c r="J290" t="n">
        <v>0</v>
      </c>
      <c r="K290" t="n">
        <v>0</v>
      </c>
      <c r="L290" t="n">
        <v>0</v>
      </c>
      <c r="M290" t="n">
        <v>0</v>
      </c>
      <c r="N290" t="n">
        <v>0</v>
      </c>
      <c r="O290" t="n">
        <v>0</v>
      </c>
      <c r="P290" t="n">
        <v>0</v>
      </c>
      <c r="Q290" t="n">
        <v>0</v>
      </c>
      <c r="R290" s="2" t="inlineStr"/>
    </row>
    <row r="291" ht="15" customHeight="1">
      <c r="A291" t="inlineStr">
        <is>
          <t>A 56949-2023</t>
        </is>
      </c>
      <c r="B291" s="1" t="n">
        <v>45244.61589120371</v>
      </c>
      <c r="C291" s="1" t="n">
        <v>46000</v>
      </c>
      <c r="D291" t="inlineStr">
        <is>
          <t>VÄSTMANLANDS LÄN</t>
        </is>
      </c>
      <c r="E291" t="inlineStr">
        <is>
          <t>SALA</t>
        </is>
      </c>
      <c r="G291" t="n">
        <v>4.7</v>
      </c>
      <c r="H291" t="n">
        <v>0</v>
      </c>
      <c r="I291" t="n">
        <v>0</v>
      </c>
      <c r="J291" t="n">
        <v>0</v>
      </c>
      <c r="K291" t="n">
        <v>0</v>
      </c>
      <c r="L291" t="n">
        <v>0</v>
      </c>
      <c r="M291" t="n">
        <v>0</v>
      </c>
      <c r="N291" t="n">
        <v>0</v>
      </c>
      <c r="O291" t="n">
        <v>0</v>
      </c>
      <c r="P291" t="n">
        <v>0</v>
      </c>
      <c r="Q291" t="n">
        <v>0</v>
      </c>
      <c r="R291" s="2" t="inlineStr"/>
    </row>
    <row r="292" ht="15" customHeight="1">
      <c r="A292" t="inlineStr">
        <is>
          <t>A 28284-2025</t>
        </is>
      </c>
      <c r="B292" s="1" t="n">
        <v>45818.58893518519</v>
      </c>
      <c r="C292" s="1" t="n">
        <v>46000</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28278-2025</t>
        </is>
      </c>
      <c r="B293" s="1" t="n">
        <v>45818.58454861111</v>
      </c>
      <c r="C293" s="1" t="n">
        <v>46000</v>
      </c>
      <c r="D293" t="inlineStr">
        <is>
          <t>VÄSTMANLANDS LÄN</t>
        </is>
      </c>
      <c r="E293" t="inlineStr">
        <is>
          <t>SALA</t>
        </is>
      </c>
      <c r="G293" t="n">
        <v>7.6</v>
      </c>
      <c r="H293" t="n">
        <v>0</v>
      </c>
      <c r="I293" t="n">
        <v>0</v>
      </c>
      <c r="J293" t="n">
        <v>0</v>
      </c>
      <c r="K293" t="n">
        <v>0</v>
      </c>
      <c r="L293" t="n">
        <v>0</v>
      </c>
      <c r="M293" t="n">
        <v>0</v>
      </c>
      <c r="N293" t="n">
        <v>0</v>
      </c>
      <c r="O293" t="n">
        <v>0</v>
      </c>
      <c r="P293" t="n">
        <v>0</v>
      </c>
      <c r="Q293" t="n">
        <v>0</v>
      </c>
      <c r="R293" s="2" t="inlineStr"/>
    </row>
    <row r="294" ht="15" customHeight="1">
      <c r="A294" t="inlineStr">
        <is>
          <t>A 96-2024</t>
        </is>
      </c>
      <c r="B294" s="1" t="n">
        <v>45293.85872685185</v>
      </c>
      <c r="C294" s="1" t="n">
        <v>46000</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28628-2025</t>
        </is>
      </c>
      <c r="B295" s="1" t="n">
        <v>45819.62158564815</v>
      </c>
      <c r="C295" s="1" t="n">
        <v>46000</v>
      </c>
      <c r="D295" t="inlineStr">
        <is>
          <t>VÄSTMANLANDS LÄN</t>
        </is>
      </c>
      <c r="E295" t="inlineStr">
        <is>
          <t>SALA</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28632-2025</t>
        </is>
      </c>
      <c r="B296" s="1" t="n">
        <v>45819.62344907408</v>
      </c>
      <c r="C296" s="1" t="n">
        <v>46000</v>
      </c>
      <c r="D296" t="inlineStr">
        <is>
          <t>VÄSTMANLANDS LÄN</t>
        </is>
      </c>
      <c r="E296" t="inlineStr">
        <is>
          <t>SALA</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28630-2025</t>
        </is>
      </c>
      <c r="B297" s="1" t="n">
        <v>45819.62274305556</v>
      </c>
      <c r="C297" s="1" t="n">
        <v>46000</v>
      </c>
      <c r="D297" t="inlineStr">
        <is>
          <t>VÄSTMANLANDS LÄN</t>
        </is>
      </c>
      <c r="E297" t="inlineStr">
        <is>
          <t>SALA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54118-2023</t>
        </is>
      </c>
      <c r="B298" s="1" t="n">
        <v>45232</v>
      </c>
      <c r="C298" s="1" t="n">
        <v>46000</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44100-2025</t>
        </is>
      </c>
      <c r="B299" s="1" t="n">
        <v>45915.56707175926</v>
      </c>
      <c r="C299" s="1" t="n">
        <v>46000</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28837-2025</t>
        </is>
      </c>
      <c r="B300" s="1" t="n">
        <v>45820.56243055555</v>
      </c>
      <c r="C300" s="1" t="n">
        <v>46000</v>
      </c>
      <c r="D300" t="inlineStr">
        <is>
          <t>VÄSTMANLANDS LÄN</t>
        </is>
      </c>
      <c r="E300" t="inlineStr">
        <is>
          <t>SALA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28849-2025</t>
        </is>
      </c>
      <c r="B301" s="1" t="n">
        <v>45820</v>
      </c>
      <c r="C301" s="1" t="n">
        <v>46000</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29085-2025</t>
        </is>
      </c>
      <c r="B302" s="1" t="n">
        <v>45821</v>
      </c>
      <c r="C302" s="1" t="n">
        <v>46000</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34814-2021</t>
        </is>
      </c>
      <c r="B303" s="1" t="n">
        <v>44383</v>
      </c>
      <c r="C303" s="1" t="n">
        <v>46000</v>
      </c>
      <c r="D303" t="inlineStr">
        <is>
          <t>VÄSTMANLANDS LÄN</t>
        </is>
      </c>
      <c r="E303" t="inlineStr">
        <is>
          <t>SALA</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25748-2022</t>
        </is>
      </c>
      <c r="B304" s="1" t="n">
        <v>44732</v>
      </c>
      <c r="C304" s="1" t="n">
        <v>46000</v>
      </c>
      <c r="D304" t="inlineStr">
        <is>
          <t>VÄSTMANLANDS LÄN</t>
        </is>
      </c>
      <c r="E304" t="inlineStr">
        <is>
          <t>SALA</t>
        </is>
      </c>
      <c r="G304" t="n">
        <v>7.7</v>
      </c>
      <c r="H304" t="n">
        <v>0</v>
      </c>
      <c r="I304" t="n">
        <v>0</v>
      </c>
      <c r="J304" t="n">
        <v>0</v>
      </c>
      <c r="K304" t="n">
        <v>0</v>
      </c>
      <c r="L304" t="n">
        <v>0</v>
      </c>
      <c r="M304" t="n">
        <v>0</v>
      </c>
      <c r="N304" t="n">
        <v>0</v>
      </c>
      <c r="O304" t="n">
        <v>0</v>
      </c>
      <c r="P304" t="n">
        <v>0</v>
      </c>
      <c r="Q304" t="n">
        <v>0</v>
      </c>
      <c r="R304" s="2" t="inlineStr"/>
    </row>
    <row r="305" ht="15" customHeight="1">
      <c r="A305" t="inlineStr">
        <is>
          <t>A 3733-2023</t>
        </is>
      </c>
      <c r="B305" s="1" t="n">
        <v>44951.42501157407</v>
      </c>
      <c r="C305" s="1" t="n">
        <v>46000</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6136-2025</t>
        </is>
      </c>
      <c r="B306" s="1" t="n">
        <v>45698.37601851852</v>
      </c>
      <c r="C306" s="1" t="n">
        <v>46000</v>
      </c>
      <c r="D306" t="inlineStr">
        <is>
          <t>VÄSTMANLANDS LÄN</t>
        </is>
      </c>
      <c r="E306" t="inlineStr">
        <is>
          <t>SALA</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6190-2025</t>
        </is>
      </c>
      <c r="B307" s="1" t="n">
        <v>45698</v>
      </c>
      <c r="C307" s="1" t="n">
        <v>46000</v>
      </c>
      <c r="D307" t="inlineStr">
        <is>
          <t>VÄSTMANLANDS LÄN</t>
        </is>
      </c>
      <c r="E307" t="inlineStr">
        <is>
          <t>SALA</t>
        </is>
      </c>
      <c r="F307" t="inlineStr">
        <is>
          <t>Bergvik skog öst AB</t>
        </is>
      </c>
      <c r="G307" t="n">
        <v>4.6</v>
      </c>
      <c r="H307" t="n">
        <v>0</v>
      </c>
      <c r="I307" t="n">
        <v>0</v>
      </c>
      <c r="J307" t="n">
        <v>0</v>
      </c>
      <c r="K307" t="n">
        <v>0</v>
      </c>
      <c r="L307" t="n">
        <v>0</v>
      </c>
      <c r="M307" t="n">
        <v>0</v>
      </c>
      <c r="N307" t="n">
        <v>0</v>
      </c>
      <c r="O307" t="n">
        <v>0</v>
      </c>
      <c r="P307" t="n">
        <v>0</v>
      </c>
      <c r="Q307" t="n">
        <v>0</v>
      </c>
      <c r="R307" s="2" t="inlineStr"/>
    </row>
    <row r="308" ht="15" customHeight="1">
      <c r="A308" t="inlineStr">
        <is>
          <t>A 29691-2025</t>
        </is>
      </c>
      <c r="B308" s="1" t="n">
        <v>45825.53645833334</v>
      </c>
      <c r="C308" s="1" t="n">
        <v>46000</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60541-2024</t>
        </is>
      </c>
      <c r="B309" s="1" t="n">
        <v>45643</v>
      </c>
      <c r="C309" s="1" t="n">
        <v>46000</v>
      </c>
      <c r="D309" t="inlineStr">
        <is>
          <t>VÄSTMANLANDS LÄN</t>
        </is>
      </c>
      <c r="E309" t="inlineStr">
        <is>
          <t>SALA</t>
        </is>
      </c>
      <c r="G309" t="n">
        <v>10.6</v>
      </c>
      <c r="H309" t="n">
        <v>0</v>
      </c>
      <c r="I309" t="n">
        <v>0</v>
      </c>
      <c r="J309" t="n">
        <v>0</v>
      </c>
      <c r="K309" t="n">
        <v>0</v>
      </c>
      <c r="L309" t="n">
        <v>0</v>
      </c>
      <c r="M309" t="n">
        <v>0</v>
      </c>
      <c r="N309" t="n">
        <v>0</v>
      </c>
      <c r="O309" t="n">
        <v>0</v>
      </c>
      <c r="P309" t="n">
        <v>0</v>
      </c>
      <c r="Q309" t="n">
        <v>0</v>
      </c>
      <c r="R309" s="2" t="inlineStr"/>
    </row>
    <row r="310" ht="15" customHeight="1">
      <c r="A310" t="inlineStr">
        <is>
          <t>A 44524-2025</t>
        </is>
      </c>
      <c r="B310" s="1" t="n">
        <v>45916.72920138889</v>
      </c>
      <c r="C310" s="1" t="n">
        <v>46000</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16760-2024</t>
        </is>
      </c>
      <c r="B311" s="1" t="n">
        <v>45411</v>
      </c>
      <c r="C311" s="1" t="n">
        <v>46000</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44486-2025</t>
        </is>
      </c>
      <c r="B312" s="1" t="n">
        <v>45916.65517361111</v>
      </c>
      <c r="C312" s="1" t="n">
        <v>46000</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29826-2025</t>
        </is>
      </c>
      <c r="B313" s="1" t="n">
        <v>45825.85761574074</v>
      </c>
      <c r="C313" s="1" t="n">
        <v>46000</v>
      </c>
      <c r="D313" t="inlineStr">
        <is>
          <t>VÄSTMANLANDS LÄN</t>
        </is>
      </c>
      <c r="E313" t="inlineStr">
        <is>
          <t>SALA</t>
        </is>
      </c>
      <c r="G313" t="n">
        <v>1.9</v>
      </c>
      <c r="H313" t="n">
        <v>0</v>
      </c>
      <c r="I313" t="n">
        <v>0</v>
      </c>
      <c r="J313" t="n">
        <v>0</v>
      </c>
      <c r="K313" t="n">
        <v>0</v>
      </c>
      <c r="L313" t="n">
        <v>0</v>
      </c>
      <c r="M313" t="n">
        <v>0</v>
      </c>
      <c r="N313" t="n">
        <v>0</v>
      </c>
      <c r="O313" t="n">
        <v>0</v>
      </c>
      <c r="P313" t="n">
        <v>0</v>
      </c>
      <c r="Q313" t="n">
        <v>0</v>
      </c>
      <c r="R313" s="2" t="inlineStr"/>
    </row>
    <row r="314" ht="15" customHeight="1">
      <c r="A314" t="inlineStr">
        <is>
          <t>A 45177-2025</t>
        </is>
      </c>
      <c r="B314" s="1" t="n">
        <v>45919.52444444445</v>
      </c>
      <c r="C314" s="1" t="n">
        <v>46000</v>
      </c>
      <c r="D314" t="inlineStr">
        <is>
          <t>VÄSTMANLANDS LÄN</t>
        </is>
      </c>
      <c r="E314" t="inlineStr">
        <is>
          <t>SALA</t>
        </is>
      </c>
      <c r="G314" t="n">
        <v>2.4</v>
      </c>
      <c r="H314" t="n">
        <v>0</v>
      </c>
      <c r="I314" t="n">
        <v>0</v>
      </c>
      <c r="J314" t="n">
        <v>0</v>
      </c>
      <c r="K314" t="n">
        <v>0</v>
      </c>
      <c r="L314" t="n">
        <v>0</v>
      </c>
      <c r="M314" t="n">
        <v>0</v>
      </c>
      <c r="N314" t="n">
        <v>0</v>
      </c>
      <c r="O314" t="n">
        <v>0</v>
      </c>
      <c r="P314" t="n">
        <v>0</v>
      </c>
      <c r="Q314" t="n">
        <v>0</v>
      </c>
      <c r="R314" s="2" t="inlineStr"/>
    </row>
    <row r="315" ht="15" customHeight="1">
      <c r="A315" t="inlineStr">
        <is>
          <t>A 6127-2025</t>
        </is>
      </c>
      <c r="B315" s="1" t="n">
        <v>45698</v>
      </c>
      <c r="C315" s="1" t="n">
        <v>46000</v>
      </c>
      <c r="D315" t="inlineStr">
        <is>
          <t>VÄSTMANLANDS LÄN</t>
        </is>
      </c>
      <c r="E315" t="inlineStr">
        <is>
          <t>SALA</t>
        </is>
      </c>
      <c r="F315" t="inlineStr">
        <is>
          <t>Bergvik skog öst AB</t>
        </is>
      </c>
      <c r="G315" t="n">
        <v>4.3</v>
      </c>
      <c r="H315" t="n">
        <v>0</v>
      </c>
      <c r="I315" t="n">
        <v>0</v>
      </c>
      <c r="J315" t="n">
        <v>0</v>
      </c>
      <c r="K315" t="n">
        <v>0</v>
      </c>
      <c r="L315" t="n">
        <v>0</v>
      </c>
      <c r="M315" t="n">
        <v>0</v>
      </c>
      <c r="N315" t="n">
        <v>0</v>
      </c>
      <c r="O315" t="n">
        <v>0</v>
      </c>
      <c r="P315" t="n">
        <v>0</v>
      </c>
      <c r="Q315" t="n">
        <v>0</v>
      </c>
      <c r="R315" s="2" t="inlineStr"/>
    </row>
    <row r="316" ht="15" customHeight="1">
      <c r="A316" t="inlineStr">
        <is>
          <t>A 988-2025</t>
        </is>
      </c>
      <c r="B316" s="1" t="n">
        <v>45666.44038194444</v>
      </c>
      <c r="C316" s="1" t="n">
        <v>46000</v>
      </c>
      <c r="D316" t="inlineStr">
        <is>
          <t>VÄSTMANLANDS LÄN</t>
        </is>
      </c>
      <c r="E316" t="inlineStr">
        <is>
          <t>SALA</t>
        </is>
      </c>
      <c r="G316" t="n">
        <v>1.3</v>
      </c>
      <c r="H316" t="n">
        <v>0</v>
      </c>
      <c r="I316" t="n">
        <v>0</v>
      </c>
      <c r="J316" t="n">
        <v>0</v>
      </c>
      <c r="K316" t="n">
        <v>0</v>
      </c>
      <c r="L316" t="n">
        <v>0</v>
      </c>
      <c r="M316" t="n">
        <v>0</v>
      </c>
      <c r="N316" t="n">
        <v>0</v>
      </c>
      <c r="O316" t="n">
        <v>0</v>
      </c>
      <c r="P316" t="n">
        <v>0</v>
      </c>
      <c r="Q316" t="n">
        <v>0</v>
      </c>
      <c r="R316" s="2" t="inlineStr"/>
    </row>
    <row r="317" ht="15" customHeight="1">
      <c r="A317" t="inlineStr">
        <is>
          <t>A 60328-2024</t>
        </is>
      </c>
      <c r="B317" s="1" t="n">
        <v>45643.38416666666</v>
      </c>
      <c r="C317" s="1" t="n">
        <v>46000</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35016-2024</t>
        </is>
      </c>
      <c r="B318" s="1" t="n">
        <v>45527.59115740741</v>
      </c>
      <c r="C318" s="1" t="n">
        <v>46000</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25897-2024</t>
        </is>
      </c>
      <c r="B319" s="1" t="n">
        <v>45467.54435185185</v>
      </c>
      <c r="C319" s="1" t="n">
        <v>46000</v>
      </c>
      <c r="D319" t="inlineStr">
        <is>
          <t>VÄSTMANLANDS LÄN</t>
        </is>
      </c>
      <c r="E319" t="inlineStr">
        <is>
          <t>SALA</t>
        </is>
      </c>
      <c r="G319" t="n">
        <v>9.9</v>
      </c>
      <c r="H319" t="n">
        <v>0</v>
      </c>
      <c r="I319" t="n">
        <v>0</v>
      </c>
      <c r="J319" t="n">
        <v>0</v>
      </c>
      <c r="K319" t="n">
        <v>0</v>
      </c>
      <c r="L319" t="n">
        <v>0</v>
      </c>
      <c r="M319" t="n">
        <v>0</v>
      </c>
      <c r="N319" t="n">
        <v>0</v>
      </c>
      <c r="O319" t="n">
        <v>0</v>
      </c>
      <c r="P319" t="n">
        <v>0</v>
      </c>
      <c r="Q319" t="n">
        <v>0</v>
      </c>
      <c r="R319" s="2" t="inlineStr"/>
    </row>
    <row r="320" ht="15" customHeight="1">
      <c r="A320" t="inlineStr">
        <is>
          <t>A 53724-2025</t>
        </is>
      </c>
      <c r="B320" s="1" t="n">
        <v>45960.63174768518</v>
      </c>
      <c r="C320" s="1" t="n">
        <v>46000</v>
      </c>
      <c r="D320" t="inlineStr">
        <is>
          <t>VÄSTMANLANDS LÄN</t>
        </is>
      </c>
      <c r="E320" t="inlineStr">
        <is>
          <t>SALA</t>
        </is>
      </c>
      <c r="G320" t="n">
        <v>2.8</v>
      </c>
      <c r="H320" t="n">
        <v>0</v>
      </c>
      <c r="I320" t="n">
        <v>0</v>
      </c>
      <c r="J320" t="n">
        <v>0</v>
      </c>
      <c r="K320" t="n">
        <v>0</v>
      </c>
      <c r="L320" t="n">
        <v>0</v>
      </c>
      <c r="M320" t="n">
        <v>0</v>
      </c>
      <c r="N320" t="n">
        <v>0</v>
      </c>
      <c r="O320" t="n">
        <v>0</v>
      </c>
      <c r="P320" t="n">
        <v>0</v>
      </c>
      <c r="Q320" t="n">
        <v>0</v>
      </c>
      <c r="R320" s="2" t="inlineStr"/>
    </row>
    <row r="321" ht="15" customHeight="1">
      <c r="A321" t="inlineStr">
        <is>
          <t>A 43122-2025</t>
        </is>
      </c>
      <c r="B321" s="1" t="n">
        <v>45909</v>
      </c>
      <c r="C321" s="1" t="n">
        <v>46000</v>
      </c>
      <c r="D321" t="inlineStr">
        <is>
          <t>VÄSTMANLANDS LÄN</t>
        </is>
      </c>
      <c r="E321" t="inlineStr">
        <is>
          <t>SALA</t>
        </is>
      </c>
      <c r="G321" t="n">
        <v>3.2</v>
      </c>
      <c r="H321" t="n">
        <v>0</v>
      </c>
      <c r="I321" t="n">
        <v>0</v>
      </c>
      <c r="J321" t="n">
        <v>0</v>
      </c>
      <c r="K321" t="n">
        <v>0</v>
      </c>
      <c r="L321" t="n">
        <v>0</v>
      </c>
      <c r="M321" t="n">
        <v>0</v>
      </c>
      <c r="N321" t="n">
        <v>0</v>
      </c>
      <c r="O321" t="n">
        <v>0</v>
      </c>
      <c r="P321" t="n">
        <v>0</v>
      </c>
      <c r="Q321" t="n">
        <v>0</v>
      </c>
      <c r="R321" s="2" t="inlineStr"/>
    </row>
    <row r="322" ht="15" customHeight="1">
      <c r="A322" t="inlineStr">
        <is>
          <t>A 53744-2025</t>
        </is>
      </c>
      <c r="B322" s="1" t="n">
        <v>45960.64863425926</v>
      </c>
      <c r="C322" s="1" t="n">
        <v>46000</v>
      </c>
      <c r="D322" t="inlineStr">
        <is>
          <t>VÄSTMANLANDS LÄN</t>
        </is>
      </c>
      <c r="E322" t="inlineStr">
        <is>
          <t>SALA</t>
        </is>
      </c>
      <c r="G322" t="n">
        <v>2</v>
      </c>
      <c r="H322" t="n">
        <v>0</v>
      </c>
      <c r="I322" t="n">
        <v>0</v>
      </c>
      <c r="J322" t="n">
        <v>0</v>
      </c>
      <c r="K322" t="n">
        <v>0</v>
      </c>
      <c r="L322" t="n">
        <v>0</v>
      </c>
      <c r="M322" t="n">
        <v>0</v>
      </c>
      <c r="N322" t="n">
        <v>0</v>
      </c>
      <c r="O322" t="n">
        <v>0</v>
      </c>
      <c r="P322" t="n">
        <v>0</v>
      </c>
      <c r="Q322" t="n">
        <v>0</v>
      </c>
      <c r="R322" s="2" t="inlineStr"/>
    </row>
    <row r="323" ht="15" customHeight="1">
      <c r="A323" t="inlineStr">
        <is>
          <t>A 31608-2025</t>
        </is>
      </c>
      <c r="B323" s="1" t="n">
        <v>45833</v>
      </c>
      <c r="C323" s="1" t="n">
        <v>46000</v>
      </c>
      <c r="D323" t="inlineStr">
        <is>
          <t>VÄSTMANLANDS LÄN</t>
        </is>
      </c>
      <c r="E323" t="inlineStr">
        <is>
          <t>SALA</t>
        </is>
      </c>
      <c r="G323" t="n">
        <v>6.1</v>
      </c>
      <c r="H323" t="n">
        <v>0</v>
      </c>
      <c r="I323" t="n">
        <v>0</v>
      </c>
      <c r="J323" t="n">
        <v>0</v>
      </c>
      <c r="K323" t="n">
        <v>0</v>
      </c>
      <c r="L323" t="n">
        <v>0</v>
      </c>
      <c r="M323" t="n">
        <v>0</v>
      </c>
      <c r="N323" t="n">
        <v>0</v>
      </c>
      <c r="O323" t="n">
        <v>0</v>
      </c>
      <c r="P323" t="n">
        <v>0</v>
      </c>
      <c r="Q323" t="n">
        <v>0</v>
      </c>
      <c r="R323" s="2" t="inlineStr"/>
    </row>
    <row r="324" ht="15" customHeight="1">
      <c r="A324" t="inlineStr">
        <is>
          <t>A 31072-2021</t>
        </is>
      </c>
      <c r="B324" s="1" t="n">
        <v>44368</v>
      </c>
      <c r="C324" s="1" t="n">
        <v>46000</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30866-2025</t>
        </is>
      </c>
      <c r="B325" s="1" t="n">
        <v>45832.3246875</v>
      </c>
      <c r="C325" s="1" t="n">
        <v>46000</v>
      </c>
      <c r="D325" t="inlineStr">
        <is>
          <t>VÄSTMANLANDS LÄN</t>
        </is>
      </c>
      <c r="E325" t="inlineStr">
        <is>
          <t>SALA</t>
        </is>
      </c>
      <c r="G325" t="n">
        <v>14.3</v>
      </c>
      <c r="H325" t="n">
        <v>0</v>
      </c>
      <c r="I325" t="n">
        <v>0</v>
      </c>
      <c r="J325" t="n">
        <v>0</v>
      </c>
      <c r="K325" t="n">
        <v>0</v>
      </c>
      <c r="L325" t="n">
        <v>0</v>
      </c>
      <c r="M325" t="n">
        <v>0</v>
      </c>
      <c r="N325" t="n">
        <v>0</v>
      </c>
      <c r="O325" t="n">
        <v>0</v>
      </c>
      <c r="P325" t="n">
        <v>0</v>
      </c>
      <c r="Q325" t="n">
        <v>0</v>
      </c>
      <c r="R325" s="2" t="inlineStr"/>
    </row>
    <row r="326" ht="15" customHeight="1">
      <c r="A326" t="inlineStr">
        <is>
          <t>A 30874-2025</t>
        </is>
      </c>
      <c r="B326" s="1" t="n">
        <v>45832.34430555555</v>
      </c>
      <c r="C326" s="1" t="n">
        <v>46000</v>
      </c>
      <c r="D326" t="inlineStr">
        <is>
          <t>VÄSTMANLANDS LÄN</t>
        </is>
      </c>
      <c r="E326" t="inlineStr">
        <is>
          <t>SALA</t>
        </is>
      </c>
      <c r="G326" t="n">
        <v>8.4</v>
      </c>
      <c r="H326" t="n">
        <v>0</v>
      </c>
      <c r="I326" t="n">
        <v>0</v>
      </c>
      <c r="J326" t="n">
        <v>0</v>
      </c>
      <c r="K326" t="n">
        <v>0</v>
      </c>
      <c r="L326" t="n">
        <v>0</v>
      </c>
      <c r="M326" t="n">
        <v>0</v>
      </c>
      <c r="N326" t="n">
        <v>0</v>
      </c>
      <c r="O326" t="n">
        <v>0</v>
      </c>
      <c r="P326" t="n">
        <v>0</v>
      </c>
      <c r="Q326" t="n">
        <v>0</v>
      </c>
      <c r="R326" s="2" t="inlineStr"/>
    </row>
    <row r="327" ht="15" customHeight="1">
      <c r="A327" t="inlineStr">
        <is>
          <t>A 31573-2025</t>
        </is>
      </c>
      <c r="B327" s="1" t="n">
        <v>45833</v>
      </c>
      <c r="C327" s="1" t="n">
        <v>46000</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31288-2025</t>
        </is>
      </c>
      <c r="B328" s="1" t="n">
        <v>45833</v>
      </c>
      <c r="C328" s="1" t="n">
        <v>46000</v>
      </c>
      <c r="D328" t="inlineStr">
        <is>
          <t>VÄSTMANLANDS LÄN</t>
        </is>
      </c>
      <c r="E328" t="inlineStr">
        <is>
          <t>SALA</t>
        </is>
      </c>
      <c r="G328" t="n">
        <v>3.1</v>
      </c>
      <c r="H328" t="n">
        <v>0</v>
      </c>
      <c r="I328" t="n">
        <v>0</v>
      </c>
      <c r="J328" t="n">
        <v>0</v>
      </c>
      <c r="K328" t="n">
        <v>0</v>
      </c>
      <c r="L328" t="n">
        <v>0</v>
      </c>
      <c r="M328" t="n">
        <v>0</v>
      </c>
      <c r="N328" t="n">
        <v>0</v>
      </c>
      <c r="O328" t="n">
        <v>0</v>
      </c>
      <c r="P328" t="n">
        <v>0</v>
      </c>
      <c r="Q328" t="n">
        <v>0</v>
      </c>
      <c r="R328" s="2" t="inlineStr"/>
    </row>
    <row r="329" ht="15" customHeight="1">
      <c r="A329" t="inlineStr">
        <is>
          <t>A 53725-2025</t>
        </is>
      </c>
      <c r="B329" s="1" t="n">
        <v>45960.63394675926</v>
      </c>
      <c r="C329" s="1" t="n">
        <v>46000</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31554-2025</t>
        </is>
      </c>
      <c r="B330" s="1" t="n">
        <v>45833</v>
      </c>
      <c r="C330" s="1" t="n">
        <v>46000</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30899-2025</t>
        </is>
      </c>
      <c r="B331" s="1" t="n">
        <v>45832.35767361111</v>
      </c>
      <c r="C331" s="1" t="n">
        <v>46000</v>
      </c>
      <c r="D331" t="inlineStr">
        <is>
          <t>VÄSTMANLANDS LÄN</t>
        </is>
      </c>
      <c r="E331" t="inlineStr">
        <is>
          <t>SALA</t>
        </is>
      </c>
      <c r="G331" t="n">
        <v>3.1</v>
      </c>
      <c r="H331" t="n">
        <v>0</v>
      </c>
      <c r="I331" t="n">
        <v>0</v>
      </c>
      <c r="J331" t="n">
        <v>0</v>
      </c>
      <c r="K331" t="n">
        <v>0</v>
      </c>
      <c r="L331" t="n">
        <v>0</v>
      </c>
      <c r="M331" t="n">
        <v>0</v>
      </c>
      <c r="N331" t="n">
        <v>0</v>
      </c>
      <c r="O331" t="n">
        <v>0</v>
      </c>
      <c r="P331" t="n">
        <v>0</v>
      </c>
      <c r="Q331" t="n">
        <v>0</v>
      </c>
      <c r="R331" s="2" t="inlineStr"/>
    </row>
    <row r="332" ht="15" customHeight="1">
      <c r="A332" t="inlineStr">
        <is>
          <t>A 57371-2022</t>
        </is>
      </c>
      <c r="B332" s="1" t="n">
        <v>44896.43832175926</v>
      </c>
      <c r="C332" s="1" t="n">
        <v>46000</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22019-2021</t>
        </is>
      </c>
      <c r="B333" s="1" t="n">
        <v>44323</v>
      </c>
      <c r="C333" s="1" t="n">
        <v>46000</v>
      </c>
      <c r="D333" t="inlineStr">
        <is>
          <t>VÄSTMANLANDS LÄN</t>
        </is>
      </c>
      <c r="E333" t="inlineStr">
        <is>
          <t>SALA</t>
        </is>
      </c>
      <c r="G333" t="n">
        <v>1.9</v>
      </c>
      <c r="H333" t="n">
        <v>0</v>
      </c>
      <c r="I333" t="n">
        <v>0</v>
      </c>
      <c r="J333" t="n">
        <v>0</v>
      </c>
      <c r="K333" t="n">
        <v>0</v>
      </c>
      <c r="L333" t="n">
        <v>0</v>
      </c>
      <c r="M333" t="n">
        <v>0</v>
      </c>
      <c r="N333" t="n">
        <v>0</v>
      </c>
      <c r="O333" t="n">
        <v>0</v>
      </c>
      <c r="P333" t="n">
        <v>0</v>
      </c>
      <c r="Q333" t="n">
        <v>0</v>
      </c>
      <c r="R333" s="2" t="inlineStr"/>
    </row>
    <row r="334" ht="15" customHeight="1">
      <c r="A334" t="inlineStr">
        <is>
          <t>A 54344-2025</t>
        </is>
      </c>
      <c r="B334" s="1" t="n">
        <v>45965.36462962963</v>
      </c>
      <c r="C334" s="1" t="n">
        <v>46000</v>
      </c>
      <c r="D334" t="inlineStr">
        <is>
          <t>VÄSTMANLANDS LÄN</t>
        </is>
      </c>
      <c r="E334" t="inlineStr">
        <is>
          <t>SALA</t>
        </is>
      </c>
      <c r="G334" t="n">
        <v>2</v>
      </c>
      <c r="H334" t="n">
        <v>0</v>
      </c>
      <c r="I334" t="n">
        <v>0</v>
      </c>
      <c r="J334" t="n">
        <v>0</v>
      </c>
      <c r="K334" t="n">
        <v>0</v>
      </c>
      <c r="L334" t="n">
        <v>0</v>
      </c>
      <c r="M334" t="n">
        <v>0</v>
      </c>
      <c r="N334" t="n">
        <v>0</v>
      </c>
      <c r="O334" t="n">
        <v>0</v>
      </c>
      <c r="P334" t="n">
        <v>0</v>
      </c>
      <c r="Q334" t="n">
        <v>0</v>
      </c>
      <c r="R334" s="2" t="inlineStr"/>
    </row>
    <row r="335" ht="15" customHeight="1">
      <c r="A335" t="inlineStr">
        <is>
          <t>A 31065-2025</t>
        </is>
      </c>
      <c r="B335" s="1" t="n">
        <v>45832.57571759259</v>
      </c>
      <c r="C335" s="1" t="n">
        <v>46000</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55784-2024</t>
        </is>
      </c>
      <c r="B336" s="1" t="n">
        <v>45623</v>
      </c>
      <c r="C336" s="1" t="n">
        <v>46000</v>
      </c>
      <c r="D336" t="inlineStr">
        <is>
          <t>VÄSTMANLANDS LÄN</t>
        </is>
      </c>
      <c r="E336" t="inlineStr">
        <is>
          <t>SALA</t>
        </is>
      </c>
      <c r="F336" t="inlineStr">
        <is>
          <t>Bergvik skog öst AB</t>
        </is>
      </c>
      <c r="G336" t="n">
        <v>28.4</v>
      </c>
      <c r="H336" t="n">
        <v>0</v>
      </c>
      <c r="I336" t="n">
        <v>0</v>
      </c>
      <c r="J336" t="n">
        <v>0</v>
      </c>
      <c r="K336" t="n">
        <v>0</v>
      </c>
      <c r="L336" t="n">
        <v>0</v>
      </c>
      <c r="M336" t="n">
        <v>0</v>
      </c>
      <c r="N336" t="n">
        <v>0</v>
      </c>
      <c r="O336" t="n">
        <v>0</v>
      </c>
      <c r="P336" t="n">
        <v>0</v>
      </c>
      <c r="Q336" t="n">
        <v>0</v>
      </c>
      <c r="R336" s="2" t="inlineStr"/>
    </row>
    <row r="337" ht="15" customHeight="1">
      <c r="A337" t="inlineStr">
        <is>
          <t>A 16651-2021</t>
        </is>
      </c>
      <c r="B337" s="1" t="n">
        <v>44294.50096064815</v>
      </c>
      <c r="C337" s="1" t="n">
        <v>46000</v>
      </c>
      <c r="D337" t="inlineStr">
        <is>
          <t>VÄSTMANLANDS LÄN</t>
        </is>
      </c>
      <c r="E337" t="inlineStr">
        <is>
          <t>SALA</t>
        </is>
      </c>
      <c r="G337" t="n">
        <v>7.7</v>
      </c>
      <c r="H337" t="n">
        <v>0</v>
      </c>
      <c r="I337" t="n">
        <v>0</v>
      </c>
      <c r="J337" t="n">
        <v>0</v>
      </c>
      <c r="K337" t="n">
        <v>0</v>
      </c>
      <c r="L337" t="n">
        <v>0</v>
      </c>
      <c r="M337" t="n">
        <v>0</v>
      </c>
      <c r="N337" t="n">
        <v>0</v>
      </c>
      <c r="O337" t="n">
        <v>0</v>
      </c>
      <c r="P337" t="n">
        <v>0</v>
      </c>
      <c r="Q337" t="n">
        <v>0</v>
      </c>
      <c r="R337" s="2" t="inlineStr"/>
    </row>
    <row r="338" ht="15" customHeight="1">
      <c r="A338" t="inlineStr">
        <is>
          <t>A 31296-2025</t>
        </is>
      </c>
      <c r="B338" s="1" t="n">
        <v>45833.36765046296</v>
      </c>
      <c r="C338" s="1" t="n">
        <v>46000</v>
      </c>
      <c r="D338" t="inlineStr">
        <is>
          <t>VÄSTMANLANDS LÄN</t>
        </is>
      </c>
      <c r="E338" t="inlineStr">
        <is>
          <t>SALA</t>
        </is>
      </c>
      <c r="G338" t="n">
        <v>3.7</v>
      </c>
      <c r="H338" t="n">
        <v>0</v>
      </c>
      <c r="I338" t="n">
        <v>0</v>
      </c>
      <c r="J338" t="n">
        <v>0</v>
      </c>
      <c r="K338" t="n">
        <v>0</v>
      </c>
      <c r="L338" t="n">
        <v>0</v>
      </c>
      <c r="M338" t="n">
        <v>0</v>
      </c>
      <c r="N338" t="n">
        <v>0</v>
      </c>
      <c r="O338" t="n">
        <v>0</v>
      </c>
      <c r="P338" t="n">
        <v>0</v>
      </c>
      <c r="Q338" t="n">
        <v>0</v>
      </c>
      <c r="R338" s="2" t="inlineStr"/>
    </row>
    <row r="339" ht="15" customHeight="1">
      <c r="A339" t="inlineStr">
        <is>
          <t>A 54590-2025</t>
        </is>
      </c>
      <c r="B339" s="1" t="n">
        <v>45965.74199074074</v>
      </c>
      <c r="C339" s="1" t="n">
        <v>46000</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31748-2025</t>
        </is>
      </c>
      <c r="B340" s="1" t="n">
        <v>45834</v>
      </c>
      <c r="C340" s="1" t="n">
        <v>46000</v>
      </c>
      <c r="D340" t="inlineStr">
        <is>
          <t>VÄSTMANLANDS LÄN</t>
        </is>
      </c>
      <c r="E340" t="inlineStr">
        <is>
          <t>SALA</t>
        </is>
      </c>
      <c r="G340" t="n">
        <v>2</v>
      </c>
      <c r="H340" t="n">
        <v>0</v>
      </c>
      <c r="I340" t="n">
        <v>0</v>
      </c>
      <c r="J340" t="n">
        <v>0</v>
      </c>
      <c r="K340" t="n">
        <v>0</v>
      </c>
      <c r="L340" t="n">
        <v>0</v>
      </c>
      <c r="M340" t="n">
        <v>0</v>
      </c>
      <c r="N340" t="n">
        <v>0</v>
      </c>
      <c r="O340" t="n">
        <v>0</v>
      </c>
      <c r="P340" t="n">
        <v>0</v>
      </c>
      <c r="Q340" t="n">
        <v>0</v>
      </c>
      <c r="R340" s="2" t="inlineStr"/>
    </row>
    <row r="341" ht="15" customHeight="1">
      <c r="A341" t="inlineStr">
        <is>
          <t>A 32210-2025</t>
        </is>
      </c>
      <c r="B341" s="1" t="n">
        <v>45835</v>
      </c>
      <c r="C341" s="1" t="n">
        <v>46000</v>
      </c>
      <c r="D341" t="inlineStr">
        <is>
          <t>VÄSTMANLANDS LÄN</t>
        </is>
      </c>
      <c r="E341" t="inlineStr">
        <is>
          <t>SALA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54201-2025</t>
        </is>
      </c>
      <c r="B342" s="1" t="n">
        <v>45964.58055555556</v>
      </c>
      <c r="C342" s="1" t="n">
        <v>46000</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45371-2025</t>
        </is>
      </c>
      <c r="B343" s="1" t="n">
        <v>45922.39001157408</v>
      </c>
      <c r="C343" s="1" t="n">
        <v>46000</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19803-2024</t>
        </is>
      </c>
      <c r="B344" s="1" t="n">
        <v>45432</v>
      </c>
      <c r="C344" s="1" t="n">
        <v>46000</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31610-2025</t>
        </is>
      </c>
      <c r="B345" s="1" t="n">
        <v>45833.78650462963</v>
      </c>
      <c r="C345" s="1" t="n">
        <v>46000</v>
      </c>
      <c r="D345" t="inlineStr">
        <is>
          <t>VÄSTMANLANDS LÄN</t>
        </is>
      </c>
      <c r="E345" t="inlineStr">
        <is>
          <t>SALA</t>
        </is>
      </c>
      <c r="G345" t="n">
        <v>8</v>
      </c>
      <c r="H345" t="n">
        <v>0</v>
      </c>
      <c r="I345" t="n">
        <v>0</v>
      </c>
      <c r="J345" t="n">
        <v>0</v>
      </c>
      <c r="K345" t="n">
        <v>0</v>
      </c>
      <c r="L345" t="n">
        <v>0</v>
      </c>
      <c r="M345" t="n">
        <v>0</v>
      </c>
      <c r="N345" t="n">
        <v>0</v>
      </c>
      <c r="O345" t="n">
        <v>0</v>
      </c>
      <c r="P345" t="n">
        <v>0</v>
      </c>
      <c r="Q345" t="n">
        <v>0</v>
      </c>
      <c r="R345" s="2" t="inlineStr"/>
    </row>
    <row r="346" ht="15" customHeight="1">
      <c r="A346" t="inlineStr">
        <is>
          <t>A 32201-2025</t>
        </is>
      </c>
      <c r="B346" s="1" t="n">
        <v>45835</v>
      </c>
      <c r="C346" s="1" t="n">
        <v>46000</v>
      </c>
      <c r="D346" t="inlineStr">
        <is>
          <t>VÄSTMANLANDS LÄN</t>
        </is>
      </c>
      <c r="E346" t="inlineStr">
        <is>
          <t>SALA</t>
        </is>
      </c>
      <c r="F346" t="inlineStr">
        <is>
          <t>Bergvik skog öst AB</t>
        </is>
      </c>
      <c r="G346" t="n">
        <v>1.8</v>
      </c>
      <c r="H346" t="n">
        <v>0</v>
      </c>
      <c r="I346" t="n">
        <v>0</v>
      </c>
      <c r="J346" t="n">
        <v>0</v>
      </c>
      <c r="K346" t="n">
        <v>0</v>
      </c>
      <c r="L346" t="n">
        <v>0</v>
      </c>
      <c r="M346" t="n">
        <v>0</v>
      </c>
      <c r="N346" t="n">
        <v>0</v>
      </c>
      <c r="O346" t="n">
        <v>0</v>
      </c>
      <c r="P346" t="n">
        <v>0</v>
      </c>
      <c r="Q346" t="n">
        <v>0</v>
      </c>
      <c r="R346" s="2" t="inlineStr"/>
    </row>
    <row r="347" ht="15" customHeight="1">
      <c r="A347" t="inlineStr">
        <is>
          <t>A 31612-2025</t>
        </is>
      </c>
      <c r="B347" s="1" t="n">
        <v>45833.80056712963</v>
      </c>
      <c r="C347" s="1" t="n">
        <v>46000</v>
      </c>
      <c r="D347" t="inlineStr">
        <is>
          <t>VÄSTMANLANDS LÄN</t>
        </is>
      </c>
      <c r="E347" t="inlineStr">
        <is>
          <t>SALA</t>
        </is>
      </c>
      <c r="G347" t="n">
        <v>6.3</v>
      </c>
      <c r="H347" t="n">
        <v>0</v>
      </c>
      <c r="I347" t="n">
        <v>0</v>
      </c>
      <c r="J347" t="n">
        <v>0</v>
      </c>
      <c r="K347" t="n">
        <v>0</v>
      </c>
      <c r="L347" t="n">
        <v>0</v>
      </c>
      <c r="M347" t="n">
        <v>0</v>
      </c>
      <c r="N347" t="n">
        <v>0</v>
      </c>
      <c r="O347" t="n">
        <v>0</v>
      </c>
      <c r="P347" t="n">
        <v>0</v>
      </c>
      <c r="Q347" t="n">
        <v>0</v>
      </c>
      <c r="R347" s="2" t="inlineStr"/>
    </row>
    <row r="348" ht="15" customHeight="1">
      <c r="A348" t="inlineStr">
        <is>
          <t>A 32207-2025</t>
        </is>
      </c>
      <c r="B348" s="1" t="n">
        <v>45835</v>
      </c>
      <c r="C348" s="1" t="n">
        <v>46000</v>
      </c>
      <c r="D348" t="inlineStr">
        <is>
          <t>VÄSTMANLANDS LÄN</t>
        </is>
      </c>
      <c r="E348" t="inlineStr">
        <is>
          <t>SALA</t>
        </is>
      </c>
      <c r="F348" t="inlineStr">
        <is>
          <t>Bergvik skog öst AB</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31762-2025</t>
        </is>
      </c>
      <c r="B349" s="1" t="n">
        <v>45834.49288194445</v>
      </c>
      <c r="C349" s="1" t="n">
        <v>46000</v>
      </c>
      <c r="D349" t="inlineStr">
        <is>
          <t>VÄSTMANLANDS LÄN</t>
        </is>
      </c>
      <c r="E349" t="inlineStr">
        <is>
          <t>SALA</t>
        </is>
      </c>
      <c r="G349" t="n">
        <v>5.9</v>
      </c>
      <c r="H349" t="n">
        <v>0</v>
      </c>
      <c r="I349" t="n">
        <v>0</v>
      </c>
      <c r="J349" t="n">
        <v>0</v>
      </c>
      <c r="K349" t="n">
        <v>0</v>
      </c>
      <c r="L349" t="n">
        <v>0</v>
      </c>
      <c r="M349" t="n">
        <v>0</v>
      </c>
      <c r="N349" t="n">
        <v>0</v>
      </c>
      <c r="O349" t="n">
        <v>0</v>
      </c>
      <c r="P349" t="n">
        <v>0</v>
      </c>
      <c r="Q349" t="n">
        <v>0</v>
      </c>
      <c r="R349" s="2" t="inlineStr"/>
    </row>
    <row r="350" ht="15" customHeight="1">
      <c r="A350" t="inlineStr">
        <is>
          <t>A 31771-2025</t>
        </is>
      </c>
      <c r="B350" s="1" t="n">
        <v>45834.50910879629</v>
      </c>
      <c r="C350" s="1" t="n">
        <v>46000</v>
      </c>
      <c r="D350" t="inlineStr">
        <is>
          <t>VÄSTMANLANDS LÄN</t>
        </is>
      </c>
      <c r="E350" t="inlineStr">
        <is>
          <t>SALA</t>
        </is>
      </c>
      <c r="G350" t="n">
        <v>5.1</v>
      </c>
      <c r="H350" t="n">
        <v>0</v>
      </c>
      <c r="I350" t="n">
        <v>0</v>
      </c>
      <c r="J350" t="n">
        <v>0</v>
      </c>
      <c r="K350" t="n">
        <v>0</v>
      </c>
      <c r="L350" t="n">
        <v>0</v>
      </c>
      <c r="M350" t="n">
        <v>0</v>
      </c>
      <c r="N350" t="n">
        <v>0</v>
      </c>
      <c r="O350" t="n">
        <v>0</v>
      </c>
      <c r="P350" t="n">
        <v>0</v>
      </c>
      <c r="Q350" t="n">
        <v>0</v>
      </c>
      <c r="R350" s="2" t="inlineStr"/>
    </row>
    <row r="351" ht="15" customHeight="1">
      <c r="A351" t="inlineStr">
        <is>
          <t>A 32205-2025</t>
        </is>
      </c>
      <c r="B351" s="1" t="n">
        <v>45835</v>
      </c>
      <c r="C351" s="1" t="n">
        <v>46000</v>
      </c>
      <c r="D351" t="inlineStr">
        <is>
          <t>VÄSTMANLANDS LÄN</t>
        </is>
      </c>
      <c r="E351" t="inlineStr">
        <is>
          <t>SALA</t>
        </is>
      </c>
      <c r="F351" t="inlineStr">
        <is>
          <t>Bergvik skog öst AB</t>
        </is>
      </c>
      <c r="G351" t="n">
        <v>1.1</v>
      </c>
      <c r="H351" t="n">
        <v>0</v>
      </c>
      <c r="I351" t="n">
        <v>0</v>
      </c>
      <c r="J351" t="n">
        <v>0</v>
      </c>
      <c r="K351" t="n">
        <v>0</v>
      </c>
      <c r="L351" t="n">
        <v>0</v>
      </c>
      <c r="M351" t="n">
        <v>0</v>
      </c>
      <c r="N351" t="n">
        <v>0</v>
      </c>
      <c r="O351" t="n">
        <v>0</v>
      </c>
      <c r="P351" t="n">
        <v>0</v>
      </c>
      <c r="Q351" t="n">
        <v>0</v>
      </c>
      <c r="R351" s="2" t="inlineStr"/>
    </row>
    <row r="352" ht="15" customHeight="1">
      <c r="A352" t="inlineStr">
        <is>
          <t>A 32286-2025</t>
        </is>
      </c>
      <c r="B352" s="1" t="n">
        <v>45835</v>
      </c>
      <c r="C352" s="1" t="n">
        <v>46000</v>
      </c>
      <c r="D352" t="inlineStr">
        <is>
          <t>VÄSTMANLANDS LÄN</t>
        </is>
      </c>
      <c r="E352" t="inlineStr">
        <is>
          <t>SALA</t>
        </is>
      </c>
      <c r="G352" t="n">
        <v>6.4</v>
      </c>
      <c r="H352" t="n">
        <v>0</v>
      </c>
      <c r="I352" t="n">
        <v>0</v>
      </c>
      <c r="J352" t="n">
        <v>0</v>
      </c>
      <c r="K352" t="n">
        <v>0</v>
      </c>
      <c r="L352" t="n">
        <v>0</v>
      </c>
      <c r="M352" t="n">
        <v>0</v>
      </c>
      <c r="N352" t="n">
        <v>0</v>
      </c>
      <c r="O352" t="n">
        <v>0</v>
      </c>
      <c r="P352" t="n">
        <v>0</v>
      </c>
      <c r="Q352" t="n">
        <v>0</v>
      </c>
      <c r="R352" s="2" t="inlineStr"/>
    </row>
    <row r="353" ht="15" customHeight="1">
      <c r="A353" t="inlineStr">
        <is>
          <t>A 7196-2025</t>
        </is>
      </c>
      <c r="B353" s="1" t="n">
        <v>45702</v>
      </c>
      <c r="C353" s="1" t="n">
        <v>46000</v>
      </c>
      <c r="D353" t="inlineStr">
        <is>
          <t>VÄSTMANLANDS LÄN</t>
        </is>
      </c>
      <c r="E353" t="inlineStr">
        <is>
          <t>SALA</t>
        </is>
      </c>
      <c r="G353" t="n">
        <v>1.3</v>
      </c>
      <c r="H353" t="n">
        <v>0</v>
      </c>
      <c r="I353" t="n">
        <v>0</v>
      </c>
      <c r="J353" t="n">
        <v>0</v>
      </c>
      <c r="K353" t="n">
        <v>0</v>
      </c>
      <c r="L353" t="n">
        <v>0</v>
      </c>
      <c r="M353" t="n">
        <v>0</v>
      </c>
      <c r="N353" t="n">
        <v>0</v>
      </c>
      <c r="O353" t="n">
        <v>0</v>
      </c>
      <c r="P353" t="n">
        <v>0</v>
      </c>
      <c r="Q353" t="n">
        <v>0</v>
      </c>
      <c r="R353" s="2" t="inlineStr"/>
    </row>
    <row r="354" ht="15" customHeight="1">
      <c r="A354" t="inlineStr">
        <is>
          <t>A 40597-2022</t>
        </is>
      </c>
      <c r="B354" s="1" t="n">
        <v>44823.84862268518</v>
      </c>
      <c r="C354" s="1" t="n">
        <v>46000</v>
      </c>
      <c r="D354" t="inlineStr">
        <is>
          <t>VÄSTMANLANDS LÄN</t>
        </is>
      </c>
      <c r="E354" t="inlineStr">
        <is>
          <t>SALA</t>
        </is>
      </c>
      <c r="G354" t="n">
        <v>3.5</v>
      </c>
      <c r="H354" t="n">
        <v>0</v>
      </c>
      <c r="I354" t="n">
        <v>0</v>
      </c>
      <c r="J354" t="n">
        <v>0</v>
      </c>
      <c r="K354" t="n">
        <v>0</v>
      </c>
      <c r="L354" t="n">
        <v>0</v>
      </c>
      <c r="M354" t="n">
        <v>0</v>
      </c>
      <c r="N354" t="n">
        <v>0</v>
      </c>
      <c r="O354" t="n">
        <v>0</v>
      </c>
      <c r="P354" t="n">
        <v>0</v>
      </c>
      <c r="Q354" t="n">
        <v>0</v>
      </c>
      <c r="R354" s="2" t="inlineStr"/>
    </row>
    <row r="355" ht="15" customHeight="1">
      <c r="A355" t="inlineStr">
        <is>
          <t>A 32902-2025</t>
        </is>
      </c>
      <c r="B355" s="1" t="n">
        <v>45839</v>
      </c>
      <c r="C355" s="1" t="n">
        <v>46000</v>
      </c>
      <c r="D355" t="inlineStr">
        <is>
          <t>VÄSTMANLANDS LÄN</t>
        </is>
      </c>
      <c r="E355" t="inlineStr">
        <is>
          <t>SALA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54893-2025</t>
        </is>
      </c>
      <c r="B356" s="1" t="n">
        <v>45967.36383101852</v>
      </c>
      <c r="C356" s="1" t="n">
        <v>46000</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45914-2025</t>
        </is>
      </c>
      <c r="B357" s="1" t="n">
        <v>45923.82582175926</v>
      </c>
      <c r="C357" s="1" t="n">
        <v>46000</v>
      </c>
      <c r="D357" t="inlineStr">
        <is>
          <t>VÄSTMANLANDS LÄN</t>
        </is>
      </c>
      <c r="E357" t="inlineStr">
        <is>
          <t>SALA</t>
        </is>
      </c>
      <c r="F357" t="inlineStr">
        <is>
          <t>Kommuner</t>
        </is>
      </c>
      <c r="G357" t="n">
        <v>18.2</v>
      </c>
      <c r="H357" t="n">
        <v>0</v>
      </c>
      <c r="I357" t="n">
        <v>0</v>
      </c>
      <c r="J357" t="n">
        <v>0</v>
      </c>
      <c r="K357" t="n">
        <v>0</v>
      </c>
      <c r="L357" t="n">
        <v>0</v>
      </c>
      <c r="M357" t="n">
        <v>0</v>
      </c>
      <c r="N357" t="n">
        <v>0</v>
      </c>
      <c r="O357" t="n">
        <v>0</v>
      </c>
      <c r="P357" t="n">
        <v>0</v>
      </c>
      <c r="Q357" t="n">
        <v>0</v>
      </c>
      <c r="R357" s="2" t="inlineStr"/>
    </row>
    <row r="358" ht="15" customHeight="1">
      <c r="A358" t="inlineStr">
        <is>
          <t>A 64925-2023</t>
        </is>
      </c>
      <c r="B358" s="1" t="n">
        <v>45282</v>
      </c>
      <c r="C358" s="1" t="n">
        <v>46000</v>
      </c>
      <c r="D358" t="inlineStr">
        <is>
          <t>VÄSTMANLANDS LÄN</t>
        </is>
      </c>
      <c r="E358" t="inlineStr">
        <is>
          <t>SALA</t>
        </is>
      </c>
      <c r="G358" t="n">
        <v>2.5</v>
      </c>
      <c r="H358" t="n">
        <v>0</v>
      </c>
      <c r="I358" t="n">
        <v>0</v>
      </c>
      <c r="J358" t="n">
        <v>0</v>
      </c>
      <c r="K358" t="n">
        <v>0</v>
      </c>
      <c r="L358" t="n">
        <v>0</v>
      </c>
      <c r="M358" t="n">
        <v>0</v>
      </c>
      <c r="N358" t="n">
        <v>0</v>
      </c>
      <c r="O358" t="n">
        <v>0</v>
      </c>
      <c r="P358" t="n">
        <v>0</v>
      </c>
      <c r="Q358" t="n">
        <v>0</v>
      </c>
      <c r="R358" s="2" t="inlineStr"/>
    </row>
    <row r="359" ht="15" customHeight="1">
      <c r="A359" t="inlineStr">
        <is>
          <t>A 45909-2025</t>
        </is>
      </c>
      <c r="B359" s="1" t="n">
        <v>45923.75078703704</v>
      </c>
      <c r="C359" s="1" t="n">
        <v>46000</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23406-2024</t>
        </is>
      </c>
      <c r="B360" s="1" t="n">
        <v>45453.58296296297</v>
      </c>
      <c r="C360" s="1" t="n">
        <v>46000</v>
      </c>
      <c r="D360" t="inlineStr">
        <is>
          <t>VÄSTMANLANDS LÄN</t>
        </is>
      </c>
      <c r="E360" t="inlineStr">
        <is>
          <t>SALA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16133-2025</t>
        </is>
      </c>
      <c r="B361" s="1" t="n">
        <v>45750</v>
      </c>
      <c r="C361" s="1" t="n">
        <v>46000</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15099-2025</t>
        </is>
      </c>
      <c r="B362" s="1" t="n">
        <v>45744.3434837963</v>
      </c>
      <c r="C362" s="1" t="n">
        <v>46000</v>
      </c>
      <c r="D362" t="inlineStr">
        <is>
          <t>VÄSTMANLANDS LÄN</t>
        </is>
      </c>
      <c r="E362" t="inlineStr">
        <is>
          <t>SALA</t>
        </is>
      </c>
      <c r="F362" t="inlineStr">
        <is>
          <t>Sveaskog</t>
        </is>
      </c>
      <c r="G362" t="n">
        <v>14.4</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46000</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60036-2024</t>
        </is>
      </c>
      <c r="B364" s="1" t="n">
        <v>45642.46434027778</v>
      </c>
      <c r="C364" s="1" t="n">
        <v>46000</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52827-2024</t>
        </is>
      </c>
      <c r="B365" s="1" t="n">
        <v>45610</v>
      </c>
      <c r="C365" s="1" t="n">
        <v>46000</v>
      </c>
      <c r="D365" t="inlineStr">
        <is>
          <t>VÄSTMANLANDS LÄN</t>
        </is>
      </c>
      <c r="E365" t="inlineStr">
        <is>
          <t>SALA</t>
        </is>
      </c>
      <c r="G365" t="n">
        <v>0.2</v>
      </c>
      <c r="H365" t="n">
        <v>0</v>
      </c>
      <c r="I365" t="n">
        <v>0</v>
      </c>
      <c r="J365" t="n">
        <v>0</v>
      </c>
      <c r="K365" t="n">
        <v>0</v>
      </c>
      <c r="L365" t="n">
        <v>0</v>
      </c>
      <c r="M365" t="n">
        <v>0</v>
      </c>
      <c r="N365" t="n">
        <v>0</v>
      </c>
      <c r="O365" t="n">
        <v>0</v>
      </c>
      <c r="P365" t="n">
        <v>0</v>
      </c>
      <c r="Q365" t="n">
        <v>0</v>
      </c>
      <c r="R365" s="2" t="inlineStr"/>
    </row>
    <row r="366" ht="15" customHeight="1">
      <c r="A366" t="inlineStr">
        <is>
          <t>A 46597-2025</t>
        </is>
      </c>
      <c r="B366" s="1" t="n">
        <v>45926.40113425926</v>
      </c>
      <c r="C366" s="1" t="n">
        <v>46000</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16328-2025</t>
        </is>
      </c>
      <c r="B367" s="1" t="n">
        <v>45751</v>
      </c>
      <c r="C367" s="1" t="n">
        <v>46000</v>
      </c>
      <c r="D367" t="inlineStr">
        <is>
          <t>VÄSTMANLANDS LÄN</t>
        </is>
      </c>
      <c r="E367" t="inlineStr">
        <is>
          <t>SALA</t>
        </is>
      </c>
      <c r="G367" t="n">
        <v>2.9</v>
      </c>
      <c r="H367" t="n">
        <v>0</v>
      </c>
      <c r="I367" t="n">
        <v>0</v>
      </c>
      <c r="J367" t="n">
        <v>0</v>
      </c>
      <c r="K367" t="n">
        <v>0</v>
      </c>
      <c r="L367" t="n">
        <v>0</v>
      </c>
      <c r="M367" t="n">
        <v>0</v>
      </c>
      <c r="N367" t="n">
        <v>0</v>
      </c>
      <c r="O367" t="n">
        <v>0</v>
      </c>
      <c r="P367" t="n">
        <v>0</v>
      </c>
      <c r="Q367" t="n">
        <v>0</v>
      </c>
      <c r="R367" s="2" t="inlineStr"/>
    </row>
    <row r="368" ht="15" customHeight="1">
      <c r="A368" t="inlineStr">
        <is>
          <t>A 34069-2025</t>
        </is>
      </c>
      <c r="B368" s="1" t="n">
        <v>45845.43560185185</v>
      </c>
      <c r="C368" s="1" t="n">
        <v>46000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c r="U368">
        <f>HYPERLINK("https://klasma.github.io/Logging_1981/knärot/A 34069-2025 karta knärot.png", "A 34069-2025")</f>
        <v/>
      </c>
      <c r="V368">
        <f>HYPERLINK("https://klasma.github.io/Logging_1981/klagomål/A 34069-2025 FSC-klagomål.docx", "A 34069-2025")</f>
        <v/>
      </c>
      <c r="W368">
        <f>HYPERLINK("https://klasma.github.io/Logging_1981/klagomålsmail/A 34069-2025 FSC-klagomål mail.docx", "A 34069-2025")</f>
        <v/>
      </c>
      <c r="X368">
        <f>HYPERLINK("https://klasma.github.io/Logging_1981/tillsyn/A 34069-2025 tillsynsbegäran.docx", "A 34069-2025")</f>
        <v/>
      </c>
      <c r="Y368">
        <f>HYPERLINK("https://klasma.github.io/Logging_1981/tillsynsmail/A 34069-2025 tillsynsbegäran mail.docx", "A 34069-2025")</f>
        <v/>
      </c>
    </row>
    <row r="369" ht="15" customHeight="1">
      <c r="A369" t="inlineStr">
        <is>
          <t>A 66908-2021</t>
        </is>
      </c>
      <c r="B369" s="1" t="n">
        <v>44522</v>
      </c>
      <c r="C369" s="1" t="n">
        <v>46000</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15744-2025</t>
        </is>
      </c>
      <c r="B370" s="1" t="n">
        <v>45748</v>
      </c>
      <c r="C370" s="1" t="n">
        <v>46000</v>
      </c>
      <c r="D370" t="inlineStr">
        <is>
          <t>VÄSTMANLANDS LÄN</t>
        </is>
      </c>
      <c r="E370" t="inlineStr">
        <is>
          <t>SALA</t>
        </is>
      </c>
      <c r="G370" t="n">
        <v>1.6</v>
      </c>
      <c r="H370" t="n">
        <v>0</v>
      </c>
      <c r="I370" t="n">
        <v>0</v>
      </c>
      <c r="J370" t="n">
        <v>0</v>
      </c>
      <c r="K370" t="n">
        <v>0</v>
      </c>
      <c r="L370" t="n">
        <v>0</v>
      </c>
      <c r="M370" t="n">
        <v>0</v>
      </c>
      <c r="N370" t="n">
        <v>0</v>
      </c>
      <c r="O370" t="n">
        <v>0</v>
      </c>
      <c r="P370" t="n">
        <v>0</v>
      </c>
      <c r="Q370" t="n">
        <v>0</v>
      </c>
      <c r="R370" s="2" t="inlineStr"/>
    </row>
    <row r="371" ht="15" customHeight="1">
      <c r="A371" t="inlineStr">
        <is>
          <t>A 73835-2021</t>
        </is>
      </c>
      <c r="B371" s="1" t="n">
        <v>44552.92112268518</v>
      </c>
      <c r="C371" s="1" t="n">
        <v>46000</v>
      </c>
      <c r="D371" t="inlineStr">
        <is>
          <t>VÄSTMANLANDS LÄN</t>
        </is>
      </c>
      <c r="E371" t="inlineStr">
        <is>
          <t>SALA</t>
        </is>
      </c>
      <c r="G371" t="n">
        <v>2</v>
      </c>
      <c r="H371" t="n">
        <v>0</v>
      </c>
      <c r="I371" t="n">
        <v>0</v>
      </c>
      <c r="J371" t="n">
        <v>0</v>
      </c>
      <c r="K371" t="n">
        <v>0</v>
      </c>
      <c r="L371" t="n">
        <v>0</v>
      </c>
      <c r="M371" t="n">
        <v>0</v>
      </c>
      <c r="N371" t="n">
        <v>0</v>
      </c>
      <c r="O371" t="n">
        <v>0</v>
      </c>
      <c r="P371" t="n">
        <v>0</v>
      </c>
      <c r="Q371" t="n">
        <v>0</v>
      </c>
      <c r="R371" s="2" t="inlineStr"/>
    </row>
    <row r="372" ht="15" customHeight="1">
      <c r="A372" t="inlineStr">
        <is>
          <t>A 3810-2023</t>
        </is>
      </c>
      <c r="B372" s="1" t="n">
        <v>44951.60454861111</v>
      </c>
      <c r="C372" s="1" t="n">
        <v>46000</v>
      </c>
      <c r="D372" t="inlineStr">
        <is>
          <t>VÄSTMANLANDS LÄN</t>
        </is>
      </c>
      <c r="E372" t="inlineStr">
        <is>
          <t>SALA</t>
        </is>
      </c>
      <c r="G372" t="n">
        <v>4.2</v>
      </c>
      <c r="H372" t="n">
        <v>0</v>
      </c>
      <c r="I372" t="n">
        <v>0</v>
      </c>
      <c r="J372" t="n">
        <v>0</v>
      </c>
      <c r="K372" t="n">
        <v>0</v>
      </c>
      <c r="L372" t="n">
        <v>0</v>
      </c>
      <c r="M372" t="n">
        <v>0</v>
      </c>
      <c r="N372" t="n">
        <v>0</v>
      </c>
      <c r="O372" t="n">
        <v>0</v>
      </c>
      <c r="P372" t="n">
        <v>0</v>
      </c>
      <c r="Q372" t="n">
        <v>0</v>
      </c>
      <c r="R372" s="2" t="inlineStr"/>
    </row>
    <row r="373" ht="15" customHeight="1">
      <c r="A373" t="inlineStr">
        <is>
          <t>A 47577-2025</t>
        </is>
      </c>
      <c r="B373" s="1" t="n">
        <v>45931.4047337963</v>
      </c>
      <c r="C373" s="1" t="n">
        <v>46000</v>
      </c>
      <c r="D373" t="inlineStr">
        <is>
          <t>VÄSTMANLANDS LÄN</t>
        </is>
      </c>
      <c r="E373" t="inlineStr">
        <is>
          <t>SALA</t>
        </is>
      </c>
      <c r="G373" t="n">
        <v>3.7</v>
      </c>
      <c r="H373" t="n">
        <v>0</v>
      </c>
      <c r="I373" t="n">
        <v>0</v>
      </c>
      <c r="J373" t="n">
        <v>0</v>
      </c>
      <c r="K373" t="n">
        <v>0</v>
      </c>
      <c r="L373" t="n">
        <v>0</v>
      </c>
      <c r="M373" t="n">
        <v>0</v>
      </c>
      <c r="N373" t="n">
        <v>0</v>
      </c>
      <c r="O373" t="n">
        <v>0</v>
      </c>
      <c r="P373" t="n">
        <v>0</v>
      </c>
      <c r="Q373" t="n">
        <v>0</v>
      </c>
      <c r="R373" s="2" t="inlineStr"/>
    </row>
    <row r="374" ht="15" customHeight="1">
      <c r="A374" t="inlineStr">
        <is>
          <t>A 55997-2025</t>
        </is>
      </c>
      <c r="B374" s="1" t="n">
        <v>45973.56833333334</v>
      </c>
      <c r="C374" s="1" t="n">
        <v>46000</v>
      </c>
      <c r="D374" t="inlineStr">
        <is>
          <t>VÄSTMANLANDS LÄN</t>
        </is>
      </c>
      <c r="E374" t="inlineStr">
        <is>
          <t>SALA</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46661-2025</t>
        </is>
      </c>
      <c r="B375" s="1" t="n">
        <v>45926</v>
      </c>
      <c r="C375" s="1" t="n">
        <v>46000</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12252-2023</t>
        </is>
      </c>
      <c r="B376" s="1" t="n">
        <v>44995</v>
      </c>
      <c r="C376" s="1" t="n">
        <v>46000</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55714-2025</t>
        </is>
      </c>
      <c r="B377" s="1" t="n">
        <v>45972.49131944445</v>
      </c>
      <c r="C377" s="1" t="n">
        <v>46000</v>
      </c>
      <c r="D377" t="inlineStr">
        <is>
          <t>VÄSTMANLANDS LÄN</t>
        </is>
      </c>
      <c r="E377" t="inlineStr">
        <is>
          <t>SALA</t>
        </is>
      </c>
      <c r="G377" t="n">
        <v>6.6</v>
      </c>
      <c r="H377" t="n">
        <v>0</v>
      </c>
      <c r="I377" t="n">
        <v>0</v>
      </c>
      <c r="J377" t="n">
        <v>0</v>
      </c>
      <c r="K377" t="n">
        <v>0</v>
      </c>
      <c r="L377" t="n">
        <v>0</v>
      </c>
      <c r="M377" t="n">
        <v>0</v>
      </c>
      <c r="N377" t="n">
        <v>0</v>
      </c>
      <c r="O377" t="n">
        <v>0</v>
      </c>
      <c r="P377" t="n">
        <v>0</v>
      </c>
      <c r="Q377" t="n">
        <v>0</v>
      </c>
      <c r="R377" s="2" t="inlineStr"/>
    </row>
    <row r="378" ht="15" customHeight="1">
      <c r="A378" t="inlineStr">
        <is>
          <t>A 35775-2025</t>
        </is>
      </c>
      <c r="B378" s="1" t="n">
        <v>45860</v>
      </c>
      <c r="C378" s="1" t="n">
        <v>46000</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35779-2025</t>
        </is>
      </c>
      <c r="B379" s="1" t="n">
        <v>45860.69495370371</v>
      </c>
      <c r="C379" s="1" t="n">
        <v>46000</v>
      </c>
      <c r="D379" t="inlineStr">
        <is>
          <t>VÄSTMANLANDS LÄN</t>
        </is>
      </c>
      <c r="E379" t="inlineStr">
        <is>
          <t>SALA</t>
        </is>
      </c>
      <c r="G379" t="n">
        <v>2.4</v>
      </c>
      <c r="H379" t="n">
        <v>0</v>
      </c>
      <c r="I379" t="n">
        <v>0</v>
      </c>
      <c r="J379" t="n">
        <v>0</v>
      </c>
      <c r="K379" t="n">
        <v>0</v>
      </c>
      <c r="L379" t="n">
        <v>0</v>
      </c>
      <c r="M379" t="n">
        <v>0</v>
      </c>
      <c r="N379" t="n">
        <v>0</v>
      </c>
      <c r="O379" t="n">
        <v>0</v>
      </c>
      <c r="P379" t="n">
        <v>0</v>
      </c>
      <c r="Q379" t="n">
        <v>0</v>
      </c>
      <c r="R379" s="2" t="inlineStr"/>
    </row>
    <row r="380" ht="15" customHeight="1">
      <c r="A380" t="inlineStr">
        <is>
          <t>A 25260-2023</t>
        </is>
      </c>
      <c r="B380" s="1" t="n">
        <v>45086</v>
      </c>
      <c r="C380" s="1" t="n">
        <v>46000</v>
      </c>
      <c r="D380" t="inlineStr">
        <is>
          <t>VÄSTMANLANDS LÄN</t>
        </is>
      </c>
      <c r="E380" t="inlineStr">
        <is>
          <t>SALA</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35776-2025</t>
        </is>
      </c>
      <c r="B381" s="1" t="n">
        <v>45860.69211805556</v>
      </c>
      <c r="C381" s="1" t="n">
        <v>46000</v>
      </c>
      <c r="D381" t="inlineStr">
        <is>
          <t>VÄSTMANLANDS LÄN</t>
        </is>
      </c>
      <c r="E381" t="inlineStr">
        <is>
          <t>SALA</t>
        </is>
      </c>
      <c r="G381" t="n">
        <v>14.2</v>
      </c>
      <c r="H381" t="n">
        <v>0</v>
      </c>
      <c r="I381" t="n">
        <v>0</v>
      </c>
      <c r="J381" t="n">
        <v>0</v>
      </c>
      <c r="K381" t="n">
        <v>0</v>
      </c>
      <c r="L381" t="n">
        <v>0</v>
      </c>
      <c r="M381" t="n">
        <v>0</v>
      </c>
      <c r="N381" t="n">
        <v>0</v>
      </c>
      <c r="O381" t="n">
        <v>0</v>
      </c>
      <c r="P381" t="n">
        <v>0</v>
      </c>
      <c r="Q381" t="n">
        <v>0</v>
      </c>
      <c r="R381" s="2" t="inlineStr"/>
    </row>
    <row r="382" ht="15" customHeight="1">
      <c r="A382" t="inlineStr">
        <is>
          <t>A 35715-2025</t>
        </is>
      </c>
      <c r="B382" s="1" t="n">
        <v>45860.42148148148</v>
      </c>
      <c r="C382" s="1" t="n">
        <v>46000</v>
      </c>
      <c r="D382" t="inlineStr">
        <is>
          <t>VÄSTMANLANDS LÄN</t>
        </is>
      </c>
      <c r="E382" t="inlineStr">
        <is>
          <t>SALA</t>
        </is>
      </c>
      <c r="G382" t="n">
        <v>3.8</v>
      </c>
      <c r="H382" t="n">
        <v>0</v>
      </c>
      <c r="I382" t="n">
        <v>0</v>
      </c>
      <c r="J382" t="n">
        <v>0</v>
      </c>
      <c r="K382" t="n">
        <v>0</v>
      </c>
      <c r="L382" t="n">
        <v>0</v>
      </c>
      <c r="M382" t="n">
        <v>0</v>
      </c>
      <c r="N382" t="n">
        <v>0</v>
      </c>
      <c r="O382" t="n">
        <v>0</v>
      </c>
      <c r="P382" t="n">
        <v>0</v>
      </c>
      <c r="Q382" t="n">
        <v>0</v>
      </c>
      <c r="R382" s="2" t="inlineStr"/>
    </row>
    <row r="383" ht="15" customHeight="1">
      <c r="A383" t="inlineStr">
        <is>
          <t>A 56645-2025</t>
        </is>
      </c>
      <c r="B383" s="1" t="n">
        <v>45975.63063657407</v>
      </c>
      <c r="C383" s="1" t="n">
        <v>46000</v>
      </c>
      <c r="D383" t="inlineStr">
        <is>
          <t>VÄSTMANLANDS LÄN</t>
        </is>
      </c>
      <c r="E383" t="inlineStr">
        <is>
          <t>SALA</t>
        </is>
      </c>
      <c r="F383" t="inlineStr">
        <is>
          <t>Bergvik skog öst AB</t>
        </is>
      </c>
      <c r="G383" t="n">
        <v>5.3</v>
      </c>
      <c r="H383" t="n">
        <v>0</v>
      </c>
      <c r="I383" t="n">
        <v>0</v>
      </c>
      <c r="J383" t="n">
        <v>0</v>
      </c>
      <c r="K383" t="n">
        <v>0</v>
      </c>
      <c r="L383" t="n">
        <v>0</v>
      </c>
      <c r="M383" t="n">
        <v>0</v>
      </c>
      <c r="N383" t="n">
        <v>0</v>
      </c>
      <c r="O383" t="n">
        <v>0</v>
      </c>
      <c r="P383" t="n">
        <v>0</v>
      </c>
      <c r="Q383" t="n">
        <v>0</v>
      </c>
      <c r="R383" s="2" t="inlineStr"/>
    </row>
    <row r="384" ht="15" customHeight="1">
      <c r="A384" t="inlineStr">
        <is>
          <t>A 57404-2024</t>
        </is>
      </c>
      <c r="B384" s="1" t="n">
        <v>45629.71967592592</v>
      </c>
      <c r="C384" s="1" t="n">
        <v>46000</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35651-2025</t>
        </is>
      </c>
      <c r="B385" s="1" t="n">
        <v>45859.52435185185</v>
      </c>
      <c r="C385" s="1" t="n">
        <v>46000</v>
      </c>
      <c r="D385" t="inlineStr">
        <is>
          <t>VÄSTMANLANDS LÄN</t>
        </is>
      </c>
      <c r="E385" t="inlineStr">
        <is>
          <t>SALA</t>
        </is>
      </c>
      <c r="G385" t="n">
        <v>6.3</v>
      </c>
      <c r="H385" t="n">
        <v>0</v>
      </c>
      <c r="I385" t="n">
        <v>0</v>
      </c>
      <c r="J385" t="n">
        <v>0</v>
      </c>
      <c r="K385" t="n">
        <v>0</v>
      </c>
      <c r="L385" t="n">
        <v>0</v>
      </c>
      <c r="M385" t="n">
        <v>0</v>
      </c>
      <c r="N385" t="n">
        <v>0</v>
      </c>
      <c r="O385" t="n">
        <v>0</v>
      </c>
      <c r="P385" t="n">
        <v>0</v>
      </c>
      <c r="Q385" t="n">
        <v>0</v>
      </c>
      <c r="R385" s="2" t="inlineStr"/>
    </row>
    <row r="386" ht="15" customHeight="1">
      <c r="A386" t="inlineStr">
        <is>
          <t>A 35774-2025</t>
        </is>
      </c>
      <c r="B386" s="1" t="n">
        <v>45860.68780092592</v>
      </c>
      <c r="C386" s="1" t="n">
        <v>46000</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13128-2023</t>
        </is>
      </c>
      <c r="B387" s="1" t="n">
        <v>45002</v>
      </c>
      <c r="C387" s="1" t="n">
        <v>46000</v>
      </c>
      <c r="D387" t="inlineStr">
        <is>
          <t>VÄSTMANLANDS LÄN</t>
        </is>
      </c>
      <c r="E387" t="inlineStr">
        <is>
          <t>SALA</t>
        </is>
      </c>
      <c r="G387" t="n">
        <v>7.9</v>
      </c>
      <c r="H387" t="n">
        <v>0</v>
      </c>
      <c r="I387" t="n">
        <v>0</v>
      </c>
      <c r="J387" t="n">
        <v>0</v>
      </c>
      <c r="K387" t="n">
        <v>0</v>
      </c>
      <c r="L387" t="n">
        <v>0</v>
      </c>
      <c r="M387" t="n">
        <v>0</v>
      </c>
      <c r="N387" t="n">
        <v>0</v>
      </c>
      <c r="O387" t="n">
        <v>0</v>
      </c>
      <c r="P387" t="n">
        <v>0</v>
      </c>
      <c r="Q387" t="n">
        <v>0</v>
      </c>
      <c r="R387" s="2" t="inlineStr"/>
    </row>
    <row r="388" ht="15" customHeight="1">
      <c r="A388" t="inlineStr">
        <is>
          <t>A 48057-2025</t>
        </is>
      </c>
      <c r="B388" s="1" t="n">
        <v>45932.67947916667</v>
      </c>
      <c r="C388" s="1" t="n">
        <v>46000</v>
      </c>
      <c r="D388" t="inlineStr">
        <is>
          <t>VÄSTMANLANDS LÄN</t>
        </is>
      </c>
      <c r="E388" t="inlineStr">
        <is>
          <t>SALA</t>
        </is>
      </c>
      <c r="G388" t="n">
        <v>4.3</v>
      </c>
      <c r="H388" t="n">
        <v>0</v>
      </c>
      <c r="I388" t="n">
        <v>0</v>
      </c>
      <c r="J388" t="n">
        <v>0</v>
      </c>
      <c r="K388" t="n">
        <v>0</v>
      </c>
      <c r="L388" t="n">
        <v>0</v>
      </c>
      <c r="M388" t="n">
        <v>0</v>
      </c>
      <c r="N388" t="n">
        <v>0</v>
      </c>
      <c r="O388" t="n">
        <v>0</v>
      </c>
      <c r="P388" t="n">
        <v>0</v>
      </c>
      <c r="Q388" t="n">
        <v>0</v>
      </c>
      <c r="R388" s="2" t="inlineStr"/>
    </row>
    <row r="389" ht="15" customHeight="1">
      <c r="A389" t="inlineStr">
        <is>
          <t>A 36060-2025</t>
        </is>
      </c>
      <c r="B389" s="1" t="n">
        <v>45866.39469907407</v>
      </c>
      <c r="C389" s="1" t="n">
        <v>46000</v>
      </c>
      <c r="D389" t="inlineStr">
        <is>
          <t>VÄSTMANLANDS LÄN</t>
        </is>
      </c>
      <c r="E389" t="inlineStr">
        <is>
          <t>SALA</t>
        </is>
      </c>
      <c r="F389" t="inlineStr">
        <is>
          <t>Kommuner</t>
        </is>
      </c>
      <c r="G389" t="n">
        <v>4.3</v>
      </c>
      <c r="H389" t="n">
        <v>0</v>
      </c>
      <c r="I389" t="n">
        <v>0</v>
      </c>
      <c r="J389" t="n">
        <v>0</v>
      </c>
      <c r="K389" t="n">
        <v>0</v>
      </c>
      <c r="L389" t="n">
        <v>0</v>
      </c>
      <c r="M389" t="n">
        <v>0</v>
      </c>
      <c r="N389" t="n">
        <v>0</v>
      </c>
      <c r="O389" t="n">
        <v>0</v>
      </c>
      <c r="P389" t="n">
        <v>0</v>
      </c>
      <c r="Q389" t="n">
        <v>0</v>
      </c>
      <c r="R389" s="2" t="inlineStr"/>
    </row>
    <row r="390" ht="15" customHeight="1">
      <c r="A390" t="inlineStr">
        <is>
          <t>A 56614-2025</t>
        </is>
      </c>
      <c r="B390" s="1" t="n">
        <v>45975.59288194445</v>
      </c>
      <c r="C390" s="1" t="n">
        <v>46000</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36031-2025</t>
        </is>
      </c>
      <c r="B391" s="1" t="n">
        <v>45865.46111111111</v>
      </c>
      <c r="C391" s="1" t="n">
        <v>46000</v>
      </c>
      <c r="D391" t="inlineStr">
        <is>
          <t>VÄSTMANLANDS LÄN</t>
        </is>
      </c>
      <c r="E391" t="inlineStr">
        <is>
          <t>SALA</t>
        </is>
      </c>
      <c r="G391" t="n">
        <v>7.2</v>
      </c>
      <c r="H391" t="n">
        <v>0</v>
      </c>
      <c r="I391" t="n">
        <v>0</v>
      </c>
      <c r="J391" t="n">
        <v>0</v>
      </c>
      <c r="K391" t="n">
        <v>0</v>
      </c>
      <c r="L391" t="n">
        <v>0</v>
      </c>
      <c r="M391" t="n">
        <v>0</v>
      </c>
      <c r="N391" t="n">
        <v>0</v>
      </c>
      <c r="O391" t="n">
        <v>0</v>
      </c>
      <c r="P391" t="n">
        <v>0</v>
      </c>
      <c r="Q391" t="n">
        <v>0</v>
      </c>
      <c r="R391" s="2" t="inlineStr"/>
    </row>
    <row r="392" ht="15" customHeight="1">
      <c r="A392" t="inlineStr">
        <is>
          <t>A 36043-2025</t>
        </is>
      </c>
      <c r="B392" s="1" t="n">
        <v>45866.35333333333</v>
      </c>
      <c r="C392" s="1" t="n">
        <v>46000</v>
      </c>
      <c r="D392" t="inlineStr">
        <is>
          <t>VÄSTMANLANDS LÄN</t>
        </is>
      </c>
      <c r="E392" t="inlineStr">
        <is>
          <t>SALA</t>
        </is>
      </c>
      <c r="F392" t="inlineStr">
        <is>
          <t>Kommuner</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36032-2025</t>
        </is>
      </c>
      <c r="B393" s="1" t="n">
        <v>45865.48740740741</v>
      </c>
      <c r="C393" s="1" t="n">
        <v>46000</v>
      </c>
      <c r="D393" t="inlineStr">
        <is>
          <t>VÄSTMANLANDS LÄN</t>
        </is>
      </c>
      <c r="E393" t="inlineStr">
        <is>
          <t>SALA</t>
        </is>
      </c>
      <c r="G393" t="n">
        <v>0.7</v>
      </c>
      <c r="H393" t="n">
        <v>0</v>
      </c>
      <c r="I393" t="n">
        <v>0</v>
      </c>
      <c r="J393" t="n">
        <v>0</v>
      </c>
      <c r="K393" t="n">
        <v>0</v>
      </c>
      <c r="L393" t="n">
        <v>0</v>
      </c>
      <c r="M393" t="n">
        <v>0</v>
      </c>
      <c r="N393" t="n">
        <v>0</v>
      </c>
      <c r="O393" t="n">
        <v>0</v>
      </c>
      <c r="P393" t="n">
        <v>0</v>
      </c>
      <c r="Q393" t="n">
        <v>0</v>
      </c>
      <c r="R393" s="2" t="inlineStr"/>
    </row>
    <row r="394" ht="15" customHeight="1">
      <c r="A394" t="inlineStr">
        <is>
          <t>A 36049-2025</t>
        </is>
      </c>
      <c r="B394" s="1" t="n">
        <v>45866.37065972222</v>
      </c>
      <c r="C394" s="1" t="n">
        <v>46000</v>
      </c>
      <c r="D394" t="inlineStr">
        <is>
          <t>VÄSTMANLANDS LÄN</t>
        </is>
      </c>
      <c r="E394" t="inlineStr">
        <is>
          <t>SALA</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56593-2025</t>
        </is>
      </c>
      <c r="B395" s="1" t="n">
        <v>45975</v>
      </c>
      <c r="C395" s="1" t="n">
        <v>46000</v>
      </c>
      <c r="D395" t="inlineStr">
        <is>
          <t>VÄSTMANLANDS LÄN</t>
        </is>
      </c>
      <c r="E395" t="inlineStr">
        <is>
          <t>SALA</t>
        </is>
      </c>
      <c r="F395" t="inlineStr">
        <is>
          <t>Kyrkan</t>
        </is>
      </c>
      <c r="G395" t="n">
        <v>0.1</v>
      </c>
      <c r="H395" t="n">
        <v>0</v>
      </c>
      <c r="I395" t="n">
        <v>0</v>
      </c>
      <c r="J395" t="n">
        <v>0</v>
      </c>
      <c r="K395" t="n">
        <v>0</v>
      </c>
      <c r="L395" t="n">
        <v>0</v>
      </c>
      <c r="M395" t="n">
        <v>0</v>
      </c>
      <c r="N395" t="n">
        <v>0</v>
      </c>
      <c r="O395" t="n">
        <v>0</v>
      </c>
      <c r="P395" t="n">
        <v>0</v>
      </c>
      <c r="Q395" t="n">
        <v>0</v>
      </c>
      <c r="R395" s="2" t="inlineStr"/>
    </row>
    <row r="396" ht="15" customHeight="1">
      <c r="A396" t="inlineStr">
        <is>
          <t>A 36045-2025</t>
        </is>
      </c>
      <c r="B396" s="1" t="n">
        <v>45866.36200231482</v>
      </c>
      <c r="C396" s="1" t="n">
        <v>46000</v>
      </c>
      <c r="D396" t="inlineStr">
        <is>
          <t>VÄSTMANLANDS LÄN</t>
        </is>
      </c>
      <c r="E396" t="inlineStr">
        <is>
          <t>SALA</t>
        </is>
      </c>
      <c r="F396" t="inlineStr">
        <is>
          <t>Kommuner</t>
        </is>
      </c>
      <c r="G396" t="n">
        <v>1.7</v>
      </c>
      <c r="H396" t="n">
        <v>0</v>
      </c>
      <c r="I396" t="n">
        <v>0</v>
      </c>
      <c r="J396" t="n">
        <v>0</v>
      </c>
      <c r="K396" t="n">
        <v>0</v>
      </c>
      <c r="L396" t="n">
        <v>0</v>
      </c>
      <c r="M396" t="n">
        <v>0</v>
      </c>
      <c r="N396" t="n">
        <v>0</v>
      </c>
      <c r="O396" t="n">
        <v>0</v>
      </c>
      <c r="P396" t="n">
        <v>0</v>
      </c>
      <c r="Q396" t="n">
        <v>0</v>
      </c>
      <c r="R396" s="2" t="inlineStr"/>
    </row>
    <row r="397" ht="15" customHeight="1">
      <c r="A397" t="inlineStr">
        <is>
          <t>A 56611-2025</t>
        </is>
      </c>
      <c r="B397" s="1" t="n">
        <v>45975</v>
      </c>
      <c r="C397" s="1" t="n">
        <v>46000</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48710-2025</t>
        </is>
      </c>
      <c r="B398" s="1" t="n">
        <v>45936.63184027778</v>
      </c>
      <c r="C398" s="1" t="n">
        <v>46000</v>
      </c>
      <c r="D398" t="inlineStr">
        <is>
          <t>VÄSTMANLANDS LÄN</t>
        </is>
      </c>
      <c r="E398" t="inlineStr">
        <is>
          <t>SALA</t>
        </is>
      </c>
      <c r="G398" t="n">
        <v>2.7</v>
      </c>
      <c r="H398" t="n">
        <v>0</v>
      </c>
      <c r="I398" t="n">
        <v>0</v>
      </c>
      <c r="J398" t="n">
        <v>0</v>
      </c>
      <c r="K398" t="n">
        <v>0</v>
      </c>
      <c r="L398" t="n">
        <v>0</v>
      </c>
      <c r="M398" t="n">
        <v>0</v>
      </c>
      <c r="N398" t="n">
        <v>0</v>
      </c>
      <c r="O398" t="n">
        <v>0</v>
      </c>
      <c r="P398" t="n">
        <v>0</v>
      </c>
      <c r="Q398" t="n">
        <v>0</v>
      </c>
      <c r="R398" s="2" t="inlineStr"/>
    </row>
    <row r="399" ht="15" customHeight="1">
      <c r="A399" t="inlineStr">
        <is>
          <t>A 24864-2024</t>
        </is>
      </c>
      <c r="B399" s="1" t="n">
        <v>45461.48888888889</v>
      </c>
      <c r="C399" s="1" t="n">
        <v>46000</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17766-2025</t>
        </is>
      </c>
      <c r="B400" s="1" t="n">
        <v>45758</v>
      </c>
      <c r="C400" s="1" t="n">
        <v>46000</v>
      </c>
      <c r="D400" t="inlineStr">
        <is>
          <t>VÄSTMANLANDS LÄN</t>
        </is>
      </c>
      <c r="E400" t="inlineStr">
        <is>
          <t>SALA</t>
        </is>
      </c>
      <c r="G400" t="n">
        <v>16.5</v>
      </c>
      <c r="H400" t="n">
        <v>0</v>
      </c>
      <c r="I400" t="n">
        <v>0</v>
      </c>
      <c r="J400" t="n">
        <v>0</v>
      </c>
      <c r="K400" t="n">
        <v>0</v>
      </c>
      <c r="L400" t="n">
        <v>0</v>
      </c>
      <c r="M400" t="n">
        <v>0</v>
      </c>
      <c r="N400" t="n">
        <v>0</v>
      </c>
      <c r="O400" t="n">
        <v>0</v>
      </c>
      <c r="P400" t="n">
        <v>0</v>
      </c>
      <c r="Q400" t="n">
        <v>0</v>
      </c>
      <c r="R400" s="2" t="inlineStr"/>
    </row>
    <row r="401" ht="15" customHeight="1">
      <c r="A401" t="inlineStr">
        <is>
          <t>A 31863-2025</t>
        </is>
      </c>
      <c r="B401" s="1" t="n">
        <v>45834.63303240741</v>
      </c>
      <c r="C401" s="1" t="n">
        <v>46000</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56502-2025</t>
        </is>
      </c>
      <c r="B402" s="1" t="n">
        <v>45975</v>
      </c>
      <c r="C402" s="1" t="n">
        <v>46000</v>
      </c>
      <c r="D402" t="inlineStr">
        <is>
          <t>VÄSTMANLANDS LÄN</t>
        </is>
      </c>
      <c r="E402" t="inlineStr">
        <is>
          <t>SALA</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24755-2021</t>
        </is>
      </c>
      <c r="B403" s="1" t="n">
        <v>44340</v>
      </c>
      <c r="C403" s="1" t="n">
        <v>46000</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3546-2025</t>
        </is>
      </c>
      <c r="B404" s="1" t="n">
        <v>45680</v>
      </c>
      <c r="C404" s="1" t="n">
        <v>46000</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31869-2025</t>
        </is>
      </c>
      <c r="B405" s="1" t="n">
        <v>45834.64555555556</v>
      </c>
      <c r="C405" s="1" t="n">
        <v>46000</v>
      </c>
      <c r="D405" t="inlineStr">
        <is>
          <t>VÄSTMANLANDS LÄN</t>
        </is>
      </c>
      <c r="E405" t="inlineStr">
        <is>
          <t>SALA</t>
        </is>
      </c>
      <c r="G405" t="n">
        <v>17.5</v>
      </c>
      <c r="H405" t="n">
        <v>0</v>
      </c>
      <c r="I405" t="n">
        <v>0</v>
      </c>
      <c r="J405" t="n">
        <v>0</v>
      </c>
      <c r="K405" t="n">
        <v>0</v>
      </c>
      <c r="L405" t="n">
        <v>0</v>
      </c>
      <c r="M405" t="n">
        <v>0</v>
      </c>
      <c r="N405" t="n">
        <v>0</v>
      </c>
      <c r="O405" t="n">
        <v>0</v>
      </c>
      <c r="P405" t="n">
        <v>0</v>
      </c>
      <c r="Q405" t="n">
        <v>0</v>
      </c>
      <c r="R405" s="2" t="inlineStr"/>
    </row>
    <row r="406" ht="15" customHeight="1">
      <c r="A406" t="inlineStr">
        <is>
          <t>A 7664-2023</t>
        </is>
      </c>
      <c r="B406" s="1" t="n">
        <v>44972</v>
      </c>
      <c r="C406" s="1" t="n">
        <v>46000</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48910-2025</t>
        </is>
      </c>
      <c r="B407" s="1" t="n">
        <v>45937.48649305556</v>
      </c>
      <c r="C407" s="1" t="n">
        <v>46000</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57414-2025</t>
        </is>
      </c>
      <c r="B408" s="1" t="n">
        <v>45980.45003472222</v>
      </c>
      <c r="C408" s="1" t="n">
        <v>46000</v>
      </c>
      <c r="D408" t="inlineStr">
        <is>
          <t>VÄSTMANLANDS LÄN</t>
        </is>
      </c>
      <c r="E408" t="inlineStr">
        <is>
          <t>SALA</t>
        </is>
      </c>
      <c r="F408" t="inlineStr">
        <is>
          <t>Bergvik skog öst AB</t>
        </is>
      </c>
      <c r="G408" t="n">
        <v>2</v>
      </c>
      <c r="H408" t="n">
        <v>0</v>
      </c>
      <c r="I408" t="n">
        <v>0</v>
      </c>
      <c r="J408" t="n">
        <v>0</v>
      </c>
      <c r="K408" t="n">
        <v>0</v>
      </c>
      <c r="L408" t="n">
        <v>0</v>
      </c>
      <c r="M408" t="n">
        <v>0</v>
      </c>
      <c r="N408" t="n">
        <v>0</v>
      </c>
      <c r="O408" t="n">
        <v>0</v>
      </c>
      <c r="P408" t="n">
        <v>0</v>
      </c>
      <c r="Q408" t="n">
        <v>0</v>
      </c>
      <c r="R408" s="2" t="inlineStr"/>
    </row>
    <row r="409" ht="15" customHeight="1">
      <c r="A409" t="inlineStr">
        <is>
          <t>A 57415-2025</t>
        </is>
      </c>
      <c r="B409" s="1" t="n">
        <v>45980.45099537037</v>
      </c>
      <c r="C409" s="1" t="n">
        <v>46000</v>
      </c>
      <c r="D409" t="inlineStr">
        <is>
          <t>VÄSTMANLANDS LÄN</t>
        </is>
      </c>
      <c r="E409" t="inlineStr">
        <is>
          <t>SALA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49585-2025</t>
        </is>
      </c>
      <c r="B410" s="1" t="n">
        <v>45939.5043287037</v>
      </c>
      <c r="C410" s="1" t="n">
        <v>46000</v>
      </c>
      <c r="D410" t="inlineStr">
        <is>
          <t>VÄSTMANLANDS LÄN</t>
        </is>
      </c>
      <c r="E410" t="inlineStr">
        <is>
          <t>SALA</t>
        </is>
      </c>
      <c r="G410" t="n">
        <v>2.2</v>
      </c>
      <c r="H410" t="n">
        <v>0</v>
      </c>
      <c r="I410" t="n">
        <v>0</v>
      </c>
      <c r="J410" t="n">
        <v>0</v>
      </c>
      <c r="K410" t="n">
        <v>0</v>
      </c>
      <c r="L410" t="n">
        <v>0</v>
      </c>
      <c r="M410" t="n">
        <v>0</v>
      </c>
      <c r="N410" t="n">
        <v>0</v>
      </c>
      <c r="O410" t="n">
        <v>0</v>
      </c>
      <c r="P410" t="n">
        <v>0</v>
      </c>
      <c r="Q410" t="n">
        <v>0</v>
      </c>
      <c r="R410" s="2" t="inlineStr"/>
    </row>
    <row r="411" ht="15" customHeight="1">
      <c r="A411" t="inlineStr">
        <is>
          <t>A 17985-2025</t>
        </is>
      </c>
      <c r="B411" s="1" t="n">
        <v>45761</v>
      </c>
      <c r="C411" s="1" t="n">
        <v>46000</v>
      </c>
      <c r="D411" t="inlineStr">
        <is>
          <t>VÄSTMANLANDS LÄN</t>
        </is>
      </c>
      <c r="E411" t="inlineStr">
        <is>
          <t>SALA</t>
        </is>
      </c>
      <c r="G411" t="n">
        <v>12.5</v>
      </c>
      <c r="H411" t="n">
        <v>0</v>
      </c>
      <c r="I411" t="n">
        <v>0</v>
      </c>
      <c r="J411" t="n">
        <v>0</v>
      </c>
      <c r="K411" t="n">
        <v>0</v>
      </c>
      <c r="L411" t="n">
        <v>0</v>
      </c>
      <c r="M411" t="n">
        <v>0</v>
      </c>
      <c r="N411" t="n">
        <v>0</v>
      </c>
      <c r="O411" t="n">
        <v>0</v>
      </c>
      <c r="P411" t="n">
        <v>0</v>
      </c>
      <c r="Q411" t="n">
        <v>0</v>
      </c>
      <c r="R411" s="2" t="inlineStr"/>
    </row>
    <row r="412" ht="15" customHeight="1">
      <c r="A412" t="inlineStr">
        <is>
          <t>A 37103-2025</t>
        </is>
      </c>
      <c r="B412" s="1" t="n">
        <v>45875.47743055555</v>
      </c>
      <c r="C412" s="1" t="n">
        <v>46000</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37017-2025</t>
        </is>
      </c>
      <c r="B413" s="1" t="n">
        <v>45874</v>
      </c>
      <c r="C413" s="1" t="n">
        <v>46000</v>
      </c>
      <c r="D413" t="inlineStr">
        <is>
          <t>VÄSTMANLANDS LÄN</t>
        </is>
      </c>
      <c r="E413" t="inlineStr">
        <is>
          <t>SALA</t>
        </is>
      </c>
      <c r="G413" t="n">
        <v>11.1</v>
      </c>
      <c r="H413" t="n">
        <v>0</v>
      </c>
      <c r="I413" t="n">
        <v>0</v>
      </c>
      <c r="J413" t="n">
        <v>0</v>
      </c>
      <c r="K413" t="n">
        <v>0</v>
      </c>
      <c r="L413" t="n">
        <v>0</v>
      </c>
      <c r="M413" t="n">
        <v>0</v>
      </c>
      <c r="N413" t="n">
        <v>0</v>
      </c>
      <c r="O413" t="n">
        <v>0</v>
      </c>
      <c r="P413" t="n">
        <v>0</v>
      </c>
      <c r="Q413" t="n">
        <v>0</v>
      </c>
      <c r="R413" s="2" t="inlineStr"/>
    </row>
    <row r="414" ht="15" customHeight="1">
      <c r="A414" t="inlineStr">
        <is>
          <t>A 37246-2025</t>
        </is>
      </c>
      <c r="B414" s="1" t="n">
        <v>45876.39435185185</v>
      </c>
      <c r="C414" s="1" t="n">
        <v>46000</v>
      </c>
      <c r="D414" t="inlineStr">
        <is>
          <t>VÄSTMANLANDS LÄN</t>
        </is>
      </c>
      <c r="E414" t="inlineStr">
        <is>
          <t>SALA</t>
        </is>
      </c>
      <c r="G414" t="n">
        <v>2.3</v>
      </c>
      <c r="H414" t="n">
        <v>0</v>
      </c>
      <c r="I414" t="n">
        <v>0</v>
      </c>
      <c r="J414" t="n">
        <v>0</v>
      </c>
      <c r="K414" t="n">
        <v>0</v>
      </c>
      <c r="L414" t="n">
        <v>0</v>
      </c>
      <c r="M414" t="n">
        <v>0</v>
      </c>
      <c r="N414" t="n">
        <v>0</v>
      </c>
      <c r="O414" t="n">
        <v>0</v>
      </c>
      <c r="P414" t="n">
        <v>0</v>
      </c>
      <c r="Q414" t="n">
        <v>0</v>
      </c>
      <c r="R414" s="2" t="inlineStr"/>
    </row>
    <row r="415" ht="15" customHeight="1">
      <c r="A415" t="inlineStr">
        <is>
          <t>A 28696-2023</t>
        </is>
      </c>
      <c r="B415" s="1" t="n">
        <v>45103.71759259259</v>
      </c>
      <c r="C415" s="1" t="n">
        <v>46000</v>
      </c>
      <c r="D415" t="inlineStr">
        <is>
          <t>VÄSTMANLANDS LÄN</t>
        </is>
      </c>
      <c r="E415" t="inlineStr">
        <is>
          <t>SALA</t>
        </is>
      </c>
      <c r="F415" t="inlineStr">
        <is>
          <t>Kommuner</t>
        </is>
      </c>
      <c r="G415" t="n">
        <v>5.9</v>
      </c>
      <c r="H415" t="n">
        <v>0</v>
      </c>
      <c r="I415" t="n">
        <v>0</v>
      </c>
      <c r="J415" t="n">
        <v>0</v>
      </c>
      <c r="K415" t="n">
        <v>0</v>
      </c>
      <c r="L415" t="n">
        <v>0</v>
      </c>
      <c r="M415" t="n">
        <v>0</v>
      </c>
      <c r="N415" t="n">
        <v>0</v>
      </c>
      <c r="O415" t="n">
        <v>0</v>
      </c>
      <c r="P415" t="n">
        <v>0</v>
      </c>
      <c r="Q415" t="n">
        <v>0</v>
      </c>
      <c r="R415" s="2" t="inlineStr"/>
    </row>
    <row r="416" ht="15" customHeight="1">
      <c r="A416" t="inlineStr">
        <is>
          <t>A 37590-2025</t>
        </is>
      </c>
      <c r="B416" s="1" t="n">
        <v>45880.41138888889</v>
      </c>
      <c r="C416" s="1" t="n">
        <v>46000</v>
      </c>
      <c r="D416" t="inlineStr">
        <is>
          <t>VÄSTMANLANDS LÄN</t>
        </is>
      </c>
      <c r="E416" t="inlineStr">
        <is>
          <t>SALA</t>
        </is>
      </c>
      <c r="G416" t="n">
        <v>2.2</v>
      </c>
      <c r="H416" t="n">
        <v>0</v>
      </c>
      <c r="I416" t="n">
        <v>0</v>
      </c>
      <c r="J416" t="n">
        <v>0</v>
      </c>
      <c r="K416" t="n">
        <v>0</v>
      </c>
      <c r="L416" t="n">
        <v>0</v>
      </c>
      <c r="M416" t="n">
        <v>0</v>
      </c>
      <c r="N416" t="n">
        <v>0</v>
      </c>
      <c r="O416" t="n">
        <v>0</v>
      </c>
      <c r="P416" t="n">
        <v>0</v>
      </c>
      <c r="Q416" t="n">
        <v>0</v>
      </c>
      <c r="R416" s="2" t="inlineStr"/>
    </row>
    <row r="417" ht="15" customHeight="1">
      <c r="A417" t="inlineStr">
        <is>
          <t>A 37593-2025</t>
        </is>
      </c>
      <c r="B417" s="1" t="n">
        <v>45880.41325231481</v>
      </c>
      <c r="C417" s="1" t="n">
        <v>46000</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49640-2025</t>
        </is>
      </c>
      <c r="B418" s="1" t="n">
        <v>45939.61459490741</v>
      </c>
      <c r="C418" s="1" t="n">
        <v>46000</v>
      </c>
      <c r="D418" t="inlineStr">
        <is>
          <t>VÄSTMANLANDS LÄN</t>
        </is>
      </c>
      <c r="E418" t="inlineStr">
        <is>
          <t>SALA</t>
        </is>
      </c>
      <c r="F418" t="inlineStr">
        <is>
          <t>Kommuner</t>
        </is>
      </c>
      <c r="G418" t="n">
        <v>18.8</v>
      </c>
      <c r="H418" t="n">
        <v>0</v>
      </c>
      <c r="I418" t="n">
        <v>0</v>
      </c>
      <c r="J418" t="n">
        <v>0</v>
      </c>
      <c r="K418" t="n">
        <v>0</v>
      </c>
      <c r="L418" t="n">
        <v>0</v>
      </c>
      <c r="M418" t="n">
        <v>0</v>
      </c>
      <c r="N418" t="n">
        <v>0</v>
      </c>
      <c r="O418" t="n">
        <v>0</v>
      </c>
      <c r="P418" t="n">
        <v>0</v>
      </c>
      <c r="Q418" t="n">
        <v>0</v>
      </c>
      <c r="R418" s="2" t="inlineStr"/>
    </row>
    <row r="419" ht="15" customHeight="1">
      <c r="A419" t="inlineStr">
        <is>
          <t>A 6691-2025</t>
        </is>
      </c>
      <c r="B419" s="1" t="n">
        <v>45700.50625</v>
      </c>
      <c r="C419" s="1" t="n">
        <v>46000</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1934-2023</t>
        </is>
      </c>
      <c r="B420" s="1" t="n">
        <v>44939.43024305555</v>
      </c>
      <c r="C420" s="1" t="n">
        <v>46000</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35519-2024</t>
        </is>
      </c>
      <c r="B421" s="1" t="n">
        <v>45531</v>
      </c>
      <c r="C421" s="1" t="n">
        <v>46000</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57412-2025</t>
        </is>
      </c>
      <c r="B422" s="1" t="n">
        <v>45980.44883101852</v>
      </c>
      <c r="C422" s="1" t="n">
        <v>46000</v>
      </c>
      <c r="D422" t="inlineStr">
        <is>
          <t>VÄSTMANLANDS LÄN</t>
        </is>
      </c>
      <c r="E422" t="inlineStr">
        <is>
          <t>SALA</t>
        </is>
      </c>
      <c r="F422" t="inlineStr">
        <is>
          <t>Bergvik skog öst AB</t>
        </is>
      </c>
      <c r="G422" t="n">
        <v>4.5</v>
      </c>
      <c r="H422" t="n">
        <v>0</v>
      </c>
      <c r="I422" t="n">
        <v>0</v>
      </c>
      <c r="J422" t="n">
        <v>0</v>
      </c>
      <c r="K422" t="n">
        <v>0</v>
      </c>
      <c r="L422" t="n">
        <v>0</v>
      </c>
      <c r="M422" t="n">
        <v>0</v>
      </c>
      <c r="N422" t="n">
        <v>0</v>
      </c>
      <c r="O422" t="n">
        <v>0</v>
      </c>
      <c r="P422" t="n">
        <v>0</v>
      </c>
      <c r="Q422" t="n">
        <v>0</v>
      </c>
      <c r="R422" s="2" t="inlineStr"/>
    </row>
    <row r="423" ht="15" customHeight="1">
      <c r="A423" t="inlineStr">
        <is>
          <t>A 17722-2025</t>
        </is>
      </c>
      <c r="B423" s="1" t="n">
        <v>45758</v>
      </c>
      <c r="C423" s="1" t="n">
        <v>46000</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50241-2023</t>
        </is>
      </c>
      <c r="B424" s="1" t="n">
        <v>45216</v>
      </c>
      <c r="C424" s="1" t="n">
        <v>46000</v>
      </c>
      <c r="D424" t="inlineStr">
        <is>
          <t>VÄSTMANLANDS LÄN</t>
        </is>
      </c>
      <c r="E424" t="inlineStr">
        <is>
          <t>SALA</t>
        </is>
      </c>
      <c r="G424" t="n">
        <v>1.9</v>
      </c>
      <c r="H424" t="n">
        <v>0</v>
      </c>
      <c r="I424" t="n">
        <v>0</v>
      </c>
      <c r="J424" t="n">
        <v>0</v>
      </c>
      <c r="K424" t="n">
        <v>0</v>
      </c>
      <c r="L424" t="n">
        <v>0</v>
      </c>
      <c r="M424" t="n">
        <v>0</v>
      </c>
      <c r="N424" t="n">
        <v>0</v>
      </c>
      <c r="O424" t="n">
        <v>0</v>
      </c>
      <c r="P424" t="n">
        <v>0</v>
      </c>
      <c r="Q424" t="n">
        <v>0</v>
      </c>
      <c r="R424" s="2" t="inlineStr"/>
    </row>
    <row r="425" ht="15" customHeight="1">
      <c r="A425" t="inlineStr">
        <is>
          <t>A 38294-2025</t>
        </is>
      </c>
      <c r="B425" s="1" t="n">
        <v>45883.44854166666</v>
      </c>
      <c r="C425" s="1" t="n">
        <v>46000</v>
      </c>
      <c r="D425" t="inlineStr">
        <is>
          <t>VÄSTMANLANDS LÄN</t>
        </is>
      </c>
      <c r="E425" t="inlineStr">
        <is>
          <t>SALA</t>
        </is>
      </c>
      <c r="G425" t="n">
        <v>1.5</v>
      </c>
      <c r="H425" t="n">
        <v>0</v>
      </c>
      <c r="I425" t="n">
        <v>0</v>
      </c>
      <c r="J425" t="n">
        <v>0</v>
      </c>
      <c r="K425" t="n">
        <v>0</v>
      </c>
      <c r="L425" t="n">
        <v>0</v>
      </c>
      <c r="M425" t="n">
        <v>0</v>
      </c>
      <c r="N425" t="n">
        <v>0</v>
      </c>
      <c r="O425" t="n">
        <v>0</v>
      </c>
      <c r="P425" t="n">
        <v>0</v>
      </c>
      <c r="Q425" t="n">
        <v>0</v>
      </c>
      <c r="R425" s="2" t="inlineStr"/>
    </row>
    <row r="426" ht="15" customHeight="1">
      <c r="A426" t="inlineStr">
        <is>
          <t>A 30971-2022</t>
        </is>
      </c>
      <c r="B426" s="1" t="n">
        <v>44768.46725694444</v>
      </c>
      <c r="C426" s="1" t="n">
        <v>46000</v>
      </c>
      <c r="D426" t="inlineStr">
        <is>
          <t>VÄSTMANLANDS LÄN</t>
        </is>
      </c>
      <c r="E426" t="inlineStr">
        <is>
          <t>SALA</t>
        </is>
      </c>
      <c r="G426" t="n">
        <v>2.4</v>
      </c>
      <c r="H426" t="n">
        <v>0</v>
      </c>
      <c r="I426" t="n">
        <v>0</v>
      </c>
      <c r="J426" t="n">
        <v>0</v>
      </c>
      <c r="K426" t="n">
        <v>0</v>
      </c>
      <c r="L426" t="n">
        <v>0</v>
      </c>
      <c r="M426" t="n">
        <v>0</v>
      </c>
      <c r="N426" t="n">
        <v>0</v>
      </c>
      <c r="O426" t="n">
        <v>0</v>
      </c>
      <c r="P426" t="n">
        <v>0</v>
      </c>
      <c r="Q426" t="n">
        <v>0</v>
      </c>
      <c r="R426" s="2" t="inlineStr"/>
    </row>
    <row r="427" ht="15" customHeight="1">
      <c r="A427" t="inlineStr">
        <is>
          <t>A 58357-2025</t>
        </is>
      </c>
      <c r="B427" s="1" t="n">
        <v>45985.51518518518</v>
      </c>
      <c r="C427" s="1" t="n">
        <v>46000</v>
      </c>
      <c r="D427" t="inlineStr">
        <is>
          <t>VÄSTMANLANDS LÄN</t>
        </is>
      </c>
      <c r="E427" t="inlineStr">
        <is>
          <t>SALA</t>
        </is>
      </c>
      <c r="G427" t="n">
        <v>3</v>
      </c>
      <c r="H427" t="n">
        <v>0</v>
      </c>
      <c r="I427" t="n">
        <v>0</v>
      </c>
      <c r="J427" t="n">
        <v>0</v>
      </c>
      <c r="K427" t="n">
        <v>0</v>
      </c>
      <c r="L427" t="n">
        <v>0</v>
      </c>
      <c r="M427" t="n">
        <v>0</v>
      </c>
      <c r="N427" t="n">
        <v>0</v>
      </c>
      <c r="O427" t="n">
        <v>0</v>
      </c>
      <c r="P427" t="n">
        <v>0</v>
      </c>
      <c r="Q427" t="n">
        <v>0</v>
      </c>
      <c r="R427" s="2" t="inlineStr"/>
    </row>
    <row r="428" ht="15" customHeight="1">
      <c r="A428" t="inlineStr">
        <is>
          <t>A 58359-2025</t>
        </is>
      </c>
      <c r="B428" s="1" t="n">
        <v>45985.51594907408</v>
      </c>
      <c r="C428" s="1" t="n">
        <v>46000</v>
      </c>
      <c r="D428" t="inlineStr">
        <is>
          <t>VÄSTMANLANDS LÄN</t>
        </is>
      </c>
      <c r="E428" t="inlineStr">
        <is>
          <t>SALA</t>
        </is>
      </c>
      <c r="G428" t="n">
        <v>3.7</v>
      </c>
      <c r="H428" t="n">
        <v>0</v>
      </c>
      <c r="I428" t="n">
        <v>0</v>
      </c>
      <c r="J428" t="n">
        <v>0</v>
      </c>
      <c r="K428" t="n">
        <v>0</v>
      </c>
      <c r="L428" t="n">
        <v>0</v>
      </c>
      <c r="M428" t="n">
        <v>0</v>
      </c>
      <c r="N428" t="n">
        <v>0</v>
      </c>
      <c r="O428" t="n">
        <v>0</v>
      </c>
      <c r="P428" t="n">
        <v>0</v>
      </c>
      <c r="Q428" t="n">
        <v>0</v>
      </c>
      <c r="R428" s="2" t="inlineStr"/>
    </row>
    <row r="429" ht="15" customHeight="1">
      <c r="A429" t="inlineStr">
        <is>
          <t>A 35637-2022</t>
        </is>
      </c>
      <c r="B429" s="1" t="n">
        <v>44799.55194444444</v>
      </c>
      <c r="C429" s="1" t="n">
        <v>46000</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43359-2024</t>
        </is>
      </c>
      <c r="B430" s="1" t="n">
        <v>45568.57724537037</v>
      </c>
      <c r="C430" s="1" t="n">
        <v>46000</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29972-2025</t>
        </is>
      </c>
      <c r="B431" s="1" t="n">
        <v>45826</v>
      </c>
      <c r="C431" s="1" t="n">
        <v>46000</v>
      </c>
      <c r="D431" t="inlineStr">
        <is>
          <t>VÄSTMANLANDS LÄN</t>
        </is>
      </c>
      <c r="E431" t="inlineStr">
        <is>
          <t>SALA</t>
        </is>
      </c>
      <c r="G431" t="n">
        <v>2.7</v>
      </c>
      <c r="H431" t="n">
        <v>0</v>
      </c>
      <c r="I431" t="n">
        <v>0</v>
      </c>
      <c r="J431" t="n">
        <v>0</v>
      </c>
      <c r="K431" t="n">
        <v>0</v>
      </c>
      <c r="L431" t="n">
        <v>0</v>
      </c>
      <c r="M431" t="n">
        <v>0</v>
      </c>
      <c r="N431" t="n">
        <v>0</v>
      </c>
      <c r="O431" t="n">
        <v>0</v>
      </c>
      <c r="P431" t="n">
        <v>0</v>
      </c>
      <c r="Q431" t="n">
        <v>0</v>
      </c>
      <c r="R431" s="2" t="inlineStr"/>
    </row>
    <row r="432" ht="15" customHeight="1">
      <c r="A432" t="inlineStr">
        <is>
          <t>A 19304-2025</t>
        </is>
      </c>
      <c r="B432" s="1" t="n">
        <v>45769</v>
      </c>
      <c r="C432" s="1" t="n">
        <v>46000</v>
      </c>
      <c r="D432" t="inlineStr">
        <is>
          <t>VÄSTMANLANDS LÄN</t>
        </is>
      </c>
      <c r="E432" t="inlineStr">
        <is>
          <t>SALA</t>
        </is>
      </c>
      <c r="F432" t="inlineStr">
        <is>
          <t>Bergvik skog öst AB</t>
        </is>
      </c>
      <c r="G432" t="n">
        <v>1.3</v>
      </c>
      <c r="H432" t="n">
        <v>0</v>
      </c>
      <c r="I432" t="n">
        <v>0</v>
      </c>
      <c r="J432" t="n">
        <v>0</v>
      </c>
      <c r="K432" t="n">
        <v>0</v>
      </c>
      <c r="L432" t="n">
        <v>0</v>
      </c>
      <c r="M432" t="n">
        <v>0</v>
      </c>
      <c r="N432" t="n">
        <v>0</v>
      </c>
      <c r="O432" t="n">
        <v>0</v>
      </c>
      <c r="P432" t="n">
        <v>0</v>
      </c>
      <c r="Q432" t="n">
        <v>0</v>
      </c>
      <c r="R432" s="2" t="inlineStr"/>
    </row>
    <row r="433" ht="15" customHeight="1">
      <c r="A433" t="inlineStr">
        <is>
          <t>A 27038-2023</t>
        </is>
      </c>
      <c r="B433" s="1" t="n">
        <v>45095</v>
      </c>
      <c r="C433" s="1" t="n">
        <v>46000</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23182-2022</t>
        </is>
      </c>
      <c r="B434" s="1" t="n">
        <v>44719.79707175926</v>
      </c>
      <c r="C434" s="1" t="n">
        <v>46000</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46279-2021</t>
        </is>
      </c>
      <c r="B435" s="1" t="n">
        <v>44442.57797453704</v>
      </c>
      <c r="C435" s="1" t="n">
        <v>46000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50128-2025</t>
        </is>
      </c>
      <c r="B436" s="1" t="n">
        <v>45943.55318287037</v>
      </c>
      <c r="C436" s="1" t="n">
        <v>46000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31859-2023</t>
        </is>
      </c>
      <c r="B437" s="1" t="n">
        <v>45118</v>
      </c>
      <c r="C437" s="1" t="n">
        <v>46000</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c r="U437">
        <f>HYPERLINK("https://klasma.github.io/Logging_1981/knärot/A 31859-2023 karta knärot.png", "A 31859-2023")</f>
        <v/>
      </c>
      <c r="V437">
        <f>HYPERLINK("https://klasma.github.io/Logging_1981/klagomål/A 31859-2023 FSC-klagomål.docx", "A 31859-2023")</f>
        <v/>
      </c>
      <c r="W437">
        <f>HYPERLINK("https://klasma.github.io/Logging_1981/klagomålsmail/A 31859-2023 FSC-klagomål mail.docx", "A 31859-2023")</f>
        <v/>
      </c>
      <c r="X437">
        <f>HYPERLINK("https://klasma.github.io/Logging_1981/tillsyn/A 31859-2023 tillsynsbegäran.docx", "A 31859-2023")</f>
        <v/>
      </c>
      <c r="Y437">
        <f>HYPERLINK("https://klasma.github.io/Logging_1981/tillsynsmail/A 31859-2023 tillsynsbegäran mail.docx", "A 31859-2023")</f>
        <v/>
      </c>
    </row>
    <row r="438" ht="15" customHeight="1">
      <c r="A438" t="inlineStr">
        <is>
          <t>A 7469-2025</t>
        </is>
      </c>
      <c r="B438" s="1" t="n">
        <v>45705</v>
      </c>
      <c r="C438" s="1" t="n">
        <v>46000</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58282-2025</t>
        </is>
      </c>
      <c r="B439" s="1" t="n">
        <v>45985.44309027777</v>
      </c>
      <c r="C439" s="1" t="n">
        <v>46000</v>
      </c>
      <c r="D439" t="inlineStr">
        <is>
          <t>VÄSTMANLANDS LÄN</t>
        </is>
      </c>
      <c r="E439" t="inlineStr">
        <is>
          <t>SALA</t>
        </is>
      </c>
      <c r="G439" t="n">
        <v>8.9</v>
      </c>
      <c r="H439" t="n">
        <v>0</v>
      </c>
      <c r="I439" t="n">
        <v>0</v>
      </c>
      <c r="J439" t="n">
        <v>0</v>
      </c>
      <c r="K439" t="n">
        <v>0</v>
      </c>
      <c r="L439" t="n">
        <v>0</v>
      </c>
      <c r="M439" t="n">
        <v>0</v>
      </c>
      <c r="N439" t="n">
        <v>0</v>
      </c>
      <c r="O439" t="n">
        <v>0</v>
      </c>
      <c r="P439" t="n">
        <v>0</v>
      </c>
      <c r="Q439" t="n">
        <v>0</v>
      </c>
      <c r="R439" s="2" t="inlineStr"/>
    </row>
    <row r="440" ht="15" customHeight="1">
      <c r="A440" t="inlineStr">
        <is>
          <t>A 50119-2025</t>
        </is>
      </c>
      <c r="B440" s="1" t="n">
        <v>45943.54883101852</v>
      </c>
      <c r="C440" s="1" t="n">
        <v>46000</v>
      </c>
      <c r="D440" t="inlineStr">
        <is>
          <t>VÄSTMANLANDS LÄN</t>
        </is>
      </c>
      <c r="E440" t="inlineStr">
        <is>
          <t>SALA</t>
        </is>
      </c>
      <c r="G440" t="n">
        <v>3.3</v>
      </c>
      <c r="H440" t="n">
        <v>0</v>
      </c>
      <c r="I440" t="n">
        <v>0</v>
      </c>
      <c r="J440" t="n">
        <v>0</v>
      </c>
      <c r="K440" t="n">
        <v>0</v>
      </c>
      <c r="L440" t="n">
        <v>0</v>
      </c>
      <c r="M440" t="n">
        <v>0</v>
      </c>
      <c r="N440" t="n">
        <v>0</v>
      </c>
      <c r="O440" t="n">
        <v>0</v>
      </c>
      <c r="P440" t="n">
        <v>0</v>
      </c>
      <c r="Q440" t="n">
        <v>0</v>
      </c>
      <c r="R440" s="2" t="inlineStr"/>
    </row>
    <row r="441" ht="15" customHeight="1">
      <c r="A441" t="inlineStr">
        <is>
          <t>A 58365-2025</t>
        </is>
      </c>
      <c r="B441" s="1" t="n">
        <v>45985.52288194445</v>
      </c>
      <c r="C441" s="1" t="n">
        <v>46000</v>
      </c>
      <c r="D441" t="inlineStr">
        <is>
          <t>VÄSTMANLANDS LÄN</t>
        </is>
      </c>
      <c r="E441" t="inlineStr">
        <is>
          <t>SALA</t>
        </is>
      </c>
      <c r="G441" t="n">
        <v>3.9</v>
      </c>
      <c r="H441" t="n">
        <v>0</v>
      </c>
      <c r="I441" t="n">
        <v>0</v>
      </c>
      <c r="J441" t="n">
        <v>0</v>
      </c>
      <c r="K441" t="n">
        <v>0</v>
      </c>
      <c r="L441" t="n">
        <v>0</v>
      </c>
      <c r="M441" t="n">
        <v>0</v>
      </c>
      <c r="N441" t="n">
        <v>0</v>
      </c>
      <c r="O441" t="n">
        <v>0</v>
      </c>
      <c r="P441" t="n">
        <v>0</v>
      </c>
      <c r="Q441" t="n">
        <v>0</v>
      </c>
      <c r="R441" s="2" t="inlineStr"/>
    </row>
    <row r="442" ht="15" customHeight="1">
      <c r="A442" t="inlineStr">
        <is>
          <t>A 60034-2024</t>
        </is>
      </c>
      <c r="B442" s="1" t="n">
        <v>45642.46261574074</v>
      </c>
      <c r="C442" s="1" t="n">
        <v>46000</v>
      </c>
      <c r="D442" t="inlineStr">
        <is>
          <t>VÄSTMANLANDS LÄN</t>
        </is>
      </c>
      <c r="E442" t="inlineStr">
        <is>
          <t>SALA</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50059-2025</t>
        </is>
      </c>
      <c r="B443" s="1" t="n">
        <v>45943.44125</v>
      </c>
      <c r="C443" s="1" t="n">
        <v>46000</v>
      </c>
      <c r="D443" t="inlineStr">
        <is>
          <t>VÄSTMANLANDS LÄN</t>
        </is>
      </c>
      <c r="E443" t="inlineStr">
        <is>
          <t>SALA</t>
        </is>
      </c>
      <c r="G443" t="n">
        <v>4.4</v>
      </c>
      <c r="H443" t="n">
        <v>0</v>
      </c>
      <c r="I443" t="n">
        <v>0</v>
      </c>
      <c r="J443" t="n">
        <v>0</v>
      </c>
      <c r="K443" t="n">
        <v>0</v>
      </c>
      <c r="L443" t="n">
        <v>0</v>
      </c>
      <c r="M443" t="n">
        <v>0</v>
      </c>
      <c r="N443" t="n">
        <v>0</v>
      </c>
      <c r="O443" t="n">
        <v>0</v>
      </c>
      <c r="P443" t="n">
        <v>0</v>
      </c>
      <c r="Q443" t="n">
        <v>0</v>
      </c>
      <c r="R443" s="2" t="inlineStr"/>
    </row>
    <row r="444" ht="15" customHeight="1">
      <c r="A444" t="inlineStr">
        <is>
          <t>A 58364-2025</t>
        </is>
      </c>
      <c r="B444" s="1" t="n">
        <v>45985.5228125</v>
      </c>
      <c r="C444" s="1" t="n">
        <v>46000</v>
      </c>
      <c r="D444" t="inlineStr">
        <is>
          <t>VÄSTMANLANDS LÄN</t>
        </is>
      </c>
      <c r="E444" t="inlineStr">
        <is>
          <t>SALA</t>
        </is>
      </c>
      <c r="G444" t="n">
        <v>2.1</v>
      </c>
      <c r="H444" t="n">
        <v>0</v>
      </c>
      <c r="I444" t="n">
        <v>0</v>
      </c>
      <c r="J444" t="n">
        <v>0</v>
      </c>
      <c r="K444" t="n">
        <v>0</v>
      </c>
      <c r="L444" t="n">
        <v>0</v>
      </c>
      <c r="M444" t="n">
        <v>0</v>
      </c>
      <c r="N444" t="n">
        <v>0</v>
      </c>
      <c r="O444" t="n">
        <v>0</v>
      </c>
      <c r="P444" t="n">
        <v>0</v>
      </c>
      <c r="Q444" t="n">
        <v>0</v>
      </c>
      <c r="R444" s="2" t="inlineStr"/>
    </row>
    <row r="445" ht="15" customHeight="1">
      <c r="A445" t="inlineStr">
        <is>
          <t>A 50249-2025</t>
        </is>
      </c>
      <c r="B445" s="1" t="n">
        <v>45944.31508101852</v>
      </c>
      <c r="C445" s="1" t="n">
        <v>46000</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55760-2025</t>
        </is>
      </c>
      <c r="B446" s="1" t="n">
        <v>45972</v>
      </c>
      <c r="C446" s="1" t="n">
        <v>46000</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34867-2023</t>
        </is>
      </c>
      <c r="B447" s="1" t="n">
        <v>45142.33481481481</v>
      </c>
      <c r="C447" s="1" t="n">
        <v>46000</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11631-2023</t>
        </is>
      </c>
      <c r="B448" s="1" t="n">
        <v>44994.44001157407</v>
      </c>
      <c r="C448" s="1" t="n">
        <v>46000</v>
      </c>
      <c r="D448" t="inlineStr">
        <is>
          <t>VÄSTMANLANDS LÄN</t>
        </is>
      </c>
      <c r="E448" t="inlineStr">
        <is>
          <t>SALA</t>
        </is>
      </c>
      <c r="F448" t="inlineStr">
        <is>
          <t>Kommuner</t>
        </is>
      </c>
      <c r="G448" t="n">
        <v>1.9</v>
      </c>
      <c r="H448" t="n">
        <v>0</v>
      </c>
      <c r="I448" t="n">
        <v>0</v>
      </c>
      <c r="J448" t="n">
        <v>0</v>
      </c>
      <c r="K448" t="n">
        <v>0</v>
      </c>
      <c r="L448" t="n">
        <v>0</v>
      </c>
      <c r="M448" t="n">
        <v>0</v>
      </c>
      <c r="N448" t="n">
        <v>0</v>
      </c>
      <c r="O448" t="n">
        <v>0</v>
      </c>
      <c r="P448" t="n">
        <v>0</v>
      </c>
      <c r="Q448" t="n">
        <v>0</v>
      </c>
      <c r="R448" s="2" t="inlineStr"/>
    </row>
    <row r="449" ht="15" customHeight="1">
      <c r="A449" t="inlineStr">
        <is>
          <t>A 73673-2021</t>
        </is>
      </c>
      <c r="B449" s="1" t="n">
        <v>44552.46501157407</v>
      </c>
      <c r="C449" s="1" t="n">
        <v>46000</v>
      </c>
      <c r="D449" t="inlineStr">
        <is>
          <t>VÄSTMANLANDS LÄN</t>
        </is>
      </c>
      <c r="E449" t="inlineStr">
        <is>
          <t>SALA</t>
        </is>
      </c>
      <c r="G449" t="n">
        <v>11.4</v>
      </c>
      <c r="H449" t="n">
        <v>0</v>
      </c>
      <c r="I449" t="n">
        <v>0</v>
      </c>
      <c r="J449" t="n">
        <v>0</v>
      </c>
      <c r="K449" t="n">
        <v>0</v>
      </c>
      <c r="L449" t="n">
        <v>0</v>
      </c>
      <c r="M449" t="n">
        <v>0</v>
      </c>
      <c r="N449" t="n">
        <v>0</v>
      </c>
      <c r="O449" t="n">
        <v>0</v>
      </c>
      <c r="P449" t="n">
        <v>0</v>
      </c>
      <c r="Q449" t="n">
        <v>0</v>
      </c>
      <c r="R449" s="2" t="inlineStr"/>
    </row>
    <row r="450" ht="15" customHeight="1">
      <c r="A450" t="inlineStr">
        <is>
          <t>A 8775-2024</t>
        </is>
      </c>
      <c r="B450" s="1" t="n">
        <v>45356</v>
      </c>
      <c r="C450" s="1" t="n">
        <v>46000</v>
      </c>
      <c r="D450" t="inlineStr">
        <is>
          <t>VÄSTMANLANDS LÄN</t>
        </is>
      </c>
      <c r="E450" t="inlineStr">
        <is>
          <t>SALA</t>
        </is>
      </c>
      <c r="G450" t="n">
        <v>0.6</v>
      </c>
      <c r="H450" t="n">
        <v>0</v>
      </c>
      <c r="I450" t="n">
        <v>0</v>
      </c>
      <c r="J450" t="n">
        <v>0</v>
      </c>
      <c r="K450" t="n">
        <v>0</v>
      </c>
      <c r="L450" t="n">
        <v>0</v>
      </c>
      <c r="M450" t="n">
        <v>0</v>
      </c>
      <c r="N450" t="n">
        <v>0</v>
      </c>
      <c r="O450" t="n">
        <v>0</v>
      </c>
      <c r="P450" t="n">
        <v>0</v>
      </c>
      <c r="Q450" t="n">
        <v>0</v>
      </c>
      <c r="R450" s="2" t="inlineStr"/>
    </row>
    <row r="451" ht="15" customHeight="1">
      <c r="A451" t="inlineStr">
        <is>
          <t>A 48710-2024</t>
        </is>
      </c>
      <c r="B451" s="1" t="n">
        <v>45593.53636574074</v>
      </c>
      <c r="C451" s="1" t="n">
        <v>46000</v>
      </c>
      <c r="D451" t="inlineStr">
        <is>
          <t>VÄSTMANLANDS LÄN</t>
        </is>
      </c>
      <c r="E451" t="inlineStr">
        <is>
          <t>SALA</t>
        </is>
      </c>
      <c r="G451" t="n">
        <v>6.5</v>
      </c>
      <c r="H451" t="n">
        <v>0</v>
      </c>
      <c r="I451" t="n">
        <v>0</v>
      </c>
      <c r="J451" t="n">
        <v>0</v>
      </c>
      <c r="K451" t="n">
        <v>0</v>
      </c>
      <c r="L451" t="n">
        <v>0</v>
      </c>
      <c r="M451" t="n">
        <v>0</v>
      </c>
      <c r="N451" t="n">
        <v>0</v>
      </c>
      <c r="O451" t="n">
        <v>0</v>
      </c>
      <c r="P451" t="n">
        <v>0</v>
      </c>
      <c r="Q451" t="n">
        <v>0</v>
      </c>
      <c r="R451" s="2" t="inlineStr"/>
    </row>
    <row r="452" ht="15" customHeight="1">
      <c r="A452" t="inlineStr">
        <is>
          <t>A 16404-2022</t>
        </is>
      </c>
      <c r="B452" s="1" t="n">
        <v>44671</v>
      </c>
      <c r="C452" s="1" t="n">
        <v>46000</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24248-2023</t>
        </is>
      </c>
      <c r="B453" s="1" t="n">
        <v>45079</v>
      </c>
      <c r="C453" s="1" t="n">
        <v>46000</v>
      </c>
      <c r="D453" t="inlineStr">
        <is>
          <t>VÄSTMANLANDS LÄN</t>
        </is>
      </c>
      <c r="E453" t="inlineStr">
        <is>
          <t>SALA</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10559-2024</t>
        </is>
      </c>
      <c r="B454" s="1" t="n">
        <v>45366</v>
      </c>
      <c r="C454" s="1" t="n">
        <v>46000</v>
      </c>
      <c r="D454" t="inlineStr">
        <is>
          <t>VÄSTMANLANDS LÄN</t>
        </is>
      </c>
      <c r="E454" t="inlineStr">
        <is>
          <t>SALA</t>
        </is>
      </c>
      <c r="G454" t="n">
        <v>0.3</v>
      </c>
      <c r="H454" t="n">
        <v>0</v>
      </c>
      <c r="I454" t="n">
        <v>0</v>
      </c>
      <c r="J454" t="n">
        <v>0</v>
      </c>
      <c r="K454" t="n">
        <v>0</v>
      </c>
      <c r="L454" t="n">
        <v>0</v>
      </c>
      <c r="M454" t="n">
        <v>0</v>
      </c>
      <c r="N454" t="n">
        <v>0</v>
      </c>
      <c r="O454" t="n">
        <v>0</v>
      </c>
      <c r="P454" t="n">
        <v>0</v>
      </c>
      <c r="Q454" t="n">
        <v>0</v>
      </c>
      <c r="R454" s="2" t="inlineStr"/>
    </row>
    <row r="455" ht="15" customHeight="1">
      <c r="A455" t="inlineStr">
        <is>
          <t>A 40214-2023</t>
        </is>
      </c>
      <c r="B455" s="1" t="n">
        <v>45169.45173611111</v>
      </c>
      <c r="C455" s="1" t="n">
        <v>46000</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59385-2025</t>
        </is>
      </c>
      <c r="B456" s="1" t="n">
        <v>45989.45746527778</v>
      </c>
      <c r="C456" s="1" t="n">
        <v>46000</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59390-2025</t>
        </is>
      </c>
      <c r="B457" s="1" t="n">
        <v>45989.4640162037</v>
      </c>
      <c r="C457" s="1" t="n">
        <v>46000</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46000</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18100-2023</t>
        </is>
      </c>
      <c r="B459" s="1" t="n">
        <v>45040</v>
      </c>
      <c r="C459" s="1" t="n">
        <v>46000</v>
      </c>
      <c r="D459" t="inlineStr">
        <is>
          <t>VÄSTMANLANDS LÄN</t>
        </is>
      </c>
      <c r="E459" t="inlineStr">
        <is>
          <t>SALA</t>
        </is>
      </c>
      <c r="G459" t="n">
        <v>1.8</v>
      </c>
      <c r="H459" t="n">
        <v>0</v>
      </c>
      <c r="I459" t="n">
        <v>0</v>
      </c>
      <c r="J459" t="n">
        <v>0</v>
      </c>
      <c r="K459" t="n">
        <v>0</v>
      </c>
      <c r="L459" t="n">
        <v>0</v>
      </c>
      <c r="M459" t="n">
        <v>0</v>
      </c>
      <c r="N459" t="n">
        <v>0</v>
      </c>
      <c r="O459" t="n">
        <v>0</v>
      </c>
      <c r="P459" t="n">
        <v>0</v>
      </c>
      <c r="Q459" t="n">
        <v>0</v>
      </c>
      <c r="R459" s="2" t="inlineStr"/>
    </row>
    <row r="460" ht="15" customHeight="1">
      <c r="A460" t="inlineStr">
        <is>
          <t>A 51247-2025</t>
        </is>
      </c>
      <c r="B460" s="1" t="n">
        <v>45947.86487268518</v>
      </c>
      <c r="C460" s="1" t="n">
        <v>46000</v>
      </c>
      <c r="D460" t="inlineStr">
        <is>
          <t>VÄSTMANLANDS LÄN</t>
        </is>
      </c>
      <c r="E460" t="inlineStr">
        <is>
          <t>SALA</t>
        </is>
      </c>
      <c r="G460" t="n">
        <v>10.4</v>
      </c>
      <c r="H460" t="n">
        <v>0</v>
      </c>
      <c r="I460" t="n">
        <v>0</v>
      </c>
      <c r="J460" t="n">
        <v>0</v>
      </c>
      <c r="K460" t="n">
        <v>0</v>
      </c>
      <c r="L460" t="n">
        <v>0</v>
      </c>
      <c r="M460" t="n">
        <v>0</v>
      </c>
      <c r="N460" t="n">
        <v>0</v>
      </c>
      <c r="O460" t="n">
        <v>0</v>
      </c>
      <c r="P460" t="n">
        <v>0</v>
      </c>
      <c r="Q460" t="n">
        <v>0</v>
      </c>
      <c r="R460" s="2" t="inlineStr"/>
    </row>
    <row r="461" ht="15" customHeight="1">
      <c r="A461" t="inlineStr">
        <is>
          <t>A 59926-2025</t>
        </is>
      </c>
      <c r="B461" s="1" t="n">
        <v>45993.39221064815</v>
      </c>
      <c r="C461" s="1" t="n">
        <v>46000</v>
      </c>
      <c r="D461" t="inlineStr">
        <is>
          <t>VÄSTMANLANDS LÄN</t>
        </is>
      </c>
      <c r="E461" t="inlineStr">
        <is>
          <t>SALA</t>
        </is>
      </c>
      <c r="G461" t="n">
        <v>7.1</v>
      </c>
      <c r="H461" t="n">
        <v>0</v>
      </c>
      <c r="I461" t="n">
        <v>0</v>
      </c>
      <c r="J461" t="n">
        <v>0</v>
      </c>
      <c r="K461" t="n">
        <v>0</v>
      </c>
      <c r="L461" t="n">
        <v>0</v>
      </c>
      <c r="M461" t="n">
        <v>0</v>
      </c>
      <c r="N461" t="n">
        <v>0</v>
      </c>
      <c r="O461" t="n">
        <v>0</v>
      </c>
      <c r="P461" t="n">
        <v>0</v>
      </c>
      <c r="Q461" t="n">
        <v>0</v>
      </c>
      <c r="R461" s="2" t="inlineStr"/>
    </row>
    <row r="462" ht="15" customHeight="1">
      <c r="A462" t="inlineStr">
        <is>
          <t>A 59870-2025</t>
        </is>
      </c>
      <c r="B462" s="1" t="n">
        <v>45992.92226851852</v>
      </c>
      <c r="C462" s="1" t="n">
        <v>46000</v>
      </c>
      <c r="D462" t="inlineStr">
        <is>
          <t>VÄSTMANLANDS LÄN</t>
        </is>
      </c>
      <c r="E462" t="inlineStr">
        <is>
          <t>SALA</t>
        </is>
      </c>
      <c r="G462" t="n">
        <v>3.4</v>
      </c>
      <c r="H462" t="n">
        <v>0</v>
      </c>
      <c r="I462" t="n">
        <v>0</v>
      </c>
      <c r="J462" t="n">
        <v>0</v>
      </c>
      <c r="K462" t="n">
        <v>0</v>
      </c>
      <c r="L462" t="n">
        <v>0</v>
      </c>
      <c r="M462" t="n">
        <v>0</v>
      </c>
      <c r="N462" t="n">
        <v>0</v>
      </c>
      <c r="O462" t="n">
        <v>0</v>
      </c>
      <c r="P462" t="n">
        <v>0</v>
      </c>
      <c r="Q462" t="n">
        <v>0</v>
      </c>
      <c r="R462" s="2" t="inlineStr"/>
    </row>
    <row r="463" ht="15" customHeight="1">
      <c r="A463" t="inlineStr">
        <is>
          <t>A 23374-2023</t>
        </is>
      </c>
      <c r="B463" s="1" t="n">
        <v>45076.4399537037</v>
      </c>
      <c r="C463" s="1" t="n">
        <v>46000</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60017-2025</t>
        </is>
      </c>
      <c r="B464" s="1" t="n">
        <v>45993.59998842593</v>
      </c>
      <c r="C464" s="1" t="n">
        <v>46000</v>
      </c>
      <c r="D464" t="inlineStr">
        <is>
          <t>VÄSTMANLANDS LÄN</t>
        </is>
      </c>
      <c r="E464" t="inlineStr">
        <is>
          <t>SALA</t>
        </is>
      </c>
      <c r="G464" t="n">
        <v>4.4</v>
      </c>
      <c r="H464" t="n">
        <v>0</v>
      </c>
      <c r="I464" t="n">
        <v>0</v>
      </c>
      <c r="J464" t="n">
        <v>0</v>
      </c>
      <c r="K464" t="n">
        <v>0</v>
      </c>
      <c r="L464" t="n">
        <v>0</v>
      </c>
      <c r="M464" t="n">
        <v>0</v>
      </c>
      <c r="N464" t="n">
        <v>0</v>
      </c>
      <c r="O464" t="n">
        <v>0</v>
      </c>
      <c r="P464" t="n">
        <v>0</v>
      </c>
      <c r="Q464" t="n">
        <v>0</v>
      </c>
      <c r="R464" s="2" t="inlineStr"/>
    </row>
    <row r="465" ht="15" customHeight="1">
      <c r="A465" t="inlineStr">
        <is>
          <t>A 6134-2024</t>
        </is>
      </c>
      <c r="B465" s="1" t="n">
        <v>45337</v>
      </c>
      <c r="C465" s="1" t="n">
        <v>46000</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51764-2025</t>
        </is>
      </c>
      <c r="B466" s="1" t="n">
        <v>45951.63636574074</v>
      </c>
      <c r="C466" s="1" t="n">
        <v>46000</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48117-2024</t>
        </is>
      </c>
      <c r="B467" s="1" t="n">
        <v>45589</v>
      </c>
      <c r="C467" s="1" t="n">
        <v>46000</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31082-2021</t>
        </is>
      </c>
      <c r="B468" s="1" t="n">
        <v>44368</v>
      </c>
      <c r="C468" s="1" t="n">
        <v>46000</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51626-2025</t>
        </is>
      </c>
      <c r="B469" s="1" t="n">
        <v>45951.41769675926</v>
      </c>
      <c r="C469" s="1" t="n">
        <v>46000</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59817-2025</t>
        </is>
      </c>
      <c r="B470" s="1" t="n">
        <v>45992.63711805556</v>
      </c>
      <c r="C470" s="1" t="n">
        <v>46000</v>
      </c>
      <c r="D470" t="inlineStr">
        <is>
          <t>VÄSTMANLANDS LÄN</t>
        </is>
      </c>
      <c r="E470" t="inlineStr">
        <is>
          <t>SALA</t>
        </is>
      </c>
      <c r="G470" t="n">
        <v>6.9</v>
      </c>
      <c r="H470" t="n">
        <v>0</v>
      </c>
      <c r="I470" t="n">
        <v>0</v>
      </c>
      <c r="J470" t="n">
        <v>0</v>
      </c>
      <c r="K470" t="n">
        <v>0</v>
      </c>
      <c r="L470" t="n">
        <v>0</v>
      </c>
      <c r="M470" t="n">
        <v>0</v>
      </c>
      <c r="N470" t="n">
        <v>0</v>
      </c>
      <c r="O470" t="n">
        <v>0</v>
      </c>
      <c r="P470" t="n">
        <v>0</v>
      </c>
      <c r="Q470" t="n">
        <v>0</v>
      </c>
      <c r="R470" s="2" t="inlineStr"/>
    </row>
    <row r="471" ht="15" customHeight="1">
      <c r="A471" t="inlineStr">
        <is>
          <t>A 31470-2021</t>
        </is>
      </c>
      <c r="B471" s="1" t="n">
        <v>44369</v>
      </c>
      <c r="C471" s="1" t="n">
        <v>46000</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24175-2024</t>
        </is>
      </c>
      <c r="B472" s="1" t="n">
        <v>45456</v>
      </c>
      <c r="C472" s="1" t="n">
        <v>46000</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51690-2025</t>
        </is>
      </c>
      <c r="B473" s="1" t="n">
        <v>45951.53462962963</v>
      </c>
      <c r="C473" s="1" t="n">
        <v>46000</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28328-2023</t>
        </is>
      </c>
      <c r="B474" s="1" t="n">
        <v>45099.71063657408</v>
      </c>
      <c r="C474" s="1" t="n">
        <v>46000</v>
      </c>
      <c r="D474" t="inlineStr">
        <is>
          <t>VÄSTMANLANDS LÄN</t>
        </is>
      </c>
      <c r="E474" t="inlineStr">
        <is>
          <t>SALA</t>
        </is>
      </c>
      <c r="G474" t="n">
        <v>1.8</v>
      </c>
      <c r="H474" t="n">
        <v>0</v>
      </c>
      <c r="I474" t="n">
        <v>0</v>
      </c>
      <c r="J474" t="n">
        <v>0</v>
      </c>
      <c r="K474" t="n">
        <v>0</v>
      </c>
      <c r="L474" t="n">
        <v>0</v>
      </c>
      <c r="M474" t="n">
        <v>0</v>
      </c>
      <c r="N474" t="n">
        <v>0</v>
      </c>
      <c r="O474" t="n">
        <v>0</v>
      </c>
      <c r="P474" t="n">
        <v>0</v>
      </c>
      <c r="Q474" t="n">
        <v>0</v>
      </c>
      <c r="R474" s="2" t="inlineStr"/>
    </row>
    <row r="475" ht="15" customHeight="1">
      <c r="A475" t="inlineStr">
        <is>
          <t>A 61715-2024</t>
        </is>
      </c>
      <c r="B475" s="1" t="n">
        <v>45648.89519675926</v>
      </c>
      <c r="C475" s="1" t="n">
        <v>46000</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46000</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6132-2025</t>
        </is>
      </c>
      <c r="B477" s="1" t="n">
        <v>45698</v>
      </c>
      <c r="C477" s="1" t="n">
        <v>46000</v>
      </c>
      <c r="D477" t="inlineStr">
        <is>
          <t>VÄSTMANLANDS LÄN</t>
        </is>
      </c>
      <c r="E477" t="inlineStr">
        <is>
          <t>SALA</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44708.48194444444</v>
      </c>
      <c r="C478" s="1" t="n">
        <v>46000</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51804-2025</t>
        </is>
      </c>
      <c r="B479" s="1" t="n">
        <v>45951.77697916667</v>
      </c>
      <c r="C479" s="1" t="n">
        <v>46000</v>
      </c>
      <c r="D479" t="inlineStr">
        <is>
          <t>VÄSTMANLANDS LÄN</t>
        </is>
      </c>
      <c r="E479" t="inlineStr">
        <is>
          <t>SALA</t>
        </is>
      </c>
      <c r="F479" t="inlineStr">
        <is>
          <t>Kommuner</t>
        </is>
      </c>
      <c r="G479" t="n">
        <v>2</v>
      </c>
      <c r="H479" t="n">
        <v>0</v>
      </c>
      <c r="I479" t="n">
        <v>0</v>
      </c>
      <c r="J479" t="n">
        <v>0</v>
      </c>
      <c r="K479" t="n">
        <v>0</v>
      </c>
      <c r="L479" t="n">
        <v>0</v>
      </c>
      <c r="M479" t="n">
        <v>0</v>
      </c>
      <c r="N479" t="n">
        <v>0</v>
      </c>
      <c r="O479" t="n">
        <v>0</v>
      </c>
      <c r="P479" t="n">
        <v>0</v>
      </c>
      <c r="Q479" t="n">
        <v>0</v>
      </c>
      <c r="R479" s="2" t="inlineStr"/>
    </row>
    <row r="480" ht="15" customHeight="1">
      <c r="A480" t="inlineStr">
        <is>
          <t>A 51808-2025</t>
        </is>
      </c>
      <c r="B480" s="1" t="n">
        <v>45951.79302083333</v>
      </c>
      <c r="C480" s="1" t="n">
        <v>46000</v>
      </c>
      <c r="D480" t="inlineStr">
        <is>
          <t>VÄSTMANLANDS LÄN</t>
        </is>
      </c>
      <c r="E480" t="inlineStr">
        <is>
          <t>SALA</t>
        </is>
      </c>
      <c r="F480" t="inlineStr">
        <is>
          <t>Kommuner</t>
        </is>
      </c>
      <c r="G480" t="n">
        <v>3</v>
      </c>
      <c r="H480" t="n">
        <v>0</v>
      </c>
      <c r="I480" t="n">
        <v>0</v>
      </c>
      <c r="J480" t="n">
        <v>0</v>
      </c>
      <c r="K480" t="n">
        <v>0</v>
      </c>
      <c r="L480" t="n">
        <v>0</v>
      </c>
      <c r="M480" t="n">
        <v>0</v>
      </c>
      <c r="N480" t="n">
        <v>0</v>
      </c>
      <c r="O480" t="n">
        <v>0</v>
      </c>
      <c r="P480" t="n">
        <v>0</v>
      </c>
      <c r="Q480" t="n">
        <v>0</v>
      </c>
      <c r="R480" s="2" t="inlineStr"/>
    </row>
    <row r="481" ht="15" customHeight="1">
      <c r="A481" t="inlineStr">
        <is>
          <t>A 51803-2025</t>
        </is>
      </c>
      <c r="B481" s="1" t="n">
        <v>45951.76818287037</v>
      </c>
      <c r="C481" s="1" t="n">
        <v>46000</v>
      </c>
      <c r="D481" t="inlineStr">
        <is>
          <t>VÄSTMANLANDS LÄN</t>
        </is>
      </c>
      <c r="E481" t="inlineStr">
        <is>
          <t>SALA</t>
        </is>
      </c>
      <c r="F481" t="inlineStr">
        <is>
          <t>Kommuner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51805-2025</t>
        </is>
      </c>
      <c r="B482" s="1" t="n">
        <v>45951.78359953704</v>
      </c>
      <c r="C482" s="1" t="n">
        <v>46000</v>
      </c>
      <c r="D482" t="inlineStr">
        <is>
          <t>VÄSTMANLANDS LÄN</t>
        </is>
      </c>
      <c r="E482" t="inlineStr">
        <is>
          <t>SALA</t>
        </is>
      </c>
      <c r="F482" t="inlineStr">
        <is>
          <t>Kommuner</t>
        </is>
      </c>
      <c r="G482" t="n">
        <v>1.3</v>
      </c>
      <c r="H482" t="n">
        <v>0</v>
      </c>
      <c r="I482" t="n">
        <v>0</v>
      </c>
      <c r="J482" t="n">
        <v>0</v>
      </c>
      <c r="K482" t="n">
        <v>0</v>
      </c>
      <c r="L482" t="n">
        <v>0</v>
      </c>
      <c r="M482" t="n">
        <v>0</v>
      </c>
      <c r="N482" t="n">
        <v>0</v>
      </c>
      <c r="O482" t="n">
        <v>0</v>
      </c>
      <c r="P482" t="n">
        <v>0</v>
      </c>
      <c r="Q482" t="n">
        <v>0</v>
      </c>
      <c r="R482" s="2" t="inlineStr"/>
    </row>
    <row r="483" ht="15" customHeight="1">
      <c r="A483" t="inlineStr">
        <is>
          <t>A 51809-2025</t>
        </is>
      </c>
      <c r="B483" s="1" t="n">
        <v>45951.80116898148</v>
      </c>
      <c r="C483" s="1" t="n">
        <v>46000</v>
      </c>
      <c r="D483" t="inlineStr">
        <is>
          <t>VÄSTMANLANDS LÄN</t>
        </is>
      </c>
      <c r="E483" t="inlineStr">
        <is>
          <t>SALA</t>
        </is>
      </c>
      <c r="F483" t="inlineStr">
        <is>
          <t>Kommuner</t>
        </is>
      </c>
      <c r="G483" t="n">
        <v>3.5</v>
      </c>
      <c r="H483" t="n">
        <v>0</v>
      </c>
      <c r="I483" t="n">
        <v>0</v>
      </c>
      <c r="J483" t="n">
        <v>0</v>
      </c>
      <c r="K483" t="n">
        <v>0</v>
      </c>
      <c r="L483" t="n">
        <v>0</v>
      </c>
      <c r="M483" t="n">
        <v>0</v>
      </c>
      <c r="N483" t="n">
        <v>0</v>
      </c>
      <c r="O483" t="n">
        <v>0</v>
      </c>
      <c r="P483" t="n">
        <v>0</v>
      </c>
      <c r="Q483" t="n">
        <v>0</v>
      </c>
      <c r="R483" s="2" t="inlineStr"/>
    </row>
    <row r="484" ht="15" customHeight="1">
      <c r="A484" t="inlineStr">
        <is>
          <t>A 11389-2024</t>
        </is>
      </c>
      <c r="B484" s="1" t="n">
        <v>45372.45016203704</v>
      </c>
      <c r="C484" s="1" t="n">
        <v>46000</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60258-2025</t>
        </is>
      </c>
      <c r="B485" s="1" t="n">
        <v>45994.6064699074</v>
      </c>
      <c r="C485" s="1" t="n">
        <v>46000</v>
      </c>
      <c r="D485" t="inlineStr">
        <is>
          <t>VÄSTMANLANDS LÄN</t>
        </is>
      </c>
      <c r="E485" t="inlineStr">
        <is>
          <t>SALA</t>
        </is>
      </c>
      <c r="G485" t="n">
        <v>2.2</v>
      </c>
      <c r="H485" t="n">
        <v>0</v>
      </c>
      <c r="I485" t="n">
        <v>0</v>
      </c>
      <c r="J485" t="n">
        <v>0</v>
      </c>
      <c r="K485" t="n">
        <v>0</v>
      </c>
      <c r="L485" t="n">
        <v>0</v>
      </c>
      <c r="M485" t="n">
        <v>0</v>
      </c>
      <c r="N485" t="n">
        <v>0</v>
      </c>
      <c r="O485" t="n">
        <v>0</v>
      </c>
      <c r="P485" t="n">
        <v>0</v>
      </c>
      <c r="Q485" t="n">
        <v>0</v>
      </c>
      <c r="R485" s="2" t="inlineStr"/>
    </row>
    <row r="486" ht="15" customHeight="1">
      <c r="A486" t="inlineStr">
        <is>
          <t>A 60259-2025</t>
        </is>
      </c>
      <c r="B486" s="1" t="n">
        <v>45994.60913194445</v>
      </c>
      <c r="C486" s="1" t="n">
        <v>46000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60246-2025</t>
        </is>
      </c>
      <c r="B487" s="1" t="n">
        <v>45994.58931712963</v>
      </c>
      <c r="C487" s="1" t="n">
        <v>46000</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60254-2025</t>
        </is>
      </c>
      <c r="B488" s="1" t="n">
        <v>45994.60146990741</v>
      </c>
      <c r="C488" s="1" t="n">
        <v>46000</v>
      </c>
      <c r="D488" t="inlineStr">
        <is>
          <t>VÄSTMANLANDS LÄN</t>
        </is>
      </c>
      <c r="E488" t="inlineStr">
        <is>
          <t>SALA</t>
        </is>
      </c>
      <c r="G488" t="n">
        <v>1.7</v>
      </c>
      <c r="H488" t="n">
        <v>0</v>
      </c>
      <c r="I488" t="n">
        <v>0</v>
      </c>
      <c r="J488" t="n">
        <v>0</v>
      </c>
      <c r="K488" t="n">
        <v>0</v>
      </c>
      <c r="L488" t="n">
        <v>0</v>
      </c>
      <c r="M488" t="n">
        <v>0</v>
      </c>
      <c r="N488" t="n">
        <v>0</v>
      </c>
      <c r="O488" t="n">
        <v>0</v>
      </c>
      <c r="P488" t="n">
        <v>0</v>
      </c>
      <c r="Q488" t="n">
        <v>0</v>
      </c>
      <c r="R488" s="2" t="inlineStr"/>
    </row>
    <row r="489" ht="15" customHeight="1">
      <c r="A489" t="inlineStr">
        <is>
          <t>A 60241-2025</t>
        </is>
      </c>
      <c r="B489" s="1" t="n">
        <v>45994.58454861111</v>
      </c>
      <c r="C489" s="1" t="n">
        <v>46000</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2925-2024</t>
        </is>
      </c>
      <c r="B490" s="1" t="n">
        <v>45315.58909722222</v>
      </c>
      <c r="C490" s="1" t="n">
        <v>46000</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39439-2021</t>
        </is>
      </c>
      <c r="B491" s="1" t="n">
        <v>44414</v>
      </c>
      <c r="C491" s="1" t="n">
        <v>46000</v>
      </c>
      <c r="D491" t="inlineStr">
        <is>
          <t>VÄSTMANLANDS LÄN</t>
        </is>
      </c>
      <c r="E491" t="inlineStr">
        <is>
          <t>SALA</t>
        </is>
      </c>
      <c r="G491" t="n">
        <v>1.1</v>
      </c>
      <c r="H491" t="n">
        <v>0</v>
      </c>
      <c r="I491" t="n">
        <v>0</v>
      </c>
      <c r="J491" t="n">
        <v>0</v>
      </c>
      <c r="K491" t="n">
        <v>0</v>
      </c>
      <c r="L491" t="n">
        <v>0</v>
      </c>
      <c r="M491" t="n">
        <v>0</v>
      </c>
      <c r="N491" t="n">
        <v>0</v>
      </c>
      <c r="O491" t="n">
        <v>0</v>
      </c>
      <c r="P491" t="n">
        <v>0</v>
      </c>
      <c r="Q491" t="n">
        <v>0</v>
      </c>
      <c r="R491" s="2" t="inlineStr"/>
    </row>
    <row r="492" ht="15" customHeight="1">
      <c r="A492" t="inlineStr">
        <is>
          <t>A 60629-2025</t>
        </is>
      </c>
      <c r="B492" s="1" t="n">
        <v>45996.41972222222</v>
      </c>
      <c r="C492" s="1" t="n">
        <v>46000</v>
      </c>
      <c r="D492" t="inlineStr">
        <is>
          <t>VÄSTMANLANDS LÄN</t>
        </is>
      </c>
      <c r="E492" t="inlineStr">
        <is>
          <t>SALA</t>
        </is>
      </c>
      <c r="G492" t="n">
        <v>4.3</v>
      </c>
      <c r="H492" t="n">
        <v>0</v>
      </c>
      <c r="I492" t="n">
        <v>0</v>
      </c>
      <c r="J492" t="n">
        <v>0</v>
      </c>
      <c r="K492" t="n">
        <v>0</v>
      </c>
      <c r="L492" t="n">
        <v>0</v>
      </c>
      <c r="M492" t="n">
        <v>0</v>
      </c>
      <c r="N492" t="n">
        <v>0</v>
      </c>
      <c r="O492" t="n">
        <v>0</v>
      </c>
      <c r="P492" t="n">
        <v>0</v>
      </c>
      <c r="Q492" t="n">
        <v>0</v>
      </c>
      <c r="R492" s="2" t="inlineStr"/>
    </row>
    <row r="493" ht="15" customHeight="1">
      <c r="A493" t="inlineStr">
        <is>
          <t>A 3332-2024</t>
        </is>
      </c>
      <c r="B493" s="1" t="n">
        <v>45317</v>
      </c>
      <c r="C493" s="1" t="n">
        <v>46000</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57014-2025</t>
        </is>
      </c>
      <c r="B494" s="1" t="n">
        <v>45978</v>
      </c>
      <c r="C494" s="1" t="n">
        <v>46000</v>
      </c>
      <c r="D494" t="inlineStr">
        <is>
          <t>VÄSTMANLANDS LÄN</t>
        </is>
      </c>
      <c r="E494" t="inlineStr">
        <is>
          <t>SALA</t>
        </is>
      </c>
      <c r="G494" t="n">
        <v>2.2</v>
      </c>
      <c r="H494" t="n">
        <v>0</v>
      </c>
      <c r="I494" t="n">
        <v>0</v>
      </c>
      <c r="J494" t="n">
        <v>0</v>
      </c>
      <c r="K494" t="n">
        <v>0</v>
      </c>
      <c r="L494" t="n">
        <v>0</v>
      </c>
      <c r="M494" t="n">
        <v>0</v>
      </c>
      <c r="N494" t="n">
        <v>0</v>
      </c>
      <c r="O494" t="n">
        <v>0</v>
      </c>
      <c r="P494" t="n">
        <v>0</v>
      </c>
      <c r="Q494" t="n">
        <v>0</v>
      </c>
      <c r="R494" s="2" t="inlineStr"/>
    </row>
    <row r="495" ht="15" customHeight="1">
      <c r="A495" t="inlineStr">
        <is>
          <t>A 2529-2022</t>
        </is>
      </c>
      <c r="B495" s="1" t="n">
        <v>44579.86452546297</v>
      </c>
      <c r="C495" s="1" t="n">
        <v>46000</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13471-2025</t>
        </is>
      </c>
      <c r="B496" s="1" t="n">
        <v>45736.40579861111</v>
      </c>
      <c r="C496" s="1" t="n">
        <v>46000</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15681-2025</t>
        </is>
      </c>
      <c r="B497" s="1" t="n">
        <v>45748.45454861111</v>
      </c>
      <c r="C497" s="1" t="n">
        <v>46000</v>
      </c>
      <c r="D497" t="inlineStr">
        <is>
          <t>VÄSTMANLANDS LÄN</t>
        </is>
      </c>
      <c r="E497" t="inlineStr">
        <is>
          <t>SALA</t>
        </is>
      </c>
      <c r="F497" t="inlineStr">
        <is>
          <t>Bergvik skog öst AB</t>
        </is>
      </c>
      <c r="G497" t="n">
        <v>4.3</v>
      </c>
      <c r="H497" t="n">
        <v>0</v>
      </c>
      <c r="I497" t="n">
        <v>0</v>
      </c>
      <c r="J497" t="n">
        <v>0</v>
      </c>
      <c r="K497" t="n">
        <v>0</v>
      </c>
      <c r="L497" t="n">
        <v>0</v>
      </c>
      <c r="M497" t="n">
        <v>0</v>
      </c>
      <c r="N497" t="n">
        <v>0</v>
      </c>
      <c r="O497" t="n">
        <v>0</v>
      </c>
      <c r="P497" t="n">
        <v>0</v>
      </c>
      <c r="Q497" t="n">
        <v>0</v>
      </c>
      <c r="R497" s="2" t="inlineStr"/>
    </row>
    <row r="498" ht="15" customHeight="1">
      <c r="A498" t="inlineStr">
        <is>
          <t>A 18431-2023</t>
        </is>
      </c>
      <c r="B498" s="1" t="n">
        <v>45042</v>
      </c>
      <c r="C498" s="1" t="n">
        <v>46000</v>
      </c>
      <c r="D498" t="inlineStr">
        <is>
          <t>VÄSTMANLANDS LÄN</t>
        </is>
      </c>
      <c r="E498" t="inlineStr">
        <is>
          <t>SALA</t>
        </is>
      </c>
      <c r="G498" t="n">
        <v>1.9</v>
      </c>
      <c r="H498" t="n">
        <v>0</v>
      </c>
      <c r="I498" t="n">
        <v>0</v>
      </c>
      <c r="J498" t="n">
        <v>0</v>
      </c>
      <c r="K498" t="n">
        <v>0</v>
      </c>
      <c r="L498" t="n">
        <v>0</v>
      </c>
      <c r="M498" t="n">
        <v>0</v>
      </c>
      <c r="N498" t="n">
        <v>0</v>
      </c>
      <c r="O498" t="n">
        <v>0</v>
      </c>
      <c r="P498" t="n">
        <v>0</v>
      </c>
      <c r="Q498" t="n">
        <v>0</v>
      </c>
      <c r="R498" s="2" t="inlineStr"/>
    </row>
    <row r="499" ht="15" customHeight="1">
      <c r="A499" t="inlineStr">
        <is>
          <t>A 27424-2023</t>
        </is>
      </c>
      <c r="B499" s="1" t="n">
        <v>45097.37690972222</v>
      </c>
      <c r="C499" s="1" t="n">
        <v>46000</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58701-2021</t>
        </is>
      </c>
      <c r="B500" s="1" t="n">
        <v>44489.46454861111</v>
      </c>
      <c r="C500" s="1" t="n">
        <v>46000</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11244-2024</t>
        </is>
      </c>
      <c r="B501" s="1" t="n">
        <v>45371</v>
      </c>
      <c r="C501" s="1" t="n">
        <v>46000</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12225-2023</t>
        </is>
      </c>
      <c r="B502" s="1" t="n">
        <v>44995</v>
      </c>
      <c r="C502" s="1" t="n">
        <v>46000</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61874-2021</t>
        </is>
      </c>
      <c r="B503" s="1" t="n">
        <v>44502</v>
      </c>
      <c r="C503" s="1" t="n">
        <v>46000</v>
      </c>
      <c r="D503" t="inlineStr">
        <is>
          <t>VÄSTMANLANDS LÄN</t>
        </is>
      </c>
      <c r="E503" t="inlineStr">
        <is>
          <t>SALA</t>
        </is>
      </c>
      <c r="F503" t="inlineStr">
        <is>
          <t>Kyrkan</t>
        </is>
      </c>
      <c r="G503" t="n">
        <v>1.3</v>
      </c>
      <c r="H503" t="n">
        <v>0</v>
      </c>
      <c r="I503" t="n">
        <v>0</v>
      </c>
      <c r="J503" t="n">
        <v>0</v>
      </c>
      <c r="K503" t="n">
        <v>0</v>
      </c>
      <c r="L503" t="n">
        <v>0</v>
      </c>
      <c r="M503" t="n">
        <v>0</v>
      </c>
      <c r="N503" t="n">
        <v>0</v>
      </c>
      <c r="O503" t="n">
        <v>0</v>
      </c>
      <c r="P503" t="n">
        <v>0</v>
      </c>
      <c r="Q503" t="n">
        <v>0</v>
      </c>
      <c r="R503" s="2" t="inlineStr"/>
    </row>
    <row r="504" ht="15" customHeight="1">
      <c r="A504" t="inlineStr">
        <is>
          <t>A 62651-2022</t>
        </is>
      </c>
      <c r="B504" s="1" t="n">
        <v>44917</v>
      </c>
      <c r="C504" s="1" t="n">
        <v>46000</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15968-2024</t>
        </is>
      </c>
      <c r="B505" s="1" t="n">
        <v>45405.56021990741</v>
      </c>
      <c r="C505" s="1" t="n">
        <v>46000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46000</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46000</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46000</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46000</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6032-2025</t>
        </is>
      </c>
      <c r="B510" s="1" t="n">
        <v>45695.6371875</v>
      </c>
      <c r="C510" s="1" t="n">
        <v>46000</v>
      </c>
      <c r="D510" t="inlineStr">
        <is>
          <t>VÄSTMANLANDS LÄN</t>
        </is>
      </c>
      <c r="E510" t="inlineStr">
        <is>
          <t>SALA</t>
        </is>
      </c>
      <c r="F510" t="inlineStr">
        <is>
          <t>Bergvik skog öst AB</t>
        </is>
      </c>
      <c r="G510" t="n">
        <v>8.1</v>
      </c>
      <c r="H510" t="n">
        <v>0</v>
      </c>
      <c r="I510" t="n">
        <v>0</v>
      </c>
      <c r="J510" t="n">
        <v>0</v>
      </c>
      <c r="K510" t="n">
        <v>0</v>
      </c>
      <c r="L510" t="n">
        <v>0</v>
      </c>
      <c r="M510" t="n">
        <v>0</v>
      </c>
      <c r="N510" t="n">
        <v>0</v>
      </c>
      <c r="O510" t="n">
        <v>0</v>
      </c>
      <c r="P510" t="n">
        <v>0</v>
      </c>
      <c r="Q510" t="n">
        <v>0</v>
      </c>
      <c r="R510" s="2" t="inlineStr"/>
    </row>
    <row r="511" ht="15" customHeight="1">
      <c r="A511" t="inlineStr">
        <is>
          <t>A 2766-2024</t>
        </is>
      </c>
      <c r="B511" s="1" t="n">
        <v>45314.60950231482</v>
      </c>
      <c r="C511" s="1" t="n">
        <v>46000</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6351-2023</t>
        </is>
      </c>
      <c r="B512" s="1" t="n">
        <v>44965</v>
      </c>
      <c r="C512" s="1" t="n">
        <v>46000</v>
      </c>
      <c r="D512" t="inlineStr">
        <is>
          <t>VÄSTMANLANDS LÄN</t>
        </is>
      </c>
      <c r="E512" t="inlineStr">
        <is>
          <t>SALA</t>
        </is>
      </c>
      <c r="F512" t="inlineStr">
        <is>
          <t>Kommuner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45187-2024</t>
        </is>
      </c>
      <c r="B513" s="1" t="n">
        <v>45575</v>
      </c>
      <c r="C513" s="1" t="n">
        <v>46000</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33527-2023</t>
        </is>
      </c>
      <c r="B514" s="1" t="n">
        <v>45131</v>
      </c>
      <c r="C514" s="1" t="n">
        <v>46000</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7377-2023</t>
        </is>
      </c>
      <c r="B515" s="1" t="n">
        <v>44971</v>
      </c>
      <c r="C515" s="1" t="n">
        <v>46000</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6308-2021</t>
        </is>
      </c>
      <c r="B516" s="1" t="n">
        <v>44235</v>
      </c>
      <c r="C516" s="1" t="n">
        <v>46000</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21159-2022</t>
        </is>
      </c>
      <c r="B517" s="1" t="n">
        <v>44704</v>
      </c>
      <c r="C517" s="1" t="n">
        <v>46000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56688-2024</t>
        </is>
      </c>
      <c r="B518" s="1" t="n">
        <v>45627.66478009259</v>
      </c>
      <c r="C518" s="1" t="n">
        <v>46000</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46000</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66307-2021</t>
        </is>
      </c>
      <c r="B520" s="1" t="n">
        <v>44518.48670138889</v>
      </c>
      <c r="C520" s="1" t="n">
        <v>46000</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27262-2024</t>
        </is>
      </c>
      <c r="B521" s="1" t="n">
        <v>45471</v>
      </c>
      <c r="C521" s="1" t="n">
        <v>46000</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10913-2025</t>
        </is>
      </c>
      <c r="B522" s="1" t="n">
        <v>45722.73423611111</v>
      </c>
      <c r="C522" s="1" t="n">
        <v>46000</v>
      </c>
      <c r="D522" t="inlineStr">
        <is>
          <t>VÄSTMANLANDS LÄN</t>
        </is>
      </c>
      <c r="E522" t="inlineStr">
        <is>
          <t>SALA</t>
        </is>
      </c>
      <c r="G522" t="n">
        <v>7.6</v>
      </c>
      <c r="H522" t="n">
        <v>0</v>
      </c>
      <c r="I522" t="n">
        <v>0</v>
      </c>
      <c r="J522" t="n">
        <v>0</v>
      </c>
      <c r="K522" t="n">
        <v>0</v>
      </c>
      <c r="L522" t="n">
        <v>0</v>
      </c>
      <c r="M522" t="n">
        <v>0</v>
      </c>
      <c r="N522" t="n">
        <v>0</v>
      </c>
      <c r="O522" t="n">
        <v>0</v>
      </c>
      <c r="P522" t="n">
        <v>0</v>
      </c>
      <c r="Q522" t="n">
        <v>0</v>
      </c>
      <c r="R522" s="2" t="inlineStr"/>
    </row>
    <row r="523" ht="15" customHeight="1">
      <c r="A523" t="inlineStr">
        <is>
          <t>A 35410-2022</t>
        </is>
      </c>
      <c r="B523" s="1" t="n">
        <v>44798.62576388889</v>
      </c>
      <c r="C523" s="1" t="n">
        <v>46000</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1118-2024</t>
        </is>
      </c>
      <c r="B524" s="1" t="n">
        <v>45302</v>
      </c>
      <c r="C524" s="1" t="n">
        <v>46000</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19033-2025</t>
        </is>
      </c>
      <c r="B525" s="1" t="n">
        <v>45764.65796296296</v>
      </c>
      <c r="C525" s="1" t="n">
        <v>46000</v>
      </c>
      <c r="D525" t="inlineStr">
        <is>
          <t>VÄSTMANLANDS LÄN</t>
        </is>
      </c>
      <c r="E525" t="inlineStr">
        <is>
          <t>SALA</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53864-2022</t>
        </is>
      </c>
      <c r="B526" s="1" t="n">
        <v>44880.64016203704</v>
      </c>
      <c r="C526" s="1" t="n">
        <v>46000</v>
      </c>
      <c r="D526" t="inlineStr">
        <is>
          <t>VÄSTMANLANDS LÄN</t>
        </is>
      </c>
      <c r="E526" t="inlineStr">
        <is>
          <t>SALA</t>
        </is>
      </c>
      <c r="G526" t="n">
        <v>5.9</v>
      </c>
      <c r="H526" t="n">
        <v>0</v>
      </c>
      <c r="I526" t="n">
        <v>0</v>
      </c>
      <c r="J526" t="n">
        <v>0</v>
      </c>
      <c r="K526" t="n">
        <v>0</v>
      </c>
      <c r="L526" t="n">
        <v>0</v>
      </c>
      <c r="M526" t="n">
        <v>0</v>
      </c>
      <c r="N526" t="n">
        <v>0</v>
      </c>
      <c r="O526" t="n">
        <v>0</v>
      </c>
      <c r="P526" t="n">
        <v>0</v>
      </c>
      <c r="Q526" t="n">
        <v>0</v>
      </c>
      <c r="R526" s="2" t="inlineStr"/>
    </row>
    <row r="527" ht="15" customHeight="1">
      <c r="A527" t="inlineStr">
        <is>
          <t>A 40085-2024</t>
        </is>
      </c>
      <c r="B527" s="1" t="n">
        <v>45554</v>
      </c>
      <c r="C527" s="1" t="n">
        <v>46000</v>
      </c>
      <c r="D527" t="inlineStr">
        <is>
          <t>VÄSTMANLANDS LÄN</t>
        </is>
      </c>
      <c r="E527" t="inlineStr">
        <is>
          <t>SALA</t>
        </is>
      </c>
      <c r="G527" t="n">
        <v>2.8</v>
      </c>
      <c r="H527" t="n">
        <v>0</v>
      </c>
      <c r="I527" t="n">
        <v>0</v>
      </c>
      <c r="J527" t="n">
        <v>0</v>
      </c>
      <c r="K527" t="n">
        <v>0</v>
      </c>
      <c r="L527" t="n">
        <v>0</v>
      </c>
      <c r="M527" t="n">
        <v>0</v>
      </c>
      <c r="N527" t="n">
        <v>0</v>
      </c>
      <c r="O527" t="n">
        <v>0</v>
      </c>
      <c r="P527" t="n">
        <v>0</v>
      </c>
      <c r="Q527" t="n">
        <v>0</v>
      </c>
      <c r="R527" s="2" t="inlineStr"/>
    </row>
    <row r="528" ht="15" customHeight="1">
      <c r="A528" t="inlineStr">
        <is>
          <t>A 3551-2024</t>
        </is>
      </c>
      <c r="B528" s="1" t="n">
        <v>45320.61099537037</v>
      </c>
      <c r="C528" s="1" t="n">
        <v>46000</v>
      </c>
      <c r="D528" t="inlineStr">
        <is>
          <t>VÄSTMANLANDS LÄN</t>
        </is>
      </c>
      <c r="E528" t="inlineStr">
        <is>
          <t>SALA</t>
        </is>
      </c>
      <c r="F528" t="inlineStr">
        <is>
          <t>Kommuner</t>
        </is>
      </c>
      <c r="G528" t="n">
        <v>6</v>
      </c>
      <c r="H528" t="n">
        <v>0</v>
      </c>
      <c r="I528" t="n">
        <v>0</v>
      </c>
      <c r="J528" t="n">
        <v>0</v>
      </c>
      <c r="K528" t="n">
        <v>0</v>
      </c>
      <c r="L528" t="n">
        <v>0</v>
      </c>
      <c r="M528" t="n">
        <v>0</v>
      </c>
      <c r="N528" t="n">
        <v>0</v>
      </c>
      <c r="O528" t="n">
        <v>0</v>
      </c>
      <c r="P528" t="n">
        <v>0</v>
      </c>
      <c r="Q528" t="n">
        <v>0</v>
      </c>
      <c r="R528" s="2" t="inlineStr"/>
    </row>
    <row r="529" ht="15" customHeight="1">
      <c r="A529" t="inlineStr">
        <is>
          <t>A 22961-2023</t>
        </is>
      </c>
      <c r="B529" s="1" t="n">
        <v>45072</v>
      </c>
      <c r="C529" s="1" t="n">
        <v>46000</v>
      </c>
      <c r="D529" t="inlineStr">
        <is>
          <t>VÄSTMANLANDS LÄN</t>
        </is>
      </c>
      <c r="E529" t="inlineStr">
        <is>
          <t>SALA</t>
        </is>
      </c>
      <c r="G529" t="n">
        <v>2.7</v>
      </c>
      <c r="H529" t="n">
        <v>0</v>
      </c>
      <c r="I529" t="n">
        <v>0</v>
      </c>
      <c r="J529" t="n">
        <v>0</v>
      </c>
      <c r="K529" t="n">
        <v>0</v>
      </c>
      <c r="L529" t="n">
        <v>0</v>
      </c>
      <c r="M529" t="n">
        <v>0</v>
      </c>
      <c r="N529" t="n">
        <v>0</v>
      </c>
      <c r="O529" t="n">
        <v>0</v>
      </c>
      <c r="P529" t="n">
        <v>0</v>
      </c>
      <c r="Q529" t="n">
        <v>0</v>
      </c>
      <c r="R529" s="2" t="inlineStr"/>
    </row>
    <row r="530" ht="15" customHeight="1">
      <c r="A530" t="inlineStr">
        <is>
          <t>A 22963-2023</t>
        </is>
      </c>
      <c r="B530" s="1" t="n">
        <v>45072</v>
      </c>
      <c r="C530" s="1" t="n">
        <v>46000</v>
      </c>
      <c r="D530" t="inlineStr">
        <is>
          <t>VÄSTMANLANDS LÄN</t>
        </is>
      </c>
      <c r="E530" t="inlineStr">
        <is>
          <t>SALA</t>
        </is>
      </c>
      <c r="G530" t="n">
        <v>1.2</v>
      </c>
      <c r="H530" t="n">
        <v>0</v>
      </c>
      <c r="I530" t="n">
        <v>0</v>
      </c>
      <c r="J530" t="n">
        <v>0</v>
      </c>
      <c r="K530" t="n">
        <v>0</v>
      </c>
      <c r="L530" t="n">
        <v>0</v>
      </c>
      <c r="M530" t="n">
        <v>0</v>
      </c>
      <c r="N530" t="n">
        <v>0</v>
      </c>
      <c r="O530" t="n">
        <v>0</v>
      </c>
      <c r="P530" t="n">
        <v>0</v>
      </c>
      <c r="Q530" t="n">
        <v>0</v>
      </c>
      <c r="R530" s="2" t="inlineStr"/>
    </row>
    <row r="531" ht="15" customHeight="1">
      <c r="A531" t="inlineStr">
        <is>
          <t>A 54960-2024</t>
        </is>
      </c>
      <c r="B531" s="1" t="n">
        <v>45619.85208333333</v>
      </c>
      <c r="C531" s="1" t="n">
        <v>46000</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27228-2023</t>
        </is>
      </c>
      <c r="B532" s="1" t="n">
        <v>45096.59189814814</v>
      </c>
      <c r="C532" s="1" t="n">
        <v>46000</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26507-2023</t>
        </is>
      </c>
      <c r="B533" s="1" t="n">
        <v>45092</v>
      </c>
      <c r="C533" s="1" t="n">
        <v>46000</v>
      </c>
      <c r="D533" t="inlineStr">
        <is>
          <t>VÄSTMANLANDS LÄN</t>
        </is>
      </c>
      <c r="E533" t="inlineStr">
        <is>
          <t>SALA</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6183-2025</t>
        </is>
      </c>
      <c r="B534" s="1" t="n">
        <v>45698</v>
      </c>
      <c r="C534" s="1" t="n">
        <v>46000</v>
      </c>
      <c r="D534" t="inlineStr">
        <is>
          <t>VÄSTMANLANDS LÄN</t>
        </is>
      </c>
      <c r="E534" t="inlineStr">
        <is>
          <t>SALA</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16543-2023</t>
        </is>
      </c>
      <c r="B535" s="1" t="n">
        <v>45029</v>
      </c>
      <c r="C535" s="1" t="n">
        <v>46000</v>
      </c>
      <c r="D535" t="inlineStr">
        <is>
          <t>VÄSTMANLANDS LÄN</t>
        </is>
      </c>
      <c r="E535" t="inlineStr">
        <is>
          <t>SALA</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43176-2023</t>
        </is>
      </c>
      <c r="B536" s="1" t="n">
        <v>45183</v>
      </c>
      <c r="C536" s="1" t="n">
        <v>46000</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37624-2024</t>
        </is>
      </c>
      <c r="B537" s="1" t="n">
        <v>45541</v>
      </c>
      <c r="C537" s="1" t="n">
        <v>46000</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57895-2024</t>
        </is>
      </c>
      <c r="B538" s="1" t="n">
        <v>45631</v>
      </c>
      <c r="C538" s="1" t="n">
        <v>46000</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47086-2022</t>
        </is>
      </c>
      <c r="B539" s="1" t="n">
        <v>44852</v>
      </c>
      <c r="C539" s="1" t="n">
        <v>46000</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14010-2021</t>
        </is>
      </c>
      <c r="B540" s="1" t="n">
        <v>44277.63396990741</v>
      </c>
      <c r="C540" s="1" t="n">
        <v>46000</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56687-2024</t>
        </is>
      </c>
      <c r="B541" s="1" t="n">
        <v>45627.63271990741</v>
      </c>
      <c r="C541" s="1" t="n">
        <v>46000</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54347-2024</t>
        </is>
      </c>
      <c r="B542" s="1" t="n">
        <v>45617.39325231482</v>
      </c>
      <c r="C542" s="1" t="n">
        <v>46000</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64693-2023</t>
        </is>
      </c>
      <c r="B543" s="1" t="n">
        <v>45281.63850694444</v>
      </c>
      <c r="C543" s="1" t="n">
        <v>46000</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64695-2023</t>
        </is>
      </c>
      <c r="B544" s="1" t="n">
        <v>45281.64099537037</v>
      </c>
      <c r="C544" s="1" t="n">
        <v>46000</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27486-2022</t>
        </is>
      </c>
      <c r="B545" s="1" t="n">
        <v>44742.60846064815</v>
      </c>
      <c r="C545" s="1" t="n">
        <v>46000</v>
      </c>
      <c r="D545" t="inlineStr">
        <is>
          <t>VÄSTMANLANDS LÄN</t>
        </is>
      </c>
      <c r="E545" t="inlineStr">
        <is>
          <t>SALA</t>
        </is>
      </c>
      <c r="F545" t="inlineStr">
        <is>
          <t>Sveaskog</t>
        </is>
      </c>
      <c r="G545" t="n">
        <v>2</v>
      </c>
      <c r="H545" t="n">
        <v>0</v>
      </c>
      <c r="I545" t="n">
        <v>0</v>
      </c>
      <c r="J545" t="n">
        <v>0</v>
      </c>
      <c r="K545" t="n">
        <v>0</v>
      </c>
      <c r="L545" t="n">
        <v>0</v>
      </c>
      <c r="M545" t="n">
        <v>0</v>
      </c>
      <c r="N545" t="n">
        <v>0</v>
      </c>
      <c r="O545" t="n">
        <v>0</v>
      </c>
      <c r="P545" t="n">
        <v>0</v>
      </c>
      <c r="Q545" t="n">
        <v>0</v>
      </c>
      <c r="R545" s="2" t="inlineStr"/>
    </row>
    <row r="546" ht="15" customHeight="1">
      <c r="A546" t="inlineStr">
        <is>
          <t>A 35003-2024</t>
        </is>
      </c>
      <c r="B546" s="1" t="n">
        <v>45527.56790509259</v>
      </c>
      <c r="C546" s="1" t="n">
        <v>46000</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48688-2024</t>
        </is>
      </c>
      <c r="B547" s="1" t="n">
        <v>45593.50541666667</v>
      </c>
      <c r="C547" s="1" t="n">
        <v>46000</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15354-2021</t>
        </is>
      </c>
      <c r="B548" s="1" t="n">
        <v>44284</v>
      </c>
      <c r="C548" s="1" t="n">
        <v>46000</v>
      </c>
      <c r="D548" t="inlineStr">
        <is>
          <t>VÄSTMANLANDS LÄN</t>
        </is>
      </c>
      <c r="E548" t="inlineStr">
        <is>
          <t>SALA</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63933-2023</t>
        </is>
      </c>
      <c r="B549" s="1" t="n">
        <v>45278</v>
      </c>
      <c r="C549" s="1" t="n">
        <v>46000</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44746-2024</t>
        </is>
      </c>
      <c r="B550" s="1" t="n">
        <v>45574.59813657407</v>
      </c>
      <c r="C550" s="1" t="n">
        <v>46000</v>
      </c>
      <c r="D550" t="inlineStr">
        <is>
          <t>VÄSTMANLANDS LÄN</t>
        </is>
      </c>
      <c r="E550" t="inlineStr">
        <is>
          <t>SALA</t>
        </is>
      </c>
      <c r="G550" t="n">
        <v>6.7</v>
      </c>
      <c r="H550" t="n">
        <v>0</v>
      </c>
      <c r="I550" t="n">
        <v>0</v>
      </c>
      <c r="J550" t="n">
        <v>0</v>
      </c>
      <c r="K550" t="n">
        <v>0</v>
      </c>
      <c r="L550" t="n">
        <v>0</v>
      </c>
      <c r="M550" t="n">
        <v>0</v>
      </c>
      <c r="N550" t="n">
        <v>0</v>
      </c>
      <c r="O550" t="n">
        <v>0</v>
      </c>
      <c r="P550" t="n">
        <v>0</v>
      </c>
      <c r="Q550" t="n">
        <v>0</v>
      </c>
      <c r="R550" s="2" t="inlineStr"/>
    </row>
    <row r="551" ht="15" customHeight="1">
      <c r="A551" t="inlineStr">
        <is>
          <t>A 33273-2023</t>
        </is>
      </c>
      <c r="B551" s="1" t="n">
        <v>45127</v>
      </c>
      <c r="C551" s="1" t="n">
        <v>46000</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11696-2025</t>
        </is>
      </c>
      <c r="B552" s="1" t="n">
        <v>45727</v>
      </c>
      <c r="C552" s="1" t="n">
        <v>46000</v>
      </c>
      <c r="D552" t="inlineStr">
        <is>
          <t>VÄSTMANLANDS LÄN</t>
        </is>
      </c>
      <c r="E552" t="inlineStr">
        <is>
          <t>SALA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60545-2024</t>
        </is>
      </c>
      <c r="B553" s="1" t="n">
        <v>45643</v>
      </c>
      <c r="C553" s="1" t="n">
        <v>46000</v>
      </c>
      <c r="D553" t="inlineStr">
        <is>
          <t>VÄSTMANLANDS LÄN</t>
        </is>
      </c>
      <c r="E553" t="inlineStr">
        <is>
          <t>SALA</t>
        </is>
      </c>
      <c r="G553" t="n">
        <v>3.3</v>
      </c>
      <c r="H553" t="n">
        <v>0</v>
      </c>
      <c r="I553" t="n">
        <v>0</v>
      </c>
      <c r="J553" t="n">
        <v>0</v>
      </c>
      <c r="K553" t="n">
        <v>0</v>
      </c>
      <c r="L553" t="n">
        <v>0</v>
      </c>
      <c r="M553" t="n">
        <v>0</v>
      </c>
      <c r="N553" t="n">
        <v>0</v>
      </c>
      <c r="O553" t="n">
        <v>0</v>
      </c>
      <c r="P553" t="n">
        <v>0</v>
      </c>
      <c r="Q553" t="n">
        <v>0</v>
      </c>
      <c r="R553" s="2" t="inlineStr"/>
    </row>
    <row r="554" ht="15" customHeight="1">
      <c r="A554" t="inlineStr">
        <is>
          <t>A 60547-2024</t>
        </is>
      </c>
      <c r="B554" s="1" t="n">
        <v>45643</v>
      </c>
      <c r="C554" s="1" t="n">
        <v>46000</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1985-2022</t>
        </is>
      </c>
      <c r="B555" s="1" t="n">
        <v>44575</v>
      </c>
      <c r="C555" s="1" t="n">
        <v>46000</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27261-2024</t>
        </is>
      </c>
      <c r="B556" s="1" t="n">
        <v>45471</v>
      </c>
      <c r="C556" s="1" t="n">
        <v>46000</v>
      </c>
      <c r="D556" t="inlineStr">
        <is>
          <t>VÄSTMANLANDS LÄN</t>
        </is>
      </c>
      <c r="E556" t="inlineStr">
        <is>
          <t>SALA</t>
        </is>
      </c>
      <c r="G556" t="n">
        <v>6.1</v>
      </c>
      <c r="H556" t="n">
        <v>0</v>
      </c>
      <c r="I556" t="n">
        <v>0</v>
      </c>
      <c r="J556" t="n">
        <v>0</v>
      </c>
      <c r="K556" t="n">
        <v>0</v>
      </c>
      <c r="L556" t="n">
        <v>0</v>
      </c>
      <c r="M556" t="n">
        <v>0</v>
      </c>
      <c r="N556" t="n">
        <v>0</v>
      </c>
      <c r="O556" t="n">
        <v>0</v>
      </c>
      <c r="P556" t="n">
        <v>0</v>
      </c>
      <c r="Q556" t="n">
        <v>0</v>
      </c>
      <c r="R556" s="2" t="inlineStr"/>
    </row>
    <row r="557" ht="15" customHeight="1">
      <c r="A557" t="inlineStr">
        <is>
          <t>A 35976-2024</t>
        </is>
      </c>
      <c r="B557" s="1" t="n">
        <v>45533.49555555556</v>
      </c>
      <c r="C557" s="1" t="n">
        <v>46000</v>
      </c>
      <c r="D557" t="inlineStr">
        <is>
          <t>VÄSTMANLANDS LÄN</t>
        </is>
      </c>
      <c r="E557" t="inlineStr">
        <is>
          <t>SALA</t>
        </is>
      </c>
      <c r="G557" t="n">
        <v>2.3</v>
      </c>
      <c r="H557" t="n">
        <v>0</v>
      </c>
      <c r="I557" t="n">
        <v>0</v>
      </c>
      <c r="J557" t="n">
        <v>0</v>
      </c>
      <c r="K557" t="n">
        <v>0</v>
      </c>
      <c r="L557" t="n">
        <v>0</v>
      </c>
      <c r="M557" t="n">
        <v>0</v>
      </c>
      <c r="N557" t="n">
        <v>0</v>
      </c>
      <c r="O557" t="n">
        <v>0</v>
      </c>
      <c r="P557" t="n">
        <v>0</v>
      </c>
      <c r="Q557" t="n">
        <v>0</v>
      </c>
      <c r="R557" s="2" t="inlineStr"/>
    </row>
    <row r="558" ht="15" customHeight="1">
      <c r="A558" t="inlineStr">
        <is>
          <t>A 55556-2023</t>
        </is>
      </c>
      <c r="B558" s="1" t="n">
        <v>45232</v>
      </c>
      <c r="C558" s="1" t="n">
        <v>46000</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57650-2024</t>
        </is>
      </c>
      <c r="B559" s="1" t="n">
        <v>45630</v>
      </c>
      <c r="C559" s="1" t="n">
        <v>46000</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50479-2022</t>
        </is>
      </c>
      <c r="B560" s="1" t="n">
        <v>44861</v>
      </c>
      <c r="C560" s="1" t="n">
        <v>46000</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45790-2023</t>
        </is>
      </c>
      <c r="B561" s="1" t="n">
        <v>45195.45958333334</v>
      </c>
      <c r="C561" s="1" t="n">
        <v>46000</v>
      </c>
      <c r="D561" t="inlineStr">
        <is>
          <t>VÄSTMANLANDS LÄN</t>
        </is>
      </c>
      <c r="E561" t="inlineStr">
        <is>
          <t>SALA</t>
        </is>
      </c>
      <c r="G561" t="n">
        <v>5.7</v>
      </c>
      <c r="H561" t="n">
        <v>0</v>
      </c>
      <c r="I561" t="n">
        <v>0</v>
      </c>
      <c r="J561" t="n">
        <v>0</v>
      </c>
      <c r="K561" t="n">
        <v>0</v>
      </c>
      <c r="L561" t="n">
        <v>0</v>
      </c>
      <c r="M561" t="n">
        <v>0</v>
      </c>
      <c r="N561" t="n">
        <v>0</v>
      </c>
      <c r="O561" t="n">
        <v>0</v>
      </c>
      <c r="P561" t="n">
        <v>0</v>
      </c>
      <c r="Q561" t="n">
        <v>0</v>
      </c>
      <c r="R561" s="2" t="inlineStr"/>
    </row>
    <row r="562" ht="15" customHeight="1">
      <c r="A562" t="inlineStr">
        <is>
          <t>A 2928-2024</t>
        </is>
      </c>
      <c r="B562" s="1" t="n">
        <v>45315.59041666667</v>
      </c>
      <c r="C562" s="1" t="n">
        <v>46000</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73673-2021</t>
        </is>
      </c>
      <c r="B563" s="1" t="n">
        <v>44552.46501157407</v>
      </c>
      <c r="C563" s="1" t="n">
        <v>46000</v>
      </c>
      <c r="D563" t="inlineStr">
        <is>
          <t>VÄSTMANLANDS LÄN</t>
        </is>
      </c>
      <c r="E563" t="inlineStr">
        <is>
          <t>SALA</t>
        </is>
      </c>
      <c r="G563" t="n">
        <v>11.4</v>
      </c>
      <c r="H563" t="n">
        <v>0</v>
      </c>
      <c r="I563" t="n">
        <v>0</v>
      </c>
      <c r="J563" t="n">
        <v>0</v>
      </c>
      <c r="K563" t="n">
        <v>0</v>
      </c>
      <c r="L563" t="n">
        <v>0</v>
      </c>
      <c r="M563" t="n">
        <v>0</v>
      </c>
      <c r="N563" t="n">
        <v>0</v>
      </c>
      <c r="O563" t="n">
        <v>0</v>
      </c>
      <c r="P563" t="n">
        <v>0</v>
      </c>
      <c r="Q563" t="n">
        <v>0</v>
      </c>
      <c r="R563" s="2" t="inlineStr"/>
    </row>
    <row r="564" ht="15" customHeight="1">
      <c r="A564" t="inlineStr">
        <is>
          <t>A 40871-2021</t>
        </is>
      </c>
      <c r="B564" s="1" t="n">
        <v>44421</v>
      </c>
      <c r="C564" s="1" t="n">
        <v>46000</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14271-2025</t>
        </is>
      </c>
      <c r="B565" s="1" t="n">
        <v>45740.64129629629</v>
      </c>
      <c r="C565" s="1" t="n">
        <v>46000</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54199-2024</t>
        </is>
      </c>
      <c r="B566" s="1" t="n">
        <v>45616.64703703704</v>
      </c>
      <c r="C566" s="1" t="n">
        <v>46000</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6312-2025</t>
        </is>
      </c>
      <c r="B567" s="1" t="n">
        <v>45698</v>
      </c>
      <c r="C567" s="1" t="n">
        <v>46000</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44857-2023</t>
        </is>
      </c>
      <c r="B568" s="1" t="n">
        <v>45190.58479166667</v>
      </c>
      <c r="C568" s="1" t="n">
        <v>46000</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62654-2022</t>
        </is>
      </c>
      <c r="B569" s="1" t="n">
        <v>44917</v>
      </c>
      <c r="C569" s="1" t="n">
        <v>46000</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43188-2023</t>
        </is>
      </c>
      <c r="B570" s="1" t="n">
        <v>45183</v>
      </c>
      <c r="C570" s="1" t="n">
        <v>46000</v>
      </c>
      <c r="D570" t="inlineStr">
        <is>
          <t>VÄSTMANLANDS LÄN</t>
        </is>
      </c>
      <c r="E570" t="inlineStr">
        <is>
          <t>SALA</t>
        </is>
      </c>
      <c r="G570" t="n">
        <v>1.2</v>
      </c>
      <c r="H570" t="n">
        <v>0</v>
      </c>
      <c r="I570" t="n">
        <v>0</v>
      </c>
      <c r="J570" t="n">
        <v>0</v>
      </c>
      <c r="K570" t="n">
        <v>0</v>
      </c>
      <c r="L570" t="n">
        <v>0</v>
      </c>
      <c r="M570" t="n">
        <v>0</v>
      </c>
      <c r="N570" t="n">
        <v>0</v>
      </c>
      <c r="O570" t="n">
        <v>0</v>
      </c>
      <c r="P570" t="n">
        <v>0</v>
      </c>
      <c r="Q570" t="n">
        <v>0</v>
      </c>
      <c r="R570" s="2" t="inlineStr"/>
    </row>
    <row r="571" ht="15" customHeight="1">
      <c r="A571" t="inlineStr">
        <is>
          <t>A 43205-2023</t>
        </is>
      </c>
      <c r="B571" s="1" t="n">
        <v>45183</v>
      </c>
      <c r="C571" s="1" t="n">
        <v>46000</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61892-2021</t>
        </is>
      </c>
      <c r="B572" s="1" t="n">
        <v>44502</v>
      </c>
      <c r="C572" s="1" t="n">
        <v>46000</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29213-2022</t>
        </is>
      </c>
      <c r="B573" s="1" t="n">
        <v>44750.57474537037</v>
      </c>
      <c r="C573" s="1" t="n">
        <v>46000</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59483-2022</t>
        </is>
      </c>
      <c r="B574" s="1" t="n">
        <v>44907.45679398148</v>
      </c>
      <c r="C574" s="1" t="n">
        <v>46000</v>
      </c>
      <c r="D574" t="inlineStr">
        <is>
          <t>VÄSTMANLANDS LÄN</t>
        </is>
      </c>
      <c r="E574" t="inlineStr">
        <is>
          <t>SALA</t>
        </is>
      </c>
      <c r="G574" t="n">
        <v>5.2</v>
      </c>
      <c r="H574" t="n">
        <v>0</v>
      </c>
      <c r="I574" t="n">
        <v>0</v>
      </c>
      <c r="J574" t="n">
        <v>0</v>
      </c>
      <c r="K574" t="n">
        <v>0</v>
      </c>
      <c r="L574" t="n">
        <v>0</v>
      </c>
      <c r="M574" t="n">
        <v>0</v>
      </c>
      <c r="N574" t="n">
        <v>0</v>
      </c>
      <c r="O574" t="n">
        <v>0</v>
      </c>
      <c r="P574" t="n">
        <v>0</v>
      </c>
      <c r="Q574" t="n">
        <v>0</v>
      </c>
      <c r="R574" s="2" t="inlineStr"/>
    </row>
    <row r="575" ht="15" customHeight="1">
      <c r="A575" t="inlineStr">
        <is>
          <t>A 16160-2024</t>
        </is>
      </c>
      <c r="B575" s="1" t="n">
        <v>45406</v>
      </c>
      <c r="C575" s="1" t="n">
        <v>46000</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39597-2022</t>
        </is>
      </c>
      <c r="B576" s="1" t="n">
        <v>44818</v>
      </c>
      <c r="C576" s="1" t="n">
        <v>46000</v>
      </c>
      <c r="D576" t="inlineStr">
        <is>
          <t>VÄSTMANLANDS LÄN</t>
        </is>
      </c>
      <c r="E576" t="inlineStr">
        <is>
          <t>SALA</t>
        </is>
      </c>
      <c r="G576" t="n">
        <v>2.3</v>
      </c>
      <c r="H576" t="n">
        <v>0</v>
      </c>
      <c r="I576" t="n">
        <v>0</v>
      </c>
      <c r="J576" t="n">
        <v>0</v>
      </c>
      <c r="K576" t="n">
        <v>0</v>
      </c>
      <c r="L576" t="n">
        <v>0</v>
      </c>
      <c r="M576" t="n">
        <v>0</v>
      </c>
      <c r="N576" t="n">
        <v>0</v>
      </c>
      <c r="O576" t="n">
        <v>0</v>
      </c>
      <c r="P576" t="n">
        <v>0</v>
      </c>
      <c r="Q576" t="n">
        <v>0</v>
      </c>
      <c r="R576" s="2" t="inlineStr"/>
    </row>
    <row r="577" ht="15" customHeight="1">
      <c r="A577" t="inlineStr">
        <is>
          <t>A 22921-2023</t>
        </is>
      </c>
      <c r="B577" s="1" t="n">
        <v>45070</v>
      </c>
      <c r="C577" s="1" t="n">
        <v>46000</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36858-2023</t>
        </is>
      </c>
      <c r="B578" s="1" t="n">
        <v>45154.55184027777</v>
      </c>
      <c r="C578" s="1" t="n">
        <v>46000</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55024-2023</t>
        </is>
      </c>
      <c r="B579" s="1" t="n">
        <v>45229</v>
      </c>
      <c r="C579" s="1" t="n">
        <v>46000</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55032-2023</t>
        </is>
      </c>
      <c r="B580" s="1" t="n">
        <v>45229</v>
      </c>
      <c r="C580" s="1" t="n">
        <v>46000</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20352-2022</t>
        </is>
      </c>
      <c r="B581" s="1" t="n">
        <v>44699.37318287037</v>
      </c>
      <c r="C581" s="1" t="n">
        <v>46000</v>
      </c>
      <c r="D581" t="inlineStr">
        <is>
          <t>VÄSTMANLANDS LÄN</t>
        </is>
      </c>
      <c r="E581" t="inlineStr">
        <is>
          <t>SALA</t>
        </is>
      </c>
      <c r="G581" t="n">
        <v>1.3</v>
      </c>
      <c r="H581" t="n">
        <v>0</v>
      </c>
      <c r="I581" t="n">
        <v>0</v>
      </c>
      <c r="J581" t="n">
        <v>0</v>
      </c>
      <c r="K581" t="n">
        <v>0</v>
      </c>
      <c r="L581" t="n">
        <v>0</v>
      </c>
      <c r="M581" t="n">
        <v>0</v>
      </c>
      <c r="N581" t="n">
        <v>0</v>
      </c>
      <c r="O581" t="n">
        <v>0</v>
      </c>
      <c r="P581" t="n">
        <v>0</v>
      </c>
      <c r="Q581" t="n">
        <v>0</v>
      </c>
      <c r="R581" s="2" t="inlineStr"/>
    </row>
    <row r="582" ht="15" customHeight="1">
      <c r="A582" t="inlineStr">
        <is>
          <t>A 5032-2025</t>
        </is>
      </c>
      <c r="B582" s="1" t="n">
        <v>45691</v>
      </c>
      <c r="C582" s="1" t="n">
        <v>46000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17117-2023</t>
        </is>
      </c>
      <c r="B583" s="1" t="n">
        <v>45034</v>
      </c>
      <c r="C583" s="1" t="n">
        <v>46000</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19243-2025</t>
        </is>
      </c>
      <c r="B584" s="1" t="n">
        <v>45769</v>
      </c>
      <c r="C584" s="1" t="n">
        <v>46000</v>
      </c>
      <c r="D584" t="inlineStr">
        <is>
          <t>VÄSTMANLANDS LÄN</t>
        </is>
      </c>
      <c r="E584" t="inlineStr">
        <is>
          <t>SALA</t>
        </is>
      </c>
      <c r="F584" t="inlineStr">
        <is>
          <t>Bergvik skog öst AB</t>
        </is>
      </c>
      <c r="G584" t="n">
        <v>1.5</v>
      </c>
      <c r="H584" t="n">
        <v>0</v>
      </c>
      <c r="I584" t="n">
        <v>0</v>
      </c>
      <c r="J584" t="n">
        <v>0</v>
      </c>
      <c r="K584" t="n">
        <v>0</v>
      </c>
      <c r="L584" t="n">
        <v>0</v>
      </c>
      <c r="M584" t="n">
        <v>0</v>
      </c>
      <c r="N584" t="n">
        <v>0</v>
      </c>
      <c r="O584" t="n">
        <v>0</v>
      </c>
      <c r="P584" t="n">
        <v>0</v>
      </c>
      <c r="Q584" t="n">
        <v>0</v>
      </c>
      <c r="R584" s="2" t="inlineStr"/>
    </row>
    <row r="585" ht="15" customHeight="1">
      <c r="A585" t="inlineStr">
        <is>
          <t>A 7166-2025</t>
        </is>
      </c>
      <c r="B585" s="1" t="n">
        <v>45702</v>
      </c>
      <c r="C585" s="1" t="n">
        <v>46000</v>
      </c>
      <c r="D585" t="inlineStr">
        <is>
          <t>VÄSTMANLANDS LÄN</t>
        </is>
      </c>
      <c r="E585" t="inlineStr">
        <is>
          <t>SALA</t>
        </is>
      </c>
      <c r="G585" t="n">
        <v>6.1</v>
      </c>
      <c r="H585" t="n">
        <v>0</v>
      </c>
      <c r="I585" t="n">
        <v>0</v>
      </c>
      <c r="J585" t="n">
        <v>0</v>
      </c>
      <c r="K585" t="n">
        <v>0</v>
      </c>
      <c r="L585" t="n">
        <v>0</v>
      </c>
      <c r="M585" t="n">
        <v>0</v>
      </c>
      <c r="N585" t="n">
        <v>0</v>
      </c>
      <c r="O585" t="n">
        <v>0</v>
      </c>
      <c r="P585" t="n">
        <v>0</v>
      </c>
      <c r="Q585" t="n">
        <v>0</v>
      </c>
      <c r="R585" s="2" t="inlineStr"/>
    </row>
    <row r="586" ht="15" customHeight="1">
      <c r="A586" t="inlineStr">
        <is>
          <t>A 36393-2023</t>
        </is>
      </c>
      <c r="B586" s="1" t="n">
        <v>45152</v>
      </c>
      <c r="C586" s="1" t="n">
        <v>46000</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26416-2023</t>
        </is>
      </c>
      <c r="B587" s="1" t="n">
        <v>45092.38087962963</v>
      </c>
      <c r="C587" s="1" t="n">
        <v>46000</v>
      </c>
      <c r="D587" t="inlineStr">
        <is>
          <t>VÄSTMANLANDS LÄN</t>
        </is>
      </c>
      <c r="E587" t="inlineStr">
        <is>
          <t>SALA</t>
        </is>
      </c>
      <c r="G587" t="n">
        <v>2.9</v>
      </c>
      <c r="H587" t="n">
        <v>0</v>
      </c>
      <c r="I587" t="n">
        <v>0</v>
      </c>
      <c r="J587" t="n">
        <v>0</v>
      </c>
      <c r="K587" t="n">
        <v>0</v>
      </c>
      <c r="L587" t="n">
        <v>0</v>
      </c>
      <c r="M587" t="n">
        <v>0</v>
      </c>
      <c r="N587" t="n">
        <v>0</v>
      </c>
      <c r="O587" t="n">
        <v>0</v>
      </c>
      <c r="P587" t="n">
        <v>0</v>
      </c>
      <c r="Q587" t="n">
        <v>0</v>
      </c>
      <c r="R587" s="2" t="inlineStr"/>
    </row>
    <row r="588" ht="15" customHeight="1">
      <c r="A588" t="inlineStr">
        <is>
          <t>A 66821-2020</t>
        </is>
      </c>
      <c r="B588" s="1" t="n">
        <v>44179.88008101852</v>
      </c>
      <c r="C588" s="1" t="n">
        <v>46000</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28661-2024</t>
        </is>
      </c>
      <c r="B589" s="1" t="n">
        <v>45478</v>
      </c>
      <c r="C589" s="1" t="n">
        <v>46000</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27255-2023</t>
        </is>
      </c>
      <c r="B590" s="1" t="n">
        <v>45096</v>
      </c>
      <c r="C590" s="1" t="n">
        <v>46000</v>
      </c>
      <c r="D590" t="inlineStr">
        <is>
          <t>VÄSTMANLANDS LÄN</t>
        </is>
      </c>
      <c r="E590" t="inlineStr">
        <is>
          <t>SALA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7197-2025</t>
        </is>
      </c>
      <c r="B591" s="1" t="n">
        <v>45702</v>
      </c>
      <c r="C591" s="1" t="n">
        <v>46000</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13752-2025</t>
        </is>
      </c>
      <c r="B592" s="1" t="n">
        <v>45737.41416666667</v>
      </c>
      <c r="C592" s="1" t="n">
        <v>46000</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2927-2024</t>
        </is>
      </c>
      <c r="B593" s="1" t="n">
        <v>45315.58989583333</v>
      </c>
      <c r="C593" s="1" t="n">
        <v>46000</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26854-2024</t>
        </is>
      </c>
      <c r="B594" s="1" t="n">
        <v>45470</v>
      </c>
      <c r="C594" s="1" t="n">
        <v>46000</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48570-2024</t>
        </is>
      </c>
      <c r="B595" s="1" t="n">
        <v>45591</v>
      </c>
      <c r="C595" s="1" t="n">
        <v>46000</v>
      </c>
      <c r="D595" t="inlineStr">
        <is>
          <t>VÄSTMANLANDS LÄN</t>
        </is>
      </c>
      <c r="E595" t="inlineStr">
        <is>
          <t>SALA</t>
        </is>
      </c>
      <c r="G595" t="n">
        <v>3</v>
      </c>
      <c r="H595" t="n">
        <v>0</v>
      </c>
      <c r="I595" t="n">
        <v>0</v>
      </c>
      <c r="J595" t="n">
        <v>0</v>
      </c>
      <c r="K595" t="n">
        <v>0</v>
      </c>
      <c r="L595" t="n">
        <v>0</v>
      </c>
      <c r="M595" t="n">
        <v>0</v>
      </c>
      <c r="N595" t="n">
        <v>0</v>
      </c>
      <c r="O595" t="n">
        <v>0</v>
      </c>
      <c r="P595" t="n">
        <v>0</v>
      </c>
      <c r="Q595" t="n">
        <v>0</v>
      </c>
      <c r="R595" s="2" t="inlineStr"/>
    </row>
    <row r="596" ht="15" customHeight="1">
      <c r="A596" t="inlineStr">
        <is>
          <t>A 10812-2021</t>
        </is>
      </c>
      <c r="B596" s="1" t="n">
        <v>44259</v>
      </c>
      <c r="C596" s="1" t="n">
        <v>46000</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57883-2024</t>
        </is>
      </c>
      <c r="B597" s="1" t="n">
        <v>45630</v>
      </c>
      <c r="C597" s="1" t="n">
        <v>46000</v>
      </c>
      <c r="D597" t="inlineStr">
        <is>
          <t>VÄSTMANLANDS LÄN</t>
        </is>
      </c>
      <c r="E597" t="inlineStr">
        <is>
          <t>SALA</t>
        </is>
      </c>
      <c r="G597" t="n">
        <v>5.4</v>
      </c>
      <c r="H597" t="n">
        <v>0</v>
      </c>
      <c r="I597" t="n">
        <v>0</v>
      </c>
      <c r="J597" t="n">
        <v>0</v>
      </c>
      <c r="K597" t="n">
        <v>0</v>
      </c>
      <c r="L597" t="n">
        <v>0</v>
      </c>
      <c r="M597" t="n">
        <v>0</v>
      </c>
      <c r="N597" t="n">
        <v>0</v>
      </c>
      <c r="O597" t="n">
        <v>0</v>
      </c>
      <c r="P597" t="n">
        <v>0</v>
      </c>
      <c r="Q597" t="n">
        <v>0</v>
      </c>
      <c r="R597" s="2" t="inlineStr"/>
    </row>
    <row r="598" ht="15" customHeight="1">
      <c r="A598" t="inlineStr">
        <is>
          <t>A 16769-2024</t>
        </is>
      </c>
      <c r="B598" s="1" t="n">
        <v>45411.38738425926</v>
      </c>
      <c r="C598" s="1" t="n">
        <v>46000</v>
      </c>
      <c r="D598" t="inlineStr">
        <is>
          <t>VÄSTMANLANDS LÄN</t>
        </is>
      </c>
      <c r="E598" t="inlineStr">
        <is>
          <t>SALA</t>
        </is>
      </c>
      <c r="G598" t="n">
        <v>12</v>
      </c>
      <c r="H598" t="n">
        <v>0</v>
      </c>
      <c r="I598" t="n">
        <v>0</v>
      </c>
      <c r="J598" t="n">
        <v>0</v>
      </c>
      <c r="K598" t="n">
        <v>0</v>
      </c>
      <c r="L598" t="n">
        <v>0</v>
      </c>
      <c r="M598" t="n">
        <v>0</v>
      </c>
      <c r="N598" t="n">
        <v>0</v>
      </c>
      <c r="O598" t="n">
        <v>0</v>
      </c>
      <c r="P598" t="n">
        <v>0</v>
      </c>
      <c r="Q598" t="n">
        <v>0</v>
      </c>
      <c r="R598" s="2" t="inlineStr"/>
    </row>
    <row r="599" ht="15" customHeight="1">
      <c r="A599" t="inlineStr">
        <is>
          <t>A 18877-2023</t>
        </is>
      </c>
      <c r="B599" s="1" t="n">
        <v>45044</v>
      </c>
      <c r="C599" s="1" t="n">
        <v>46000</v>
      </c>
      <c r="D599" t="inlineStr">
        <is>
          <t>VÄSTMANLANDS LÄN</t>
        </is>
      </c>
      <c r="E599" t="inlineStr">
        <is>
          <t>SALA</t>
        </is>
      </c>
      <c r="F599" t="inlineStr">
        <is>
          <t>Kommuner</t>
        </is>
      </c>
      <c r="G599" t="n">
        <v>4.4</v>
      </c>
      <c r="H599" t="n">
        <v>0</v>
      </c>
      <c r="I599" t="n">
        <v>0</v>
      </c>
      <c r="J599" t="n">
        <v>0</v>
      </c>
      <c r="K599" t="n">
        <v>0</v>
      </c>
      <c r="L599" t="n">
        <v>0</v>
      </c>
      <c r="M599" t="n">
        <v>0</v>
      </c>
      <c r="N599" t="n">
        <v>0</v>
      </c>
      <c r="O599" t="n">
        <v>0</v>
      </c>
      <c r="P599" t="n">
        <v>0</v>
      </c>
      <c r="Q599" t="n">
        <v>0</v>
      </c>
      <c r="R599" s="2" t="inlineStr"/>
    </row>
    <row r="600" ht="15" customHeight="1">
      <c r="A600" t="inlineStr">
        <is>
          <t>A 44544-2024</t>
        </is>
      </c>
      <c r="B600" s="1" t="n">
        <v>45574.46119212963</v>
      </c>
      <c r="C600" s="1" t="n">
        <v>46000</v>
      </c>
      <c r="D600" t="inlineStr">
        <is>
          <t>VÄSTMANLANDS LÄN</t>
        </is>
      </c>
      <c r="E600" t="inlineStr">
        <is>
          <t>SALA</t>
        </is>
      </c>
      <c r="G600" t="n">
        <v>3.3</v>
      </c>
      <c r="H600" t="n">
        <v>0</v>
      </c>
      <c r="I600" t="n">
        <v>0</v>
      </c>
      <c r="J600" t="n">
        <v>0</v>
      </c>
      <c r="K600" t="n">
        <v>0</v>
      </c>
      <c r="L600" t="n">
        <v>0</v>
      </c>
      <c r="M600" t="n">
        <v>0</v>
      </c>
      <c r="N600" t="n">
        <v>0</v>
      </c>
      <c r="O600" t="n">
        <v>0</v>
      </c>
      <c r="P600" t="n">
        <v>0</v>
      </c>
      <c r="Q600" t="n">
        <v>0</v>
      </c>
      <c r="R600" s="2" t="inlineStr"/>
    </row>
    <row r="601" ht="15" customHeight="1">
      <c r="A601" t="inlineStr">
        <is>
          <t>A 60379-2022</t>
        </is>
      </c>
      <c r="B601" s="1" t="n">
        <v>44910</v>
      </c>
      <c r="C601" s="1" t="n">
        <v>46000</v>
      </c>
      <c r="D601" t="inlineStr">
        <is>
          <t>VÄSTMANLANDS LÄN</t>
        </is>
      </c>
      <c r="E601" t="inlineStr">
        <is>
          <t>SALA</t>
        </is>
      </c>
      <c r="F601" t="inlineStr">
        <is>
          <t>Kyrkan</t>
        </is>
      </c>
      <c r="G601" t="n">
        <v>2.5</v>
      </c>
      <c r="H601" t="n">
        <v>0</v>
      </c>
      <c r="I601" t="n">
        <v>0</v>
      </c>
      <c r="J601" t="n">
        <v>0</v>
      </c>
      <c r="K601" t="n">
        <v>0</v>
      </c>
      <c r="L601" t="n">
        <v>0</v>
      </c>
      <c r="M601" t="n">
        <v>0</v>
      </c>
      <c r="N601" t="n">
        <v>0</v>
      </c>
      <c r="O601" t="n">
        <v>0</v>
      </c>
      <c r="P601" t="n">
        <v>0</v>
      </c>
      <c r="Q601" t="n">
        <v>0</v>
      </c>
      <c r="R601" s="2" t="inlineStr"/>
    </row>
    <row r="602" ht="15" customHeight="1">
      <c r="A602" t="inlineStr">
        <is>
          <t>A 56547-2022</t>
        </is>
      </c>
      <c r="B602" s="1" t="n">
        <v>44893.48284722222</v>
      </c>
      <c r="C602" s="1" t="n">
        <v>46000</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29542-2023</t>
        </is>
      </c>
      <c r="B603" s="1" t="n">
        <v>45098</v>
      </c>
      <c r="C603" s="1" t="n">
        <v>46000</v>
      </c>
      <c r="D603" t="inlineStr">
        <is>
          <t>VÄSTMANLANDS LÄN</t>
        </is>
      </c>
      <c r="E603" t="inlineStr">
        <is>
          <t>SALA</t>
        </is>
      </c>
      <c r="G603" t="n">
        <v>4.8</v>
      </c>
      <c r="H603" t="n">
        <v>0</v>
      </c>
      <c r="I603" t="n">
        <v>0</v>
      </c>
      <c r="J603" t="n">
        <v>0</v>
      </c>
      <c r="K603" t="n">
        <v>0</v>
      </c>
      <c r="L603" t="n">
        <v>0</v>
      </c>
      <c r="M603" t="n">
        <v>0</v>
      </c>
      <c r="N603" t="n">
        <v>0</v>
      </c>
      <c r="O603" t="n">
        <v>0</v>
      </c>
      <c r="P603" t="n">
        <v>0</v>
      </c>
      <c r="Q603" t="n">
        <v>0</v>
      </c>
      <c r="R603" s="2" t="inlineStr"/>
    </row>
    <row r="604" ht="15" customHeight="1">
      <c r="A604" t="inlineStr">
        <is>
          <t>A 16638-2023</t>
        </is>
      </c>
      <c r="B604" s="1" t="n">
        <v>45027</v>
      </c>
      <c r="C604" s="1" t="n">
        <v>46000</v>
      </c>
      <c r="D604" t="inlineStr">
        <is>
          <t>VÄSTMANLANDS LÄN</t>
        </is>
      </c>
      <c r="E604" t="inlineStr">
        <is>
          <t>SALA</t>
        </is>
      </c>
      <c r="G604" t="n">
        <v>14.8</v>
      </c>
      <c r="H604" t="n">
        <v>0</v>
      </c>
      <c r="I604" t="n">
        <v>0</v>
      </c>
      <c r="J604" t="n">
        <v>0</v>
      </c>
      <c r="K604" t="n">
        <v>0</v>
      </c>
      <c r="L604" t="n">
        <v>0</v>
      </c>
      <c r="M604" t="n">
        <v>0</v>
      </c>
      <c r="N604" t="n">
        <v>0</v>
      </c>
      <c r="O604" t="n">
        <v>0</v>
      </c>
      <c r="P604" t="n">
        <v>0</v>
      </c>
      <c r="Q604" t="n">
        <v>0</v>
      </c>
      <c r="R604" s="2" t="inlineStr"/>
    </row>
    <row r="605" ht="15" customHeight="1">
      <c r="A605" t="inlineStr">
        <is>
          <t>A 37190-2024</t>
        </is>
      </c>
      <c r="B605" s="1" t="n">
        <v>45539</v>
      </c>
      <c r="C605" s="1" t="n">
        <v>46000</v>
      </c>
      <c r="D605" t="inlineStr">
        <is>
          <t>VÄSTMANLANDS LÄN</t>
        </is>
      </c>
      <c r="E605" t="inlineStr">
        <is>
          <t>SALA</t>
        </is>
      </c>
      <c r="G605" t="n">
        <v>0.9</v>
      </c>
      <c r="H605" t="n">
        <v>0</v>
      </c>
      <c r="I605" t="n">
        <v>0</v>
      </c>
      <c r="J605" t="n">
        <v>0</v>
      </c>
      <c r="K605" t="n">
        <v>0</v>
      </c>
      <c r="L605" t="n">
        <v>0</v>
      </c>
      <c r="M605" t="n">
        <v>0</v>
      </c>
      <c r="N605" t="n">
        <v>0</v>
      </c>
      <c r="O605" t="n">
        <v>0</v>
      </c>
      <c r="P605" t="n">
        <v>0</v>
      </c>
      <c r="Q605" t="n">
        <v>0</v>
      </c>
      <c r="R605" s="2" t="inlineStr"/>
    </row>
    <row r="606" ht="15" customHeight="1">
      <c r="A606" t="inlineStr">
        <is>
          <t>A 23222-2023</t>
        </is>
      </c>
      <c r="B606" s="1" t="n">
        <v>45075</v>
      </c>
      <c r="C606" s="1" t="n">
        <v>46000</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23224-2023</t>
        </is>
      </c>
      <c r="B607" s="1" t="n">
        <v>45075.65040509259</v>
      </c>
      <c r="C607" s="1" t="n">
        <v>46000</v>
      </c>
      <c r="D607" t="inlineStr">
        <is>
          <t>VÄSTMANLANDS LÄN</t>
        </is>
      </c>
      <c r="E607" t="inlineStr">
        <is>
          <t>SALA</t>
        </is>
      </c>
      <c r="G607" t="n">
        <v>0.8</v>
      </c>
      <c r="H607" t="n">
        <v>0</v>
      </c>
      <c r="I607" t="n">
        <v>0</v>
      </c>
      <c r="J607" t="n">
        <v>0</v>
      </c>
      <c r="K607" t="n">
        <v>0</v>
      </c>
      <c r="L607" t="n">
        <v>0</v>
      </c>
      <c r="M607" t="n">
        <v>0</v>
      </c>
      <c r="N607" t="n">
        <v>0</v>
      </c>
      <c r="O607" t="n">
        <v>0</v>
      </c>
      <c r="P607" t="n">
        <v>0</v>
      </c>
      <c r="Q607" t="n">
        <v>0</v>
      </c>
      <c r="R607" s="2" t="inlineStr"/>
    </row>
    <row r="608" ht="15" customHeight="1">
      <c r="A608" t="inlineStr">
        <is>
          <t>A 22026-2021</t>
        </is>
      </c>
      <c r="B608" s="1" t="n">
        <v>44323</v>
      </c>
      <c r="C608" s="1" t="n">
        <v>46000</v>
      </c>
      <c r="D608" t="inlineStr">
        <is>
          <t>VÄSTMANLANDS LÄN</t>
        </is>
      </c>
      <c r="E608" t="inlineStr">
        <is>
          <t>SALA</t>
        </is>
      </c>
      <c r="G608" t="n">
        <v>2.9</v>
      </c>
      <c r="H608" t="n">
        <v>0</v>
      </c>
      <c r="I608" t="n">
        <v>0</v>
      </c>
      <c r="J608" t="n">
        <v>0</v>
      </c>
      <c r="K608" t="n">
        <v>0</v>
      </c>
      <c r="L608" t="n">
        <v>0</v>
      </c>
      <c r="M608" t="n">
        <v>0</v>
      </c>
      <c r="N608" t="n">
        <v>0</v>
      </c>
      <c r="O608" t="n">
        <v>0</v>
      </c>
      <c r="P608" t="n">
        <v>0</v>
      </c>
      <c r="Q608" t="n">
        <v>0</v>
      </c>
      <c r="R608" s="2" t="inlineStr"/>
    </row>
    <row r="609" ht="15" customHeight="1">
      <c r="A609" t="inlineStr">
        <is>
          <t>A 68864-2021</t>
        </is>
      </c>
      <c r="B609" s="1" t="n">
        <v>44530</v>
      </c>
      <c r="C609" s="1" t="n">
        <v>46000</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19065-2022</t>
        </is>
      </c>
      <c r="B610" s="1" t="n">
        <v>44691.44309027777</v>
      </c>
      <c r="C610" s="1" t="n">
        <v>46000</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37612-2024</t>
        </is>
      </c>
      <c r="B611" s="1" t="n">
        <v>45541</v>
      </c>
      <c r="C611" s="1" t="n">
        <v>46000</v>
      </c>
      <c r="D611" t="inlineStr">
        <is>
          <t>VÄSTMANLANDS LÄN</t>
        </is>
      </c>
      <c r="E611" t="inlineStr">
        <is>
          <t>SALA</t>
        </is>
      </c>
      <c r="G611" t="n">
        <v>2.2</v>
      </c>
      <c r="H611" t="n">
        <v>0</v>
      </c>
      <c r="I611" t="n">
        <v>0</v>
      </c>
      <c r="J611" t="n">
        <v>0</v>
      </c>
      <c r="K611" t="n">
        <v>0</v>
      </c>
      <c r="L611" t="n">
        <v>0</v>
      </c>
      <c r="M611" t="n">
        <v>0</v>
      </c>
      <c r="N611" t="n">
        <v>0</v>
      </c>
      <c r="O611" t="n">
        <v>0</v>
      </c>
      <c r="P611" t="n">
        <v>0</v>
      </c>
      <c r="Q611" t="n">
        <v>0</v>
      </c>
      <c r="R611" s="2" t="inlineStr"/>
    </row>
    <row r="612" ht="15" customHeight="1">
      <c r="A612" t="inlineStr">
        <is>
          <t>A 37615-2024</t>
        </is>
      </c>
      <c r="B612" s="1" t="n">
        <v>45541.50673611111</v>
      </c>
      <c r="C612" s="1" t="n">
        <v>46000</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18158-2025</t>
        </is>
      </c>
      <c r="B613" s="1" t="n">
        <v>45761</v>
      </c>
      <c r="C613" s="1" t="n">
        <v>46000</v>
      </c>
      <c r="D613" t="inlineStr">
        <is>
          <t>VÄSTMANLANDS LÄN</t>
        </is>
      </c>
      <c r="E613" t="inlineStr">
        <is>
          <t>SALA</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9962-2025</t>
        </is>
      </c>
      <c r="B614" s="1" t="n">
        <v>45719.37072916667</v>
      </c>
      <c r="C614" s="1" t="n">
        <v>46000</v>
      </c>
      <c r="D614" t="inlineStr">
        <is>
          <t>VÄSTMANLANDS LÄN</t>
        </is>
      </c>
      <c r="E614" t="inlineStr">
        <is>
          <t>SALA</t>
        </is>
      </c>
      <c r="G614" t="n">
        <v>4.5</v>
      </c>
      <c r="H614" t="n">
        <v>0</v>
      </c>
      <c r="I614" t="n">
        <v>0</v>
      </c>
      <c r="J614" t="n">
        <v>0</v>
      </c>
      <c r="K614" t="n">
        <v>0</v>
      </c>
      <c r="L614" t="n">
        <v>0</v>
      </c>
      <c r="M614" t="n">
        <v>0</v>
      </c>
      <c r="N614" t="n">
        <v>0</v>
      </c>
      <c r="O614" t="n">
        <v>0</v>
      </c>
      <c r="P614" t="n">
        <v>0</v>
      </c>
      <c r="Q614" t="n">
        <v>0</v>
      </c>
      <c r="R614" s="2" t="inlineStr"/>
    </row>
    <row r="615" ht="15" customHeight="1">
      <c r="A615" t="inlineStr">
        <is>
          <t>A 37602-2024</t>
        </is>
      </c>
      <c r="B615" s="1" t="n">
        <v>45541</v>
      </c>
      <c r="C615" s="1" t="n">
        <v>46000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18762-2024</t>
        </is>
      </c>
      <c r="B616" s="1" t="n">
        <v>45426.55240740741</v>
      </c>
      <c r="C616" s="1" t="n">
        <v>46000</v>
      </c>
      <c r="D616" t="inlineStr">
        <is>
          <t>VÄSTMANLANDS LÄN</t>
        </is>
      </c>
      <c r="E616" t="inlineStr">
        <is>
          <t>SALA</t>
        </is>
      </c>
      <c r="G616" t="n">
        <v>6.2</v>
      </c>
      <c r="H616" t="n">
        <v>0</v>
      </c>
      <c r="I616" t="n">
        <v>0</v>
      </c>
      <c r="J616" t="n">
        <v>0</v>
      </c>
      <c r="K616" t="n">
        <v>0</v>
      </c>
      <c r="L616" t="n">
        <v>0</v>
      </c>
      <c r="M616" t="n">
        <v>0</v>
      </c>
      <c r="N616" t="n">
        <v>0</v>
      </c>
      <c r="O616" t="n">
        <v>0</v>
      </c>
      <c r="P616" t="n">
        <v>0</v>
      </c>
      <c r="Q616" t="n">
        <v>0</v>
      </c>
      <c r="R616" s="2" t="inlineStr"/>
    </row>
    <row r="617" ht="15" customHeight="1">
      <c r="A617" t="inlineStr">
        <is>
          <t>A 39011-2023</t>
        </is>
      </c>
      <c r="B617" s="1" t="n">
        <v>45162</v>
      </c>
      <c r="C617" s="1" t="n">
        <v>46000</v>
      </c>
      <c r="D617" t="inlineStr">
        <is>
          <t>VÄSTMANLANDS LÄN</t>
        </is>
      </c>
      <c r="E617" t="inlineStr">
        <is>
          <t>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46352-2023</t>
        </is>
      </c>
      <c r="B618" s="1" t="n">
        <v>45192</v>
      </c>
      <c r="C618" s="1" t="n">
        <v>46000</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43751-2021</t>
        </is>
      </c>
      <c r="B619" s="1" t="n">
        <v>44433</v>
      </c>
      <c r="C619" s="1" t="n">
        <v>46000</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1128-2025</t>
        </is>
      </c>
      <c r="B620" s="1" t="n">
        <v>45666.68469907407</v>
      </c>
      <c r="C620" s="1" t="n">
        <v>46000</v>
      </c>
      <c r="D620" t="inlineStr">
        <is>
          <t>VÄSTMANLANDS LÄN</t>
        </is>
      </c>
      <c r="E620" t="inlineStr">
        <is>
          <t>SALA</t>
        </is>
      </c>
      <c r="G620" t="n">
        <v>2.5</v>
      </c>
      <c r="H620" t="n">
        <v>0</v>
      </c>
      <c r="I620" t="n">
        <v>0</v>
      </c>
      <c r="J620" t="n">
        <v>0</v>
      </c>
      <c r="K620" t="n">
        <v>0</v>
      </c>
      <c r="L620" t="n">
        <v>0</v>
      </c>
      <c r="M620" t="n">
        <v>0</v>
      </c>
      <c r="N620" t="n">
        <v>0</v>
      </c>
      <c r="O620" t="n">
        <v>0</v>
      </c>
      <c r="P620" t="n">
        <v>0</v>
      </c>
      <c r="Q620" t="n">
        <v>0</v>
      </c>
      <c r="R620" s="2" t="inlineStr"/>
    </row>
    <row r="621" ht="15" customHeight="1">
      <c r="A621" t="inlineStr">
        <is>
          <t>A 31950-2023</t>
        </is>
      </c>
      <c r="B621" s="1" t="n">
        <v>45107</v>
      </c>
      <c r="C621" s="1" t="n">
        <v>46000</v>
      </c>
      <c r="D621" t="inlineStr">
        <is>
          <t>VÄSTMANLANDS LÄN</t>
        </is>
      </c>
      <c r="E621" t="inlineStr">
        <is>
          <t>SALA</t>
        </is>
      </c>
      <c r="G621" t="n">
        <v>0.1</v>
      </c>
      <c r="H621" t="n">
        <v>0</v>
      </c>
      <c r="I621" t="n">
        <v>0</v>
      </c>
      <c r="J621" t="n">
        <v>0</v>
      </c>
      <c r="K621" t="n">
        <v>0</v>
      </c>
      <c r="L621" t="n">
        <v>0</v>
      </c>
      <c r="M621" t="n">
        <v>0</v>
      </c>
      <c r="N621" t="n">
        <v>0</v>
      </c>
      <c r="O621" t="n">
        <v>0</v>
      </c>
      <c r="P621" t="n">
        <v>0</v>
      </c>
      <c r="Q621" t="n">
        <v>0</v>
      </c>
      <c r="R621" s="2" t="inlineStr"/>
    </row>
    <row r="622" ht="15" customHeight="1">
      <c r="A622" t="inlineStr">
        <is>
          <t>A 56540-2024</t>
        </is>
      </c>
      <c r="B622" s="1" t="n">
        <v>45625</v>
      </c>
      <c r="C622" s="1" t="n">
        <v>46000</v>
      </c>
      <c r="D622" t="inlineStr">
        <is>
          <t>VÄSTMANLANDS LÄN</t>
        </is>
      </c>
      <c r="E622" t="inlineStr">
        <is>
          <t>SALA</t>
        </is>
      </c>
      <c r="G622" t="n">
        <v>1.8</v>
      </c>
      <c r="H622" t="n">
        <v>0</v>
      </c>
      <c r="I622" t="n">
        <v>0</v>
      </c>
      <c r="J622" t="n">
        <v>0</v>
      </c>
      <c r="K622" t="n">
        <v>0</v>
      </c>
      <c r="L622" t="n">
        <v>0</v>
      </c>
      <c r="M622" t="n">
        <v>0</v>
      </c>
      <c r="N622" t="n">
        <v>0</v>
      </c>
      <c r="O622" t="n">
        <v>0</v>
      </c>
      <c r="P622" t="n">
        <v>0</v>
      </c>
      <c r="Q622" t="n">
        <v>0</v>
      </c>
      <c r="R622" s="2" t="inlineStr"/>
    </row>
    <row r="623" ht="15" customHeight="1">
      <c r="A623" t="inlineStr">
        <is>
          <t>A 6116-2023</t>
        </is>
      </c>
      <c r="B623" s="1" t="n">
        <v>44964</v>
      </c>
      <c r="C623" s="1" t="n">
        <v>46000</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25860-2024</t>
        </is>
      </c>
      <c r="B624" s="1" t="n">
        <v>45467.46278935186</v>
      </c>
      <c r="C624" s="1" t="n">
        <v>46000</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10154-2021</t>
        </is>
      </c>
      <c r="B625" s="1" t="n">
        <v>44256</v>
      </c>
      <c r="C625" s="1" t="n">
        <v>46000</v>
      </c>
      <c r="D625" t="inlineStr">
        <is>
          <t>VÄSTMANLANDS LÄN</t>
        </is>
      </c>
      <c r="E625" t="inlineStr">
        <is>
          <t>SALA</t>
        </is>
      </c>
      <c r="G625" t="n">
        <v>0.8</v>
      </c>
      <c r="H625" t="n">
        <v>0</v>
      </c>
      <c r="I625" t="n">
        <v>0</v>
      </c>
      <c r="J625" t="n">
        <v>0</v>
      </c>
      <c r="K625" t="n">
        <v>0</v>
      </c>
      <c r="L625" t="n">
        <v>0</v>
      </c>
      <c r="M625" t="n">
        <v>0</v>
      </c>
      <c r="N625" t="n">
        <v>0</v>
      </c>
      <c r="O625" t="n">
        <v>0</v>
      </c>
      <c r="P625" t="n">
        <v>0</v>
      </c>
      <c r="Q625" t="n">
        <v>0</v>
      </c>
      <c r="R625" s="2" t="inlineStr"/>
    </row>
    <row r="626" ht="15" customHeight="1">
      <c r="A626" t="inlineStr">
        <is>
          <t>A 56916-2022</t>
        </is>
      </c>
      <c r="B626" s="1" t="n">
        <v>44888</v>
      </c>
      <c r="C626" s="1" t="n">
        <v>46000</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71471-2021</t>
        </is>
      </c>
      <c r="B627" s="1" t="n">
        <v>44540.53421296296</v>
      </c>
      <c r="C627" s="1" t="n">
        <v>46000</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13987-2023</t>
        </is>
      </c>
      <c r="B628" s="1" t="n">
        <v>45007</v>
      </c>
      <c r="C628" s="1" t="n">
        <v>46000</v>
      </c>
      <c r="D628" t="inlineStr">
        <is>
          <t>VÄSTMANLANDS LÄN</t>
        </is>
      </c>
      <c r="E628" t="inlineStr">
        <is>
          <t>SALA</t>
        </is>
      </c>
      <c r="G628" t="n">
        <v>3.2</v>
      </c>
      <c r="H628" t="n">
        <v>0</v>
      </c>
      <c r="I628" t="n">
        <v>0</v>
      </c>
      <c r="J628" t="n">
        <v>0</v>
      </c>
      <c r="K628" t="n">
        <v>0</v>
      </c>
      <c r="L628" t="n">
        <v>0</v>
      </c>
      <c r="M628" t="n">
        <v>0</v>
      </c>
      <c r="N628" t="n">
        <v>0</v>
      </c>
      <c r="O628" t="n">
        <v>0</v>
      </c>
      <c r="P628" t="n">
        <v>0</v>
      </c>
      <c r="Q628" t="n">
        <v>0</v>
      </c>
      <c r="R628" s="2" t="inlineStr"/>
    </row>
    <row r="629" ht="15" customHeight="1">
      <c r="A629" t="inlineStr">
        <is>
          <t>A 13990-2023</t>
        </is>
      </c>
      <c r="B629" s="1" t="n">
        <v>45007</v>
      </c>
      <c r="C629" s="1" t="n">
        <v>46000</v>
      </c>
      <c r="D629" t="inlineStr">
        <is>
          <t>VÄSTMANLANDS LÄN</t>
        </is>
      </c>
      <c r="E629" t="inlineStr">
        <is>
          <t>SALA</t>
        </is>
      </c>
      <c r="G629" t="n">
        <v>2.6</v>
      </c>
      <c r="H629" t="n">
        <v>0</v>
      </c>
      <c r="I629" t="n">
        <v>0</v>
      </c>
      <c r="J629" t="n">
        <v>0</v>
      </c>
      <c r="K629" t="n">
        <v>0</v>
      </c>
      <c r="L629" t="n">
        <v>0</v>
      </c>
      <c r="M629" t="n">
        <v>0</v>
      </c>
      <c r="N629" t="n">
        <v>0</v>
      </c>
      <c r="O629" t="n">
        <v>0</v>
      </c>
      <c r="P629" t="n">
        <v>0</v>
      </c>
      <c r="Q629" t="n">
        <v>0</v>
      </c>
      <c r="R629" s="2" t="inlineStr"/>
    </row>
    <row r="630" ht="15" customHeight="1">
      <c r="A630" t="inlineStr">
        <is>
          <t>A 1993-2022</t>
        </is>
      </c>
      <c r="B630" s="1" t="n">
        <v>44575</v>
      </c>
      <c r="C630" s="1" t="n">
        <v>46000</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17051-2025</t>
        </is>
      </c>
      <c r="B631" s="1" t="n">
        <v>45755</v>
      </c>
      <c r="C631" s="1" t="n">
        <v>46000</v>
      </c>
      <c r="D631" t="inlineStr">
        <is>
          <t>VÄSTMANLANDS LÄN</t>
        </is>
      </c>
      <c r="E631" t="inlineStr">
        <is>
          <t>SALA</t>
        </is>
      </c>
      <c r="G631" t="n">
        <v>2.9</v>
      </c>
      <c r="H631" t="n">
        <v>0</v>
      </c>
      <c r="I631" t="n">
        <v>0</v>
      </c>
      <c r="J631" t="n">
        <v>0</v>
      </c>
      <c r="K631" t="n">
        <v>0</v>
      </c>
      <c r="L631" t="n">
        <v>0</v>
      </c>
      <c r="M631" t="n">
        <v>0</v>
      </c>
      <c r="N631" t="n">
        <v>0</v>
      </c>
      <c r="O631" t="n">
        <v>0</v>
      </c>
      <c r="P631" t="n">
        <v>0</v>
      </c>
      <c r="Q631" t="n">
        <v>0</v>
      </c>
      <c r="R631" s="2" t="inlineStr"/>
    </row>
    <row r="632" ht="15" customHeight="1">
      <c r="A632" t="inlineStr">
        <is>
          <t>A 43509-2021</t>
        </is>
      </c>
      <c r="B632" s="1" t="n">
        <v>44433</v>
      </c>
      <c r="C632" s="1" t="n">
        <v>46000</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54959-2024</t>
        </is>
      </c>
      <c r="B633" s="1" t="n">
        <v>45619</v>
      </c>
      <c r="C633" s="1" t="n">
        <v>46000</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56964-2023</t>
        </is>
      </c>
      <c r="B634" s="1" t="n">
        <v>45244.63140046296</v>
      </c>
      <c r="C634" s="1" t="n">
        <v>46000</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37337-2024</t>
        </is>
      </c>
      <c r="B635" s="1" t="n">
        <v>45540</v>
      </c>
      <c r="C635" s="1" t="n">
        <v>46000</v>
      </c>
      <c r="D635" t="inlineStr">
        <is>
          <t>VÄSTMANLANDS LÄN</t>
        </is>
      </c>
      <c r="E635" t="inlineStr">
        <is>
          <t>SALA</t>
        </is>
      </c>
      <c r="G635" t="n">
        <v>6.5</v>
      </c>
      <c r="H635" t="n">
        <v>0</v>
      </c>
      <c r="I635" t="n">
        <v>0</v>
      </c>
      <c r="J635" t="n">
        <v>0</v>
      </c>
      <c r="K635" t="n">
        <v>0</v>
      </c>
      <c r="L635" t="n">
        <v>0</v>
      </c>
      <c r="M635" t="n">
        <v>0</v>
      </c>
      <c r="N635" t="n">
        <v>0</v>
      </c>
      <c r="O635" t="n">
        <v>0</v>
      </c>
      <c r="P635" t="n">
        <v>0</v>
      </c>
      <c r="Q635" t="n">
        <v>0</v>
      </c>
      <c r="R635" s="2" t="inlineStr"/>
    </row>
    <row r="636" ht="15" customHeight="1">
      <c r="A636" t="inlineStr">
        <is>
          <t>A 17120-2023</t>
        </is>
      </c>
      <c r="B636" s="1" t="n">
        <v>45034</v>
      </c>
      <c r="C636" s="1" t="n">
        <v>46000</v>
      </c>
      <c r="D636" t="inlineStr">
        <is>
          <t>VÄSTMANLANDS LÄN</t>
        </is>
      </c>
      <c r="E636" t="inlineStr">
        <is>
          <t>SALA</t>
        </is>
      </c>
      <c r="G636" t="n">
        <v>0.1</v>
      </c>
      <c r="H636" t="n">
        <v>0</v>
      </c>
      <c r="I636" t="n">
        <v>0</v>
      </c>
      <c r="J636" t="n">
        <v>0</v>
      </c>
      <c r="K636" t="n">
        <v>0</v>
      </c>
      <c r="L636" t="n">
        <v>0</v>
      </c>
      <c r="M636" t="n">
        <v>0</v>
      </c>
      <c r="N636" t="n">
        <v>0</v>
      </c>
      <c r="O636" t="n">
        <v>0</v>
      </c>
      <c r="P636" t="n">
        <v>0</v>
      </c>
      <c r="Q636" t="n">
        <v>0</v>
      </c>
      <c r="R636" s="2" t="inlineStr"/>
    </row>
    <row r="637" ht="15" customHeight="1">
      <c r="A637" t="inlineStr">
        <is>
          <t>A 34494-2023</t>
        </is>
      </c>
      <c r="B637" s="1" t="n">
        <v>45133</v>
      </c>
      <c r="C637" s="1" t="n">
        <v>46000</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10579-2022</t>
        </is>
      </c>
      <c r="B638" s="1" t="n">
        <v>44624</v>
      </c>
      <c r="C638" s="1" t="n">
        <v>46000</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9335-2022</t>
        </is>
      </c>
      <c r="B639" s="1" t="n">
        <v>44616.56579861111</v>
      </c>
      <c r="C639" s="1" t="n">
        <v>46000</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45313-2024</t>
        </is>
      </c>
      <c r="B640" s="1" t="n">
        <v>45576</v>
      </c>
      <c r="C640" s="1" t="n">
        <v>46000</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23119-2022</t>
        </is>
      </c>
      <c r="B641" s="1" t="n">
        <v>44719.56697916667</v>
      </c>
      <c r="C641" s="1" t="n">
        <v>46000</v>
      </c>
      <c r="D641" t="inlineStr">
        <is>
          <t>VÄSTMANLANDS LÄN</t>
        </is>
      </c>
      <c r="E641" t="inlineStr">
        <is>
          <t>SALA</t>
        </is>
      </c>
      <c r="G641" t="n">
        <v>7</v>
      </c>
      <c r="H641" t="n">
        <v>0</v>
      </c>
      <c r="I641" t="n">
        <v>0</v>
      </c>
      <c r="J641" t="n">
        <v>0</v>
      </c>
      <c r="K641" t="n">
        <v>0</v>
      </c>
      <c r="L641" t="n">
        <v>0</v>
      </c>
      <c r="M641" t="n">
        <v>0</v>
      </c>
      <c r="N641" t="n">
        <v>0</v>
      </c>
      <c r="O641" t="n">
        <v>0</v>
      </c>
      <c r="P641" t="n">
        <v>0</v>
      </c>
      <c r="Q641" t="n">
        <v>0</v>
      </c>
      <c r="R641" s="2" t="inlineStr"/>
    </row>
    <row r="642" ht="15" customHeight="1">
      <c r="A642" t="inlineStr">
        <is>
          <t>A 1196-2023</t>
        </is>
      </c>
      <c r="B642" s="1" t="n">
        <v>44935.82290509259</v>
      </c>
      <c r="C642" s="1" t="n">
        <v>46000</v>
      </c>
      <c r="D642" t="inlineStr">
        <is>
          <t>VÄSTMANLANDS LÄN</t>
        </is>
      </c>
      <c r="E642" t="inlineStr">
        <is>
          <t>SALA</t>
        </is>
      </c>
      <c r="G642" t="n">
        <v>4.1</v>
      </c>
      <c r="H642" t="n">
        <v>0</v>
      </c>
      <c r="I642" t="n">
        <v>0</v>
      </c>
      <c r="J642" t="n">
        <v>0</v>
      </c>
      <c r="K642" t="n">
        <v>0</v>
      </c>
      <c r="L642" t="n">
        <v>0</v>
      </c>
      <c r="M642" t="n">
        <v>0</v>
      </c>
      <c r="N642" t="n">
        <v>0</v>
      </c>
      <c r="O642" t="n">
        <v>0</v>
      </c>
      <c r="P642" t="n">
        <v>0</v>
      </c>
      <c r="Q642" t="n">
        <v>0</v>
      </c>
      <c r="R642" s="2" t="inlineStr"/>
    </row>
    <row r="643" ht="15" customHeight="1">
      <c r="A643" t="inlineStr">
        <is>
          <t>A 52503-2024</t>
        </is>
      </c>
      <c r="B643" s="1" t="n">
        <v>45609.58806712963</v>
      </c>
      <c r="C643" s="1" t="n">
        <v>46000</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7953-2024</t>
        </is>
      </c>
      <c r="B644" s="1" t="n">
        <v>45350</v>
      </c>
      <c r="C644" s="1" t="n">
        <v>46000</v>
      </c>
      <c r="D644" t="inlineStr">
        <is>
          <t>VÄSTMANLANDS LÄN</t>
        </is>
      </c>
      <c r="E644" t="inlineStr">
        <is>
          <t>SALA</t>
        </is>
      </c>
      <c r="G644" t="n">
        <v>2.6</v>
      </c>
      <c r="H644" t="n">
        <v>0</v>
      </c>
      <c r="I644" t="n">
        <v>0</v>
      </c>
      <c r="J644" t="n">
        <v>0</v>
      </c>
      <c r="K644" t="n">
        <v>0</v>
      </c>
      <c r="L644" t="n">
        <v>0</v>
      </c>
      <c r="M644" t="n">
        <v>0</v>
      </c>
      <c r="N644" t="n">
        <v>0</v>
      </c>
      <c r="O644" t="n">
        <v>0</v>
      </c>
      <c r="P644" t="n">
        <v>0</v>
      </c>
      <c r="Q644" t="n">
        <v>0</v>
      </c>
      <c r="R644" s="2" t="inlineStr"/>
    </row>
    <row r="645" ht="15" customHeight="1">
      <c r="A645" t="inlineStr">
        <is>
          <t>A 30028-2024</t>
        </is>
      </c>
      <c r="B645" s="1" t="n">
        <v>45485</v>
      </c>
      <c r="C645" s="1" t="n">
        <v>46000</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7950-2025</t>
        </is>
      </c>
      <c r="B646" s="1" t="n">
        <v>45707.41799768519</v>
      </c>
      <c r="C646" s="1" t="n">
        <v>46000</v>
      </c>
      <c r="D646" t="inlineStr">
        <is>
          <t>VÄSTMANLANDS LÄN</t>
        </is>
      </c>
      <c r="E646" t="inlineStr">
        <is>
          <t>SALA</t>
        </is>
      </c>
      <c r="G646" t="n">
        <v>3.2</v>
      </c>
      <c r="H646" t="n">
        <v>0</v>
      </c>
      <c r="I646" t="n">
        <v>0</v>
      </c>
      <c r="J646" t="n">
        <v>0</v>
      </c>
      <c r="K646" t="n">
        <v>0</v>
      </c>
      <c r="L646" t="n">
        <v>0</v>
      </c>
      <c r="M646" t="n">
        <v>0</v>
      </c>
      <c r="N646" t="n">
        <v>0</v>
      </c>
      <c r="O646" t="n">
        <v>0</v>
      </c>
      <c r="P646" t="n">
        <v>0</v>
      </c>
      <c r="Q646" t="n">
        <v>0</v>
      </c>
      <c r="R646" s="2" t="inlineStr"/>
    </row>
    <row r="647" ht="15" customHeight="1">
      <c r="A647" t="inlineStr">
        <is>
          <t>A 27657-2023</t>
        </is>
      </c>
      <c r="B647" s="1" t="n">
        <v>45097.76631944445</v>
      </c>
      <c r="C647" s="1" t="n">
        <v>46000</v>
      </c>
      <c r="D647" t="inlineStr">
        <is>
          <t>VÄSTMANLANDS LÄN</t>
        </is>
      </c>
      <c r="E647" t="inlineStr">
        <is>
          <t>SALA</t>
        </is>
      </c>
      <c r="G647" t="n">
        <v>0.1</v>
      </c>
      <c r="H647" t="n">
        <v>0</v>
      </c>
      <c r="I647" t="n">
        <v>0</v>
      </c>
      <c r="J647" t="n">
        <v>0</v>
      </c>
      <c r="K647" t="n">
        <v>0</v>
      </c>
      <c r="L647" t="n">
        <v>0</v>
      </c>
      <c r="M647" t="n">
        <v>0</v>
      </c>
      <c r="N647" t="n">
        <v>0</v>
      </c>
      <c r="O647" t="n">
        <v>0</v>
      </c>
      <c r="P647" t="n">
        <v>0</v>
      </c>
      <c r="Q647" t="n">
        <v>0</v>
      </c>
      <c r="R647" s="2" t="inlineStr"/>
    </row>
    <row r="648" ht="15" customHeight="1">
      <c r="A648" t="inlineStr">
        <is>
          <t>A 13855-2023</t>
        </is>
      </c>
      <c r="B648" s="1" t="n">
        <v>45007</v>
      </c>
      <c r="C648" s="1" t="n">
        <v>46000</v>
      </c>
      <c r="D648" t="inlineStr">
        <is>
          <t>VÄSTMANLANDS LÄN</t>
        </is>
      </c>
      <c r="E648" t="inlineStr">
        <is>
          <t>SALA</t>
        </is>
      </c>
      <c r="G648" t="n">
        <v>2.9</v>
      </c>
      <c r="H648" t="n">
        <v>0</v>
      </c>
      <c r="I648" t="n">
        <v>0</v>
      </c>
      <c r="J648" t="n">
        <v>0</v>
      </c>
      <c r="K648" t="n">
        <v>0</v>
      </c>
      <c r="L648" t="n">
        <v>0</v>
      </c>
      <c r="M648" t="n">
        <v>0</v>
      </c>
      <c r="N648" t="n">
        <v>0</v>
      </c>
      <c r="O648" t="n">
        <v>0</v>
      </c>
      <c r="P648" t="n">
        <v>0</v>
      </c>
      <c r="Q648" t="n">
        <v>0</v>
      </c>
      <c r="R648" s="2" t="inlineStr"/>
    </row>
    <row r="649" ht="15" customHeight="1">
      <c r="A649" t="inlineStr">
        <is>
          <t>A 33309-2022</t>
        </is>
      </c>
      <c r="B649" s="1" t="n">
        <v>44788.40986111111</v>
      </c>
      <c r="C649" s="1" t="n">
        <v>46000</v>
      </c>
      <c r="D649" t="inlineStr">
        <is>
          <t>VÄSTMANLANDS LÄN</t>
        </is>
      </c>
      <c r="E649" t="inlineStr">
        <is>
          <t>SALA</t>
        </is>
      </c>
      <c r="G649" t="n">
        <v>2.6</v>
      </c>
      <c r="H649" t="n">
        <v>0</v>
      </c>
      <c r="I649" t="n">
        <v>0</v>
      </c>
      <c r="J649" t="n">
        <v>0</v>
      </c>
      <c r="K649" t="n">
        <v>0</v>
      </c>
      <c r="L649" t="n">
        <v>0</v>
      </c>
      <c r="M649" t="n">
        <v>0</v>
      </c>
      <c r="N649" t="n">
        <v>0</v>
      </c>
      <c r="O649" t="n">
        <v>0</v>
      </c>
      <c r="P649" t="n">
        <v>0</v>
      </c>
      <c r="Q649" t="n">
        <v>0</v>
      </c>
      <c r="R649" s="2" t="inlineStr"/>
    </row>
    <row r="650" ht="15" customHeight="1">
      <c r="A650" t="inlineStr">
        <is>
          <t>A 47909-2022</t>
        </is>
      </c>
      <c r="B650" s="1" t="n">
        <v>44855</v>
      </c>
      <c r="C650" s="1" t="n">
        <v>46000</v>
      </c>
      <c r="D650" t="inlineStr">
        <is>
          <t>VÄSTMANLANDS LÄN</t>
        </is>
      </c>
      <c r="E650" t="inlineStr">
        <is>
          <t>SALA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15272-2025</t>
        </is>
      </c>
      <c r="B651" s="1" t="n">
        <v>45744</v>
      </c>
      <c r="C651" s="1" t="n">
        <v>46000</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44992.57782407408</v>
      </c>
      <c r="C652" s="1" t="n">
        <v>46000</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46000</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53838-2022</t>
        </is>
      </c>
      <c r="B654" s="1" t="n">
        <v>44880.59363425926</v>
      </c>
      <c r="C654" s="1" t="n">
        <v>46000</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6088-2021</t>
        </is>
      </c>
      <c r="B655" s="1" t="n">
        <v>44232</v>
      </c>
      <c r="C655" s="1" t="n">
        <v>46000</v>
      </c>
      <c r="D655" t="inlineStr">
        <is>
          <t>VÄSTMANLANDS LÄN</t>
        </is>
      </c>
      <c r="E655" t="inlineStr">
        <is>
          <t>SALA</t>
        </is>
      </c>
      <c r="G655" t="n">
        <v>0.2</v>
      </c>
      <c r="H655" t="n">
        <v>0</v>
      </c>
      <c r="I655" t="n">
        <v>0</v>
      </c>
      <c r="J655" t="n">
        <v>0</v>
      </c>
      <c r="K655" t="n">
        <v>0</v>
      </c>
      <c r="L655" t="n">
        <v>0</v>
      </c>
      <c r="M655" t="n">
        <v>0</v>
      </c>
      <c r="N655" t="n">
        <v>0</v>
      </c>
      <c r="O655" t="n">
        <v>0</v>
      </c>
      <c r="P655" t="n">
        <v>0</v>
      </c>
      <c r="Q655" t="n">
        <v>0</v>
      </c>
      <c r="R655" s="2" t="inlineStr"/>
    </row>
    <row r="656" ht="15" customHeight="1">
      <c r="A656" t="inlineStr">
        <is>
          <t>A 53166-2024</t>
        </is>
      </c>
      <c r="B656" s="1" t="n">
        <v>45611</v>
      </c>
      <c r="C656" s="1" t="n">
        <v>46000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28827-2022</t>
        </is>
      </c>
      <c r="B657" s="1" t="n">
        <v>44749.45561342593</v>
      </c>
      <c r="C657" s="1" t="n">
        <v>46000</v>
      </c>
      <c r="D657" t="inlineStr">
        <is>
          <t>VÄSTMANLANDS LÄN</t>
        </is>
      </c>
      <c r="E657" t="inlineStr">
        <is>
          <t>SALA</t>
        </is>
      </c>
      <c r="F657" t="inlineStr">
        <is>
          <t>Kommuner</t>
        </is>
      </c>
      <c r="G657" t="n">
        <v>11.9</v>
      </c>
      <c r="H657" t="n">
        <v>0</v>
      </c>
      <c r="I657" t="n">
        <v>0</v>
      </c>
      <c r="J657" t="n">
        <v>0</v>
      </c>
      <c r="K657" t="n">
        <v>0</v>
      </c>
      <c r="L657" t="n">
        <v>0</v>
      </c>
      <c r="M657" t="n">
        <v>0</v>
      </c>
      <c r="N657" t="n">
        <v>0</v>
      </c>
      <c r="O657" t="n">
        <v>0</v>
      </c>
      <c r="P657" t="n">
        <v>0</v>
      </c>
      <c r="Q657" t="n">
        <v>0</v>
      </c>
      <c r="R657" s="2" t="inlineStr"/>
    </row>
    <row r="658" ht="15" customHeight="1">
      <c r="A658" t="inlineStr">
        <is>
          <t>A 17866-2025</t>
        </is>
      </c>
      <c r="B658" s="1" t="n">
        <v>45758</v>
      </c>
      <c r="C658" s="1" t="n">
        <v>46000</v>
      </c>
      <c r="D658" t="inlineStr">
        <is>
          <t>VÄSTMANLANDS LÄN</t>
        </is>
      </c>
      <c r="E658" t="inlineStr">
        <is>
          <t>SALA</t>
        </is>
      </c>
      <c r="F658" t="inlineStr">
        <is>
          <t>Bergvik skog öst AB</t>
        </is>
      </c>
      <c r="G658" t="n">
        <v>2.1</v>
      </c>
      <c r="H658" t="n">
        <v>0</v>
      </c>
      <c r="I658" t="n">
        <v>0</v>
      </c>
      <c r="J658" t="n">
        <v>0</v>
      </c>
      <c r="K658" t="n">
        <v>0</v>
      </c>
      <c r="L658" t="n">
        <v>0</v>
      </c>
      <c r="M658" t="n">
        <v>0</v>
      </c>
      <c r="N658" t="n">
        <v>0</v>
      </c>
      <c r="O658" t="n">
        <v>0</v>
      </c>
      <c r="P658" t="n">
        <v>0</v>
      </c>
      <c r="Q658" t="n">
        <v>0</v>
      </c>
      <c r="R658" s="2" t="inlineStr"/>
    </row>
    <row r="659" ht="15" customHeight="1">
      <c r="A659" t="inlineStr">
        <is>
          <t>A 54836-2024</t>
        </is>
      </c>
      <c r="B659" s="1" t="n">
        <v>45618</v>
      </c>
      <c r="C659" s="1" t="n">
        <v>46000</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64729-2023</t>
        </is>
      </c>
      <c r="B660" s="1" t="n">
        <v>45281</v>
      </c>
      <c r="C660" s="1" t="n">
        <v>46000</v>
      </c>
      <c r="D660" t="inlineStr">
        <is>
          <t>VÄSTMANLANDS LÄN</t>
        </is>
      </c>
      <c r="E660" t="inlineStr">
        <is>
          <t>SALA</t>
        </is>
      </c>
      <c r="G660" t="n">
        <v>1.8</v>
      </c>
      <c r="H660" t="n">
        <v>0</v>
      </c>
      <c r="I660" t="n">
        <v>0</v>
      </c>
      <c r="J660" t="n">
        <v>0</v>
      </c>
      <c r="K660" t="n">
        <v>0</v>
      </c>
      <c r="L660" t="n">
        <v>0</v>
      </c>
      <c r="M660" t="n">
        <v>0</v>
      </c>
      <c r="N660" t="n">
        <v>0</v>
      </c>
      <c r="O660" t="n">
        <v>0</v>
      </c>
      <c r="P660" t="n">
        <v>0</v>
      </c>
      <c r="Q660" t="n">
        <v>0</v>
      </c>
      <c r="R660" s="2" t="inlineStr"/>
    </row>
    <row r="661" ht="15" customHeight="1">
      <c r="A661" t="inlineStr">
        <is>
          <t>A 10585-2022</t>
        </is>
      </c>
      <c r="B661" s="1" t="n">
        <v>44624</v>
      </c>
      <c r="C661" s="1" t="n">
        <v>46000</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22523-2023</t>
        </is>
      </c>
      <c r="B662" s="1" t="n">
        <v>45069</v>
      </c>
      <c r="C662" s="1" t="n">
        <v>46000</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31609-2024</t>
        </is>
      </c>
      <c r="B663" s="1" t="n">
        <v>45506</v>
      </c>
      <c r="C663" s="1" t="n">
        <v>46000</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56057-2023</t>
        </is>
      </c>
      <c r="B664" s="1" t="n">
        <v>45233</v>
      </c>
      <c r="C664" s="1" t="n">
        <v>46000</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62635-2022</t>
        </is>
      </c>
      <c r="B665" s="1" t="n">
        <v>44917</v>
      </c>
      <c r="C665" s="1" t="n">
        <v>46000</v>
      </c>
      <c r="D665" t="inlineStr">
        <is>
          <t>VÄSTMANLANDS LÄN</t>
        </is>
      </c>
      <c r="E665" t="inlineStr">
        <is>
          <t>SALA</t>
        </is>
      </c>
      <c r="G665" t="n">
        <v>0.4</v>
      </c>
      <c r="H665" t="n">
        <v>0</v>
      </c>
      <c r="I665" t="n">
        <v>0</v>
      </c>
      <c r="J665" t="n">
        <v>0</v>
      </c>
      <c r="K665" t="n">
        <v>0</v>
      </c>
      <c r="L665" t="n">
        <v>0</v>
      </c>
      <c r="M665" t="n">
        <v>0</v>
      </c>
      <c r="N665" t="n">
        <v>0</v>
      </c>
      <c r="O665" t="n">
        <v>0</v>
      </c>
      <c r="P665" t="n">
        <v>0</v>
      </c>
      <c r="Q665" t="n">
        <v>0</v>
      </c>
      <c r="R665" s="2" t="inlineStr"/>
    </row>
    <row r="666" ht="15" customHeight="1">
      <c r="A666" t="inlineStr">
        <is>
          <t>A 4852-2023</t>
        </is>
      </c>
      <c r="B666" s="1" t="n">
        <v>44957.72496527778</v>
      </c>
      <c r="C666" s="1" t="n">
        <v>46000</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39714-2023</t>
        </is>
      </c>
      <c r="B667" s="1" t="n">
        <v>45167.62133101852</v>
      </c>
      <c r="C667" s="1" t="n">
        <v>46000</v>
      </c>
      <c r="D667" t="inlineStr">
        <is>
          <t>VÄSTMANLANDS LÄN</t>
        </is>
      </c>
      <c r="E667" t="inlineStr">
        <is>
          <t>SALA</t>
        </is>
      </c>
      <c r="G667" t="n">
        <v>1.3</v>
      </c>
      <c r="H667" t="n">
        <v>0</v>
      </c>
      <c r="I667" t="n">
        <v>0</v>
      </c>
      <c r="J667" t="n">
        <v>0</v>
      </c>
      <c r="K667" t="n">
        <v>0</v>
      </c>
      <c r="L667" t="n">
        <v>0</v>
      </c>
      <c r="M667" t="n">
        <v>0</v>
      </c>
      <c r="N667" t="n">
        <v>0</v>
      </c>
      <c r="O667" t="n">
        <v>0</v>
      </c>
      <c r="P667" t="n">
        <v>0</v>
      </c>
      <c r="Q667" t="n">
        <v>0</v>
      </c>
      <c r="R667" s="2" t="inlineStr"/>
    </row>
    <row r="668" ht="15" customHeight="1">
      <c r="A668" t="inlineStr">
        <is>
          <t>A 42984-2023</t>
        </is>
      </c>
      <c r="B668" s="1" t="n">
        <v>45179</v>
      </c>
      <c r="C668" s="1" t="n">
        <v>46000</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38636-2024</t>
        </is>
      </c>
      <c r="B669" s="1" t="n">
        <v>45546</v>
      </c>
      <c r="C669" s="1" t="n">
        <v>46000</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56535-2022</t>
        </is>
      </c>
      <c r="B670" s="1" t="n">
        <v>44893.47173611111</v>
      </c>
      <c r="C670" s="1" t="n">
        <v>46000</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60550-2024</t>
        </is>
      </c>
      <c r="B671" s="1" t="n">
        <v>45643</v>
      </c>
      <c r="C671" s="1" t="n">
        <v>46000</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13746-2025</t>
        </is>
      </c>
      <c r="B672" s="1" t="n">
        <v>45737.40944444444</v>
      </c>
      <c r="C672" s="1" t="n">
        <v>46000</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29230-2022</t>
        </is>
      </c>
      <c r="B673" s="1" t="n">
        <v>44750</v>
      </c>
      <c r="C673" s="1" t="n">
        <v>46000</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59175-2022</t>
        </is>
      </c>
      <c r="B674" s="1" t="n">
        <v>44904.48502314815</v>
      </c>
      <c r="C674" s="1" t="n">
        <v>46000</v>
      </c>
      <c r="D674" t="inlineStr">
        <is>
          <t>VÄSTMANLANDS LÄN</t>
        </is>
      </c>
      <c r="E674" t="inlineStr">
        <is>
          <t>SALA</t>
        </is>
      </c>
      <c r="G674" t="n">
        <v>2.1</v>
      </c>
      <c r="H674" t="n">
        <v>0</v>
      </c>
      <c r="I674" t="n">
        <v>0</v>
      </c>
      <c r="J674" t="n">
        <v>0</v>
      </c>
      <c r="K674" t="n">
        <v>0</v>
      </c>
      <c r="L674" t="n">
        <v>0</v>
      </c>
      <c r="M674" t="n">
        <v>0</v>
      </c>
      <c r="N674" t="n">
        <v>0</v>
      </c>
      <c r="O674" t="n">
        <v>0</v>
      </c>
      <c r="P674" t="n">
        <v>0</v>
      </c>
      <c r="Q674" t="n">
        <v>0</v>
      </c>
      <c r="R674" s="2" t="inlineStr"/>
    </row>
    <row r="675" ht="15" customHeight="1">
      <c r="A675" t="inlineStr">
        <is>
          <t>A 19381-2025</t>
        </is>
      </c>
      <c r="B675" s="1" t="n">
        <v>45769</v>
      </c>
      <c r="C675" s="1" t="n">
        <v>46000</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42938-2023</t>
        </is>
      </c>
      <c r="B676" s="1" t="n">
        <v>45179</v>
      </c>
      <c r="C676" s="1" t="n">
        <v>46000</v>
      </c>
      <c r="D676" t="inlineStr">
        <is>
          <t>VÄSTMANLANDS LÄN</t>
        </is>
      </c>
      <c r="E676" t="inlineStr">
        <is>
          <t>SALA</t>
        </is>
      </c>
      <c r="G676" t="n">
        <v>10.9</v>
      </c>
      <c r="H676" t="n">
        <v>0</v>
      </c>
      <c r="I676" t="n">
        <v>0</v>
      </c>
      <c r="J676" t="n">
        <v>0</v>
      </c>
      <c r="K676" t="n">
        <v>0</v>
      </c>
      <c r="L676" t="n">
        <v>0</v>
      </c>
      <c r="M676" t="n">
        <v>0</v>
      </c>
      <c r="N676" t="n">
        <v>0</v>
      </c>
      <c r="O676" t="n">
        <v>0</v>
      </c>
      <c r="P676" t="n">
        <v>0</v>
      </c>
      <c r="Q676" t="n">
        <v>0</v>
      </c>
      <c r="R676" s="2" t="inlineStr"/>
    </row>
    <row r="677" ht="15" customHeight="1">
      <c r="A677" t="inlineStr">
        <is>
          <t>A 19222-2025</t>
        </is>
      </c>
      <c r="B677" s="1" t="n">
        <v>45769</v>
      </c>
      <c r="C677" s="1" t="n">
        <v>46000</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19241-2025</t>
        </is>
      </c>
      <c r="B678" s="1" t="n">
        <v>45769</v>
      </c>
      <c r="C678" s="1" t="n">
        <v>46000</v>
      </c>
      <c r="D678" t="inlineStr">
        <is>
          <t>VÄSTMANLANDS LÄN</t>
        </is>
      </c>
      <c r="E678" t="inlineStr">
        <is>
          <t>SALA</t>
        </is>
      </c>
      <c r="G678" t="n">
        <v>3.6</v>
      </c>
      <c r="H678" t="n">
        <v>0</v>
      </c>
      <c r="I678" t="n">
        <v>0</v>
      </c>
      <c r="J678" t="n">
        <v>0</v>
      </c>
      <c r="K678" t="n">
        <v>0</v>
      </c>
      <c r="L678" t="n">
        <v>0</v>
      </c>
      <c r="M678" t="n">
        <v>0</v>
      </c>
      <c r="N678" t="n">
        <v>0</v>
      </c>
      <c r="O678" t="n">
        <v>0</v>
      </c>
      <c r="P678" t="n">
        <v>0</v>
      </c>
      <c r="Q678" t="n">
        <v>0</v>
      </c>
      <c r="R678" s="2" t="inlineStr"/>
    </row>
    <row r="679" ht="15" customHeight="1">
      <c r="A679" t="inlineStr">
        <is>
          <t>A 60823-2024</t>
        </is>
      </c>
      <c r="B679" s="1" t="n">
        <v>45644</v>
      </c>
      <c r="C679" s="1" t="n">
        <v>46000</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61681-2024</t>
        </is>
      </c>
      <c r="B680" s="1" t="n">
        <v>45647</v>
      </c>
      <c r="C680" s="1" t="n">
        <v>46000</v>
      </c>
      <c r="D680" t="inlineStr">
        <is>
          <t>VÄSTMANLANDS LÄN</t>
        </is>
      </c>
      <c r="E680" t="inlineStr">
        <is>
          <t>SALA</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49661-2024</t>
        </is>
      </c>
      <c r="B681" s="1" t="n">
        <v>45596</v>
      </c>
      <c r="C681" s="1" t="n">
        <v>46000</v>
      </c>
      <c r="D681" t="inlineStr">
        <is>
          <t>VÄSTMANLANDS LÄN</t>
        </is>
      </c>
      <c r="E681" t="inlineStr">
        <is>
          <t>SALA</t>
        </is>
      </c>
      <c r="G681" t="n">
        <v>6.7</v>
      </c>
      <c r="H681" t="n">
        <v>0</v>
      </c>
      <c r="I681" t="n">
        <v>0</v>
      </c>
      <c r="J681" t="n">
        <v>0</v>
      </c>
      <c r="K681" t="n">
        <v>0</v>
      </c>
      <c r="L681" t="n">
        <v>0</v>
      </c>
      <c r="M681" t="n">
        <v>0</v>
      </c>
      <c r="N681" t="n">
        <v>0</v>
      </c>
      <c r="O681" t="n">
        <v>0</v>
      </c>
      <c r="P681" t="n">
        <v>0</v>
      </c>
      <c r="Q681" t="n">
        <v>0</v>
      </c>
      <c r="R681" s="2" t="inlineStr"/>
    </row>
    <row r="682" ht="15" customHeight="1">
      <c r="A682" t="inlineStr">
        <is>
          <t>A 59297-2023</t>
        </is>
      </c>
      <c r="B682" s="1" t="n">
        <v>45253</v>
      </c>
      <c r="C682" s="1" t="n">
        <v>46000</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15965-2024</t>
        </is>
      </c>
      <c r="B683" s="1" t="n">
        <v>45405.55740740741</v>
      </c>
      <c r="C683" s="1" t="n">
        <v>46000</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23180-2022</t>
        </is>
      </c>
      <c r="B684" s="1" t="n">
        <v>44719.79344907407</v>
      </c>
      <c r="C684" s="1" t="n">
        <v>46000</v>
      </c>
      <c r="D684" t="inlineStr">
        <is>
          <t>VÄSTMANLANDS LÄN</t>
        </is>
      </c>
      <c r="E684" t="inlineStr">
        <is>
          <t>SALA</t>
        </is>
      </c>
      <c r="G684" t="n">
        <v>1.2</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46000</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21053-2022</t>
        </is>
      </c>
      <c r="B686" s="1" t="n">
        <v>44704</v>
      </c>
      <c r="C686" s="1" t="n">
        <v>46000</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11927-2025</t>
        </is>
      </c>
      <c r="B687" s="1" t="n">
        <v>45728.5137962963</v>
      </c>
      <c r="C687" s="1" t="n">
        <v>46000</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50876-2023</t>
        </is>
      </c>
      <c r="B688" s="1" t="n">
        <v>45211</v>
      </c>
      <c r="C688" s="1" t="n">
        <v>46000</v>
      </c>
      <c r="D688" t="inlineStr">
        <is>
          <t>VÄSTMANLANDS LÄN</t>
        </is>
      </c>
      <c r="E688" t="inlineStr">
        <is>
          <t>SALA</t>
        </is>
      </c>
      <c r="G688" t="n">
        <v>1.9</v>
      </c>
      <c r="H688" t="n">
        <v>0</v>
      </c>
      <c r="I688" t="n">
        <v>0</v>
      </c>
      <c r="J688" t="n">
        <v>0</v>
      </c>
      <c r="K688" t="n">
        <v>0</v>
      </c>
      <c r="L688" t="n">
        <v>0</v>
      </c>
      <c r="M688" t="n">
        <v>0</v>
      </c>
      <c r="N688" t="n">
        <v>0</v>
      </c>
      <c r="O688" t="n">
        <v>0</v>
      </c>
      <c r="P688" t="n">
        <v>0</v>
      </c>
      <c r="Q688" t="n">
        <v>0</v>
      </c>
      <c r="R688" s="2" t="inlineStr"/>
    </row>
    <row r="689" ht="15" customHeight="1">
      <c r="A689" t="inlineStr">
        <is>
          <t>A 10255-2024</t>
        </is>
      </c>
      <c r="B689" s="1" t="n">
        <v>45365</v>
      </c>
      <c r="C689" s="1" t="n">
        <v>46000</v>
      </c>
      <c r="D689" t="inlineStr">
        <is>
          <t>VÄSTMANLANDS LÄN</t>
        </is>
      </c>
      <c r="E689" t="inlineStr">
        <is>
          <t>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62648-2022</t>
        </is>
      </c>
      <c r="B690" s="1" t="n">
        <v>44917</v>
      </c>
      <c r="C690" s="1" t="n">
        <v>46000</v>
      </c>
      <c r="D690" t="inlineStr">
        <is>
          <t>VÄSTMANLANDS LÄN</t>
        </is>
      </c>
      <c r="E690" t="inlineStr">
        <is>
          <t>SALA</t>
        </is>
      </c>
      <c r="G690" t="n">
        <v>0.5</v>
      </c>
      <c r="H690" t="n">
        <v>0</v>
      </c>
      <c r="I690" t="n">
        <v>0</v>
      </c>
      <c r="J690" t="n">
        <v>0</v>
      </c>
      <c r="K690" t="n">
        <v>0</v>
      </c>
      <c r="L690" t="n">
        <v>0</v>
      </c>
      <c r="M690" t="n">
        <v>0</v>
      </c>
      <c r="N690" t="n">
        <v>0</v>
      </c>
      <c r="O690" t="n">
        <v>0</v>
      </c>
      <c r="P690" t="n">
        <v>0</v>
      </c>
      <c r="Q690" t="n">
        <v>0</v>
      </c>
      <c r="R690" s="2" t="inlineStr"/>
    </row>
    <row r="691" ht="15" customHeight="1">
      <c r="A691" t="inlineStr">
        <is>
          <t>A 56548-2024</t>
        </is>
      </c>
      <c r="B691" s="1" t="n">
        <v>45625</v>
      </c>
      <c r="C691" s="1" t="n">
        <v>46000</v>
      </c>
      <c r="D691" t="inlineStr">
        <is>
          <t>VÄSTMANLANDS LÄN</t>
        </is>
      </c>
      <c r="E691" t="inlineStr">
        <is>
          <t>SALA</t>
        </is>
      </c>
      <c r="G691" t="n">
        <v>0.7</v>
      </c>
      <c r="H691" t="n">
        <v>0</v>
      </c>
      <c r="I691" t="n">
        <v>0</v>
      </c>
      <c r="J691" t="n">
        <v>0</v>
      </c>
      <c r="K691" t="n">
        <v>0</v>
      </c>
      <c r="L691" t="n">
        <v>0</v>
      </c>
      <c r="M691" t="n">
        <v>0</v>
      </c>
      <c r="N691" t="n">
        <v>0</v>
      </c>
      <c r="O691" t="n">
        <v>0</v>
      </c>
      <c r="P691" t="n">
        <v>0</v>
      </c>
      <c r="Q691" t="n">
        <v>0</v>
      </c>
      <c r="R691" s="2" t="inlineStr"/>
    </row>
    <row r="692" ht="15" customHeight="1">
      <c r="A692" t="inlineStr">
        <is>
          <t>A 5477-2024</t>
        </is>
      </c>
      <c r="B692" s="1" t="n">
        <v>45333.67833333334</v>
      </c>
      <c r="C692" s="1" t="n">
        <v>46000</v>
      </c>
      <c r="D692" t="inlineStr">
        <is>
          <t>VÄSTMANLANDS LÄN</t>
        </is>
      </c>
      <c r="E692" t="inlineStr">
        <is>
          <t>SALA</t>
        </is>
      </c>
      <c r="G692" t="n">
        <v>2.3</v>
      </c>
      <c r="H692" t="n">
        <v>0</v>
      </c>
      <c r="I692" t="n">
        <v>0</v>
      </c>
      <c r="J692" t="n">
        <v>0</v>
      </c>
      <c r="K692" t="n">
        <v>0</v>
      </c>
      <c r="L692" t="n">
        <v>0</v>
      </c>
      <c r="M692" t="n">
        <v>0</v>
      </c>
      <c r="N692" t="n">
        <v>0</v>
      </c>
      <c r="O692" t="n">
        <v>0</v>
      </c>
      <c r="P692" t="n">
        <v>0</v>
      </c>
      <c r="Q692" t="n">
        <v>0</v>
      </c>
      <c r="R692" s="2" t="inlineStr"/>
    </row>
    <row r="693" ht="15" customHeight="1">
      <c r="A693" t="inlineStr">
        <is>
          <t>A 39451-2022</t>
        </is>
      </c>
      <c r="B693" s="1" t="n">
        <v>44818.36606481481</v>
      </c>
      <c r="C693" s="1" t="n">
        <v>46000</v>
      </c>
      <c r="D693" t="inlineStr">
        <is>
          <t>VÄSTMANLANDS LÄN</t>
        </is>
      </c>
      <c r="E693" t="inlineStr">
        <is>
          <t>SALA</t>
        </is>
      </c>
      <c r="G693" t="n">
        <v>9.4</v>
      </c>
      <c r="H693" t="n">
        <v>0</v>
      </c>
      <c r="I693" t="n">
        <v>0</v>
      </c>
      <c r="J693" t="n">
        <v>0</v>
      </c>
      <c r="K693" t="n">
        <v>0</v>
      </c>
      <c r="L693" t="n">
        <v>0</v>
      </c>
      <c r="M693" t="n">
        <v>0</v>
      </c>
      <c r="N693" t="n">
        <v>0</v>
      </c>
      <c r="O693" t="n">
        <v>0</v>
      </c>
      <c r="P693" t="n">
        <v>0</v>
      </c>
      <c r="Q693" t="n">
        <v>0</v>
      </c>
      <c r="R693" s="2" t="inlineStr"/>
    </row>
    <row r="694" ht="15" customHeight="1">
      <c r="A694" t="inlineStr">
        <is>
          <t>A 7772-2023</t>
        </is>
      </c>
      <c r="B694" s="1" t="n">
        <v>44973.40076388889</v>
      </c>
      <c r="C694" s="1" t="n">
        <v>46000</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19751-2022</t>
        </is>
      </c>
      <c r="B695" s="1" t="n">
        <v>44694</v>
      </c>
      <c r="C695" s="1" t="n">
        <v>46000</v>
      </c>
      <c r="D695" t="inlineStr">
        <is>
          <t>VÄSTMANLANDS LÄN</t>
        </is>
      </c>
      <c r="E695" t="inlineStr">
        <is>
          <t>SALA</t>
        </is>
      </c>
      <c r="G695" t="n">
        <v>2.7</v>
      </c>
      <c r="H695" t="n">
        <v>0</v>
      </c>
      <c r="I695" t="n">
        <v>0</v>
      </c>
      <c r="J695" t="n">
        <v>0</v>
      </c>
      <c r="K695" t="n">
        <v>0</v>
      </c>
      <c r="L695" t="n">
        <v>0</v>
      </c>
      <c r="M695" t="n">
        <v>0</v>
      </c>
      <c r="N695" t="n">
        <v>0</v>
      </c>
      <c r="O695" t="n">
        <v>0</v>
      </c>
      <c r="P695" t="n">
        <v>0</v>
      </c>
      <c r="Q695" t="n">
        <v>0</v>
      </c>
      <c r="R695" s="2" t="inlineStr"/>
    </row>
    <row r="696" ht="15" customHeight="1">
      <c r="A696" t="inlineStr">
        <is>
          <t>A 44713-2023</t>
        </is>
      </c>
      <c r="B696" s="1" t="n">
        <v>45184</v>
      </c>
      <c r="C696" s="1" t="n">
        <v>46000</v>
      </c>
      <c r="D696" t="inlineStr">
        <is>
          <t>VÄSTMANLANDS LÄN</t>
        </is>
      </c>
      <c r="E696" t="inlineStr">
        <is>
          <t>SALA</t>
        </is>
      </c>
      <c r="F696" t="inlineStr">
        <is>
          <t>Kyrkan</t>
        </is>
      </c>
      <c r="G696" t="n">
        <v>7.6</v>
      </c>
      <c r="H696" t="n">
        <v>0</v>
      </c>
      <c r="I696" t="n">
        <v>0</v>
      </c>
      <c r="J696" t="n">
        <v>0</v>
      </c>
      <c r="K696" t="n">
        <v>0</v>
      </c>
      <c r="L696" t="n">
        <v>0</v>
      </c>
      <c r="M696" t="n">
        <v>0</v>
      </c>
      <c r="N696" t="n">
        <v>0</v>
      </c>
      <c r="O696" t="n">
        <v>0</v>
      </c>
      <c r="P696" t="n">
        <v>0</v>
      </c>
      <c r="Q696" t="n">
        <v>0</v>
      </c>
      <c r="R696" s="2" t="inlineStr"/>
    </row>
    <row r="697" ht="15" customHeight="1">
      <c r="A697" t="inlineStr">
        <is>
          <t>A 18713-2025</t>
        </is>
      </c>
      <c r="B697" s="1" t="n">
        <v>45763</v>
      </c>
      <c r="C697" s="1" t="n">
        <v>46000</v>
      </c>
      <c r="D697" t="inlineStr">
        <is>
          <t>VÄSTMANLANDS LÄN</t>
        </is>
      </c>
      <c r="E697" t="inlineStr">
        <is>
          <t>SALA</t>
        </is>
      </c>
      <c r="F697" t="inlineStr">
        <is>
          <t>Bergvik skog öst AB</t>
        </is>
      </c>
      <c r="G697" t="n">
        <v>11.6</v>
      </c>
      <c r="H697" t="n">
        <v>0</v>
      </c>
      <c r="I697" t="n">
        <v>0</v>
      </c>
      <c r="J697" t="n">
        <v>0</v>
      </c>
      <c r="K697" t="n">
        <v>0</v>
      </c>
      <c r="L697" t="n">
        <v>0</v>
      </c>
      <c r="M697" t="n">
        <v>0</v>
      </c>
      <c r="N697" t="n">
        <v>0</v>
      </c>
      <c r="O697" t="n">
        <v>0</v>
      </c>
      <c r="P697" t="n">
        <v>0</v>
      </c>
      <c r="Q697" t="n">
        <v>0</v>
      </c>
      <c r="R697" s="2" t="inlineStr"/>
    </row>
    <row r="698" ht="15" customHeight="1">
      <c r="A698" t="inlineStr">
        <is>
          <t>A 47479-2024</t>
        </is>
      </c>
      <c r="B698" s="1" t="n">
        <v>45587</v>
      </c>
      <c r="C698" s="1" t="n">
        <v>46000</v>
      </c>
      <c r="D698" t="inlineStr">
        <is>
          <t>VÄSTMANLANDS LÄN</t>
        </is>
      </c>
      <c r="E698" t="inlineStr">
        <is>
          <t>SALA</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69236-2021</t>
        </is>
      </c>
      <c r="B699" s="1" t="n">
        <v>44531.4047337963</v>
      </c>
      <c r="C699" s="1" t="n">
        <v>46000</v>
      </c>
      <c r="D699" t="inlineStr">
        <is>
          <t>VÄSTMANLANDS LÄN</t>
        </is>
      </c>
      <c r="E699" t="inlineStr">
        <is>
          <t>SALA</t>
        </is>
      </c>
      <c r="G699" t="n">
        <v>2.8</v>
      </c>
      <c r="H699" t="n">
        <v>0</v>
      </c>
      <c r="I699" t="n">
        <v>0</v>
      </c>
      <c r="J699" t="n">
        <v>0</v>
      </c>
      <c r="K699" t="n">
        <v>0</v>
      </c>
      <c r="L699" t="n">
        <v>0</v>
      </c>
      <c r="M699" t="n">
        <v>0</v>
      </c>
      <c r="N699" t="n">
        <v>0</v>
      </c>
      <c r="O699" t="n">
        <v>0</v>
      </c>
      <c r="P699" t="n">
        <v>0</v>
      </c>
      <c r="Q699" t="n">
        <v>0</v>
      </c>
      <c r="R699" s="2" t="inlineStr"/>
    </row>
    <row r="700" ht="15" customHeight="1">
      <c r="A700" t="inlineStr">
        <is>
          <t>A 25541-2024</t>
        </is>
      </c>
      <c r="B700" s="1" t="n">
        <v>45463.56337962963</v>
      </c>
      <c r="C700" s="1" t="n">
        <v>46000</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5728-2022</t>
        </is>
      </c>
      <c r="B701" s="1" t="n">
        <v>44596.42082175926</v>
      </c>
      <c r="C701" s="1" t="n">
        <v>46000</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10250-2025</t>
        </is>
      </c>
      <c r="B702" s="1" t="n">
        <v>45720.36165509259</v>
      </c>
      <c r="C702" s="1" t="n">
        <v>46000</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49512-2024</t>
        </is>
      </c>
      <c r="B703" s="1" t="n">
        <v>45591</v>
      </c>
      <c r="C703" s="1" t="n">
        <v>46000</v>
      </c>
      <c r="D703" t="inlineStr">
        <is>
          <t>VÄSTMANLANDS LÄN</t>
        </is>
      </c>
      <c r="E703" t="inlineStr">
        <is>
          <t>SALA</t>
        </is>
      </c>
      <c r="G703" t="n">
        <v>8.1</v>
      </c>
      <c r="H703" t="n">
        <v>0</v>
      </c>
      <c r="I703" t="n">
        <v>0</v>
      </c>
      <c r="J703" t="n">
        <v>0</v>
      </c>
      <c r="K703" t="n">
        <v>0</v>
      </c>
      <c r="L703" t="n">
        <v>0</v>
      </c>
      <c r="M703" t="n">
        <v>0</v>
      </c>
      <c r="N703" t="n">
        <v>0</v>
      </c>
      <c r="O703" t="n">
        <v>0</v>
      </c>
      <c r="P703" t="n">
        <v>0</v>
      </c>
      <c r="Q703" t="n">
        <v>0</v>
      </c>
      <c r="R703" s="2" t="inlineStr"/>
    </row>
    <row r="704" ht="15" customHeight="1">
      <c r="A704" t="inlineStr">
        <is>
          <t>A 42416-2022</t>
        </is>
      </c>
      <c r="B704" s="1" t="n">
        <v>44831</v>
      </c>
      <c r="C704" s="1" t="n">
        <v>46000</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6135-2023</t>
        </is>
      </c>
      <c r="B705" s="1" t="n">
        <v>44964.62628472222</v>
      </c>
      <c r="C705" s="1" t="n">
        <v>46000</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46000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8285-2025</t>
        </is>
      </c>
      <c r="B707" s="1" t="n">
        <v>45708</v>
      </c>
      <c r="C707" s="1" t="n">
        <v>46000</v>
      </c>
      <c r="D707" t="inlineStr">
        <is>
          <t>VÄSTMANLANDS LÄN</t>
        </is>
      </c>
      <c r="E707" t="inlineStr">
        <is>
          <t>SALA</t>
        </is>
      </c>
      <c r="G707" t="n">
        <v>5.7</v>
      </c>
      <c r="H707" t="n">
        <v>0</v>
      </c>
      <c r="I707" t="n">
        <v>0</v>
      </c>
      <c r="J707" t="n">
        <v>0</v>
      </c>
      <c r="K707" t="n">
        <v>0</v>
      </c>
      <c r="L707" t="n">
        <v>0</v>
      </c>
      <c r="M707" t="n">
        <v>0</v>
      </c>
      <c r="N707" t="n">
        <v>0</v>
      </c>
      <c r="O707" t="n">
        <v>0</v>
      </c>
      <c r="P707" t="n">
        <v>0</v>
      </c>
      <c r="Q707" t="n">
        <v>0</v>
      </c>
      <c r="R707" s="2" t="inlineStr"/>
    </row>
    <row r="708" ht="15" customHeight="1">
      <c r="A708" t="inlineStr">
        <is>
          <t>A 15584-2021</t>
        </is>
      </c>
      <c r="B708" s="1" t="n">
        <v>44285</v>
      </c>
      <c r="C708" s="1" t="n">
        <v>46000</v>
      </c>
      <c r="D708" t="inlineStr">
        <is>
          <t>VÄSTMANLANDS LÄN</t>
        </is>
      </c>
      <c r="E708" t="inlineStr">
        <is>
          <t>SALA</t>
        </is>
      </c>
      <c r="G708" t="n">
        <v>3.4</v>
      </c>
      <c r="H708" t="n">
        <v>0</v>
      </c>
      <c r="I708" t="n">
        <v>0</v>
      </c>
      <c r="J708" t="n">
        <v>0</v>
      </c>
      <c r="K708" t="n">
        <v>0</v>
      </c>
      <c r="L708" t="n">
        <v>0</v>
      </c>
      <c r="M708" t="n">
        <v>0</v>
      </c>
      <c r="N708" t="n">
        <v>0</v>
      </c>
      <c r="O708" t="n">
        <v>0</v>
      </c>
      <c r="P708" t="n">
        <v>0</v>
      </c>
      <c r="Q708" t="n">
        <v>0</v>
      </c>
      <c r="R708" s="2" t="inlineStr"/>
    </row>
    <row r="709" ht="15" customHeight="1">
      <c r="A709" t="inlineStr">
        <is>
          <t>A 18340-2025</t>
        </is>
      </c>
      <c r="B709" s="1" t="n">
        <v>45762</v>
      </c>
      <c r="C709" s="1" t="n">
        <v>46000</v>
      </c>
      <c r="D709" t="inlineStr">
        <is>
          <t>VÄSTMANLANDS LÄN</t>
        </is>
      </c>
      <c r="E709" t="inlineStr">
        <is>
          <t>SALA</t>
        </is>
      </c>
      <c r="G709" t="n">
        <v>2.1</v>
      </c>
      <c r="H709" t="n">
        <v>0</v>
      </c>
      <c r="I709" t="n">
        <v>0</v>
      </c>
      <c r="J709" t="n">
        <v>0</v>
      </c>
      <c r="K709" t="n">
        <v>0</v>
      </c>
      <c r="L709" t="n">
        <v>0</v>
      </c>
      <c r="M709" t="n">
        <v>0</v>
      </c>
      <c r="N709" t="n">
        <v>0</v>
      </c>
      <c r="O709" t="n">
        <v>0</v>
      </c>
      <c r="P709" t="n">
        <v>0</v>
      </c>
      <c r="Q709" t="n">
        <v>0</v>
      </c>
      <c r="R709" s="2" t="inlineStr"/>
    </row>
    <row r="710" ht="15" customHeight="1">
      <c r="A710" t="inlineStr">
        <is>
          <t>A 56706-2022</t>
        </is>
      </c>
      <c r="B710" s="1" t="n">
        <v>44893.78893518518</v>
      </c>
      <c r="C710" s="1" t="n">
        <v>46000</v>
      </c>
      <c r="D710" t="inlineStr">
        <is>
          <t>VÄSTMANLANDS LÄN</t>
        </is>
      </c>
      <c r="E710" t="inlineStr">
        <is>
          <t>SALA</t>
        </is>
      </c>
      <c r="G710" t="n">
        <v>4.5</v>
      </c>
      <c r="H710" t="n">
        <v>0</v>
      </c>
      <c r="I710" t="n">
        <v>0</v>
      </c>
      <c r="J710" t="n">
        <v>0</v>
      </c>
      <c r="K710" t="n">
        <v>0</v>
      </c>
      <c r="L710" t="n">
        <v>0</v>
      </c>
      <c r="M710" t="n">
        <v>0</v>
      </c>
      <c r="N710" t="n">
        <v>0</v>
      </c>
      <c r="O710" t="n">
        <v>0</v>
      </c>
      <c r="P710" t="n">
        <v>0</v>
      </c>
      <c r="Q710" t="n">
        <v>0</v>
      </c>
      <c r="R710" s="2" t="inlineStr"/>
    </row>
    <row r="711" ht="15" customHeight="1">
      <c r="A711" t="inlineStr">
        <is>
          <t>A 56707-2022</t>
        </is>
      </c>
      <c r="B711" s="1" t="n">
        <v>44893.79412037037</v>
      </c>
      <c r="C711" s="1" t="n">
        <v>46000</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48571-2024</t>
        </is>
      </c>
      <c r="B712" s="1" t="n">
        <v>45591</v>
      </c>
      <c r="C712" s="1" t="n">
        <v>46000</v>
      </c>
      <c r="D712" t="inlineStr">
        <is>
          <t>VÄSTMANLANDS LÄN</t>
        </is>
      </c>
      <c r="E712" t="inlineStr">
        <is>
          <t>SALA</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13188-2025</t>
        </is>
      </c>
      <c r="B713" s="1" t="n">
        <v>45735.39246527778</v>
      </c>
      <c r="C713" s="1" t="n">
        <v>46000</v>
      </c>
      <c r="D713" t="inlineStr">
        <is>
          <t>VÄSTMANLANDS LÄN</t>
        </is>
      </c>
      <c r="E713" t="inlineStr">
        <is>
          <t>SALA</t>
        </is>
      </c>
      <c r="F713" t="inlineStr">
        <is>
          <t>Naturvårdsverket</t>
        </is>
      </c>
      <c r="G713" t="n">
        <v>18.4</v>
      </c>
      <c r="H713" t="n">
        <v>0</v>
      </c>
      <c r="I713" t="n">
        <v>0</v>
      </c>
      <c r="J713" t="n">
        <v>0</v>
      </c>
      <c r="K713" t="n">
        <v>0</v>
      </c>
      <c r="L713" t="n">
        <v>0</v>
      </c>
      <c r="M713" t="n">
        <v>0</v>
      </c>
      <c r="N713" t="n">
        <v>0</v>
      </c>
      <c r="O713" t="n">
        <v>0</v>
      </c>
      <c r="P713" t="n">
        <v>0</v>
      </c>
      <c r="Q713" t="n">
        <v>0</v>
      </c>
      <c r="R713" s="2" t="inlineStr"/>
    </row>
    <row r="714" ht="15" customHeight="1">
      <c r="A714" t="inlineStr">
        <is>
          <t>A 23431-2024</t>
        </is>
      </c>
      <c r="B714" s="1" t="n">
        <v>45453</v>
      </c>
      <c r="C714" s="1" t="n">
        <v>46000</v>
      </c>
      <c r="D714" t="inlineStr">
        <is>
          <t>VÄSTMANLANDS LÄN</t>
        </is>
      </c>
      <c r="E714" t="inlineStr">
        <is>
          <t>SALA</t>
        </is>
      </c>
      <c r="G714" t="n">
        <v>1.6</v>
      </c>
      <c r="H714" t="n">
        <v>0</v>
      </c>
      <c r="I714" t="n">
        <v>0</v>
      </c>
      <c r="J714" t="n">
        <v>0</v>
      </c>
      <c r="K714" t="n">
        <v>0</v>
      </c>
      <c r="L714" t="n">
        <v>0</v>
      </c>
      <c r="M714" t="n">
        <v>0</v>
      </c>
      <c r="N714" t="n">
        <v>0</v>
      </c>
      <c r="O714" t="n">
        <v>0</v>
      </c>
      <c r="P714" t="n">
        <v>0</v>
      </c>
      <c r="Q714" t="n">
        <v>0</v>
      </c>
      <c r="R714" s="2" t="inlineStr"/>
    </row>
    <row r="715" ht="15" customHeight="1">
      <c r="A715" t="inlineStr">
        <is>
          <t>A 21168-2025</t>
        </is>
      </c>
      <c r="B715" s="1" t="n">
        <v>45777</v>
      </c>
      <c r="C715" s="1" t="n">
        <v>46000</v>
      </c>
      <c r="D715" t="inlineStr">
        <is>
          <t>VÄSTMANLANDS LÄN</t>
        </is>
      </c>
      <c r="E715" t="inlineStr">
        <is>
          <t>SALA</t>
        </is>
      </c>
      <c r="G715" t="n">
        <v>4.5</v>
      </c>
      <c r="H715" t="n">
        <v>0</v>
      </c>
      <c r="I715" t="n">
        <v>0</v>
      </c>
      <c r="J715" t="n">
        <v>0</v>
      </c>
      <c r="K715" t="n">
        <v>0</v>
      </c>
      <c r="L715" t="n">
        <v>0</v>
      </c>
      <c r="M715" t="n">
        <v>0</v>
      </c>
      <c r="N715" t="n">
        <v>0</v>
      </c>
      <c r="O715" t="n">
        <v>0</v>
      </c>
      <c r="P715" t="n">
        <v>0</v>
      </c>
      <c r="Q715" t="n">
        <v>0</v>
      </c>
      <c r="R715" s="2" t="inlineStr"/>
    </row>
    <row r="716" ht="15" customHeight="1">
      <c r="A716" t="inlineStr">
        <is>
          <t>A 21754-2025</t>
        </is>
      </c>
      <c r="B716" s="1" t="n">
        <v>45783.61837962963</v>
      </c>
      <c r="C716" s="1" t="n">
        <v>46000</v>
      </c>
      <c r="D716" t="inlineStr">
        <is>
          <t>VÄSTMANLANDS LÄN</t>
        </is>
      </c>
      <c r="E716" t="inlineStr">
        <is>
          <t>SALA</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21751-2025</t>
        </is>
      </c>
      <c r="B717" s="1" t="n">
        <v>45783.61372685185</v>
      </c>
      <c r="C717" s="1" t="n">
        <v>46000</v>
      </c>
      <c r="D717" t="inlineStr">
        <is>
          <t>VÄSTMANLANDS LÄN</t>
        </is>
      </c>
      <c r="E717" t="inlineStr">
        <is>
          <t>SALA</t>
        </is>
      </c>
      <c r="G717" t="n">
        <v>1</v>
      </c>
      <c r="H717" t="n">
        <v>0</v>
      </c>
      <c r="I717" t="n">
        <v>0</v>
      </c>
      <c r="J717" t="n">
        <v>0</v>
      </c>
      <c r="K717" t="n">
        <v>0</v>
      </c>
      <c r="L717" t="n">
        <v>0</v>
      </c>
      <c r="M717" t="n">
        <v>0</v>
      </c>
      <c r="N717" t="n">
        <v>0</v>
      </c>
      <c r="O717" t="n">
        <v>0</v>
      </c>
      <c r="P717" t="n">
        <v>0</v>
      </c>
      <c r="Q717" t="n">
        <v>0</v>
      </c>
      <c r="R717" s="2" t="inlineStr"/>
    </row>
    <row r="718" ht="15" customHeight="1">
      <c r="A718" t="inlineStr">
        <is>
          <t>A 37587-2024</t>
        </is>
      </c>
      <c r="B718" s="1" t="n">
        <v>45541</v>
      </c>
      <c r="C718" s="1" t="n">
        <v>46000</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c r="A719" t="inlineStr">
        <is>
          <t>A 64724-2023</t>
        </is>
      </c>
      <c r="B719" s="1" t="n">
        <v>45281.7602662037</v>
      </c>
      <c r="C719" s="1" t="n">
        <v>46000</v>
      </c>
      <c r="D719" t="inlineStr">
        <is>
          <t>VÄSTMANLANDS LÄN</t>
        </is>
      </c>
      <c r="E719" t="inlineStr">
        <is>
          <t>SALA</t>
        </is>
      </c>
      <c r="G719" t="n">
        <v>2.3</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2025-12-09T10:22:34Z</dcterms:created>
  <dcterms:modified xmlns:dcterms="http://purl.org/dc/terms/" xmlns:xsi="http://www.w3.org/2001/XMLSchema-instance" xsi:type="dcterms:W3CDTF">2025-12-09T10:22:34Z</dcterms:modified>
</cp:coreProperties>
</file>