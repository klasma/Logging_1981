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45879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45879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45879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45879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45879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45879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45879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45879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45879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45879</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45879</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45879</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45879</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45879</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45879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45879</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3567-2024</t>
        </is>
      </c>
      <c r="B18" s="1" t="n">
        <v>45320.63706018519</v>
      </c>
      <c r="C18" s="1" t="n">
        <v>45879</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45879</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45879</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45879</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45879</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34065-2025</t>
        </is>
      </c>
      <c r="B23" s="1" t="n">
        <v>45845.42806712963</v>
      </c>
      <c r="C23" s="1" t="n">
        <v>45879</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45879</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45879</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45879</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45879</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12444-2024</t>
        </is>
      </c>
      <c r="B28" s="1" t="n">
        <v>45379.46285879629</v>
      </c>
      <c r="C28" s="1" t="n">
        <v>45879</v>
      </c>
      <c r="D28" t="inlineStr">
        <is>
          <t>VÄSTMANLANDS LÄN</t>
        </is>
      </c>
      <c r="E28" t="inlineStr">
        <is>
          <t>SALA</t>
        </is>
      </c>
      <c r="G28" t="n">
        <v>5.5</v>
      </c>
      <c r="H28" t="n">
        <v>0</v>
      </c>
      <c r="I28" t="n">
        <v>1</v>
      </c>
      <c r="J28" t="n">
        <v>1</v>
      </c>
      <c r="K28" t="n">
        <v>0</v>
      </c>
      <c r="L28" t="n">
        <v>0</v>
      </c>
      <c r="M28" t="n">
        <v>0</v>
      </c>
      <c r="N28" t="n">
        <v>0</v>
      </c>
      <c r="O28" t="n">
        <v>1</v>
      </c>
      <c r="P28" t="n">
        <v>0</v>
      </c>
      <c r="Q28" t="n">
        <v>2</v>
      </c>
      <c r="R28" s="2" t="inlineStr">
        <is>
          <t>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1500-2022</t>
        </is>
      </c>
      <c r="B29" s="1" t="n">
        <v>44573.54357638889</v>
      </c>
      <c r="C29" s="1" t="n">
        <v>45879</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24327-2025</t>
        </is>
      </c>
      <c r="B30" s="1" t="n">
        <v>45797</v>
      </c>
      <c r="C30" s="1" t="n">
        <v>45879</v>
      </c>
      <c r="D30" t="inlineStr">
        <is>
          <t>VÄSTMANLANDS LÄN</t>
        </is>
      </c>
      <c r="E30" t="inlineStr">
        <is>
          <t>SALA</t>
        </is>
      </c>
      <c r="G30" t="n">
        <v>13.1</v>
      </c>
      <c r="H30" t="n">
        <v>1</v>
      </c>
      <c r="I30" t="n">
        <v>1</v>
      </c>
      <c r="J30" t="n">
        <v>0</v>
      </c>
      <c r="K30" t="n">
        <v>0</v>
      </c>
      <c r="L30" t="n">
        <v>0</v>
      </c>
      <c r="M30" t="n">
        <v>0</v>
      </c>
      <c r="N30" t="n">
        <v>0</v>
      </c>
      <c r="O30" t="n">
        <v>0</v>
      </c>
      <c r="P30" t="n">
        <v>0</v>
      </c>
      <c r="Q30" t="n">
        <v>2</v>
      </c>
      <c r="R30" s="2" t="inlineStr">
        <is>
          <t>Blomkålssvamp
Blåsippa</t>
        </is>
      </c>
      <c r="S30">
        <f>HYPERLINK("https://klasma.github.io/Logging_1981/artfynd/A 24327-2025 artfynd.xlsx", "A 24327-2025")</f>
        <v/>
      </c>
      <c r="T30">
        <f>HYPERLINK("https://klasma.github.io/Logging_1981/kartor/A 24327-2025 karta.png", "A 24327-2025")</f>
        <v/>
      </c>
      <c r="U30">
        <f>HYPERLINK("https://klasma.github.io/Logging_1981/knärot/A 24327-2025 karta knärot.png", "A 24327-2025")</f>
        <v/>
      </c>
      <c r="V30">
        <f>HYPERLINK("https://klasma.github.io/Logging_1981/klagomål/A 24327-2025 FSC-klagomål.docx", "A 24327-2025")</f>
        <v/>
      </c>
      <c r="W30">
        <f>HYPERLINK("https://klasma.github.io/Logging_1981/klagomålsmail/A 24327-2025 FSC-klagomål mail.docx", "A 24327-2025")</f>
        <v/>
      </c>
      <c r="X30">
        <f>HYPERLINK("https://klasma.github.io/Logging_1981/tillsyn/A 24327-2025 tillsynsbegäran.docx", "A 24327-2025")</f>
        <v/>
      </c>
      <c r="Y30">
        <f>HYPERLINK("https://klasma.github.io/Logging_1981/tillsynsmail/A 24327-2025 tillsynsbegäran mail.docx", "A 24327-2025")</f>
        <v/>
      </c>
    </row>
    <row r="31" ht="15" customHeight="1">
      <c r="A31" t="inlineStr">
        <is>
          <t>A 24872-2025</t>
        </is>
      </c>
      <c r="B31" s="1" t="n">
        <v>45799.49038194444</v>
      </c>
      <c r="C31" s="1" t="n">
        <v>45879</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13029-2023</t>
        </is>
      </c>
      <c r="B32" s="1" t="n">
        <v>45001</v>
      </c>
      <c r="C32" s="1" t="n">
        <v>45879</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45879</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45879</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45879</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45879</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45879</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45879</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14775-2023</t>
        </is>
      </c>
      <c r="B39" s="1" t="n">
        <v>45014</v>
      </c>
      <c r="C39" s="1" t="n">
        <v>45879</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14775-2023 artfynd.xlsx", "A 14775-2023")</f>
        <v/>
      </c>
      <c r="T39">
        <f>HYPERLINK("https://klasma.github.io/Logging_1981/kartor/A 14775-2023 karta.png", "A 14775-2023")</f>
        <v/>
      </c>
      <c r="U39">
        <f>HYPERLINK("https://klasma.github.io/Logging_1981/knärot/A 14775-2023 karta knärot.png", "A 14775-2023")</f>
        <v/>
      </c>
      <c r="V39">
        <f>HYPERLINK("https://klasma.github.io/Logging_1981/klagomål/A 14775-2023 FSC-klagomål.docx", "A 14775-2023")</f>
        <v/>
      </c>
      <c r="W39">
        <f>HYPERLINK("https://klasma.github.io/Logging_1981/klagomålsmail/A 14775-2023 FSC-klagomål mail.docx", "A 14775-2023")</f>
        <v/>
      </c>
      <c r="X39">
        <f>HYPERLINK("https://klasma.github.io/Logging_1981/tillsyn/A 14775-2023 tillsynsbegäran.docx", "A 14775-2023")</f>
        <v/>
      </c>
      <c r="Y39">
        <f>HYPERLINK("https://klasma.github.io/Logging_1981/tillsynsmail/A 14775-2023 tillsynsbegäran mail.docx", "A 14775-2023")</f>
        <v/>
      </c>
    </row>
    <row r="40" ht="15" customHeight="1">
      <c r="A40" t="inlineStr">
        <is>
          <t>A 19361-2025</t>
        </is>
      </c>
      <c r="B40" s="1" t="n">
        <v>45769.63357638889</v>
      </c>
      <c r="C40" s="1" t="n">
        <v>45879</v>
      </c>
      <c r="D40" t="inlineStr">
        <is>
          <t>VÄSTMANLANDS LÄN</t>
        </is>
      </c>
      <c r="E40" t="inlineStr">
        <is>
          <t>SALA</t>
        </is>
      </c>
      <c r="F40" t="inlineStr">
        <is>
          <t>Bergvik skog öst AB</t>
        </is>
      </c>
      <c r="G40" t="n">
        <v>8.9</v>
      </c>
      <c r="H40" t="n">
        <v>0</v>
      </c>
      <c r="I40" t="n">
        <v>0</v>
      </c>
      <c r="J40" t="n">
        <v>1</v>
      </c>
      <c r="K40" t="n">
        <v>0</v>
      </c>
      <c r="L40" t="n">
        <v>0</v>
      </c>
      <c r="M40" t="n">
        <v>0</v>
      </c>
      <c r="N40" t="n">
        <v>0</v>
      </c>
      <c r="O40" t="n">
        <v>1</v>
      </c>
      <c r="P40" t="n">
        <v>0</v>
      </c>
      <c r="Q40" t="n">
        <v>1</v>
      </c>
      <c r="R40" s="2" t="inlineStr">
        <is>
          <t>Garnlav</t>
        </is>
      </c>
      <c r="S40">
        <f>HYPERLINK("https://klasma.github.io/Logging_1981/artfynd/A 19361-2025 artfynd.xlsx", "A 19361-2025")</f>
        <v/>
      </c>
      <c r="T40">
        <f>HYPERLINK("https://klasma.github.io/Logging_1981/kartor/A 19361-2025 karta.png", "A 19361-2025")</f>
        <v/>
      </c>
      <c r="V40">
        <f>HYPERLINK("https://klasma.github.io/Logging_1981/klagomål/A 19361-2025 FSC-klagomål.docx", "A 19361-2025")</f>
        <v/>
      </c>
      <c r="W40">
        <f>HYPERLINK("https://klasma.github.io/Logging_1981/klagomålsmail/A 19361-2025 FSC-klagomål mail.docx", "A 19361-2025")</f>
        <v/>
      </c>
      <c r="X40">
        <f>HYPERLINK("https://klasma.github.io/Logging_1981/tillsyn/A 19361-2025 tillsynsbegäran.docx", "A 19361-2025")</f>
        <v/>
      </c>
      <c r="Y40">
        <f>HYPERLINK("https://klasma.github.io/Logging_1981/tillsynsmail/A 19361-2025 tillsynsbegäran mail.docx", "A 19361-2025")</f>
        <v/>
      </c>
    </row>
    <row r="41" ht="15" customHeight="1">
      <c r="A41" t="inlineStr">
        <is>
          <t>A 41570-2021</t>
        </is>
      </c>
      <c r="B41" s="1" t="n">
        <v>44425</v>
      </c>
      <c r="C41" s="1" t="n">
        <v>45879</v>
      </c>
      <c r="D41" t="inlineStr">
        <is>
          <t>VÄSTMANLANDS LÄN</t>
        </is>
      </c>
      <c r="E41" t="inlineStr">
        <is>
          <t>SALA</t>
        </is>
      </c>
      <c r="G41" t="n">
        <v>1.4</v>
      </c>
      <c r="H41" t="n">
        <v>0</v>
      </c>
      <c r="I41" t="n">
        <v>0</v>
      </c>
      <c r="J41" t="n">
        <v>1</v>
      </c>
      <c r="K41" t="n">
        <v>0</v>
      </c>
      <c r="L41" t="n">
        <v>0</v>
      </c>
      <c r="M41" t="n">
        <v>0</v>
      </c>
      <c r="N41" t="n">
        <v>0</v>
      </c>
      <c r="O41" t="n">
        <v>1</v>
      </c>
      <c r="P41" t="n">
        <v>0</v>
      </c>
      <c r="Q41" t="n">
        <v>1</v>
      </c>
      <c r="R41" s="2" t="inlineStr">
        <is>
          <t>Vedtrappmossa</t>
        </is>
      </c>
      <c r="S41">
        <f>HYPERLINK("https://klasma.github.io/Logging_1981/artfynd/A 41570-2021 artfynd.xlsx", "A 41570-2021")</f>
        <v/>
      </c>
      <c r="T41">
        <f>HYPERLINK("https://klasma.github.io/Logging_1981/kartor/A 41570-2021 karta.png", "A 41570-2021")</f>
        <v/>
      </c>
      <c r="V41">
        <f>HYPERLINK("https://klasma.github.io/Logging_1981/klagomål/A 41570-2021 FSC-klagomål.docx", "A 41570-2021")</f>
        <v/>
      </c>
      <c r="W41">
        <f>HYPERLINK("https://klasma.github.io/Logging_1981/klagomålsmail/A 41570-2021 FSC-klagomål mail.docx", "A 41570-2021")</f>
        <v/>
      </c>
      <c r="X41">
        <f>HYPERLINK("https://klasma.github.io/Logging_1981/tillsyn/A 41570-2021 tillsynsbegäran.docx", "A 41570-2021")</f>
        <v/>
      </c>
      <c r="Y41">
        <f>HYPERLINK("https://klasma.github.io/Logging_1981/tillsynsmail/A 41570-2021 tillsynsbegäran mail.docx", "A 41570-2021")</f>
        <v/>
      </c>
    </row>
    <row r="42" ht="15" customHeight="1">
      <c r="A42" t="inlineStr">
        <is>
          <t>A 56704-2022</t>
        </is>
      </c>
      <c r="B42" s="1" t="n">
        <v>44893.78075231481</v>
      </c>
      <c r="C42" s="1" t="n">
        <v>45879</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22350-2024</t>
        </is>
      </c>
      <c r="B43" s="1" t="n">
        <v>45446</v>
      </c>
      <c r="C43" s="1" t="n">
        <v>45879</v>
      </c>
      <c r="D43" t="inlineStr">
        <is>
          <t>VÄSTMANLANDS LÄN</t>
        </is>
      </c>
      <c r="E43" t="inlineStr">
        <is>
          <t>SALA</t>
        </is>
      </c>
      <c r="G43" t="n">
        <v>1.2</v>
      </c>
      <c r="H43" t="n">
        <v>1</v>
      </c>
      <c r="I43" t="n">
        <v>0</v>
      </c>
      <c r="J43" t="n">
        <v>0</v>
      </c>
      <c r="K43" t="n">
        <v>0</v>
      </c>
      <c r="L43" t="n">
        <v>0</v>
      </c>
      <c r="M43" t="n">
        <v>0</v>
      </c>
      <c r="N43" t="n">
        <v>0</v>
      </c>
      <c r="O43" t="n">
        <v>0</v>
      </c>
      <c r="P43" t="n">
        <v>0</v>
      </c>
      <c r="Q43" t="n">
        <v>1</v>
      </c>
      <c r="R43" s="2" t="inlineStr">
        <is>
          <t>Blåsippa</t>
        </is>
      </c>
      <c r="S43">
        <f>HYPERLINK("https://klasma.github.io/Logging_1981/artfynd/A 22350-2024 artfynd.xlsx", "A 22350-2024")</f>
        <v/>
      </c>
      <c r="T43">
        <f>HYPERLINK("https://klasma.github.io/Logging_1981/kartor/A 22350-2024 karta.png", "A 22350-2024")</f>
        <v/>
      </c>
      <c r="V43">
        <f>HYPERLINK("https://klasma.github.io/Logging_1981/klagomål/A 22350-2024 FSC-klagomål.docx", "A 22350-2024")</f>
        <v/>
      </c>
      <c r="W43">
        <f>HYPERLINK("https://klasma.github.io/Logging_1981/klagomålsmail/A 22350-2024 FSC-klagomål mail.docx", "A 22350-2024")</f>
        <v/>
      </c>
      <c r="X43">
        <f>HYPERLINK("https://klasma.github.io/Logging_1981/tillsyn/A 22350-2024 tillsynsbegäran.docx", "A 22350-2024")</f>
        <v/>
      </c>
      <c r="Y43">
        <f>HYPERLINK("https://klasma.github.io/Logging_1981/tillsynsmail/A 22350-2024 tillsynsbegäran mail.docx", "A 22350-2024")</f>
        <v/>
      </c>
    </row>
    <row r="44" ht="15" customHeight="1">
      <c r="A44" t="inlineStr">
        <is>
          <t>A 39800-2020</t>
        </is>
      </c>
      <c r="B44" s="1" t="n">
        <v>44067</v>
      </c>
      <c r="C44" s="1" t="n">
        <v>45879</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39800-2020 artfynd.xlsx", "A 39800-2020")</f>
        <v/>
      </c>
      <c r="T44">
        <f>HYPERLINK("https://klasma.github.io/Logging_1981/kartor/A 39800-2020 karta.png", "A 39800-2020")</f>
        <v/>
      </c>
      <c r="V44">
        <f>HYPERLINK("https://klasma.github.io/Logging_1981/klagomål/A 39800-2020 FSC-klagomål.docx", "A 39800-2020")</f>
        <v/>
      </c>
      <c r="W44">
        <f>HYPERLINK("https://klasma.github.io/Logging_1981/klagomålsmail/A 39800-2020 FSC-klagomål mail.docx", "A 39800-2020")</f>
        <v/>
      </c>
      <c r="X44">
        <f>HYPERLINK("https://klasma.github.io/Logging_1981/tillsyn/A 39800-2020 tillsynsbegäran.docx", "A 39800-2020")</f>
        <v/>
      </c>
      <c r="Y44">
        <f>HYPERLINK("https://klasma.github.io/Logging_1981/tillsynsmail/A 39800-2020 tillsynsbegäran mail.docx", "A 39800-2020")</f>
        <v/>
      </c>
    </row>
    <row r="45" ht="15" customHeight="1">
      <c r="A45" t="inlineStr">
        <is>
          <t>A 55550-2023</t>
        </is>
      </c>
      <c r="B45" s="1" t="n">
        <v>45232</v>
      </c>
      <c r="C45" s="1" t="n">
        <v>45879</v>
      </c>
      <c r="D45" t="inlineStr">
        <is>
          <t>VÄSTMANLANDS LÄN</t>
        </is>
      </c>
      <c r="E45" t="inlineStr">
        <is>
          <t>SALA</t>
        </is>
      </c>
      <c r="G45" t="n">
        <v>9.9</v>
      </c>
      <c r="H45" t="n">
        <v>1</v>
      </c>
      <c r="I45" t="n">
        <v>0</v>
      </c>
      <c r="J45" t="n">
        <v>0</v>
      </c>
      <c r="K45" t="n">
        <v>1</v>
      </c>
      <c r="L45" t="n">
        <v>0</v>
      </c>
      <c r="M45" t="n">
        <v>0</v>
      </c>
      <c r="N45" t="n">
        <v>0</v>
      </c>
      <c r="O45" t="n">
        <v>1</v>
      </c>
      <c r="P45" t="n">
        <v>1</v>
      </c>
      <c r="Q45" t="n">
        <v>1</v>
      </c>
      <c r="R45" s="2" t="inlineStr">
        <is>
          <t>Knärot</t>
        </is>
      </c>
      <c r="S45">
        <f>HYPERLINK("https://klasma.github.io/Logging_1981/artfynd/A 55550-2023 artfynd.xlsx", "A 55550-2023")</f>
        <v/>
      </c>
      <c r="T45">
        <f>HYPERLINK("https://klasma.github.io/Logging_1981/kartor/A 55550-2023 karta.png", "A 55550-2023")</f>
        <v/>
      </c>
      <c r="U45">
        <f>HYPERLINK("https://klasma.github.io/Logging_1981/knärot/A 55550-2023 karta knärot.png", "A 55550-2023")</f>
        <v/>
      </c>
      <c r="V45">
        <f>HYPERLINK("https://klasma.github.io/Logging_1981/klagomål/A 55550-2023 FSC-klagomål.docx", "A 55550-2023")</f>
        <v/>
      </c>
      <c r="W45">
        <f>HYPERLINK("https://klasma.github.io/Logging_1981/klagomålsmail/A 55550-2023 FSC-klagomål mail.docx", "A 55550-2023")</f>
        <v/>
      </c>
      <c r="X45">
        <f>HYPERLINK("https://klasma.github.io/Logging_1981/tillsyn/A 55550-2023 tillsynsbegäran.docx", "A 55550-2023")</f>
        <v/>
      </c>
      <c r="Y45">
        <f>HYPERLINK("https://klasma.github.io/Logging_1981/tillsynsmail/A 55550-2023 tillsynsbegäran mail.docx", "A 55550-2023")</f>
        <v/>
      </c>
    </row>
    <row r="46" ht="15" customHeight="1">
      <c r="A46" t="inlineStr">
        <is>
          <t>A 37166-2024</t>
        </is>
      </c>
      <c r="B46" s="1" t="n">
        <v>45539</v>
      </c>
      <c r="C46" s="1" t="n">
        <v>45879</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43175-2023</t>
        </is>
      </c>
      <c r="B47" s="1" t="n">
        <v>45183</v>
      </c>
      <c r="C47" s="1" t="n">
        <v>45879</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60852-2024</t>
        </is>
      </c>
      <c r="B48" s="1" t="n">
        <v>45644</v>
      </c>
      <c r="C48" s="1" t="n">
        <v>45879</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22950-2025</t>
        </is>
      </c>
      <c r="B49" s="1" t="n">
        <v>45790.50728009259</v>
      </c>
      <c r="C49" s="1" t="n">
        <v>45879</v>
      </c>
      <c r="D49" t="inlineStr">
        <is>
          <t>VÄSTMANLANDS LÄN</t>
        </is>
      </c>
      <c r="E49" t="inlineStr">
        <is>
          <t>SALA</t>
        </is>
      </c>
      <c r="G49" t="n">
        <v>6.2</v>
      </c>
      <c r="H49" t="n">
        <v>1</v>
      </c>
      <c r="I49" t="n">
        <v>0</v>
      </c>
      <c r="J49" t="n">
        <v>1</v>
      </c>
      <c r="K49" t="n">
        <v>0</v>
      </c>
      <c r="L49" t="n">
        <v>0</v>
      </c>
      <c r="M49" t="n">
        <v>0</v>
      </c>
      <c r="N49" t="n">
        <v>0</v>
      </c>
      <c r="O49" t="n">
        <v>1</v>
      </c>
      <c r="P49" t="n">
        <v>0</v>
      </c>
      <c r="Q49" t="n">
        <v>1</v>
      </c>
      <c r="R49" s="2" t="inlineStr">
        <is>
          <t>Svartvit flugsnappare</t>
        </is>
      </c>
      <c r="S49">
        <f>HYPERLINK("https://klasma.github.io/Logging_1981/artfynd/A 22950-2025 artfynd.xlsx", "A 22950-2025")</f>
        <v/>
      </c>
      <c r="T49">
        <f>HYPERLINK("https://klasma.github.io/Logging_1981/kartor/A 22950-2025 karta.png", "A 22950-2025")</f>
        <v/>
      </c>
      <c r="V49">
        <f>HYPERLINK("https://klasma.github.io/Logging_1981/klagomål/A 22950-2025 FSC-klagomål.docx", "A 22950-2025")</f>
        <v/>
      </c>
      <c r="W49">
        <f>HYPERLINK("https://klasma.github.io/Logging_1981/klagomålsmail/A 22950-2025 FSC-klagomål mail.docx", "A 22950-2025")</f>
        <v/>
      </c>
      <c r="X49">
        <f>HYPERLINK("https://klasma.github.io/Logging_1981/tillsyn/A 22950-2025 tillsynsbegäran.docx", "A 22950-2025")</f>
        <v/>
      </c>
      <c r="Y49">
        <f>HYPERLINK("https://klasma.github.io/Logging_1981/tillsynsmail/A 22950-2025 tillsynsbegäran mail.docx", "A 22950-2025")</f>
        <v/>
      </c>
      <c r="Z49">
        <f>HYPERLINK("https://klasma.github.io/Logging_1981/fåglar/A 22950-2025 prioriterade fågelarter.docx", "A 22950-2025")</f>
        <v/>
      </c>
    </row>
    <row r="50" ht="15" customHeight="1">
      <c r="A50" t="inlineStr">
        <is>
          <t>A 41270-2024</t>
        </is>
      </c>
      <c r="B50" s="1" t="n">
        <v>45559</v>
      </c>
      <c r="C50" s="1" t="n">
        <v>45879</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32594-2025</t>
        </is>
      </c>
      <c r="B51" s="1" t="n">
        <v>45838</v>
      </c>
      <c r="C51" s="1" t="n">
        <v>45879</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43068-2024</t>
        </is>
      </c>
      <c r="B52" s="1" t="n">
        <v>45567</v>
      </c>
      <c r="C52" s="1" t="n">
        <v>45879</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7731-2023</t>
        </is>
      </c>
      <c r="B53" s="1" t="n">
        <v>44973</v>
      </c>
      <c r="C53" s="1" t="n">
        <v>45879</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12509-2023</t>
        </is>
      </c>
      <c r="B54" s="1" t="n">
        <v>44999.95988425926</v>
      </c>
      <c r="C54" s="1" t="n">
        <v>45879</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29985-2022</t>
        </is>
      </c>
      <c r="B55" s="1" t="n">
        <v>44756</v>
      </c>
      <c r="C55" s="1" t="n">
        <v>45879</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42352-2020</t>
        </is>
      </c>
      <c r="B56" s="1" t="n">
        <v>44076</v>
      </c>
      <c r="C56" s="1" t="n">
        <v>45879</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7919-2022</t>
        </is>
      </c>
      <c r="B57" s="1" t="n">
        <v>44608</v>
      </c>
      <c r="C57" s="1" t="n">
        <v>45879</v>
      </c>
      <c r="D57" t="inlineStr">
        <is>
          <t>VÄSTMANLANDS LÄN</t>
        </is>
      </c>
      <c r="E57" t="inlineStr">
        <is>
          <t>SALA</t>
        </is>
      </c>
      <c r="F57" t="inlineStr">
        <is>
          <t>Bergvik skog öst AB</t>
        </is>
      </c>
      <c r="G57" t="n">
        <v>4.5</v>
      </c>
      <c r="H57" t="n">
        <v>1</v>
      </c>
      <c r="I57" t="n">
        <v>0</v>
      </c>
      <c r="J57" t="n">
        <v>1</v>
      </c>
      <c r="K57" t="n">
        <v>0</v>
      </c>
      <c r="L57" t="n">
        <v>0</v>
      </c>
      <c r="M57" t="n">
        <v>0</v>
      </c>
      <c r="N57" t="n">
        <v>0</v>
      </c>
      <c r="O57" t="n">
        <v>1</v>
      </c>
      <c r="P57" t="n">
        <v>0</v>
      </c>
      <c r="Q57" t="n">
        <v>1</v>
      </c>
      <c r="R57" s="2" t="inlineStr">
        <is>
          <t>Ävjepilört</t>
        </is>
      </c>
      <c r="S57">
        <f>HYPERLINK("https://klasma.github.io/Logging_1981/artfynd/A 7919-2022 artfynd.xlsx", "A 7919-2022")</f>
        <v/>
      </c>
      <c r="T57">
        <f>HYPERLINK("https://klasma.github.io/Logging_1981/kartor/A 7919-2022 karta.png", "A 7919-2022")</f>
        <v/>
      </c>
      <c r="V57">
        <f>HYPERLINK("https://klasma.github.io/Logging_1981/klagomål/A 7919-2022 FSC-klagomål.docx", "A 7919-2022")</f>
        <v/>
      </c>
      <c r="W57">
        <f>HYPERLINK("https://klasma.github.io/Logging_1981/klagomålsmail/A 7919-2022 FSC-klagomål mail.docx", "A 7919-2022")</f>
        <v/>
      </c>
      <c r="X57">
        <f>HYPERLINK("https://klasma.github.io/Logging_1981/tillsyn/A 7919-2022 tillsynsbegäran.docx", "A 7919-2022")</f>
        <v/>
      </c>
      <c r="Y57">
        <f>HYPERLINK("https://klasma.github.io/Logging_1981/tillsynsmail/A 7919-2022 tillsynsbegäran mail.docx", "A 7919-2022")</f>
        <v/>
      </c>
    </row>
    <row r="58" ht="15" customHeight="1">
      <c r="A58" t="inlineStr">
        <is>
          <t>A 56014-2020</t>
        </is>
      </c>
      <c r="B58" s="1" t="n">
        <v>44132</v>
      </c>
      <c r="C58" s="1" t="n">
        <v>45879</v>
      </c>
      <c r="D58" t="inlineStr">
        <is>
          <t>VÄSTMANLANDS LÄN</t>
        </is>
      </c>
      <c r="E58" t="inlineStr">
        <is>
          <t>SALA</t>
        </is>
      </c>
      <c r="G58" t="n">
        <v>5.6</v>
      </c>
      <c r="H58" t="n">
        <v>0</v>
      </c>
      <c r="I58" t="n">
        <v>0</v>
      </c>
      <c r="J58" t="n">
        <v>0</v>
      </c>
      <c r="K58" t="n">
        <v>1</v>
      </c>
      <c r="L58" t="n">
        <v>0</v>
      </c>
      <c r="M58" t="n">
        <v>0</v>
      </c>
      <c r="N58" t="n">
        <v>0</v>
      </c>
      <c r="O58" t="n">
        <v>1</v>
      </c>
      <c r="P58" t="n">
        <v>1</v>
      </c>
      <c r="Q58" t="n">
        <v>1</v>
      </c>
      <c r="R58" s="2" t="inlineStr">
        <is>
          <t>Blackticka</t>
        </is>
      </c>
      <c r="S58">
        <f>HYPERLINK("https://klasma.github.io/Logging_1981/artfynd/A 56014-2020 artfynd.xlsx", "A 56014-2020")</f>
        <v/>
      </c>
      <c r="T58">
        <f>HYPERLINK("https://klasma.github.io/Logging_1981/kartor/A 56014-2020 karta.png", "A 56014-2020")</f>
        <v/>
      </c>
      <c r="V58">
        <f>HYPERLINK("https://klasma.github.io/Logging_1981/klagomål/A 56014-2020 FSC-klagomål.docx", "A 56014-2020")</f>
        <v/>
      </c>
      <c r="W58">
        <f>HYPERLINK("https://klasma.github.io/Logging_1981/klagomålsmail/A 56014-2020 FSC-klagomål mail.docx", "A 56014-2020")</f>
        <v/>
      </c>
      <c r="X58">
        <f>HYPERLINK("https://klasma.github.io/Logging_1981/tillsyn/A 56014-2020 tillsynsbegäran.docx", "A 56014-2020")</f>
        <v/>
      </c>
      <c r="Y58">
        <f>HYPERLINK("https://klasma.github.io/Logging_1981/tillsynsmail/A 56014-2020 tillsynsbegäran mail.docx", "A 56014-2020")</f>
        <v/>
      </c>
    </row>
    <row r="59" ht="15" customHeight="1">
      <c r="A59" t="inlineStr">
        <is>
          <t>A 29727-2023</t>
        </is>
      </c>
      <c r="B59" s="1" t="n">
        <v>45107</v>
      </c>
      <c r="C59" s="1" t="n">
        <v>45879</v>
      </c>
      <c r="D59" t="inlineStr">
        <is>
          <t>VÄSTMANLANDS LÄN</t>
        </is>
      </c>
      <c r="E59" t="inlineStr">
        <is>
          <t>SALA</t>
        </is>
      </c>
      <c r="G59" t="n">
        <v>1.9</v>
      </c>
      <c r="H59" t="n">
        <v>0</v>
      </c>
      <c r="I59" t="n">
        <v>0</v>
      </c>
      <c r="J59" t="n">
        <v>1</v>
      </c>
      <c r="K59" t="n">
        <v>0</v>
      </c>
      <c r="L59" t="n">
        <v>0</v>
      </c>
      <c r="M59" t="n">
        <v>0</v>
      </c>
      <c r="N59" t="n">
        <v>0</v>
      </c>
      <c r="O59" t="n">
        <v>1</v>
      </c>
      <c r="P59" t="n">
        <v>0</v>
      </c>
      <c r="Q59" t="n">
        <v>1</v>
      </c>
      <c r="R59" s="2" t="inlineStr">
        <is>
          <t>Vedtrappmossa</t>
        </is>
      </c>
      <c r="S59">
        <f>HYPERLINK("https://klasma.github.io/Logging_1981/artfynd/A 29727-2023 artfynd.xlsx", "A 29727-2023")</f>
        <v/>
      </c>
      <c r="T59">
        <f>HYPERLINK("https://klasma.github.io/Logging_1981/kartor/A 29727-2023 karta.png", "A 29727-2023")</f>
        <v/>
      </c>
      <c r="V59">
        <f>HYPERLINK("https://klasma.github.io/Logging_1981/klagomål/A 29727-2023 FSC-klagomål.docx", "A 29727-2023")</f>
        <v/>
      </c>
      <c r="W59">
        <f>HYPERLINK("https://klasma.github.io/Logging_1981/klagomålsmail/A 29727-2023 FSC-klagomål mail.docx", "A 29727-2023")</f>
        <v/>
      </c>
      <c r="X59">
        <f>HYPERLINK("https://klasma.github.io/Logging_1981/tillsyn/A 29727-2023 tillsynsbegäran.docx", "A 29727-2023")</f>
        <v/>
      </c>
      <c r="Y59">
        <f>HYPERLINK("https://klasma.github.io/Logging_1981/tillsynsmail/A 29727-2023 tillsynsbegäran mail.docx", "A 29727-2023")</f>
        <v/>
      </c>
    </row>
    <row r="60" ht="15" customHeight="1">
      <c r="A60" t="inlineStr">
        <is>
          <t>A 58314-2020</t>
        </is>
      </c>
      <c r="B60" s="1" t="n">
        <v>44145</v>
      </c>
      <c r="C60" s="1" t="n">
        <v>45879</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45879</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45879</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45879</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45879</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45879</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45879</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45879</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45879</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45879</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45879</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45879</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45879</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45879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45879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45879</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38579-2020</t>
        </is>
      </c>
      <c r="B76" s="1" t="n">
        <v>44061</v>
      </c>
      <c r="C76" s="1" t="n">
        <v>45879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45879</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45879</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45879</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45879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45879</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45879</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45879</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45879</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45879</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45879</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45879</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28215-2022</t>
        </is>
      </c>
      <c r="B88" s="1" t="n">
        <v>44746</v>
      </c>
      <c r="C88" s="1" t="n">
        <v>45879</v>
      </c>
      <c r="D88" t="inlineStr">
        <is>
          <t>VÄSTMANLANDS LÄN</t>
        </is>
      </c>
      <c r="E88" t="inlineStr">
        <is>
          <t>SALA</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45879</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45879</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70958-2021</t>
        </is>
      </c>
      <c r="B91" s="1" t="n">
        <v>44538</v>
      </c>
      <c r="C91" s="1" t="n">
        <v>45879</v>
      </c>
      <c r="D91" t="inlineStr">
        <is>
          <t>VÄSTMANLANDS LÄN</t>
        </is>
      </c>
      <c r="E91" t="inlineStr">
        <is>
          <t>SALA</t>
        </is>
      </c>
      <c r="G91" t="n">
        <v>6.5</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45879</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45879</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45879</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45879</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45879</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45879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45879</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45879</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45879</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69195-2020</t>
        </is>
      </c>
      <c r="B101" s="1" t="n">
        <v>44191</v>
      </c>
      <c r="C101" s="1" t="n">
        <v>45879</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45879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45879</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45879</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37008-2020</t>
        </is>
      </c>
      <c r="B105" s="1" t="n">
        <v>44054</v>
      </c>
      <c r="C105" s="1" t="n">
        <v>45879</v>
      </c>
      <c r="D105" t="inlineStr">
        <is>
          <t>VÄSTMANLANDS LÄN</t>
        </is>
      </c>
      <c r="E105" t="inlineStr">
        <is>
          <t>SALA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28069-2022</t>
        </is>
      </c>
      <c r="B106" s="1" t="n">
        <v>44746</v>
      </c>
      <c r="C106" s="1" t="n">
        <v>45879</v>
      </c>
      <c r="D106" t="inlineStr">
        <is>
          <t>VÄSTMANLANDS LÄN</t>
        </is>
      </c>
      <c r="E106" t="inlineStr">
        <is>
          <t>SALA</t>
        </is>
      </c>
      <c r="G106" t="n">
        <v>2.8</v>
      </c>
      <c r="H106" t="n">
        <v>0</v>
      </c>
      <c r="I106" t="n">
        <v>0</v>
      </c>
      <c r="J106" t="n">
        <v>0</v>
      </c>
      <c r="K106" t="n">
        <v>0</v>
      </c>
      <c r="L106" t="n">
        <v>0</v>
      </c>
      <c r="M106" t="n">
        <v>0</v>
      </c>
      <c r="N106" t="n">
        <v>0</v>
      </c>
      <c r="O106" t="n">
        <v>0</v>
      </c>
      <c r="P106" t="n">
        <v>0</v>
      </c>
      <c r="Q106" t="n">
        <v>0</v>
      </c>
      <c r="R106" s="2" t="inlineStr"/>
    </row>
    <row r="107" ht="15" customHeight="1">
      <c r="A107" t="inlineStr">
        <is>
          <t>A 7955-2021</t>
        </is>
      </c>
      <c r="B107" s="1" t="n">
        <v>44243</v>
      </c>
      <c r="C107" s="1" t="n">
        <v>45879</v>
      </c>
      <c r="D107" t="inlineStr">
        <is>
          <t>VÄSTMANLANDS LÄN</t>
        </is>
      </c>
      <c r="E107" t="inlineStr">
        <is>
          <t>SALA</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30859-2021</t>
        </is>
      </c>
      <c r="B108" s="1" t="n">
        <v>44365.57377314815</v>
      </c>
      <c r="C108" s="1" t="n">
        <v>45879</v>
      </c>
      <c r="D108" t="inlineStr">
        <is>
          <t>VÄSTMANLANDS LÄN</t>
        </is>
      </c>
      <c r="E108" t="inlineStr">
        <is>
          <t>SALA</t>
        </is>
      </c>
      <c r="G108" t="n">
        <v>3.1</v>
      </c>
      <c r="H108" t="n">
        <v>0</v>
      </c>
      <c r="I108" t="n">
        <v>0</v>
      </c>
      <c r="J108" t="n">
        <v>0</v>
      </c>
      <c r="K108" t="n">
        <v>0</v>
      </c>
      <c r="L108" t="n">
        <v>0</v>
      </c>
      <c r="M108" t="n">
        <v>0</v>
      </c>
      <c r="N108" t="n">
        <v>0</v>
      </c>
      <c r="O108" t="n">
        <v>0</v>
      </c>
      <c r="P108" t="n">
        <v>0</v>
      </c>
      <c r="Q108" t="n">
        <v>0</v>
      </c>
      <c r="R108" s="2" t="inlineStr"/>
    </row>
    <row r="109" ht="15" customHeight="1">
      <c r="A109" t="inlineStr">
        <is>
          <t>A 8513-2021</t>
        </is>
      </c>
      <c r="B109" s="1" t="n">
        <v>44244</v>
      </c>
      <c r="C109" s="1" t="n">
        <v>45879</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45879</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51377-2022</t>
        </is>
      </c>
      <c r="B111" s="1" t="n">
        <v>44866</v>
      </c>
      <c r="C111" s="1" t="n">
        <v>45879</v>
      </c>
      <c r="D111" t="inlineStr">
        <is>
          <t>VÄSTMANLANDS LÄN</t>
        </is>
      </c>
      <c r="E111" t="inlineStr">
        <is>
          <t>SALA</t>
        </is>
      </c>
      <c r="G111" t="n">
        <v>6.3</v>
      </c>
      <c r="H111" t="n">
        <v>0</v>
      </c>
      <c r="I111" t="n">
        <v>0</v>
      </c>
      <c r="J111" t="n">
        <v>0</v>
      </c>
      <c r="K111" t="n">
        <v>0</v>
      </c>
      <c r="L111" t="n">
        <v>0</v>
      </c>
      <c r="M111" t="n">
        <v>0</v>
      </c>
      <c r="N111" t="n">
        <v>0</v>
      </c>
      <c r="O111" t="n">
        <v>0</v>
      </c>
      <c r="P111" t="n">
        <v>0</v>
      </c>
      <c r="Q111" t="n">
        <v>0</v>
      </c>
      <c r="R111" s="2" t="inlineStr"/>
    </row>
    <row r="112" ht="15" customHeight="1">
      <c r="A112" t="inlineStr">
        <is>
          <t>A 68355-2021</t>
        </is>
      </c>
      <c r="B112" s="1" t="n">
        <v>44528</v>
      </c>
      <c r="C112" s="1" t="n">
        <v>45879</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44318-2022</t>
        </is>
      </c>
      <c r="B113" s="1" t="n">
        <v>44839.64516203704</v>
      </c>
      <c r="C113" s="1" t="n">
        <v>45879</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4237-2022</t>
        </is>
      </c>
      <c r="B114" s="1" t="n">
        <v>44588.64377314815</v>
      </c>
      <c r="C114" s="1" t="n">
        <v>45879</v>
      </c>
      <c r="D114" t="inlineStr">
        <is>
          <t>VÄSTMANLANDS LÄN</t>
        </is>
      </c>
      <c r="E114" t="inlineStr">
        <is>
          <t>SALA</t>
        </is>
      </c>
      <c r="G114" t="n">
        <v>1.2</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45879</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45879</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45879</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45879</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45879</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18951-2021</t>
        </is>
      </c>
      <c r="B120" s="1" t="n">
        <v>44308</v>
      </c>
      <c r="C120" s="1" t="n">
        <v>45879</v>
      </c>
      <c r="D120" t="inlineStr">
        <is>
          <t>VÄSTMANLANDS LÄN</t>
        </is>
      </c>
      <c r="E120" t="inlineStr">
        <is>
          <t>SALA</t>
        </is>
      </c>
      <c r="G120" t="n">
        <v>0.3</v>
      </c>
      <c r="H120" t="n">
        <v>0</v>
      </c>
      <c r="I120" t="n">
        <v>0</v>
      </c>
      <c r="J120" t="n">
        <v>0</v>
      </c>
      <c r="K120" t="n">
        <v>0</v>
      </c>
      <c r="L120" t="n">
        <v>0</v>
      </c>
      <c r="M120" t="n">
        <v>0</v>
      </c>
      <c r="N120" t="n">
        <v>0</v>
      </c>
      <c r="O120" t="n">
        <v>0</v>
      </c>
      <c r="P120" t="n">
        <v>0</v>
      </c>
      <c r="Q120" t="n">
        <v>0</v>
      </c>
      <c r="R120" s="2" t="inlineStr"/>
    </row>
    <row r="121" ht="15" customHeight="1">
      <c r="A121" t="inlineStr">
        <is>
          <t>A 18259-2021</t>
        </is>
      </c>
      <c r="B121" s="1" t="n">
        <v>44305</v>
      </c>
      <c r="C121" s="1" t="n">
        <v>45879</v>
      </c>
      <c r="D121" t="inlineStr">
        <is>
          <t>VÄSTMANLANDS LÄN</t>
        </is>
      </c>
      <c r="E121" t="inlineStr">
        <is>
          <t>SALA</t>
        </is>
      </c>
      <c r="G121" t="n">
        <v>0</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45879</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45879</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45879</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45879</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45879</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31904-2021</t>
        </is>
      </c>
      <c r="B127" s="1" t="n">
        <v>44370.46853009259</v>
      </c>
      <c r="C127" s="1" t="n">
        <v>45879</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45879</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43482-2020</t>
        </is>
      </c>
      <c r="B129" s="1" t="n">
        <v>44082</v>
      </c>
      <c r="C129" s="1" t="n">
        <v>45879</v>
      </c>
      <c r="D129" t="inlineStr">
        <is>
          <t>VÄSTMANLANDS LÄN</t>
        </is>
      </c>
      <c r="E129" t="inlineStr">
        <is>
          <t>SALA</t>
        </is>
      </c>
      <c r="G129" t="n">
        <v>4.7</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44839.49953703704</v>
      </c>
      <c r="C130" s="1" t="n">
        <v>45879</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30170-2021</t>
        </is>
      </c>
      <c r="B131" s="1" t="n">
        <v>44363</v>
      </c>
      <c r="C131" s="1" t="n">
        <v>45879</v>
      </c>
      <c r="D131" t="inlineStr">
        <is>
          <t>VÄSTMANLANDS LÄN</t>
        </is>
      </c>
      <c r="E131" t="inlineStr">
        <is>
          <t>SALA</t>
        </is>
      </c>
      <c r="G131" t="n">
        <v>7.2</v>
      </c>
      <c r="H131" t="n">
        <v>0</v>
      </c>
      <c r="I131" t="n">
        <v>0</v>
      </c>
      <c r="J131" t="n">
        <v>0</v>
      </c>
      <c r="K131" t="n">
        <v>0</v>
      </c>
      <c r="L131" t="n">
        <v>0</v>
      </c>
      <c r="M131" t="n">
        <v>0</v>
      </c>
      <c r="N131" t="n">
        <v>0</v>
      </c>
      <c r="O131" t="n">
        <v>0</v>
      </c>
      <c r="P131" t="n">
        <v>0</v>
      </c>
      <c r="Q131" t="n">
        <v>0</v>
      </c>
      <c r="R131" s="2" t="inlineStr"/>
    </row>
    <row r="132" ht="15" customHeight="1">
      <c r="A132" t="inlineStr">
        <is>
          <t>A 44950-2020</t>
        </is>
      </c>
      <c r="B132" s="1" t="n">
        <v>44088</v>
      </c>
      <c r="C132" s="1" t="n">
        <v>45879</v>
      </c>
      <c r="D132" t="inlineStr">
        <is>
          <t>VÄSTMANLANDS LÄN</t>
        </is>
      </c>
      <c r="E132" t="inlineStr">
        <is>
          <t>SALA</t>
        </is>
      </c>
      <c r="G132" t="n">
        <v>9</v>
      </c>
      <c r="H132" t="n">
        <v>0</v>
      </c>
      <c r="I132" t="n">
        <v>0</v>
      </c>
      <c r="J132" t="n">
        <v>0</v>
      </c>
      <c r="K132" t="n">
        <v>0</v>
      </c>
      <c r="L132" t="n">
        <v>0</v>
      </c>
      <c r="M132" t="n">
        <v>0</v>
      </c>
      <c r="N132" t="n">
        <v>0</v>
      </c>
      <c r="O132" t="n">
        <v>0</v>
      </c>
      <c r="P132" t="n">
        <v>0</v>
      </c>
      <c r="Q132" t="n">
        <v>0</v>
      </c>
      <c r="R132" s="2" t="inlineStr"/>
    </row>
    <row r="133" ht="15" customHeight="1">
      <c r="A133" t="inlineStr">
        <is>
          <t>A 57517-2021</t>
        </is>
      </c>
      <c r="B133" s="1" t="n">
        <v>44483</v>
      </c>
      <c r="C133" s="1" t="n">
        <v>45879</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26575-2021</t>
        </is>
      </c>
      <c r="B134" s="1" t="n">
        <v>44348</v>
      </c>
      <c r="C134" s="1" t="n">
        <v>45879</v>
      </c>
      <c r="D134" t="inlineStr">
        <is>
          <t>VÄSTMANLANDS LÄN</t>
        </is>
      </c>
      <c r="E134" t="inlineStr">
        <is>
          <t>SALA</t>
        </is>
      </c>
      <c r="G134" t="n">
        <v>2.7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45879</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45879</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45879</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40113-2022</t>
        </is>
      </c>
      <c r="B138" s="1" t="n">
        <v>44819</v>
      </c>
      <c r="C138" s="1" t="n">
        <v>45879</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30915-2021</t>
        </is>
      </c>
      <c r="B139" s="1" t="n">
        <v>44365</v>
      </c>
      <c r="C139" s="1" t="n">
        <v>45879</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30918-2021</t>
        </is>
      </c>
      <c r="B140" s="1" t="n">
        <v>44365.60569444444</v>
      </c>
      <c r="C140" s="1" t="n">
        <v>45879</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22562-2022</t>
        </is>
      </c>
      <c r="B141" s="1" t="n">
        <v>44713</v>
      </c>
      <c r="C141" s="1" t="n">
        <v>45879</v>
      </c>
      <c r="D141" t="inlineStr">
        <is>
          <t>VÄSTMANLANDS LÄN</t>
        </is>
      </c>
      <c r="E141" t="inlineStr">
        <is>
          <t>SALA</t>
        </is>
      </c>
      <c r="G141" t="n">
        <v>0.8</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45879</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30904-2021</t>
        </is>
      </c>
      <c r="B143" s="1" t="n">
        <v>44365.5983449074</v>
      </c>
      <c r="C143" s="1" t="n">
        <v>45879</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44652-2020</t>
        </is>
      </c>
      <c r="B144" s="1" t="n">
        <v>44085</v>
      </c>
      <c r="C144" s="1" t="n">
        <v>45879</v>
      </c>
      <c r="D144" t="inlineStr">
        <is>
          <t>VÄSTMANLANDS LÄN</t>
        </is>
      </c>
      <c r="E144" t="inlineStr">
        <is>
          <t>SALA</t>
        </is>
      </c>
      <c r="G144" t="n">
        <v>1.8</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45879</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51596-2022</t>
        </is>
      </c>
      <c r="B146" s="1" t="n">
        <v>44871</v>
      </c>
      <c r="C146" s="1" t="n">
        <v>45879</v>
      </c>
      <c r="D146" t="inlineStr">
        <is>
          <t>VÄSTMANLANDS LÄN</t>
        </is>
      </c>
      <c r="E146" t="inlineStr">
        <is>
          <t>SALA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66508-2021</t>
        </is>
      </c>
      <c r="B147" s="1" t="n">
        <v>44519.33401620371</v>
      </c>
      <c r="C147" s="1" t="n">
        <v>45879</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29233-2022</t>
        </is>
      </c>
      <c r="B148" s="1" t="n">
        <v>44750</v>
      </c>
      <c r="C148" s="1" t="n">
        <v>45879</v>
      </c>
      <c r="D148" t="inlineStr">
        <is>
          <t>VÄSTMANLANDS LÄN</t>
        </is>
      </c>
      <c r="E148" t="inlineStr">
        <is>
          <t>SALA</t>
        </is>
      </c>
      <c r="G148" t="n">
        <v>2.4</v>
      </c>
      <c r="H148" t="n">
        <v>0</v>
      </c>
      <c r="I148" t="n">
        <v>0</v>
      </c>
      <c r="J148" t="n">
        <v>0</v>
      </c>
      <c r="K148" t="n">
        <v>0</v>
      </c>
      <c r="L148" t="n">
        <v>0</v>
      </c>
      <c r="M148" t="n">
        <v>0</v>
      </c>
      <c r="N148" t="n">
        <v>0</v>
      </c>
      <c r="O148" t="n">
        <v>0</v>
      </c>
      <c r="P148" t="n">
        <v>0</v>
      </c>
      <c r="Q148" t="n">
        <v>0</v>
      </c>
      <c r="R148" s="2" t="inlineStr"/>
    </row>
    <row r="149" ht="15" customHeight="1">
      <c r="A149" t="inlineStr">
        <is>
          <t>A 31452-2021</t>
        </is>
      </c>
      <c r="B149" s="1" t="n">
        <v>44369</v>
      </c>
      <c r="C149" s="1" t="n">
        <v>45879</v>
      </c>
      <c r="D149" t="inlineStr">
        <is>
          <t>VÄSTMANLANDS LÄN</t>
        </is>
      </c>
      <c r="E149" t="inlineStr">
        <is>
          <t>SALA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60951-2021</t>
        </is>
      </c>
      <c r="B150" s="1" t="n">
        <v>44497.51435185185</v>
      </c>
      <c r="C150" s="1" t="n">
        <v>45879</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22811-2022</t>
        </is>
      </c>
      <c r="B151" s="1" t="n">
        <v>44715</v>
      </c>
      <c r="C151" s="1" t="n">
        <v>45879</v>
      </c>
      <c r="D151" t="inlineStr">
        <is>
          <t>VÄSTMANLANDS LÄN</t>
        </is>
      </c>
      <c r="E151" t="inlineStr">
        <is>
          <t>SALA</t>
        </is>
      </c>
      <c r="G151" t="n">
        <v>5</v>
      </c>
      <c r="H151" t="n">
        <v>0</v>
      </c>
      <c r="I151" t="n">
        <v>0</v>
      </c>
      <c r="J151" t="n">
        <v>0</v>
      </c>
      <c r="K151" t="n">
        <v>0</v>
      </c>
      <c r="L151" t="n">
        <v>0</v>
      </c>
      <c r="M151" t="n">
        <v>0</v>
      </c>
      <c r="N151" t="n">
        <v>0</v>
      </c>
      <c r="O151" t="n">
        <v>0</v>
      </c>
      <c r="P151" t="n">
        <v>0</v>
      </c>
      <c r="Q151" t="n">
        <v>0</v>
      </c>
      <c r="R151" s="2" t="inlineStr"/>
    </row>
    <row r="152" ht="15" customHeight="1">
      <c r="A152" t="inlineStr">
        <is>
          <t>A 65213-2021</t>
        </is>
      </c>
      <c r="B152" s="1" t="n">
        <v>44515</v>
      </c>
      <c r="C152" s="1" t="n">
        <v>45879</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9075-2022</t>
        </is>
      </c>
      <c r="B153" s="1" t="n">
        <v>44615.47800925926</v>
      </c>
      <c r="C153" s="1" t="n">
        <v>45879</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65353-2021</t>
        </is>
      </c>
      <c r="B154" s="1" t="n">
        <v>44515</v>
      </c>
      <c r="C154" s="1" t="n">
        <v>45879</v>
      </c>
      <c r="D154" t="inlineStr">
        <is>
          <t>VÄSTMANLANDS LÄN</t>
        </is>
      </c>
      <c r="E154" t="inlineStr">
        <is>
          <t>SALA</t>
        </is>
      </c>
      <c r="G154" t="n">
        <v>1.5</v>
      </c>
      <c r="H154" t="n">
        <v>0</v>
      </c>
      <c r="I154" t="n">
        <v>0</v>
      </c>
      <c r="J154" t="n">
        <v>0</v>
      </c>
      <c r="K154" t="n">
        <v>0</v>
      </c>
      <c r="L154" t="n">
        <v>0</v>
      </c>
      <c r="M154" t="n">
        <v>0</v>
      </c>
      <c r="N154" t="n">
        <v>0</v>
      </c>
      <c r="O154" t="n">
        <v>0</v>
      </c>
      <c r="P154" t="n">
        <v>0</v>
      </c>
      <c r="Q154" t="n">
        <v>0</v>
      </c>
      <c r="R154" s="2" t="inlineStr"/>
    </row>
    <row r="155" ht="15" customHeight="1">
      <c r="A155" t="inlineStr">
        <is>
          <t>A 23181-2022</t>
        </is>
      </c>
      <c r="B155" s="1" t="n">
        <v>44719.79537037037</v>
      </c>
      <c r="C155" s="1" t="n">
        <v>45879</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65860-2021</t>
        </is>
      </c>
      <c r="B156" s="1" t="n">
        <v>44517.38163194444</v>
      </c>
      <c r="C156" s="1" t="n">
        <v>45879</v>
      </c>
      <c r="D156" t="inlineStr">
        <is>
          <t>VÄSTMANLANDS LÄN</t>
        </is>
      </c>
      <c r="E156" t="inlineStr">
        <is>
          <t>SALA</t>
        </is>
      </c>
      <c r="G156" t="n">
        <v>0.9</v>
      </c>
      <c r="H156" t="n">
        <v>0</v>
      </c>
      <c r="I156" t="n">
        <v>0</v>
      </c>
      <c r="J156" t="n">
        <v>0</v>
      </c>
      <c r="K156" t="n">
        <v>0</v>
      </c>
      <c r="L156" t="n">
        <v>0</v>
      </c>
      <c r="M156" t="n">
        <v>0</v>
      </c>
      <c r="N156" t="n">
        <v>0</v>
      </c>
      <c r="O156" t="n">
        <v>0</v>
      </c>
      <c r="P156" t="n">
        <v>0</v>
      </c>
      <c r="Q156" t="n">
        <v>0</v>
      </c>
      <c r="R156" s="2" t="inlineStr"/>
    </row>
    <row r="157" ht="15" customHeight="1">
      <c r="A157" t="inlineStr">
        <is>
          <t>A 29002-2022</t>
        </is>
      </c>
      <c r="B157" s="1" t="n">
        <v>44749</v>
      </c>
      <c r="C157" s="1" t="n">
        <v>45879</v>
      </c>
      <c r="D157" t="inlineStr">
        <is>
          <t>VÄSTMANLANDS LÄN</t>
        </is>
      </c>
      <c r="E157" t="inlineStr">
        <is>
          <t>SALA</t>
        </is>
      </c>
      <c r="G157" t="n">
        <v>5.4</v>
      </c>
      <c r="H157" t="n">
        <v>0</v>
      </c>
      <c r="I157" t="n">
        <v>0</v>
      </c>
      <c r="J157" t="n">
        <v>0</v>
      </c>
      <c r="K157" t="n">
        <v>0</v>
      </c>
      <c r="L157" t="n">
        <v>0</v>
      </c>
      <c r="M157" t="n">
        <v>0</v>
      </c>
      <c r="N157" t="n">
        <v>0</v>
      </c>
      <c r="O157" t="n">
        <v>0</v>
      </c>
      <c r="P157" t="n">
        <v>0</v>
      </c>
      <c r="Q157" t="n">
        <v>0</v>
      </c>
      <c r="R157" s="2" t="inlineStr"/>
    </row>
    <row r="158" ht="15" customHeight="1">
      <c r="A158" t="inlineStr">
        <is>
          <t>A 22575-2022</t>
        </is>
      </c>
      <c r="B158" s="1" t="n">
        <v>44713</v>
      </c>
      <c r="C158" s="1" t="n">
        <v>45879</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41876-2022</t>
        </is>
      </c>
      <c r="B159" s="1" t="n">
        <v>44829.97008101852</v>
      </c>
      <c r="C159" s="1" t="n">
        <v>45879</v>
      </c>
      <c r="D159" t="inlineStr">
        <is>
          <t>VÄSTMANLANDS LÄN</t>
        </is>
      </c>
      <c r="E159" t="inlineStr">
        <is>
          <t>SALA</t>
        </is>
      </c>
      <c r="G159" t="n">
        <v>3.6</v>
      </c>
      <c r="H159" t="n">
        <v>0</v>
      </c>
      <c r="I159" t="n">
        <v>0</v>
      </c>
      <c r="J159" t="n">
        <v>0</v>
      </c>
      <c r="K159" t="n">
        <v>0</v>
      </c>
      <c r="L159" t="n">
        <v>0</v>
      </c>
      <c r="M159" t="n">
        <v>0</v>
      </c>
      <c r="N159" t="n">
        <v>0</v>
      </c>
      <c r="O159" t="n">
        <v>0</v>
      </c>
      <c r="P159" t="n">
        <v>0</v>
      </c>
      <c r="Q159" t="n">
        <v>0</v>
      </c>
      <c r="R159" s="2" t="inlineStr"/>
    </row>
    <row r="160" ht="15" customHeight="1">
      <c r="A160" t="inlineStr">
        <is>
          <t>A 67958-2021</t>
        </is>
      </c>
      <c r="B160" s="1" t="n">
        <v>44525</v>
      </c>
      <c r="C160" s="1" t="n">
        <v>45879</v>
      </c>
      <c r="D160" t="inlineStr">
        <is>
          <t>VÄSTMANLANDS LÄN</t>
        </is>
      </c>
      <c r="E160" t="inlineStr">
        <is>
          <t>SALA</t>
        </is>
      </c>
      <c r="G160" t="n">
        <v>0.6</v>
      </c>
      <c r="H160" t="n">
        <v>0</v>
      </c>
      <c r="I160" t="n">
        <v>0</v>
      </c>
      <c r="J160" t="n">
        <v>0</v>
      </c>
      <c r="K160" t="n">
        <v>0</v>
      </c>
      <c r="L160" t="n">
        <v>0</v>
      </c>
      <c r="M160" t="n">
        <v>0</v>
      </c>
      <c r="N160" t="n">
        <v>0</v>
      </c>
      <c r="O160" t="n">
        <v>0</v>
      </c>
      <c r="P160" t="n">
        <v>0</v>
      </c>
      <c r="Q160" t="n">
        <v>0</v>
      </c>
      <c r="R160" s="2" t="inlineStr"/>
    </row>
    <row r="161" ht="15" customHeight="1">
      <c r="A161" t="inlineStr">
        <is>
          <t>A 67965-2021</t>
        </is>
      </c>
      <c r="B161" s="1" t="n">
        <v>44525</v>
      </c>
      <c r="C161" s="1" t="n">
        <v>45879</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45879</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45015-2022</t>
        </is>
      </c>
      <c r="B163" s="1" t="n">
        <v>44841.63766203704</v>
      </c>
      <c r="C163" s="1" t="n">
        <v>45879</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8130-2022</t>
        </is>
      </c>
      <c r="B164" s="1" t="n">
        <v>44609.5984837963</v>
      </c>
      <c r="C164" s="1" t="n">
        <v>45879</v>
      </c>
      <c r="D164" t="inlineStr">
        <is>
          <t>VÄSTMANLANDS LÄN</t>
        </is>
      </c>
      <c r="E164" t="inlineStr">
        <is>
          <t>SALA</t>
        </is>
      </c>
      <c r="G164" t="n">
        <v>3.5</v>
      </c>
      <c r="H164" t="n">
        <v>0</v>
      </c>
      <c r="I164" t="n">
        <v>0</v>
      </c>
      <c r="J164" t="n">
        <v>0</v>
      </c>
      <c r="K164" t="n">
        <v>0</v>
      </c>
      <c r="L164" t="n">
        <v>0</v>
      </c>
      <c r="M164" t="n">
        <v>0</v>
      </c>
      <c r="N164" t="n">
        <v>0</v>
      </c>
      <c r="O164" t="n">
        <v>0</v>
      </c>
      <c r="P164" t="n">
        <v>0</v>
      </c>
      <c r="Q164" t="n">
        <v>0</v>
      </c>
      <c r="R164" s="2" t="inlineStr"/>
    </row>
    <row r="165" ht="15" customHeight="1">
      <c r="A165" t="inlineStr">
        <is>
          <t>A 66830-2021</t>
        </is>
      </c>
      <c r="B165" s="1" t="n">
        <v>44522.40886574074</v>
      </c>
      <c r="C165" s="1" t="n">
        <v>45879</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65818-2021</t>
        </is>
      </c>
      <c r="B166" s="1" t="n">
        <v>44517</v>
      </c>
      <c r="C166" s="1" t="n">
        <v>45879</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14047-2021</t>
        </is>
      </c>
      <c r="B167" s="1" t="n">
        <v>44277</v>
      </c>
      <c r="C167" s="1" t="n">
        <v>45879</v>
      </c>
      <c r="D167" t="inlineStr">
        <is>
          <t>VÄSTMANLANDS LÄN</t>
        </is>
      </c>
      <c r="E167" t="inlineStr">
        <is>
          <t>SALA</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58912-2020</t>
        </is>
      </c>
      <c r="B168" s="1" t="n">
        <v>44146</v>
      </c>
      <c r="C168" s="1" t="n">
        <v>45879</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28402-2022</t>
        </is>
      </c>
      <c r="B169" s="1" t="n">
        <v>44747</v>
      </c>
      <c r="C169" s="1" t="n">
        <v>45879</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73606-2021</t>
        </is>
      </c>
      <c r="B170" s="1" t="n">
        <v>44552</v>
      </c>
      <c r="C170" s="1" t="n">
        <v>45879</v>
      </c>
      <c r="D170" t="inlineStr">
        <is>
          <t>VÄSTMANLANDS LÄN</t>
        </is>
      </c>
      <c r="E170" t="inlineStr">
        <is>
          <t>SALA</t>
        </is>
      </c>
      <c r="G170" t="n">
        <v>1.5</v>
      </c>
      <c r="H170" t="n">
        <v>0</v>
      </c>
      <c r="I170" t="n">
        <v>0</v>
      </c>
      <c r="J170" t="n">
        <v>0</v>
      </c>
      <c r="K170" t="n">
        <v>0</v>
      </c>
      <c r="L170" t="n">
        <v>0</v>
      </c>
      <c r="M170" t="n">
        <v>0</v>
      </c>
      <c r="N170" t="n">
        <v>0</v>
      </c>
      <c r="O170" t="n">
        <v>0</v>
      </c>
      <c r="P170" t="n">
        <v>0</v>
      </c>
      <c r="Q170" t="n">
        <v>0</v>
      </c>
      <c r="R170" s="2" t="inlineStr"/>
    </row>
    <row r="171" ht="15" customHeight="1">
      <c r="A171" t="inlineStr">
        <is>
          <t>A 55881-2020</t>
        </is>
      </c>
      <c r="B171" s="1" t="n">
        <v>44132</v>
      </c>
      <c r="C171" s="1" t="n">
        <v>45879</v>
      </c>
      <c r="D171" t="inlineStr">
        <is>
          <t>VÄSTMANLANDS LÄN</t>
        </is>
      </c>
      <c r="E171" t="inlineStr">
        <is>
          <t>SALA</t>
        </is>
      </c>
      <c r="G171" t="n">
        <v>3</v>
      </c>
      <c r="H171" t="n">
        <v>0</v>
      </c>
      <c r="I171" t="n">
        <v>0</v>
      </c>
      <c r="J171" t="n">
        <v>0</v>
      </c>
      <c r="K171" t="n">
        <v>0</v>
      </c>
      <c r="L171" t="n">
        <v>0</v>
      </c>
      <c r="M171" t="n">
        <v>0</v>
      </c>
      <c r="N171" t="n">
        <v>0</v>
      </c>
      <c r="O171" t="n">
        <v>0</v>
      </c>
      <c r="P171" t="n">
        <v>0</v>
      </c>
      <c r="Q171" t="n">
        <v>0</v>
      </c>
      <c r="R171" s="2" t="inlineStr"/>
    </row>
    <row r="172" ht="15" customHeight="1">
      <c r="A172" t="inlineStr">
        <is>
          <t>A 69192-2020</t>
        </is>
      </c>
      <c r="B172" s="1" t="n">
        <v>44191</v>
      </c>
      <c r="C172" s="1" t="n">
        <v>45879</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53630-2022</t>
        </is>
      </c>
      <c r="B173" s="1" t="n">
        <v>44879.87533564815</v>
      </c>
      <c r="C173" s="1" t="n">
        <v>45879</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53735-2022</t>
        </is>
      </c>
      <c r="B174" s="1" t="n">
        <v>44880.42752314815</v>
      </c>
      <c r="C174" s="1" t="n">
        <v>45879</v>
      </c>
      <c r="D174" t="inlineStr">
        <is>
          <t>VÄSTMANLANDS LÄN</t>
        </is>
      </c>
      <c r="E174" t="inlineStr">
        <is>
          <t>SALA</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45879</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9050-2022</t>
        </is>
      </c>
      <c r="B176" s="1" t="n">
        <v>44615.45451388889</v>
      </c>
      <c r="C176" s="1" t="n">
        <v>45879</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45879</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49254-2022</t>
        </is>
      </c>
      <c r="B178" s="1" t="n">
        <v>44861</v>
      </c>
      <c r="C178" s="1" t="n">
        <v>45879</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65856-2021</t>
        </is>
      </c>
      <c r="B179" s="1" t="n">
        <v>44517</v>
      </c>
      <c r="C179" s="1" t="n">
        <v>45879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47054-2020</t>
        </is>
      </c>
      <c r="B180" s="1" t="n">
        <v>44096</v>
      </c>
      <c r="C180" s="1" t="n">
        <v>45879</v>
      </c>
      <c r="D180" t="inlineStr">
        <is>
          <t>VÄSTMANLANDS LÄN</t>
        </is>
      </c>
      <c r="E180" t="inlineStr">
        <is>
          <t>SALA</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45879</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72405-2021</t>
        </is>
      </c>
      <c r="B182" s="1" t="n">
        <v>44545</v>
      </c>
      <c r="C182" s="1" t="n">
        <v>45879</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44224-2022</t>
        </is>
      </c>
      <c r="B183" s="1" t="n">
        <v>44839.506875</v>
      </c>
      <c r="C183" s="1" t="n">
        <v>45879</v>
      </c>
      <c r="D183" t="inlineStr">
        <is>
          <t>VÄSTMANLANDS LÄN</t>
        </is>
      </c>
      <c r="E183" t="inlineStr">
        <is>
          <t>SALA</t>
        </is>
      </c>
      <c r="G183" t="n">
        <v>2.1</v>
      </c>
      <c r="H183" t="n">
        <v>0</v>
      </c>
      <c r="I183" t="n">
        <v>0</v>
      </c>
      <c r="J183" t="n">
        <v>0</v>
      </c>
      <c r="K183" t="n">
        <v>0</v>
      </c>
      <c r="L183" t="n">
        <v>0</v>
      </c>
      <c r="M183" t="n">
        <v>0</v>
      </c>
      <c r="N183" t="n">
        <v>0</v>
      </c>
      <c r="O183" t="n">
        <v>0</v>
      </c>
      <c r="P183" t="n">
        <v>0</v>
      </c>
      <c r="Q183" t="n">
        <v>0</v>
      </c>
      <c r="R183" s="2" t="inlineStr"/>
    </row>
    <row r="184" ht="15" customHeight="1">
      <c r="A184" t="inlineStr">
        <is>
          <t>A 63290-2021</t>
        </is>
      </c>
      <c r="B184" s="1" t="n">
        <v>44505</v>
      </c>
      <c r="C184" s="1" t="n">
        <v>45879</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58781-2020</t>
        </is>
      </c>
      <c r="B185" s="1" t="n">
        <v>44146</v>
      </c>
      <c r="C185" s="1" t="n">
        <v>45879</v>
      </c>
      <c r="D185" t="inlineStr">
        <is>
          <t>VÄSTMANLANDS LÄN</t>
        </is>
      </c>
      <c r="E185" t="inlineStr">
        <is>
          <t>SALA</t>
        </is>
      </c>
      <c r="G185" t="n">
        <v>1.2</v>
      </c>
      <c r="H185" t="n">
        <v>0</v>
      </c>
      <c r="I185" t="n">
        <v>0</v>
      </c>
      <c r="J185" t="n">
        <v>0</v>
      </c>
      <c r="K185" t="n">
        <v>0</v>
      </c>
      <c r="L185" t="n">
        <v>0</v>
      </c>
      <c r="M185" t="n">
        <v>0</v>
      </c>
      <c r="N185" t="n">
        <v>0</v>
      </c>
      <c r="O185" t="n">
        <v>0</v>
      </c>
      <c r="P185" t="n">
        <v>0</v>
      </c>
      <c r="Q185" t="n">
        <v>0</v>
      </c>
      <c r="R185" s="2" t="inlineStr"/>
    </row>
    <row r="186" ht="15" customHeight="1">
      <c r="A186" t="inlineStr">
        <is>
          <t>A 25603-2022</t>
        </is>
      </c>
      <c r="B186" s="1" t="n">
        <v>44732</v>
      </c>
      <c r="C186" s="1" t="n">
        <v>45879</v>
      </c>
      <c r="D186" t="inlineStr">
        <is>
          <t>VÄSTMANLANDS LÄN</t>
        </is>
      </c>
      <c r="E186" t="inlineStr">
        <is>
          <t>SALA</t>
        </is>
      </c>
      <c r="G186" t="n">
        <v>2</v>
      </c>
      <c r="H186" t="n">
        <v>0</v>
      </c>
      <c r="I186" t="n">
        <v>0</v>
      </c>
      <c r="J186" t="n">
        <v>0</v>
      </c>
      <c r="K186" t="n">
        <v>0</v>
      </c>
      <c r="L186" t="n">
        <v>0</v>
      </c>
      <c r="M186" t="n">
        <v>0</v>
      </c>
      <c r="N186" t="n">
        <v>0</v>
      </c>
      <c r="O186" t="n">
        <v>0</v>
      </c>
      <c r="P186" t="n">
        <v>0</v>
      </c>
      <c r="Q186" t="n">
        <v>0</v>
      </c>
      <c r="R186" s="2" t="inlineStr"/>
    </row>
    <row r="187" ht="15" customHeight="1">
      <c r="A187" t="inlineStr">
        <is>
          <t>A 57000-2021</t>
        </is>
      </c>
      <c r="B187" s="1" t="n">
        <v>44482.46760416667</v>
      </c>
      <c r="C187" s="1" t="n">
        <v>45879</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67962-2021</t>
        </is>
      </c>
      <c r="B188" s="1" t="n">
        <v>44525</v>
      </c>
      <c r="C188" s="1" t="n">
        <v>45879</v>
      </c>
      <c r="D188" t="inlineStr">
        <is>
          <t>VÄSTMANLANDS LÄN</t>
        </is>
      </c>
      <c r="E188" t="inlineStr">
        <is>
          <t>SALA</t>
        </is>
      </c>
      <c r="G188" t="n">
        <v>1.4</v>
      </c>
      <c r="H188" t="n">
        <v>0</v>
      </c>
      <c r="I188" t="n">
        <v>0</v>
      </c>
      <c r="J188" t="n">
        <v>0</v>
      </c>
      <c r="K188" t="n">
        <v>0</v>
      </c>
      <c r="L188" t="n">
        <v>0</v>
      </c>
      <c r="M188" t="n">
        <v>0</v>
      </c>
      <c r="N188" t="n">
        <v>0</v>
      </c>
      <c r="O188" t="n">
        <v>0</v>
      </c>
      <c r="P188" t="n">
        <v>0</v>
      </c>
      <c r="Q188" t="n">
        <v>0</v>
      </c>
      <c r="R188" s="2" t="inlineStr"/>
    </row>
    <row r="189" ht="15" customHeight="1">
      <c r="A189" t="inlineStr">
        <is>
          <t>A 47208-2020</t>
        </is>
      </c>
      <c r="B189" s="1" t="n">
        <v>44097.41038194444</v>
      </c>
      <c r="C189" s="1" t="n">
        <v>45879</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26579-2021</t>
        </is>
      </c>
      <c r="B190" s="1" t="n">
        <v>44348</v>
      </c>
      <c r="C190" s="1" t="n">
        <v>45879</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37098-2020</t>
        </is>
      </c>
      <c r="B191" s="1" t="n">
        <v>44054</v>
      </c>
      <c r="C191" s="1" t="n">
        <v>45879</v>
      </c>
      <c r="D191" t="inlineStr">
        <is>
          <t>VÄSTMANLANDS LÄN</t>
        </is>
      </c>
      <c r="E191" t="inlineStr">
        <is>
          <t>SALA</t>
        </is>
      </c>
      <c r="F191" t="inlineStr">
        <is>
          <t>Kommuner</t>
        </is>
      </c>
      <c r="G191" t="n">
        <v>3.8</v>
      </c>
      <c r="H191" t="n">
        <v>0</v>
      </c>
      <c r="I191" t="n">
        <v>0</v>
      </c>
      <c r="J191" t="n">
        <v>0</v>
      </c>
      <c r="K191" t="n">
        <v>0</v>
      </c>
      <c r="L191" t="n">
        <v>0</v>
      </c>
      <c r="M191" t="n">
        <v>0</v>
      </c>
      <c r="N191" t="n">
        <v>0</v>
      </c>
      <c r="O191" t="n">
        <v>0</v>
      </c>
      <c r="P191" t="n">
        <v>0</v>
      </c>
      <c r="Q191" t="n">
        <v>0</v>
      </c>
      <c r="R191" s="2" t="inlineStr"/>
    </row>
    <row r="192" ht="15" customHeight="1">
      <c r="A192" t="inlineStr">
        <is>
          <t>A 73519-2021</t>
        </is>
      </c>
      <c r="B192" s="1" t="n">
        <v>44551</v>
      </c>
      <c r="C192" s="1" t="n">
        <v>45879</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53628-2022</t>
        </is>
      </c>
      <c r="B193" s="1" t="n">
        <v>44879.87171296297</v>
      </c>
      <c r="C193" s="1" t="n">
        <v>45879</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37881-2021</t>
        </is>
      </c>
      <c r="B194" s="1" t="n">
        <v>44403</v>
      </c>
      <c r="C194" s="1" t="n">
        <v>45879</v>
      </c>
      <c r="D194" t="inlineStr">
        <is>
          <t>VÄSTMANLANDS LÄN</t>
        </is>
      </c>
      <c r="E194" t="inlineStr">
        <is>
          <t>SALA</t>
        </is>
      </c>
      <c r="G194" t="n">
        <v>4.6</v>
      </c>
      <c r="H194" t="n">
        <v>0</v>
      </c>
      <c r="I194" t="n">
        <v>0</v>
      </c>
      <c r="J194" t="n">
        <v>0</v>
      </c>
      <c r="K194" t="n">
        <v>0</v>
      </c>
      <c r="L194" t="n">
        <v>0</v>
      </c>
      <c r="M194" t="n">
        <v>0</v>
      </c>
      <c r="N194" t="n">
        <v>0</v>
      </c>
      <c r="O194" t="n">
        <v>0</v>
      </c>
      <c r="P194" t="n">
        <v>0</v>
      </c>
      <c r="Q194" t="n">
        <v>0</v>
      </c>
      <c r="R194" s="2" t="inlineStr"/>
    </row>
    <row r="195" ht="15" customHeight="1">
      <c r="A195" t="inlineStr">
        <is>
          <t>A 72805-2021</t>
        </is>
      </c>
      <c r="B195" s="1" t="n">
        <v>44546</v>
      </c>
      <c r="C195" s="1" t="n">
        <v>45879</v>
      </c>
      <c r="D195" t="inlineStr">
        <is>
          <t>VÄSTMANLANDS LÄN</t>
        </is>
      </c>
      <c r="E195" t="inlineStr">
        <is>
          <t>SALA</t>
        </is>
      </c>
      <c r="G195" t="n">
        <v>7.8</v>
      </c>
      <c r="H195" t="n">
        <v>0</v>
      </c>
      <c r="I195" t="n">
        <v>0</v>
      </c>
      <c r="J195" t="n">
        <v>0</v>
      </c>
      <c r="K195" t="n">
        <v>0</v>
      </c>
      <c r="L195" t="n">
        <v>0</v>
      </c>
      <c r="M195" t="n">
        <v>0</v>
      </c>
      <c r="N195" t="n">
        <v>0</v>
      </c>
      <c r="O195" t="n">
        <v>0</v>
      </c>
      <c r="P195" t="n">
        <v>0</v>
      </c>
      <c r="Q195" t="n">
        <v>0</v>
      </c>
      <c r="R195" s="2" t="inlineStr"/>
    </row>
    <row r="196" ht="15" customHeight="1">
      <c r="A196" t="inlineStr">
        <is>
          <t>A 72808-2021</t>
        </is>
      </c>
      <c r="B196" s="1" t="n">
        <v>44546</v>
      </c>
      <c r="C196" s="1" t="n">
        <v>45879</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61415-2020</t>
        </is>
      </c>
      <c r="B197" s="1" t="n">
        <v>44156</v>
      </c>
      <c r="C197" s="1" t="n">
        <v>45879</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64932-2021</t>
        </is>
      </c>
      <c r="B198" s="1" t="n">
        <v>44512</v>
      </c>
      <c r="C198" s="1" t="n">
        <v>45879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23847-2022</t>
        </is>
      </c>
      <c r="B199" s="1" t="n">
        <v>44722</v>
      </c>
      <c r="C199" s="1" t="n">
        <v>45879</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13746-2025</t>
        </is>
      </c>
      <c r="B200" s="1" t="n">
        <v>45737.40944444444</v>
      </c>
      <c r="C200" s="1" t="n">
        <v>45879</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23180-2022</t>
        </is>
      </c>
      <c r="B201" s="1" t="n">
        <v>44719.79344907407</v>
      </c>
      <c r="C201" s="1" t="n">
        <v>45879</v>
      </c>
      <c r="D201" t="inlineStr">
        <is>
          <t>VÄSTMANLANDS LÄN</t>
        </is>
      </c>
      <c r="E201" t="inlineStr">
        <is>
          <t>SALA</t>
        </is>
      </c>
      <c r="G201" t="n">
        <v>1.2</v>
      </c>
      <c r="H201" t="n">
        <v>0</v>
      </c>
      <c r="I201" t="n">
        <v>0</v>
      </c>
      <c r="J201" t="n">
        <v>0</v>
      </c>
      <c r="K201" t="n">
        <v>0</v>
      </c>
      <c r="L201" t="n">
        <v>0</v>
      </c>
      <c r="M201" t="n">
        <v>0</v>
      </c>
      <c r="N201" t="n">
        <v>0</v>
      </c>
      <c r="O201" t="n">
        <v>0</v>
      </c>
      <c r="P201" t="n">
        <v>0</v>
      </c>
      <c r="Q201" t="n">
        <v>0</v>
      </c>
      <c r="R201" s="2" t="inlineStr"/>
    </row>
    <row r="202" ht="15" customHeight="1">
      <c r="A202" t="inlineStr">
        <is>
          <t>A 21053-2022</t>
        </is>
      </c>
      <c r="B202" s="1" t="n">
        <v>44704</v>
      </c>
      <c r="C202" s="1" t="n">
        <v>45879</v>
      </c>
      <c r="D202" t="inlineStr">
        <is>
          <t>VÄSTMANLANDS LÄN</t>
        </is>
      </c>
      <c r="E202" t="inlineStr">
        <is>
          <t>SALA</t>
        </is>
      </c>
      <c r="G202" t="n">
        <v>2</v>
      </c>
      <c r="H202" t="n">
        <v>0</v>
      </c>
      <c r="I202" t="n">
        <v>0</v>
      </c>
      <c r="J202" t="n">
        <v>0</v>
      </c>
      <c r="K202" t="n">
        <v>0</v>
      </c>
      <c r="L202" t="n">
        <v>0</v>
      </c>
      <c r="M202" t="n">
        <v>0</v>
      </c>
      <c r="N202" t="n">
        <v>0</v>
      </c>
      <c r="O202" t="n">
        <v>0</v>
      </c>
      <c r="P202" t="n">
        <v>0</v>
      </c>
      <c r="Q202" t="n">
        <v>0</v>
      </c>
      <c r="R202" s="2" t="inlineStr"/>
    </row>
    <row r="203" ht="15" customHeight="1">
      <c r="A203" t="inlineStr">
        <is>
          <t>A 24882-2022</t>
        </is>
      </c>
      <c r="B203" s="1" t="n">
        <v>44728.56488425926</v>
      </c>
      <c r="C203" s="1" t="n">
        <v>45879</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18340-2025</t>
        </is>
      </c>
      <c r="B204" s="1" t="n">
        <v>45762</v>
      </c>
      <c r="C204" s="1" t="n">
        <v>45879</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25897-2024</t>
        </is>
      </c>
      <c r="B205" s="1" t="n">
        <v>45467.54435185185</v>
      </c>
      <c r="C205" s="1" t="n">
        <v>45879</v>
      </c>
      <c r="D205" t="inlineStr">
        <is>
          <t>VÄSTMANLANDS LÄN</t>
        </is>
      </c>
      <c r="E205" t="inlineStr">
        <is>
          <t>SALA</t>
        </is>
      </c>
      <c r="G205" t="n">
        <v>9.9</v>
      </c>
      <c r="H205" t="n">
        <v>0</v>
      </c>
      <c r="I205" t="n">
        <v>0</v>
      </c>
      <c r="J205" t="n">
        <v>0</v>
      </c>
      <c r="K205" t="n">
        <v>0</v>
      </c>
      <c r="L205" t="n">
        <v>0</v>
      </c>
      <c r="M205" t="n">
        <v>0</v>
      </c>
      <c r="N205" t="n">
        <v>0</v>
      </c>
      <c r="O205" t="n">
        <v>0</v>
      </c>
      <c r="P205" t="n">
        <v>0</v>
      </c>
      <c r="Q205" t="n">
        <v>0</v>
      </c>
      <c r="R205" s="2" t="inlineStr"/>
    </row>
    <row r="206" ht="15" customHeight="1">
      <c r="A206" t="inlineStr">
        <is>
          <t>A 3546-2025</t>
        </is>
      </c>
      <c r="B206" s="1" t="n">
        <v>45680</v>
      </c>
      <c r="C206" s="1" t="n">
        <v>45879</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16638-2023</t>
        </is>
      </c>
      <c r="B207" s="1" t="n">
        <v>45027</v>
      </c>
      <c r="C207" s="1" t="n">
        <v>45879</v>
      </c>
      <c r="D207" t="inlineStr">
        <is>
          <t>VÄSTMANLANDS LÄN</t>
        </is>
      </c>
      <c r="E207" t="inlineStr">
        <is>
          <t>SALA</t>
        </is>
      </c>
      <c r="G207" t="n">
        <v>14.8</v>
      </c>
      <c r="H207" t="n">
        <v>0</v>
      </c>
      <c r="I207" t="n">
        <v>0</v>
      </c>
      <c r="J207" t="n">
        <v>0</v>
      </c>
      <c r="K207" t="n">
        <v>0</v>
      </c>
      <c r="L207" t="n">
        <v>0</v>
      </c>
      <c r="M207" t="n">
        <v>0</v>
      </c>
      <c r="N207" t="n">
        <v>0</v>
      </c>
      <c r="O207" t="n">
        <v>0</v>
      </c>
      <c r="P207" t="n">
        <v>0</v>
      </c>
      <c r="Q207" t="n">
        <v>0</v>
      </c>
      <c r="R207" s="2" t="inlineStr"/>
    </row>
    <row r="208" ht="15" customHeight="1">
      <c r="A208" t="inlineStr">
        <is>
          <t>A 56688-2024</t>
        </is>
      </c>
      <c r="B208" s="1" t="n">
        <v>45627.66478009259</v>
      </c>
      <c r="C208" s="1" t="n">
        <v>45879</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23222-2023</t>
        </is>
      </c>
      <c r="B209" s="1" t="n">
        <v>45075</v>
      </c>
      <c r="C209" s="1" t="n">
        <v>45879</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23224-2023</t>
        </is>
      </c>
      <c r="B210" s="1" t="n">
        <v>45075.65040509259</v>
      </c>
      <c r="C210" s="1" t="n">
        <v>45879</v>
      </c>
      <c r="D210" t="inlineStr">
        <is>
          <t>VÄSTMANLANDS LÄN</t>
        </is>
      </c>
      <c r="E210" t="inlineStr">
        <is>
          <t>SALA</t>
        </is>
      </c>
      <c r="G210" t="n">
        <v>0.8</v>
      </c>
      <c r="H210" t="n">
        <v>0</v>
      </c>
      <c r="I210" t="n">
        <v>0</v>
      </c>
      <c r="J210" t="n">
        <v>0</v>
      </c>
      <c r="K210" t="n">
        <v>0</v>
      </c>
      <c r="L210" t="n">
        <v>0</v>
      </c>
      <c r="M210" t="n">
        <v>0</v>
      </c>
      <c r="N210" t="n">
        <v>0</v>
      </c>
      <c r="O210" t="n">
        <v>0</v>
      </c>
      <c r="P210" t="n">
        <v>0</v>
      </c>
      <c r="Q210" t="n">
        <v>0</v>
      </c>
      <c r="R210" s="2" t="inlineStr"/>
    </row>
    <row r="211" ht="15" customHeight="1">
      <c r="A211" t="inlineStr">
        <is>
          <t>A 50479-2022</t>
        </is>
      </c>
      <c r="B211" s="1" t="n">
        <v>44861</v>
      </c>
      <c r="C211" s="1" t="n">
        <v>45879</v>
      </c>
      <c r="D211" t="inlineStr">
        <is>
          <t>VÄSTMANLANDS LÄN</t>
        </is>
      </c>
      <c r="E211" t="inlineStr">
        <is>
          <t>SALA</t>
        </is>
      </c>
      <c r="G211" t="n">
        <v>0.9</v>
      </c>
      <c r="H211" t="n">
        <v>0</v>
      </c>
      <c r="I211" t="n">
        <v>0</v>
      </c>
      <c r="J211" t="n">
        <v>0</v>
      </c>
      <c r="K211" t="n">
        <v>0</v>
      </c>
      <c r="L211" t="n">
        <v>0</v>
      </c>
      <c r="M211" t="n">
        <v>0</v>
      </c>
      <c r="N211" t="n">
        <v>0</v>
      </c>
      <c r="O211" t="n">
        <v>0</v>
      </c>
      <c r="P211" t="n">
        <v>0</v>
      </c>
      <c r="Q211" t="n">
        <v>0</v>
      </c>
      <c r="R211" s="2" t="inlineStr"/>
    </row>
    <row r="212" ht="15" customHeight="1">
      <c r="A212" t="inlineStr">
        <is>
          <t>A 27261-2024</t>
        </is>
      </c>
      <c r="B212" s="1" t="n">
        <v>45471</v>
      </c>
      <c r="C212" s="1" t="n">
        <v>45879</v>
      </c>
      <c r="D212" t="inlineStr">
        <is>
          <t>VÄSTMANLANDS LÄN</t>
        </is>
      </c>
      <c r="E212" t="inlineStr">
        <is>
          <t>SALA</t>
        </is>
      </c>
      <c r="G212" t="n">
        <v>6.1</v>
      </c>
      <c r="H212" t="n">
        <v>0</v>
      </c>
      <c r="I212" t="n">
        <v>0</v>
      </c>
      <c r="J212" t="n">
        <v>0</v>
      </c>
      <c r="K212" t="n">
        <v>0</v>
      </c>
      <c r="L212" t="n">
        <v>0</v>
      </c>
      <c r="M212" t="n">
        <v>0</v>
      </c>
      <c r="N212" t="n">
        <v>0</v>
      </c>
      <c r="O212" t="n">
        <v>0</v>
      </c>
      <c r="P212" t="n">
        <v>0</v>
      </c>
      <c r="Q212" t="n">
        <v>0</v>
      </c>
      <c r="R212" s="2" t="inlineStr"/>
    </row>
    <row r="213" ht="15" customHeight="1">
      <c r="A213" t="inlineStr">
        <is>
          <t>A 18713-2025</t>
        </is>
      </c>
      <c r="B213" s="1" t="n">
        <v>45763</v>
      </c>
      <c r="C213" s="1" t="n">
        <v>45879</v>
      </c>
      <c r="D213" t="inlineStr">
        <is>
          <t>VÄSTMANLANDS LÄN</t>
        </is>
      </c>
      <c r="E213" t="inlineStr">
        <is>
          <t>SALA</t>
        </is>
      </c>
      <c r="F213" t="inlineStr">
        <is>
          <t>Bergvik skog öst AB</t>
        </is>
      </c>
      <c r="G213" t="n">
        <v>11.6</v>
      </c>
      <c r="H213" t="n">
        <v>0</v>
      </c>
      <c r="I213" t="n">
        <v>0</v>
      </c>
      <c r="J213" t="n">
        <v>0</v>
      </c>
      <c r="K213" t="n">
        <v>0</v>
      </c>
      <c r="L213" t="n">
        <v>0</v>
      </c>
      <c r="M213" t="n">
        <v>0</v>
      </c>
      <c r="N213" t="n">
        <v>0</v>
      </c>
      <c r="O213" t="n">
        <v>0</v>
      </c>
      <c r="P213" t="n">
        <v>0</v>
      </c>
      <c r="Q213" t="n">
        <v>0</v>
      </c>
      <c r="R213" s="2" t="inlineStr"/>
    </row>
    <row r="214" ht="15" customHeight="1">
      <c r="A214" t="inlineStr">
        <is>
          <t>A 54959-2024</t>
        </is>
      </c>
      <c r="B214" s="1" t="n">
        <v>45619</v>
      </c>
      <c r="C214" s="1" t="n">
        <v>45879</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52498-2022</t>
        </is>
      </c>
      <c r="B215" s="1" t="n">
        <v>44874.50152777778</v>
      </c>
      <c r="C215" s="1" t="n">
        <v>45879</v>
      </c>
      <c r="D215" t="inlineStr">
        <is>
          <t>VÄSTMANLANDS LÄN</t>
        </is>
      </c>
      <c r="E215" t="inlineStr">
        <is>
          <t>SALA</t>
        </is>
      </c>
      <c r="G215" t="n">
        <v>2.1</v>
      </c>
      <c r="H215" t="n">
        <v>0</v>
      </c>
      <c r="I215" t="n">
        <v>0</v>
      </c>
      <c r="J215" t="n">
        <v>0</v>
      </c>
      <c r="K215" t="n">
        <v>0</v>
      </c>
      <c r="L215" t="n">
        <v>0</v>
      </c>
      <c r="M215" t="n">
        <v>0</v>
      </c>
      <c r="N215" t="n">
        <v>0</v>
      </c>
      <c r="O215" t="n">
        <v>0</v>
      </c>
      <c r="P215" t="n">
        <v>0</v>
      </c>
      <c r="Q215" t="n">
        <v>0</v>
      </c>
      <c r="R215" s="2" t="inlineStr"/>
    </row>
    <row r="216" ht="15" customHeight="1">
      <c r="A216" t="inlineStr">
        <is>
          <t>A 50818-2020</t>
        </is>
      </c>
      <c r="B216" s="1" t="n">
        <v>44111</v>
      </c>
      <c r="C216" s="1" t="n">
        <v>45879</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27486-2022</t>
        </is>
      </c>
      <c r="B217" s="1" t="n">
        <v>44742.60846064815</v>
      </c>
      <c r="C217" s="1" t="n">
        <v>45879</v>
      </c>
      <c r="D217" t="inlineStr">
        <is>
          <t>VÄSTMANLANDS LÄN</t>
        </is>
      </c>
      <c r="E217" t="inlineStr">
        <is>
          <t>SALA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45879</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14919-2025</t>
        </is>
      </c>
      <c r="B219" s="1" t="n">
        <v>45743.54256944444</v>
      </c>
      <c r="C219" s="1" t="n">
        <v>45879</v>
      </c>
      <c r="D219" t="inlineStr">
        <is>
          <t>VÄSTMANLANDS LÄN</t>
        </is>
      </c>
      <c r="E219" t="inlineStr">
        <is>
          <t>SALA</t>
        </is>
      </c>
      <c r="G219" t="n">
        <v>0.6</v>
      </c>
      <c r="H219" t="n">
        <v>0</v>
      </c>
      <c r="I219" t="n">
        <v>0</v>
      </c>
      <c r="J219" t="n">
        <v>0</v>
      </c>
      <c r="K219" t="n">
        <v>0</v>
      </c>
      <c r="L219" t="n">
        <v>0</v>
      </c>
      <c r="M219" t="n">
        <v>0</v>
      </c>
      <c r="N219" t="n">
        <v>0</v>
      </c>
      <c r="O219" t="n">
        <v>0</v>
      </c>
      <c r="P219" t="n">
        <v>0</v>
      </c>
      <c r="Q219" t="n">
        <v>0</v>
      </c>
      <c r="R219" s="2" t="inlineStr"/>
    </row>
    <row r="220" ht="15" customHeight="1">
      <c r="A220" t="inlineStr">
        <is>
          <t>A 14920-2025</t>
        </is>
      </c>
      <c r="B220" s="1" t="n">
        <v>45743</v>
      </c>
      <c r="C220" s="1" t="n">
        <v>45879</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6134-2024</t>
        </is>
      </c>
      <c r="B221" s="1" t="n">
        <v>45337</v>
      </c>
      <c r="C221" s="1" t="n">
        <v>45879</v>
      </c>
      <c r="D221" t="inlineStr">
        <is>
          <t>VÄSTMANLANDS LÄN</t>
        </is>
      </c>
      <c r="E221" t="inlineStr">
        <is>
          <t>SALA</t>
        </is>
      </c>
      <c r="G221" t="n">
        <v>1.8</v>
      </c>
      <c r="H221" t="n">
        <v>0</v>
      </c>
      <c r="I221" t="n">
        <v>0</v>
      </c>
      <c r="J221" t="n">
        <v>0</v>
      </c>
      <c r="K221" t="n">
        <v>0</v>
      </c>
      <c r="L221" t="n">
        <v>0</v>
      </c>
      <c r="M221" t="n">
        <v>0</v>
      </c>
      <c r="N221" t="n">
        <v>0</v>
      </c>
      <c r="O221" t="n">
        <v>0</v>
      </c>
      <c r="P221" t="n">
        <v>0</v>
      </c>
      <c r="Q221" t="n">
        <v>0</v>
      </c>
      <c r="R221" s="2" t="inlineStr"/>
    </row>
    <row r="222" ht="15" customHeight="1">
      <c r="A222" t="inlineStr">
        <is>
          <t>A 15354-2021</t>
        </is>
      </c>
      <c r="B222" s="1" t="n">
        <v>44284</v>
      </c>
      <c r="C222" s="1" t="n">
        <v>45879</v>
      </c>
      <c r="D222" t="inlineStr">
        <is>
          <t>VÄSTMANLANDS LÄN</t>
        </is>
      </c>
      <c r="E222" t="inlineStr">
        <is>
          <t>SALA</t>
        </is>
      </c>
      <c r="F222" t="inlineStr">
        <is>
          <t>Kyrkan</t>
        </is>
      </c>
      <c r="G222" t="n">
        <v>8.5</v>
      </c>
      <c r="H222" t="n">
        <v>0</v>
      </c>
      <c r="I222" t="n">
        <v>0</v>
      </c>
      <c r="J222" t="n">
        <v>0</v>
      </c>
      <c r="K222" t="n">
        <v>0</v>
      </c>
      <c r="L222" t="n">
        <v>0</v>
      </c>
      <c r="M222" t="n">
        <v>0</v>
      </c>
      <c r="N222" t="n">
        <v>0</v>
      </c>
      <c r="O222" t="n">
        <v>0</v>
      </c>
      <c r="P222" t="n">
        <v>0</v>
      </c>
      <c r="Q222" t="n">
        <v>0</v>
      </c>
      <c r="R222" s="2" t="inlineStr"/>
    </row>
    <row r="223" ht="15" customHeight="1">
      <c r="A223" t="inlineStr">
        <is>
          <t>A 17117-2023</t>
        </is>
      </c>
      <c r="B223" s="1" t="n">
        <v>45034</v>
      </c>
      <c r="C223" s="1" t="n">
        <v>45879</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13855-2023</t>
        </is>
      </c>
      <c r="B224" s="1" t="n">
        <v>45007</v>
      </c>
      <c r="C224" s="1" t="n">
        <v>45879</v>
      </c>
      <c r="D224" t="inlineStr">
        <is>
          <t>VÄSTMANLANDS LÄN</t>
        </is>
      </c>
      <c r="E224" t="inlineStr">
        <is>
          <t>SALA</t>
        </is>
      </c>
      <c r="G224" t="n">
        <v>2.9</v>
      </c>
      <c r="H224" t="n">
        <v>0</v>
      </c>
      <c r="I224" t="n">
        <v>0</v>
      </c>
      <c r="J224" t="n">
        <v>0</v>
      </c>
      <c r="K224" t="n">
        <v>0</v>
      </c>
      <c r="L224" t="n">
        <v>0</v>
      </c>
      <c r="M224" t="n">
        <v>0</v>
      </c>
      <c r="N224" t="n">
        <v>0</v>
      </c>
      <c r="O224" t="n">
        <v>0</v>
      </c>
      <c r="P224" t="n">
        <v>0</v>
      </c>
      <c r="Q224" t="n">
        <v>0</v>
      </c>
      <c r="R224" s="2" t="inlineStr"/>
    </row>
    <row r="225" ht="15" customHeight="1">
      <c r="A225" t="inlineStr">
        <is>
          <t>A 6154-2025</t>
        </is>
      </c>
      <c r="B225" s="1" t="n">
        <v>45698.40719907408</v>
      </c>
      <c r="C225" s="1" t="n">
        <v>45879</v>
      </c>
      <c r="D225" t="inlineStr">
        <is>
          <t>VÄSTMANLANDS LÄN</t>
        </is>
      </c>
      <c r="E225" t="inlineStr">
        <is>
          <t>SALA</t>
        </is>
      </c>
      <c r="F225" t="inlineStr">
        <is>
          <t>Bergvik skog öst AB</t>
        </is>
      </c>
      <c r="G225" t="n">
        <v>3.9</v>
      </c>
      <c r="H225" t="n">
        <v>0</v>
      </c>
      <c r="I225" t="n">
        <v>0</v>
      </c>
      <c r="J225" t="n">
        <v>0</v>
      </c>
      <c r="K225" t="n">
        <v>0</v>
      </c>
      <c r="L225" t="n">
        <v>0</v>
      </c>
      <c r="M225" t="n">
        <v>0</v>
      </c>
      <c r="N225" t="n">
        <v>0</v>
      </c>
      <c r="O225" t="n">
        <v>0</v>
      </c>
      <c r="P225" t="n">
        <v>0</v>
      </c>
      <c r="Q225" t="n">
        <v>0</v>
      </c>
      <c r="R225" s="2" t="inlineStr"/>
    </row>
    <row r="226" ht="15" customHeight="1">
      <c r="A226" t="inlineStr">
        <is>
          <t>A 59909-2024</t>
        </is>
      </c>
      <c r="B226" s="1" t="n">
        <v>45641</v>
      </c>
      <c r="C226" s="1" t="n">
        <v>45879</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39597-2022</t>
        </is>
      </c>
      <c r="B227" s="1" t="n">
        <v>44818</v>
      </c>
      <c r="C227" s="1" t="n">
        <v>45879</v>
      </c>
      <c r="D227" t="inlineStr">
        <is>
          <t>VÄSTMANLANDS LÄN</t>
        </is>
      </c>
      <c r="E227" t="inlineStr">
        <is>
          <t>SALA</t>
        </is>
      </c>
      <c r="G227" t="n">
        <v>2.3</v>
      </c>
      <c r="H227" t="n">
        <v>0</v>
      </c>
      <c r="I227" t="n">
        <v>0</v>
      </c>
      <c r="J227" t="n">
        <v>0</v>
      </c>
      <c r="K227" t="n">
        <v>0</v>
      </c>
      <c r="L227" t="n">
        <v>0</v>
      </c>
      <c r="M227" t="n">
        <v>0</v>
      </c>
      <c r="N227" t="n">
        <v>0</v>
      </c>
      <c r="O227" t="n">
        <v>0</v>
      </c>
      <c r="P227" t="n">
        <v>0</v>
      </c>
      <c r="Q227" t="n">
        <v>0</v>
      </c>
      <c r="R227" s="2" t="inlineStr"/>
    </row>
    <row r="228" ht="15" customHeight="1">
      <c r="A228" t="inlineStr">
        <is>
          <t>A 30028-2024</t>
        </is>
      </c>
      <c r="B228" s="1" t="n">
        <v>45485</v>
      </c>
      <c r="C228" s="1" t="n">
        <v>45879</v>
      </c>
      <c r="D228" t="inlineStr">
        <is>
          <t>VÄSTMANLANDS LÄN</t>
        </is>
      </c>
      <c r="E228" t="inlineStr">
        <is>
          <t>SALA</t>
        </is>
      </c>
      <c r="G228" t="n">
        <v>2.6</v>
      </c>
      <c r="H228" t="n">
        <v>0</v>
      </c>
      <c r="I228" t="n">
        <v>0</v>
      </c>
      <c r="J228" t="n">
        <v>0</v>
      </c>
      <c r="K228" t="n">
        <v>0</v>
      </c>
      <c r="L228" t="n">
        <v>0</v>
      </c>
      <c r="M228" t="n">
        <v>0</v>
      </c>
      <c r="N228" t="n">
        <v>0</v>
      </c>
      <c r="O228" t="n">
        <v>0</v>
      </c>
      <c r="P228" t="n">
        <v>0</v>
      </c>
      <c r="Q228" t="n">
        <v>0</v>
      </c>
      <c r="R228" s="2" t="inlineStr"/>
    </row>
    <row r="229" ht="15" customHeight="1">
      <c r="A229" t="inlineStr">
        <is>
          <t>A 18877-2023</t>
        </is>
      </c>
      <c r="B229" s="1" t="n">
        <v>45044</v>
      </c>
      <c r="C229" s="1" t="n">
        <v>45879</v>
      </c>
      <c r="D229" t="inlineStr">
        <is>
          <t>VÄSTMANLANDS LÄN</t>
        </is>
      </c>
      <c r="E229" t="inlineStr">
        <is>
          <t>SALA</t>
        </is>
      </c>
      <c r="F229" t="inlineStr">
        <is>
          <t>Kommuner</t>
        </is>
      </c>
      <c r="G229" t="n">
        <v>4.4</v>
      </c>
      <c r="H229" t="n">
        <v>0</v>
      </c>
      <c r="I229" t="n">
        <v>0</v>
      </c>
      <c r="J229" t="n">
        <v>0</v>
      </c>
      <c r="K229" t="n">
        <v>0</v>
      </c>
      <c r="L229" t="n">
        <v>0</v>
      </c>
      <c r="M229" t="n">
        <v>0</v>
      </c>
      <c r="N229" t="n">
        <v>0</v>
      </c>
      <c r="O229" t="n">
        <v>0</v>
      </c>
      <c r="P229" t="n">
        <v>0</v>
      </c>
      <c r="Q229" t="n">
        <v>0</v>
      </c>
      <c r="R229" s="2" t="inlineStr"/>
    </row>
    <row r="230" ht="15" customHeight="1">
      <c r="A230" t="inlineStr">
        <is>
          <t>A 55556-2023</t>
        </is>
      </c>
      <c r="B230" s="1" t="n">
        <v>45232</v>
      </c>
      <c r="C230" s="1" t="n">
        <v>45879</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25860-2024</t>
        </is>
      </c>
      <c r="B231" s="1" t="n">
        <v>45467.46278935186</v>
      </c>
      <c r="C231" s="1" t="n">
        <v>45879</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34494-2023</t>
        </is>
      </c>
      <c r="B232" s="1" t="n">
        <v>45133</v>
      </c>
      <c r="C232" s="1" t="n">
        <v>45879</v>
      </c>
      <c r="D232" t="inlineStr">
        <is>
          <t>VÄSTMANLANDS LÄN</t>
        </is>
      </c>
      <c r="E232" t="inlineStr">
        <is>
          <t>SALA</t>
        </is>
      </c>
      <c r="G232" t="n">
        <v>0.8</v>
      </c>
      <c r="H232" t="n">
        <v>0</v>
      </c>
      <c r="I232" t="n">
        <v>0</v>
      </c>
      <c r="J232" t="n">
        <v>0</v>
      </c>
      <c r="K232" t="n">
        <v>0</v>
      </c>
      <c r="L232" t="n">
        <v>0</v>
      </c>
      <c r="M232" t="n">
        <v>0</v>
      </c>
      <c r="N232" t="n">
        <v>0</v>
      </c>
      <c r="O232" t="n">
        <v>0</v>
      </c>
      <c r="P232" t="n">
        <v>0</v>
      </c>
      <c r="Q232" t="n">
        <v>0</v>
      </c>
      <c r="R232" s="2" t="inlineStr"/>
    </row>
    <row r="233" ht="15" customHeight="1">
      <c r="A233" t="inlineStr">
        <is>
          <t>A 33309-2022</t>
        </is>
      </c>
      <c r="B233" s="1" t="n">
        <v>44788.40986111111</v>
      </c>
      <c r="C233" s="1" t="n">
        <v>45879</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7377-2023</t>
        </is>
      </c>
      <c r="B234" s="1" t="n">
        <v>44971</v>
      </c>
      <c r="C234" s="1" t="n">
        <v>45879</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27229-2022</t>
        </is>
      </c>
      <c r="B235" s="1" t="n">
        <v>44741</v>
      </c>
      <c r="C235" s="1" t="n">
        <v>45879</v>
      </c>
      <c r="D235" t="inlineStr">
        <is>
          <t>VÄSTMANLANDS LÄN</t>
        </is>
      </c>
      <c r="E235" t="inlineStr">
        <is>
          <t>SALA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22026-2021</t>
        </is>
      </c>
      <c r="B236" s="1" t="n">
        <v>44323</v>
      </c>
      <c r="C236" s="1" t="n">
        <v>45879</v>
      </c>
      <c r="D236" t="inlineStr">
        <is>
          <t>VÄSTMANLANDS LÄN</t>
        </is>
      </c>
      <c r="E236" t="inlineStr">
        <is>
          <t>SALA</t>
        </is>
      </c>
      <c r="G236" t="n">
        <v>2.9</v>
      </c>
      <c r="H236" t="n">
        <v>0</v>
      </c>
      <c r="I236" t="n">
        <v>0</v>
      </c>
      <c r="J236" t="n">
        <v>0</v>
      </c>
      <c r="K236" t="n">
        <v>0</v>
      </c>
      <c r="L236" t="n">
        <v>0</v>
      </c>
      <c r="M236" t="n">
        <v>0</v>
      </c>
      <c r="N236" t="n">
        <v>0</v>
      </c>
      <c r="O236" t="n">
        <v>0</v>
      </c>
      <c r="P236" t="n">
        <v>0</v>
      </c>
      <c r="Q236" t="n">
        <v>0</v>
      </c>
      <c r="R236" s="2" t="inlineStr"/>
    </row>
    <row r="237" ht="15" customHeight="1">
      <c r="A237" t="inlineStr">
        <is>
          <t>A 15650-2025</t>
        </is>
      </c>
      <c r="B237" s="1" t="n">
        <v>45748.40172453703</v>
      </c>
      <c r="C237" s="1" t="n">
        <v>45879</v>
      </c>
      <c r="D237" t="inlineStr">
        <is>
          <t>VÄSTMANLANDS LÄN</t>
        </is>
      </c>
      <c r="E237" t="inlineStr">
        <is>
          <t>SALA</t>
        </is>
      </c>
      <c r="F237" t="inlineStr">
        <is>
          <t>Bergvik skog öst AB</t>
        </is>
      </c>
      <c r="G237" t="n">
        <v>3</v>
      </c>
      <c r="H237" t="n">
        <v>0</v>
      </c>
      <c r="I237" t="n">
        <v>0</v>
      </c>
      <c r="J237" t="n">
        <v>0</v>
      </c>
      <c r="K237" t="n">
        <v>0</v>
      </c>
      <c r="L237" t="n">
        <v>0</v>
      </c>
      <c r="M237" t="n">
        <v>0</v>
      </c>
      <c r="N237" t="n">
        <v>0</v>
      </c>
      <c r="O237" t="n">
        <v>0</v>
      </c>
      <c r="P237" t="n">
        <v>0</v>
      </c>
      <c r="Q237" t="n">
        <v>0</v>
      </c>
      <c r="R237" s="2" t="inlineStr"/>
    </row>
    <row r="238" ht="15" customHeight="1">
      <c r="A238" t="inlineStr">
        <is>
          <t>A 13752-2025</t>
        </is>
      </c>
      <c r="B238" s="1" t="n">
        <v>45737.41416666667</v>
      </c>
      <c r="C238" s="1" t="n">
        <v>45879</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24755-2021</t>
        </is>
      </c>
      <c r="B239" s="1" t="n">
        <v>44340</v>
      </c>
      <c r="C239" s="1" t="n">
        <v>45879</v>
      </c>
      <c r="D239" t="inlineStr">
        <is>
          <t>VÄSTMANLANDS LÄN</t>
        </is>
      </c>
      <c r="E239" t="inlineStr">
        <is>
          <t>SALA</t>
        </is>
      </c>
      <c r="G239" t="n">
        <v>1.2</v>
      </c>
      <c r="H239" t="n">
        <v>0</v>
      </c>
      <c r="I239" t="n">
        <v>0</v>
      </c>
      <c r="J239" t="n">
        <v>0</v>
      </c>
      <c r="K239" t="n">
        <v>0</v>
      </c>
      <c r="L239" t="n">
        <v>0</v>
      </c>
      <c r="M239" t="n">
        <v>0</v>
      </c>
      <c r="N239" t="n">
        <v>0</v>
      </c>
      <c r="O239" t="n">
        <v>0</v>
      </c>
      <c r="P239" t="n">
        <v>0</v>
      </c>
      <c r="Q239" t="n">
        <v>0</v>
      </c>
      <c r="R239" s="2" t="inlineStr"/>
    </row>
    <row r="240" ht="15" customHeight="1">
      <c r="A240" t="inlineStr">
        <is>
          <t>A 34867-2023</t>
        </is>
      </c>
      <c r="B240" s="1" t="n">
        <v>45142.33481481481</v>
      </c>
      <c r="C240" s="1" t="n">
        <v>45879</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19398-2025</t>
        </is>
      </c>
      <c r="B241" s="1" t="n">
        <v>45769</v>
      </c>
      <c r="C241" s="1" t="n">
        <v>45879</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25748-2022</t>
        </is>
      </c>
      <c r="B242" s="1" t="n">
        <v>44732</v>
      </c>
      <c r="C242" s="1" t="n">
        <v>45879</v>
      </c>
      <c r="D242" t="inlineStr">
        <is>
          <t>VÄSTMANLANDS LÄN</t>
        </is>
      </c>
      <c r="E242" t="inlineStr">
        <is>
          <t>SALA</t>
        </is>
      </c>
      <c r="G242" t="n">
        <v>7.7</v>
      </c>
      <c r="H242" t="n">
        <v>0</v>
      </c>
      <c r="I242" t="n">
        <v>0</v>
      </c>
      <c r="J242" t="n">
        <v>0</v>
      </c>
      <c r="K242" t="n">
        <v>0</v>
      </c>
      <c r="L242" t="n">
        <v>0</v>
      </c>
      <c r="M242" t="n">
        <v>0</v>
      </c>
      <c r="N242" t="n">
        <v>0</v>
      </c>
      <c r="O242" t="n">
        <v>0</v>
      </c>
      <c r="P242" t="n">
        <v>0</v>
      </c>
      <c r="Q242" t="n">
        <v>0</v>
      </c>
      <c r="R242" s="2" t="inlineStr"/>
    </row>
    <row r="243" ht="15" customHeight="1">
      <c r="A243" t="inlineStr">
        <is>
          <t>A 16160-2024</t>
        </is>
      </c>
      <c r="B243" s="1" t="n">
        <v>45406</v>
      </c>
      <c r="C243" s="1" t="n">
        <v>45879</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40597-2022</t>
        </is>
      </c>
      <c r="B244" s="1" t="n">
        <v>44823.84862268518</v>
      </c>
      <c r="C244" s="1" t="n">
        <v>45879</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22921-2023</t>
        </is>
      </c>
      <c r="B245" s="1" t="n">
        <v>45070</v>
      </c>
      <c r="C245" s="1" t="n">
        <v>45879</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16133-2025</t>
        </is>
      </c>
      <c r="B246" s="1" t="n">
        <v>45750</v>
      </c>
      <c r="C246" s="1" t="n">
        <v>45879</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7196-2025</t>
        </is>
      </c>
      <c r="B247" s="1" t="n">
        <v>45702</v>
      </c>
      <c r="C247" s="1" t="n">
        <v>45879</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6183-2025</t>
        </is>
      </c>
      <c r="B248" s="1" t="n">
        <v>45698</v>
      </c>
      <c r="C248" s="1" t="n">
        <v>45879</v>
      </c>
      <c r="D248" t="inlineStr">
        <is>
          <t>VÄSTMANLANDS LÄN</t>
        </is>
      </c>
      <c r="E248" t="inlineStr">
        <is>
          <t>SALA</t>
        </is>
      </c>
      <c r="F248" t="inlineStr">
        <is>
          <t>Bergvik skog öst AB</t>
        </is>
      </c>
      <c r="G248" t="n">
        <v>2.3</v>
      </c>
      <c r="H248" t="n">
        <v>0</v>
      </c>
      <c r="I248" t="n">
        <v>0</v>
      </c>
      <c r="J248" t="n">
        <v>0</v>
      </c>
      <c r="K248" t="n">
        <v>0</v>
      </c>
      <c r="L248" t="n">
        <v>0</v>
      </c>
      <c r="M248" t="n">
        <v>0</v>
      </c>
      <c r="N248" t="n">
        <v>0</v>
      </c>
      <c r="O248" t="n">
        <v>0</v>
      </c>
      <c r="P248" t="n">
        <v>0</v>
      </c>
      <c r="Q248" t="n">
        <v>0</v>
      </c>
      <c r="R248" s="2" t="inlineStr"/>
    </row>
    <row r="249" ht="15" customHeight="1">
      <c r="A249" t="inlineStr">
        <is>
          <t>A 12921-2025</t>
        </is>
      </c>
      <c r="B249" s="1" t="n">
        <v>45734.28016203704</v>
      </c>
      <c r="C249" s="1" t="n">
        <v>45879</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49512-2024</t>
        </is>
      </c>
      <c r="B250" s="1" t="n">
        <v>45591</v>
      </c>
      <c r="C250" s="1" t="n">
        <v>45879</v>
      </c>
      <c r="D250" t="inlineStr">
        <is>
          <t>VÄSTMANLANDS LÄN</t>
        </is>
      </c>
      <c r="E250" t="inlineStr">
        <is>
          <t>SALA</t>
        </is>
      </c>
      <c r="G250" t="n">
        <v>8.1</v>
      </c>
      <c r="H250" t="n">
        <v>0</v>
      </c>
      <c r="I250" t="n">
        <v>0</v>
      </c>
      <c r="J250" t="n">
        <v>0</v>
      </c>
      <c r="K250" t="n">
        <v>0</v>
      </c>
      <c r="L250" t="n">
        <v>0</v>
      </c>
      <c r="M250" t="n">
        <v>0</v>
      </c>
      <c r="N250" t="n">
        <v>0</v>
      </c>
      <c r="O250" t="n">
        <v>0</v>
      </c>
      <c r="P250" t="n">
        <v>0</v>
      </c>
      <c r="Q250" t="n">
        <v>0</v>
      </c>
      <c r="R250" s="2" t="inlineStr"/>
    </row>
    <row r="251" ht="15" customHeight="1">
      <c r="A251" t="inlineStr">
        <is>
          <t>A 13128-2023</t>
        </is>
      </c>
      <c r="B251" s="1" t="n">
        <v>45002</v>
      </c>
      <c r="C251" s="1" t="n">
        <v>45879</v>
      </c>
      <c r="D251" t="inlineStr">
        <is>
          <t>VÄSTMANLANDS LÄN</t>
        </is>
      </c>
      <c r="E251" t="inlineStr">
        <is>
          <t>SALA</t>
        </is>
      </c>
      <c r="G251" t="n">
        <v>7.9</v>
      </c>
      <c r="H251" t="n">
        <v>0</v>
      </c>
      <c r="I251" t="n">
        <v>0</v>
      </c>
      <c r="J251" t="n">
        <v>0</v>
      </c>
      <c r="K251" t="n">
        <v>0</v>
      </c>
      <c r="L251" t="n">
        <v>0</v>
      </c>
      <c r="M251" t="n">
        <v>0</v>
      </c>
      <c r="N251" t="n">
        <v>0</v>
      </c>
      <c r="O251" t="n">
        <v>0</v>
      </c>
      <c r="P251" t="n">
        <v>0</v>
      </c>
      <c r="Q251" t="n">
        <v>0</v>
      </c>
      <c r="R251" s="2" t="inlineStr"/>
    </row>
    <row r="252" ht="15" customHeight="1">
      <c r="A252" t="inlineStr">
        <is>
          <t>A 6127-2025</t>
        </is>
      </c>
      <c r="B252" s="1" t="n">
        <v>45698</v>
      </c>
      <c r="C252" s="1" t="n">
        <v>45879</v>
      </c>
      <c r="D252" t="inlineStr">
        <is>
          <t>VÄSTMANLANDS LÄN</t>
        </is>
      </c>
      <c r="E252" t="inlineStr">
        <is>
          <t>SALA</t>
        </is>
      </c>
      <c r="F252" t="inlineStr">
        <is>
          <t>Bergvik skog öst AB</t>
        </is>
      </c>
      <c r="G252" t="n">
        <v>4.3</v>
      </c>
      <c r="H252" t="n">
        <v>0</v>
      </c>
      <c r="I252" t="n">
        <v>0</v>
      </c>
      <c r="J252" t="n">
        <v>0</v>
      </c>
      <c r="K252" t="n">
        <v>0</v>
      </c>
      <c r="L252" t="n">
        <v>0</v>
      </c>
      <c r="M252" t="n">
        <v>0</v>
      </c>
      <c r="N252" t="n">
        <v>0</v>
      </c>
      <c r="O252" t="n">
        <v>0</v>
      </c>
      <c r="P252" t="n">
        <v>0</v>
      </c>
      <c r="Q252" t="n">
        <v>0</v>
      </c>
      <c r="R252" s="2" t="inlineStr"/>
    </row>
    <row r="253" ht="15" customHeight="1">
      <c r="A253" t="inlineStr">
        <is>
          <t>A 15272-2025</t>
        </is>
      </c>
      <c r="B253" s="1" t="n">
        <v>45744</v>
      </c>
      <c r="C253" s="1" t="n">
        <v>45879</v>
      </c>
      <c r="D253" t="inlineStr">
        <is>
          <t>VÄSTMANLANDS LÄN</t>
        </is>
      </c>
      <c r="E253" t="inlineStr">
        <is>
          <t>SALA</t>
        </is>
      </c>
      <c r="G253" t="n">
        <v>0.7</v>
      </c>
      <c r="H253" t="n">
        <v>0</v>
      </c>
      <c r="I253" t="n">
        <v>0</v>
      </c>
      <c r="J253" t="n">
        <v>0</v>
      </c>
      <c r="K253" t="n">
        <v>0</v>
      </c>
      <c r="L253" t="n">
        <v>0</v>
      </c>
      <c r="M253" t="n">
        <v>0</v>
      </c>
      <c r="N253" t="n">
        <v>0</v>
      </c>
      <c r="O253" t="n">
        <v>0</v>
      </c>
      <c r="P253" t="n">
        <v>0</v>
      </c>
      <c r="Q253" t="n">
        <v>0</v>
      </c>
      <c r="R253" s="2" t="inlineStr"/>
    </row>
    <row r="254" ht="15" customHeight="1">
      <c r="A254" t="inlineStr">
        <is>
          <t>A 40871-2021</t>
        </is>
      </c>
      <c r="B254" s="1" t="n">
        <v>44421</v>
      </c>
      <c r="C254" s="1" t="n">
        <v>45879</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19803-2024</t>
        </is>
      </c>
      <c r="B255" s="1" t="n">
        <v>45432</v>
      </c>
      <c r="C255" s="1" t="n">
        <v>45879</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37958-2024</t>
        </is>
      </c>
      <c r="B256" s="1" t="n">
        <v>45544</v>
      </c>
      <c r="C256" s="1" t="n">
        <v>45879</v>
      </c>
      <c r="D256" t="inlineStr">
        <is>
          <t>VÄSTMANLANDS LÄN</t>
        </is>
      </c>
      <c r="E256" t="inlineStr">
        <is>
          <t>SALA</t>
        </is>
      </c>
      <c r="G256" t="n">
        <v>5.6</v>
      </c>
      <c r="H256" t="n">
        <v>0</v>
      </c>
      <c r="I256" t="n">
        <v>0</v>
      </c>
      <c r="J256" t="n">
        <v>0</v>
      </c>
      <c r="K256" t="n">
        <v>0</v>
      </c>
      <c r="L256" t="n">
        <v>0</v>
      </c>
      <c r="M256" t="n">
        <v>0</v>
      </c>
      <c r="N256" t="n">
        <v>0</v>
      </c>
      <c r="O256" t="n">
        <v>0</v>
      </c>
      <c r="P256" t="n">
        <v>0</v>
      </c>
      <c r="Q256" t="n">
        <v>0</v>
      </c>
      <c r="R256" s="2" t="inlineStr"/>
    </row>
    <row r="257" ht="15" customHeight="1">
      <c r="A257" t="inlineStr">
        <is>
          <t>A 18431-2023</t>
        </is>
      </c>
      <c r="B257" s="1" t="n">
        <v>45042</v>
      </c>
      <c r="C257" s="1" t="n">
        <v>45879</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24248-2023</t>
        </is>
      </c>
      <c r="B258" s="1" t="n">
        <v>45079</v>
      </c>
      <c r="C258" s="1" t="n">
        <v>45879</v>
      </c>
      <c r="D258" t="inlineStr">
        <is>
          <t>VÄSTMANLANDS LÄN</t>
        </is>
      </c>
      <c r="E258" t="inlineStr">
        <is>
          <t>SALA</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19396-2025</t>
        </is>
      </c>
      <c r="B259" s="1" t="n">
        <v>45769</v>
      </c>
      <c r="C259" s="1" t="n">
        <v>45879</v>
      </c>
      <c r="D259" t="inlineStr">
        <is>
          <t>VÄSTMANLANDS LÄN</t>
        </is>
      </c>
      <c r="E259" t="inlineStr">
        <is>
          <t>SALA</t>
        </is>
      </c>
      <c r="G259" t="n">
        <v>1.5</v>
      </c>
      <c r="H259" t="n">
        <v>0</v>
      </c>
      <c r="I259" t="n">
        <v>0</v>
      </c>
      <c r="J259" t="n">
        <v>0</v>
      </c>
      <c r="K259" t="n">
        <v>0</v>
      </c>
      <c r="L259" t="n">
        <v>0</v>
      </c>
      <c r="M259" t="n">
        <v>0</v>
      </c>
      <c r="N259" t="n">
        <v>0</v>
      </c>
      <c r="O259" t="n">
        <v>0</v>
      </c>
      <c r="P259" t="n">
        <v>0</v>
      </c>
      <c r="Q259" t="n">
        <v>0</v>
      </c>
      <c r="R259" s="2" t="inlineStr"/>
    </row>
    <row r="260" ht="15" customHeight="1">
      <c r="A260" t="inlineStr">
        <is>
          <t>A 38195-2021</t>
        </is>
      </c>
      <c r="B260" s="1" t="n">
        <v>44405</v>
      </c>
      <c r="C260" s="1" t="n">
        <v>45879</v>
      </c>
      <c r="D260" t="inlineStr">
        <is>
          <t>VÄSTMANLANDS LÄN</t>
        </is>
      </c>
      <c r="E260" t="inlineStr">
        <is>
          <t>SALA</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27228-2023</t>
        </is>
      </c>
      <c r="B261" s="1" t="n">
        <v>45096.59189814814</v>
      </c>
      <c r="C261" s="1" t="n">
        <v>45879</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53838-2022</t>
        </is>
      </c>
      <c r="B262" s="1" t="n">
        <v>44880.59363425926</v>
      </c>
      <c r="C262" s="1" t="n">
        <v>45879</v>
      </c>
      <c r="D262" t="inlineStr">
        <is>
          <t>VÄSTMANLANDS LÄN</t>
        </is>
      </c>
      <c r="E262" t="inlineStr">
        <is>
          <t>SALA</t>
        </is>
      </c>
      <c r="G262" t="n">
        <v>3.9</v>
      </c>
      <c r="H262" t="n">
        <v>0</v>
      </c>
      <c r="I262" t="n">
        <v>0</v>
      </c>
      <c r="J262" t="n">
        <v>0</v>
      </c>
      <c r="K262" t="n">
        <v>0</v>
      </c>
      <c r="L262" t="n">
        <v>0</v>
      </c>
      <c r="M262" t="n">
        <v>0</v>
      </c>
      <c r="N262" t="n">
        <v>0</v>
      </c>
      <c r="O262" t="n">
        <v>0</v>
      </c>
      <c r="P262" t="n">
        <v>0</v>
      </c>
      <c r="Q262" t="n">
        <v>0</v>
      </c>
      <c r="R262" s="2" t="inlineStr"/>
    </row>
    <row r="263" ht="15" customHeight="1">
      <c r="A263" t="inlineStr">
        <is>
          <t>A 57650-2024</t>
        </is>
      </c>
      <c r="B263" s="1" t="n">
        <v>45630</v>
      </c>
      <c r="C263" s="1" t="n">
        <v>45879</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24864-2024</t>
        </is>
      </c>
      <c r="B264" s="1" t="n">
        <v>45461.48888888889</v>
      </c>
      <c r="C264" s="1" t="n">
        <v>45879</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17719-2025</t>
        </is>
      </c>
      <c r="B265" s="1" t="n">
        <v>45758.45111111111</v>
      </c>
      <c r="C265" s="1" t="n">
        <v>45879</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1118-2024</t>
        </is>
      </c>
      <c r="B266" s="1" t="n">
        <v>45302</v>
      </c>
      <c r="C266" s="1" t="n">
        <v>45879</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17985-2025</t>
        </is>
      </c>
      <c r="B267" s="1" t="n">
        <v>45761</v>
      </c>
      <c r="C267" s="1" t="n">
        <v>45879</v>
      </c>
      <c r="D267" t="inlineStr">
        <is>
          <t>VÄSTMANLANDS LÄN</t>
        </is>
      </c>
      <c r="E267" t="inlineStr">
        <is>
          <t>SALA</t>
        </is>
      </c>
      <c r="G267" t="n">
        <v>12.5</v>
      </c>
      <c r="H267" t="n">
        <v>0</v>
      </c>
      <c r="I267" t="n">
        <v>0</v>
      </c>
      <c r="J267" t="n">
        <v>0</v>
      </c>
      <c r="K267" t="n">
        <v>0</v>
      </c>
      <c r="L267" t="n">
        <v>0</v>
      </c>
      <c r="M267" t="n">
        <v>0</v>
      </c>
      <c r="N267" t="n">
        <v>0</v>
      </c>
      <c r="O267" t="n">
        <v>0</v>
      </c>
      <c r="P267" t="n">
        <v>0</v>
      </c>
      <c r="Q267" t="n">
        <v>0</v>
      </c>
      <c r="R267" s="2" t="inlineStr"/>
    </row>
    <row r="268" ht="15" customHeight="1">
      <c r="A268" t="inlineStr">
        <is>
          <t>A 63933-2023</t>
        </is>
      </c>
      <c r="B268" s="1" t="n">
        <v>45278</v>
      </c>
      <c r="C268" s="1" t="n">
        <v>45879</v>
      </c>
      <c r="D268" t="inlineStr">
        <is>
          <t>VÄSTMANLANDS LÄN</t>
        </is>
      </c>
      <c r="E268" t="inlineStr">
        <is>
          <t>SALA</t>
        </is>
      </c>
      <c r="G268" t="n">
        <v>1.4</v>
      </c>
      <c r="H268" t="n">
        <v>0</v>
      </c>
      <c r="I268" t="n">
        <v>0</v>
      </c>
      <c r="J268" t="n">
        <v>0</v>
      </c>
      <c r="K268" t="n">
        <v>0</v>
      </c>
      <c r="L268" t="n">
        <v>0</v>
      </c>
      <c r="M268" t="n">
        <v>0</v>
      </c>
      <c r="N268" t="n">
        <v>0</v>
      </c>
      <c r="O268" t="n">
        <v>0</v>
      </c>
      <c r="P268" t="n">
        <v>0</v>
      </c>
      <c r="Q268" t="n">
        <v>0</v>
      </c>
      <c r="R268" s="2" t="inlineStr"/>
    </row>
    <row r="269" ht="15" customHeight="1">
      <c r="A269" t="inlineStr">
        <is>
          <t>A 10255-2024</t>
        </is>
      </c>
      <c r="B269" s="1" t="n">
        <v>45365</v>
      </c>
      <c r="C269" s="1" t="n">
        <v>45879</v>
      </c>
      <c r="D269" t="inlineStr">
        <is>
          <t>VÄSTMANLANDS LÄN</t>
        </is>
      </c>
      <c r="E269" t="inlineStr">
        <is>
          <t>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54923-2020</t>
        </is>
      </c>
      <c r="B270" s="1" t="n">
        <v>44127</v>
      </c>
      <c r="C270" s="1" t="n">
        <v>45879</v>
      </c>
      <c r="D270" t="inlineStr">
        <is>
          <t>VÄSTMANLANDS LÄN</t>
        </is>
      </c>
      <c r="E270" t="inlineStr">
        <is>
          <t>SALA</t>
        </is>
      </c>
      <c r="G270" t="n">
        <v>4.9</v>
      </c>
      <c r="H270" t="n">
        <v>0</v>
      </c>
      <c r="I270" t="n">
        <v>0</v>
      </c>
      <c r="J270" t="n">
        <v>0</v>
      </c>
      <c r="K270" t="n">
        <v>0</v>
      </c>
      <c r="L270" t="n">
        <v>0</v>
      </c>
      <c r="M270" t="n">
        <v>0</v>
      </c>
      <c r="N270" t="n">
        <v>0</v>
      </c>
      <c r="O270" t="n">
        <v>0</v>
      </c>
      <c r="P270" t="n">
        <v>0</v>
      </c>
      <c r="Q270" t="n">
        <v>0</v>
      </c>
      <c r="R270" s="2" t="inlineStr"/>
    </row>
    <row r="271" ht="15" customHeight="1">
      <c r="A271" t="inlineStr">
        <is>
          <t>A 54771-2024</t>
        </is>
      </c>
      <c r="B271" s="1" t="n">
        <v>45618</v>
      </c>
      <c r="C271" s="1" t="n">
        <v>45879</v>
      </c>
      <c r="D271" t="inlineStr">
        <is>
          <t>VÄSTMANLANDS LÄN</t>
        </is>
      </c>
      <c r="E271" t="inlineStr">
        <is>
          <t>SALA</t>
        </is>
      </c>
      <c r="G271" t="n">
        <v>2.8</v>
      </c>
      <c r="H271" t="n">
        <v>0</v>
      </c>
      <c r="I271" t="n">
        <v>0</v>
      </c>
      <c r="J271" t="n">
        <v>0</v>
      </c>
      <c r="K271" t="n">
        <v>0</v>
      </c>
      <c r="L271" t="n">
        <v>0</v>
      </c>
      <c r="M271" t="n">
        <v>0</v>
      </c>
      <c r="N271" t="n">
        <v>0</v>
      </c>
      <c r="O271" t="n">
        <v>0</v>
      </c>
      <c r="P271" t="n">
        <v>0</v>
      </c>
      <c r="Q271" t="n">
        <v>0</v>
      </c>
      <c r="R271" s="2" t="inlineStr"/>
    </row>
    <row r="272" ht="15" customHeight="1">
      <c r="A272" t="inlineStr">
        <is>
          <t>A 37190-2024</t>
        </is>
      </c>
      <c r="B272" s="1" t="n">
        <v>45539</v>
      </c>
      <c r="C272" s="1" t="n">
        <v>45879</v>
      </c>
      <c r="D272" t="inlineStr">
        <is>
          <t>VÄSTMANLANDS LÄN</t>
        </is>
      </c>
      <c r="E272" t="inlineStr">
        <is>
          <t>SALA</t>
        </is>
      </c>
      <c r="G272" t="n">
        <v>0.9</v>
      </c>
      <c r="H272" t="n">
        <v>0</v>
      </c>
      <c r="I272" t="n">
        <v>0</v>
      </c>
      <c r="J272" t="n">
        <v>0</v>
      </c>
      <c r="K272" t="n">
        <v>0</v>
      </c>
      <c r="L272" t="n">
        <v>0</v>
      </c>
      <c r="M272" t="n">
        <v>0</v>
      </c>
      <c r="N272" t="n">
        <v>0</v>
      </c>
      <c r="O272" t="n">
        <v>0</v>
      </c>
      <c r="P272" t="n">
        <v>0</v>
      </c>
      <c r="Q272" t="n">
        <v>0</v>
      </c>
      <c r="R272" s="2" t="inlineStr"/>
    </row>
    <row r="273" ht="15" customHeight="1">
      <c r="A273" t="inlineStr">
        <is>
          <t>A 25260-2023</t>
        </is>
      </c>
      <c r="B273" s="1" t="n">
        <v>45086</v>
      </c>
      <c r="C273" s="1" t="n">
        <v>45879</v>
      </c>
      <c r="D273" t="inlineStr">
        <is>
          <t>VÄSTMANLANDS LÄN</t>
        </is>
      </c>
      <c r="E273" t="inlineStr">
        <is>
          <t>SALA</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37150-2020</t>
        </is>
      </c>
      <c r="B274" s="1" t="n">
        <v>44054</v>
      </c>
      <c r="C274" s="1" t="n">
        <v>45879</v>
      </c>
      <c r="D274" t="inlineStr">
        <is>
          <t>VÄSTMANLANDS LÄN</t>
        </is>
      </c>
      <c r="E274" t="inlineStr">
        <is>
          <t>SALA</t>
        </is>
      </c>
      <c r="F274" t="inlineStr">
        <is>
          <t>Kommuner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39439-2021</t>
        </is>
      </c>
      <c r="B275" s="1" t="n">
        <v>44414</v>
      </c>
      <c r="C275" s="1" t="n">
        <v>45879</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16769-2024</t>
        </is>
      </c>
      <c r="B276" s="1" t="n">
        <v>45411.38738425926</v>
      </c>
      <c r="C276" s="1" t="n">
        <v>45879</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28696-2023</t>
        </is>
      </c>
      <c r="B277" s="1" t="n">
        <v>45103.71759259259</v>
      </c>
      <c r="C277" s="1" t="n">
        <v>45879</v>
      </c>
      <c r="D277" t="inlineStr">
        <is>
          <t>VÄSTMANLANDS LÄN</t>
        </is>
      </c>
      <c r="E277" t="inlineStr">
        <is>
          <t>SALA</t>
        </is>
      </c>
      <c r="F277" t="inlineStr">
        <is>
          <t>Kommuner</t>
        </is>
      </c>
      <c r="G277" t="n">
        <v>5.9</v>
      </c>
      <c r="H277" t="n">
        <v>0</v>
      </c>
      <c r="I277" t="n">
        <v>0</v>
      </c>
      <c r="J277" t="n">
        <v>0</v>
      </c>
      <c r="K277" t="n">
        <v>0</v>
      </c>
      <c r="L277" t="n">
        <v>0</v>
      </c>
      <c r="M277" t="n">
        <v>0</v>
      </c>
      <c r="N277" t="n">
        <v>0</v>
      </c>
      <c r="O277" t="n">
        <v>0</v>
      </c>
      <c r="P277" t="n">
        <v>0</v>
      </c>
      <c r="Q277" t="n">
        <v>0</v>
      </c>
      <c r="R277" s="2" t="inlineStr"/>
    </row>
    <row r="278" ht="15" customHeight="1">
      <c r="A278" t="inlineStr">
        <is>
          <t>A 60249-2023</t>
        </is>
      </c>
      <c r="B278" s="1" t="n">
        <v>45258</v>
      </c>
      <c r="C278" s="1" t="n">
        <v>45879</v>
      </c>
      <c r="D278" t="inlineStr">
        <is>
          <t>VÄSTMANLANDS LÄN</t>
        </is>
      </c>
      <c r="E278" t="inlineStr">
        <is>
          <t>SALA</t>
        </is>
      </c>
      <c r="G278" t="n">
        <v>2</v>
      </c>
      <c r="H278" t="n">
        <v>0</v>
      </c>
      <c r="I278" t="n">
        <v>0</v>
      </c>
      <c r="J278" t="n">
        <v>0</v>
      </c>
      <c r="K278" t="n">
        <v>0</v>
      </c>
      <c r="L278" t="n">
        <v>0</v>
      </c>
      <c r="M278" t="n">
        <v>0</v>
      </c>
      <c r="N278" t="n">
        <v>0</v>
      </c>
      <c r="O278" t="n">
        <v>0</v>
      </c>
      <c r="P278" t="n">
        <v>0</v>
      </c>
      <c r="Q278" t="n">
        <v>0</v>
      </c>
      <c r="R278" s="2" t="inlineStr"/>
    </row>
    <row r="279" ht="15" customHeight="1">
      <c r="A279" t="inlineStr">
        <is>
          <t>A 14271-2025</t>
        </is>
      </c>
      <c r="B279" s="1" t="n">
        <v>45740.64129629629</v>
      </c>
      <c r="C279" s="1" t="n">
        <v>45879</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31072-2021</t>
        </is>
      </c>
      <c r="B280" s="1" t="n">
        <v>44368</v>
      </c>
      <c r="C280" s="1" t="n">
        <v>45879</v>
      </c>
      <c r="D280" t="inlineStr">
        <is>
          <t>VÄSTMANLANDS LÄN</t>
        </is>
      </c>
      <c r="E280" t="inlineStr">
        <is>
          <t>SALA</t>
        </is>
      </c>
      <c r="G280" t="n">
        <v>1.1</v>
      </c>
      <c r="H280" t="n">
        <v>0</v>
      </c>
      <c r="I280" t="n">
        <v>0</v>
      </c>
      <c r="J280" t="n">
        <v>0</v>
      </c>
      <c r="K280" t="n">
        <v>0</v>
      </c>
      <c r="L280" t="n">
        <v>0</v>
      </c>
      <c r="M280" t="n">
        <v>0</v>
      </c>
      <c r="N280" t="n">
        <v>0</v>
      </c>
      <c r="O280" t="n">
        <v>0</v>
      </c>
      <c r="P280" t="n">
        <v>0</v>
      </c>
      <c r="Q280" t="n">
        <v>0</v>
      </c>
      <c r="R280" s="2" t="inlineStr"/>
    </row>
    <row r="281" ht="15" customHeight="1">
      <c r="A281" t="inlineStr">
        <is>
          <t>A 69232-2021</t>
        </is>
      </c>
      <c r="B281" s="1" t="n">
        <v>44531.39696759259</v>
      </c>
      <c r="C281" s="1" t="n">
        <v>45879</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17320-2025</t>
        </is>
      </c>
      <c r="B282" s="1" t="n">
        <v>45756</v>
      </c>
      <c r="C282" s="1" t="n">
        <v>45879</v>
      </c>
      <c r="D282" t="inlineStr">
        <is>
          <t>VÄSTMANLANDS LÄN</t>
        </is>
      </c>
      <c r="E282" t="inlineStr">
        <is>
          <t>SALA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16543-2023</t>
        </is>
      </c>
      <c r="B283" s="1" t="n">
        <v>45029</v>
      </c>
      <c r="C283" s="1" t="n">
        <v>45879</v>
      </c>
      <c r="D283" t="inlineStr">
        <is>
          <t>VÄSTMANLANDS LÄN</t>
        </is>
      </c>
      <c r="E283" t="inlineStr">
        <is>
          <t>SALA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11389-2024</t>
        </is>
      </c>
      <c r="B284" s="1" t="n">
        <v>45372.45016203704</v>
      </c>
      <c r="C284" s="1" t="n">
        <v>45879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56706-2022</t>
        </is>
      </c>
      <c r="B285" s="1" t="n">
        <v>44893.78893518518</v>
      </c>
      <c r="C285" s="1" t="n">
        <v>45879</v>
      </c>
      <c r="D285" t="inlineStr">
        <is>
          <t>VÄSTMANLANDS LÄN</t>
        </is>
      </c>
      <c r="E285" t="inlineStr">
        <is>
          <t>SALA</t>
        </is>
      </c>
      <c r="G285" t="n">
        <v>4.5</v>
      </c>
      <c r="H285" t="n">
        <v>0</v>
      </c>
      <c r="I285" t="n">
        <v>0</v>
      </c>
      <c r="J285" t="n">
        <v>0</v>
      </c>
      <c r="K285" t="n">
        <v>0</v>
      </c>
      <c r="L285" t="n">
        <v>0</v>
      </c>
      <c r="M285" t="n">
        <v>0</v>
      </c>
      <c r="N285" t="n">
        <v>0</v>
      </c>
      <c r="O285" t="n">
        <v>0</v>
      </c>
      <c r="P285" t="n">
        <v>0</v>
      </c>
      <c r="Q285" t="n">
        <v>0</v>
      </c>
      <c r="R285" s="2" t="inlineStr"/>
    </row>
    <row r="286" ht="15" customHeight="1">
      <c r="A286" t="inlineStr">
        <is>
          <t>A 56707-2022</t>
        </is>
      </c>
      <c r="B286" s="1" t="n">
        <v>44893.79412037037</v>
      </c>
      <c r="C286" s="1" t="n">
        <v>45879</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30971-2022</t>
        </is>
      </c>
      <c r="B287" s="1" t="n">
        <v>44768.46725694444</v>
      </c>
      <c r="C287" s="1" t="n">
        <v>45879</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28328-2023</t>
        </is>
      </c>
      <c r="B288" s="1" t="n">
        <v>45099.71063657408</v>
      </c>
      <c r="C288" s="1" t="n">
        <v>45879</v>
      </c>
      <c r="D288" t="inlineStr">
        <is>
          <t>VÄSTMANLANDS LÄN</t>
        </is>
      </c>
      <c r="E288" t="inlineStr">
        <is>
          <t>SALA</t>
        </is>
      </c>
      <c r="G288" t="n">
        <v>1.8</v>
      </c>
      <c r="H288" t="n">
        <v>0</v>
      </c>
      <c r="I288" t="n">
        <v>0</v>
      </c>
      <c r="J288" t="n">
        <v>0</v>
      </c>
      <c r="K288" t="n">
        <v>0</v>
      </c>
      <c r="L288" t="n">
        <v>0</v>
      </c>
      <c r="M288" t="n">
        <v>0</v>
      </c>
      <c r="N288" t="n">
        <v>0</v>
      </c>
      <c r="O288" t="n">
        <v>0</v>
      </c>
      <c r="P288" t="n">
        <v>0</v>
      </c>
      <c r="Q288" t="n">
        <v>0</v>
      </c>
      <c r="R288" s="2" t="inlineStr"/>
    </row>
    <row r="289" ht="15" customHeight="1">
      <c r="A289" t="inlineStr">
        <is>
          <t>A 22523-2023</t>
        </is>
      </c>
      <c r="B289" s="1" t="n">
        <v>45069</v>
      </c>
      <c r="C289" s="1" t="n">
        <v>45879</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4663-2022</t>
        </is>
      </c>
      <c r="B290" s="1" t="n">
        <v>44592.45429398148</v>
      </c>
      <c r="C290" s="1" t="n">
        <v>45879</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40085-2024</t>
        </is>
      </c>
      <c r="B291" s="1" t="n">
        <v>45554</v>
      </c>
      <c r="C291" s="1" t="n">
        <v>45879</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39818-2020</t>
        </is>
      </c>
      <c r="B292" s="1" t="n">
        <v>44067</v>
      </c>
      <c r="C292" s="1" t="n">
        <v>45879</v>
      </c>
      <c r="D292" t="inlineStr">
        <is>
          <t>VÄSTMANLANDS LÄN</t>
        </is>
      </c>
      <c r="E292" t="inlineStr">
        <is>
          <t>SALA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6132-2025</t>
        </is>
      </c>
      <c r="B293" s="1" t="n">
        <v>45698</v>
      </c>
      <c r="C293" s="1" t="n">
        <v>45879</v>
      </c>
      <c r="D293" t="inlineStr">
        <is>
          <t>VÄSTMANLANDS LÄN</t>
        </is>
      </c>
      <c r="E293" t="inlineStr">
        <is>
          <t>SALA</t>
        </is>
      </c>
      <c r="F293" t="inlineStr">
        <is>
          <t>Bergvik skog öst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31859-2023</t>
        </is>
      </c>
      <c r="B294" s="1" t="n">
        <v>45118</v>
      </c>
      <c r="C294" s="1" t="n">
        <v>45879</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c r="U294">
        <f>HYPERLINK("https://klasma.github.io/Logging_1981/knärot/A 31859-2023 karta knärot.png", "A 31859-2023")</f>
        <v/>
      </c>
      <c r="V294">
        <f>HYPERLINK("https://klasma.github.io/Logging_1981/klagomål/A 31859-2023 FSC-klagomål.docx", "A 31859-2023")</f>
        <v/>
      </c>
      <c r="W294">
        <f>HYPERLINK("https://klasma.github.io/Logging_1981/klagomålsmail/A 31859-2023 FSC-klagomål mail.docx", "A 31859-2023")</f>
        <v/>
      </c>
      <c r="X294">
        <f>HYPERLINK("https://klasma.github.io/Logging_1981/tillsyn/A 31859-2023 tillsynsbegäran.docx", "A 31859-2023")</f>
        <v/>
      </c>
      <c r="Y294">
        <f>HYPERLINK("https://klasma.github.io/Logging_1981/tillsynsmail/A 31859-2023 tillsynsbegäran mail.docx", "A 31859-2023")</f>
        <v/>
      </c>
    </row>
    <row r="295" ht="15" customHeight="1">
      <c r="A295" t="inlineStr">
        <is>
          <t>A 61681-2024</t>
        </is>
      </c>
      <c r="B295" s="1" t="n">
        <v>45647</v>
      </c>
      <c r="C295" s="1" t="n">
        <v>45879</v>
      </c>
      <c r="D295" t="inlineStr">
        <is>
          <t>VÄSTMANLANDS LÄN</t>
        </is>
      </c>
      <c r="E295" t="inlineStr">
        <is>
          <t>SALA</t>
        </is>
      </c>
      <c r="F295" t="inlineStr">
        <is>
          <t>Kommuner</t>
        </is>
      </c>
      <c r="G295" t="n">
        <v>1</v>
      </c>
      <c r="H295" t="n">
        <v>0</v>
      </c>
      <c r="I295" t="n">
        <v>0</v>
      </c>
      <c r="J295" t="n">
        <v>0</v>
      </c>
      <c r="K295" t="n">
        <v>0</v>
      </c>
      <c r="L295" t="n">
        <v>0</v>
      </c>
      <c r="M295" t="n">
        <v>0</v>
      </c>
      <c r="N295" t="n">
        <v>0</v>
      </c>
      <c r="O295" t="n">
        <v>0</v>
      </c>
      <c r="P295" t="n">
        <v>0</v>
      </c>
      <c r="Q295" t="n">
        <v>0</v>
      </c>
      <c r="R295" s="2" t="inlineStr"/>
    </row>
    <row r="296" ht="15" customHeight="1">
      <c r="A296" t="inlineStr">
        <is>
          <t>A 54960-2024</t>
        </is>
      </c>
      <c r="B296" s="1" t="n">
        <v>45619.85208333333</v>
      </c>
      <c r="C296" s="1" t="n">
        <v>45879</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18158-2025</t>
        </is>
      </c>
      <c r="B297" s="1" t="n">
        <v>45761</v>
      </c>
      <c r="C297" s="1" t="n">
        <v>45879</v>
      </c>
      <c r="D297" t="inlineStr">
        <is>
          <t>VÄSTMANLANDS LÄN</t>
        </is>
      </c>
      <c r="E297" t="inlineStr">
        <is>
          <t>SALA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49661-2024</t>
        </is>
      </c>
      <c r="B298" s="1" t="n">
        <v>45596</v>
      </c>
      <c r="C298" s="1" t="n">
        <v>45879</v>
      </c>
      <c r="D298" t="inlineStr">
        <is>
          <t>VÄSTMANLANDS LÄN</t>
        </is>
      </c>
      <c r="E298" t="inlineStr">
        <is>
          <t>SALA</t>
        </is>
      </c>
      <c r="G298" t="n">
        <v>6.7</v>
      </c>
      <c r="H298" t="n">
        <v>0</v>
      </c>
      <c r="I298" t="n">
        <v>0</v>
      </c>
      <c r="J298" t="n">
        <v>0</v>
      </c>
      <c r="K298" t="n">
        <v>0</v>
      </c>
      <c r="L298" t="n">
        <v>0</v>
      </c>
      <c r="M298" t="n">
        <v>0</v>
      </c>
      <c r="N298" t="n">
        <v>0</v>
      </c>
      <c r="O298" t="n">
        <v>0</v>
      </c>
      <c r="P298" t="n">
        <v>0</v>
      </c>
      <c r="Q298" t="n">
        <v>0</v>
      </c>
      <c r="R298" s="2" t="inlineStr"/>
    </row>
    <row r="299" ht="15" customHeight="1">
      <c r="A299" t="inlineStr">
        <is>
          <t>A 2900-2023</t>
        </is>
      </c>
      <c r="B299" s="1" t="n">
        <v>44943</v>
      </c>
      <c r="C299" s="1" t="n">
        <v>45879</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21968-2024</t>
        </is>
      </c>
      <c r="B300" s="1" t="n">
        <v>45443</v>
      </c>
      <c r="C300" s="1" t="n">
        <v>45879</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45879</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60730-2023</t>
        </is>
      </c>
      <c r="B302" s="1" t="n">
        <v>45260</v>
      </c>
      <c r="C302" s="1" t="n">
        <v>45879</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60731-2023</t>
        </is>
      </c>
      <c r="B303" s="1" t="n">
        <v>45260</v>
      </c>
      <c r="C303" s="1" t="n">
        <v>45879</v>
      </c>
      <c r="D303" t="inlineStr">
        <is>
          <t>VÄSTMANLANDS LÄN</t>
        </is>
      </c>
      <c r="E303" t="inlineStr">
        <is>
          <t>SALA</t>
        </is>
      </c>
      <c r="G303" t="n">
        <v>1</v>
      </c>
      <c r="H303" t="n">
        <v>0</v>
      </c>
      <c r="I303" t="n">
        <v>0</v>
      </c>
      <c r="J303" t="n">
        <v>0</v>
      </c>
      <c r="K303" t="n">
        <v>0</v>
      </c>
      <c r="L303" t="n">
        <v>0</v>
      </c>
      <c r="M303" t="n">
        <v>0</v>
      </c>
      <c r="N303" t="n">
        <v>0</v>
      </c>
      <c r="O303" t="n">
        <v>0</v>
      </c>
      <c r="P303" t="n">
        <v>0</v>
      </c>
      <c r="Q303" t="n">
        <v>0</v>
      </c>
      <c r="R303" s="2" t="inlineStr"/>
    </row>
    <row r="304" ht="15" customHeight="1">
      <c r="A304" t="inlineStr">
        <is>
          <t>A 20352-2022</t>
        </is>
      </c>
      <c r="B304" s="1" t="n">
        <v>44699.37318287037</v>
      </c>
      <c r="C304" s="1" t="n">
        <v>45879</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27657-2023</t>
        </is>
      </c>
      <c r="B305" s="1" t="n">
        <v>45097.76631944445</v>
      </c>
      <c r="C305" s="1" t="n">
        <v>45879</v>
      </c>
      <c r="D305" t="inlineStr">
        <is>
          <t>VÄSTMANLANDS LÄN</t>
        </is>
      </c>
      <c r="E305" t="inlineStr">
        <is>
          <t>SALA</t>
        </is>
      </c>
      <c r="G305" t="n">
        <v>0.1</v>
      </c>
      <c r="H305" t="n">
        <v>0</v>
      </c>
      <c r="I305" t="n">
        <v>0</v>
      </c>
      <c r="J305" t="n">
        <v>0</v>
      </c>
      <c r="K305" t="n">
        <v>0</v>
      </c>
      <c r="L305" t="n">
        <v>0</v>
      </c>
      <c r="M305" t="n">
        <v>0</v>
      </c>
      <c r="N305" t="n">
        <v>0</v>
      </c>
      <c r="O305" t="n">
        <v>0</v>
      </c>
      <c r="P305" t="n">
        <v>0</v>
      </c>
      <c r="Q305" t="n">
        <v>0</v>
      </c>
      <c r="R305" s="2" t="inlineStr"/>
    </row>
    <row r="306" ht="15" customHeight="1">
      <c r="A306" t="inlineStr">
        <is>
          <t>A 2766-2024</t>
        </is>
      </c>
      <c r="B306" s="1" t="n">
        <v>45314.60950231482</v>
      </c>
      <c r="C306" s="1" t="n">
        <v>45879</v>
      </c>
      <c r="D306" t="inlineStr">
        <is>
          <t>VÄSTMANLANDS LÄN</t>
        </is>
      </c>
      <c r="E306" t="inlineStr">
        <is>
          <t>SALA</t>
        </is>
      </c>
      <c r="G306" t="n">
        <v>2.8</v>
      </c>
      <c r="H306" t="n">
        <v>0</v>
      </c>
      <c r="I306" t="n">
        <v>0</v>
      </c>
      <c r="J306" t="n">
        <v>0</v>
      </c>
      <c r="K306" t="n">
        <v>0</v>
      </c>
      <c r="L306" t="n">
        <v>0</v>
      </c>
      <c r="M306" t="n">
        <v>0</v>
      </c>
      <c r="N306" t="n">
        <v>0</v>
      </c>
      <c r="O306" t="n">
        <v>0</v>
      </c>
      <c r="P306" t="n">
        <v>0</v>
      </c>
      <c r="Q306" t="n">
        <v>0</v>
      </c>
      <c r="R306" s="2" t="inlineStr"/>
    </row>
    <row r="307" ht="15" customHeight="1">
      <c r="A307" t="inlineStr">
        <is>
          <t>A 60550-2024</t>
        </is>
      </c>
      <c r="B307" s="1" t="n">
        <v>45643</v>
      </c>
      <c r="C307" s="1" t="n">
        <v>45879</v>
      </c>
      <c r="D307" t="inlineStr">
        <is>
          <t>VÄSTMANLANDS LÄN</t>
        </is>
      </c>
      <c r="E307" t="inlineStr">
        <is>
          <t>SALA</t>
        </is>
      </c>
      <c r="G307" t="n">
        <v>0.6</v>
      </c>
      <c r="H307" t="n">
        <v>0</v>
      </c>
      <c r="I307" t="n">
        <v>0</v>
      </c>
      <c r="J307" t="n">
        <v>0</v>
      </c>
      <c r="K307" t="n">
        <v>0</v>
      </c>
      <c r="L307" t="n">
        <v>0</v>
      </c>
      <c r="M307" t="n">
        <v>0</v>
      </c>
      <c r="N307" t="n">
        <v>0</v>
      </c>
      <c r="O307" t="n">
        <v>0</v>
      </c>
      <c r="P307" t="n">
        <v>0</v>
      </c>
      <c r="Q307" t="n">
        <v>0</v>
      </c>
      <c r="R307" s="2" t="inlineStr"/>
    </row>
    <row r="308" ht="15" customHeight="1">
      <c r="A308" t="inlineStr">
        <is>
          <t>A 14690-2025</t>
        </is>
      </c>
      <c r="B308" s="1" t="n">
        <v>45742.58212962963</v>
      </c>
      <c r="C308" s="1" t="n">
        <v>45879</v>
      </c>
      <c r="D308" t="inlineStr">
        <is>
          <t>VÄSTMANLANDS LÄN</t>
        </is>
      </c>
      <c r="E308" t="inlineStr">
        <is>
          <t>SALA</t>
        </is>
      </c>
      <c r="G308" t="n">
        <v>3.4</v>
      </c>
      <c r="H308" t="n">
        <v>0</v>
      </c>
      <c r="I308" t="n">
        <v>0</v>
      </c>
      <c r="J308" t="n">
        <v>0</v>
      </c>
      <c r="K308" t="n">
        <v>0</v>
      </c>
      <c r="L308" t="n">
        <v>0</v>
      </c>
      <c r="M308" t="n">
        <v>0</v>
      </c>
      <c r="N308" t="n">
        <v>0</v>
      </c>
      <c r="O308" t="n">
        <v>0</v>
      </c>
      <c r="P308" t="n">
        <v>0</v>
      </c>
      <c r="Q308" t="n">
        <v>0</v>
      </c>
      <c r="R308" s="2" t="inlineStr"/>
    </row>
    <row r="309" ht="15" customHeight="1">
      <c r="A309" t="inlineStr">
        <is>
          <t>A 24175-2024</t>
        </is>
      </c>
      <c r="B309" s="1" t="n">
        <v>45456</v>
      </c>
      <c r="C309" s="1" t="n">
        <v>45879</v>
      </c>
      <c r="D309" t="inlineStr">
        <is>
          <t>VÄSTMANLANDS LÄN</t>
        </is>
      </c>
      <c r="E309" t="inlineStr">
        <is>
          <t>SALA</t>
        </is>
      </c>
      <c r="G309" t="n">
        <v>0.6</v>
      </c>
      <c r="H309" t="n">
        <v>0</v>
      </c>
      <c r="I309" t="n">
        <v>0</v>
      </c>
      <c r="J309" t="n">
        <v>0</v>
      </c>
      <c r="K309" t="n">
        <v>0</v>
      </c>
      <c r="L309" t="n">
        <v>0</v>
      </c>
      <c r="M309" t="n">
        <v>0</v>
      </c>
      <c r="N309" t="n">
        <v>0</v>
      </c>
      <c r="O309" t="n">
        <v>0</v>
      </c>
      <c r="P309" t="n">
        <v>0</v>
      </c>
      <c r="Q309" t="n">
        <v>0</v>
      </c>
      <c r="R309" s="2" t="inlineStr"/>
    </row>
    <row r="310" ht="15" customHeight="1">
      <c r="A310" t="inlineStr">
        <is>
          <t>A 56098-2020</t>
        </is>
      </c>
      <c r="B310" s="1" t="n">
        <v>44132</v>
      </c>
      <c r="C310" s="1" t="n">
        <v>45879</v>
      </c>
      <c r="D310" t="inlineStr">
        <is>
          <t>VÄSTMANLANDS LÄN</t>
        </is>
      </c>
      <c r="E310" t="inlineStr">
        <is>
          <t>SALA</t>
        </is>
      </c>
      <c r="G310" t="n">
        <v>1.9</v>
      </c>
      <c r="H310" t="n">
        <v>0</v>
      </c>
      <c r="I310" t="n">
        <v>0</v>
      </c>
      <c r="J310" t="n">
        <v>0</v>
      </c>
      <c r="K310" t="n">
        <v>0</v>
      </c>
      <c r="L310" t="n">
        <v>0</v>
      </c>
      <c r="M310" t="n">
        <v>0</v>
      </c>
      <c r="N310" t="n">
        <v>0</v>
      </c>
      <c r="O310" t="n">
        <v>0</v>
      </c>
      <c r="P310" t="n">
        <v>0</v>
      </c>
      <c r="Q310" t="n">
        <v>0</v>
      </c>
      <c r="R310" s="2" t="inlineStr"/>
    </row>
    <row r="311" ht="15" customHeight="1">
      <c r="A311" t="inlineStr">
        <is>
          <t>A 62449-2023</t>
        </is>
      </c>
      <c r="B311" s="1" t="n">
        <v>45268.49008101852</v>
      </c>
      <c r="C311" s="1" t="n">
        <v>45879</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54910-2023</t>
        </is>
      </c>
      <c r="B312" s="1" t="n">
        <v>45229</v>
      </c>
      <c r="C312" s="1" t="n">
        <v>45879</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35519-2024</t>
        </is>
      </c>
      <c r="B313" s="1" t="n">
        <v>45531</v>
      </c>
      <c r="C313" s="1" t="n">
        <v>45879</v>
      </c>
      <c r="D313" t="inlineStr">
        <is>
          <t>VÄSTMANLANDS LÄN</t>
        </is>
      </c>
      <c r="E313" t="inlineStr">
        <is>
          <t>SALA</t>
        </is>
      </c>
      <c r="G313" t="n">
        <v>1.8</v>
      </c>
      <c r="H313" t="n">
        <v>0</v>
      </c>
      <c r="I313" t="n">
        <v>0</v>
      </c>
      <c r="J313" t="n">
        <v>0</v>
      </c>
      <c r="K313" t="n">
        <v>0</v>
      </c>
      <c r="L313" t="n">
        <v>0</v>
      </c>
      <c r="M313" t="n">
        <v>0</v>
      </c>
      <c r="N313" t="n">
        <v>0</v>
      </c>
      <c r="O313" t="n">
        <v>0</v>
      </c>
      <c r="P313" t="n">
        <v>0</v>
      </c>
      <c r="Q313" t="n">
        <v>0</v>
      </c>
      <c r="R313" s="2" t="inlineStr"/>
    </row>
    <row r="314" ht="15" customHeight="1">
      <c r="A314" t="inlineStr">
        <is>
          <t>A 42345-2020</t>
        </is>
      </c>
      <c r="B314" s="1" t="n">
        <v>44076</v>
      </c>
      <c r="C314" s="1" t="n">
        <v>45879</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54347-2024</t>
        </is>
      </c>
      <c r="B315" s="1" t="n">
        <v>45617.39325231482</v>
      </c>
      <c r="C315" s="1" t="n">
        <v>45879</v>
      </c>
      <c r="D315" t="inlineStr">
        <is>
          <t>VÄSTMANLANDS LÄN</t>
        </is>
      </c>
      <c r="E315" t="inlineStr">
        <is>
          <t>SALA</t>
        </is>
      </c>
      <c r="G315" t="n">
        <v>2</v>
      </c>
      <c r="H315" t="n">
        <v>0</v>
      </c>
      <c r="I315" t="n">
        <v>0</v>
      </c>
      <c r="J315" t="n">
        <v>0</v>
      </c>
      <c r="K315" t="n">
        <v>0</v>
      </c>
      <c r="L315" t="n">
        <v>0</v>
      </c>
      <c r="M315" t="n">
        <v>0</v>
      </c>
      <c r="N315" t="n">
        <v>0</v>
      </c>
      <c r="O315" t="n">
        <v>0</v>
      </c>
      <c r="P315" t="n">
        <v>0</v>
      </c>
      <c r="Q315" t="n">
        <v>0</v>
      </c>
      <c r="R315" s="2" t="inlineStr"/>
    </row>
    <row r="316" ht="15" customHeight="1">
      <c r="A316" t="inlineStr">
        <is>
          <t>A 19222-2025</t>
        </is>
      </c>
      <c r="B316" s="1" t="n">
        <v>45769</v>
      </c>
      <c r="C316" s="1" t="n">
        <v>45879</v>
      </c>
      <c r="D316" t="inlineStr">
        <is>
          <t>VÄSTMANLANDS LÄN</t>
        </is>
      </c>
      <c r="E316" t="inlineStr">
        <is>
          <t>SALA</t>
        </is>
      </c>
      <c r="G316" t="n">
        <v>1.8</v>
      </c>
      <c r="H316" t="n">
        <v>0</v>
      </c>
      <c r="I316" t="n">
        <v>0</v>
      </c>
      <c r="J316" t="n">
        <v>0</v>
      </c>
      <c r="K316" t="n">
        <v>0</v>
      </c>
      <c r="L316" t="n">
        <v>0</v>
      </c>
      <c r="M316" t="n">
        <v>0</v>
      </c>
      <c r="N316" t="n">
        <v>0</v>
      </c>
      <c r="O316" t="n">
        <v>0</v>
      </c>
      <c r="P316" t="n">
        <v>0</v>
      </c>
      <c r="Q316" t="n">
        <v>0</v>
      </c>
      <c r="R316" s="2" t="inlineStr"/>
    </row>
    <row r="317" ht="15" customHeight="1">
      <c r="A317" t="inlineStr">
        <is>
          <t>A 19241-2025</t>
        </is>
      </c>
      <c r="B317" s="1" t="n">
        <v>45769</v>
      </c>
      <c r="C317" s="1" t="n">
        <v>45879</v>
      </c>
      <c r="D317" t="inlineStr">
        <is>
          <t>VÄSTMANLANDS LÄN</t>
        </is>
      </c>
      <c r="E317" t="inlineStr">
        <is>
          <t>SALA</t>
        </is>
      </c>
      <c r="G317" t="n">
        <v>3.6</v>
      </c>
      <c r="H317" t="n">
        <v>0</v>
      </c>
      <c r="I317" t="n">
        <v>0</v>
      </c>
      <c r="J317" t="n">
        <v>0</v>
      </c>
      <c r="K317" t="n">
        <v>0</v>
      </c>
      <c r="L317" t="n">
        <v>0</v>
      </c>
      <c r="M317" t="n">
        <v>0</v>
      </c>
      <c r="N317" t="n">
        <v>0</v>
      </c>
      <c r="O317" t="n">
        <v>0</v>
      </c>
      <c r="P317" t="n">
        <v>0</v>
      </c>
      <c r="Q317" t="n">
        <v>0</v>
      </c>
      <c r="R317" s="2" t="inlineStr"/>
    </row>
    <row r="318" ht="15" customHeight="1">
      <c r="A318" t="inlineStr">
        <is>
          <t>A 13022-2023</t>
        </is>
      </c>
      <c r="B318" s="1" t="n">
        <v>45002.33291666667</v>
      </c>
      <c r="C318" s="1" t="n">
        <v>45879</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35976-2024</t>
        </is>
      </c>
      <c r="B319" s="1" t="n">
        <v>45533.49555555556</v>
      </c>
      <c r="C319" s="1" t="n">
        <v>45879</v>
      </c>
      <c r="D319" t="inlineStr">
        <is>
          <t>VÄSTMANLANDS LÄN</t>
        </is>
      </c>
      <c r="E319" t="inlineStr">
        <is>
          <t>SALA</t>
        </is>
      </c>
      <c r="G319" t="n">
        <v>2.3</v>
      </c>
      <c r="H319" t="n">
        <v>0</v>
      </c>
      <c r="I319" t="n">
        <v>0</v>
      </c>
      <c r="J319" t="n">
        <v>0</v>
      </c>
      <c r="K319" t="n">
        <v>0</v>
      </c>
      <c r="L319" t="n">
        <v>0</v>
      </c>
      <c r="M319" t="n">
        <v>0</v>
      </c>
      <c r="N319" t="n">
        <v>0</v>
      </c>
      <c r="O319" t="n">
        <v>0</v>
      </c>
      <c r="P319" t="n">
        <v>0</v>
      </c>
      <c r="Q319" t="n">
        <v>0</v>
      </c>
      <c r="R319" s="2" t="inlineStr"/>
    </row>
    <row r="320" ht="15" customHeight="1">
      <c r="A320" t="inlineStr">
        <is>
          <t>A 35003-2024</t>
        </is>
      </c>
      <c r="B320" s="1" t="n">
        <v>45527.56790509259</v>
      </c>
      <c r="C320" s="1" t="n">
        <v>45879</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66307-2021</t>
        </is>
      </c>
      <c r="B321" s="1" t="n">
        <v>44518.48670138889</v>
      </c>
      <c r="C321" s="1" t="n">
        <v>45879</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6030-2024</t>
        </is>
      </c>
      <c r="B322" s="1" t="n">
        <v>45336.62782407407</v>
      </c>
      <c r="C322" s="1" t="n">
        <v>45879</v>
      </c>
      <c r="D322" t="inlineStr">
        <is>
          <t>VÄSTMANLANDS LÄN</t>
        </is>
      </c>
      <c r="E322" t="inlineStr">
        <is>
          <t>SALA</t>
        </is>
      </c>
      <c r="G322" t="n">
        <v>3.9</v>
      </c>
      <c r="H322" t="n">
        <v>0</v>
      </c>
      <c r="I322" t="n">
        <v>0</v>
      </c>
      <c r="J322" t="n">
        <v>0</v>
      </c>
      <c r="K322" t="n">
        <v>0</v>
      </c>
      <c r="L322" t="n">
        <v>0</v>
      </c>
      <c r="M322" t="n">
        <v>0</v>
      </c>
      <c r="N322" t="n">
        <v>0</v>
      </c>
      <c r="O322" t="n">
        <v>0</v>
      </c>
      <c r="P322" t="n">
        <v>0</v>
      </c>
      <c r="Q322" t="n">
        <v>0</v>
      </c>
      <c r="R322" s="2" t="inlineStr"/>
    </row>
    <row r="323" ht="15" customHeight="1">
      <c r="A323" t="inlineStr">
        <is>
          <t>A 38636-2024</t>
        </is>
      </c>
      <c r="B323" s="1" t="n">
        <v>45546</v>
      </c>
      <c r="C323" s="1" t="n">
        <v>45879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26761-2023</t>
        </is>
      </c>
      <c r="B324" s="1" t="n">
        <v>45093</v>
      </c>
      <c r="C324" s="1" t="n">
        <v>45879</v>
      </c>
      <c r="D324" t="inlineStr">
        <is>
          <t>VÄSTMANLANDS LÄN</t>
        </is>
      </c>
      <c r="E324" t="inlineStr">
        <is>
          <t>SALA</t>
        </is>
      </c>
      <c r="G324" t="n">
        <v>4.3</v>
      </c>
      <c r="H324" t="n">
        <v>0</v>
      </c>
      <c r="I324" t="n">
        <v>0</v>
      </c>
      <c r="J324" t="n">
        <v>0</v>
      </c>
      <c r="K324" t="n">
        <v>0</v>
      </c>
      <c r="L324" t="n">
        <v>0</v>
      </c>
      <c r="M324" t="n">
        <v>0</v>
      </c>
      <c r="N324" t="n">
        <v>0</v>
      </c>
      <c r="O324" t="n">
        <v>0</v>
      </c>
      <c r="P324" t="n">
        <v>0</v>
      </c>
      <c r="Q324" t="n">
        <v>0</v>
      </c>
      <c r="R324" s="2" t="inlineStr"/>
    </row>
    <row r="325" ht="15" customHeight="1">
      <c r="A325" t="inlineStr">
        <is>
          <t>A 25891-2024</t>
        </is>
      </c>
      <c r="B325" s="1" t="n">
        <v>45467.53137731482</v>
      </c>
      <c r="C325" s="1" t="n">
        <v>45879</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61892-2021</t>
        </is>
      </c>
      <c r="B326" s="1" t="n">
        <v>44502</v>
      </c>
      <c r="C326" s="1" t="n">
        <v>45879</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26416-2023</t>
        </is>
      </c>
      <c r="B327" s="1" t="n">
        <v>45092.38087962963</v>
      </c>
      <c r="C327" s="1" t="n">
        <v>45879</v>
      </c>
      <c r="D327" t="inlineStr">
        <is>
          <t>VÄSTMANLANDS LÄN</t>
        </is>
      </c>
      <c r="E327" t="inlineStr">
        <is>
          <t>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26692-2023</t>
        </is>
      </c>
      <c r="B328" s="1" t="n">
        <v>45093.360625</v>
      </c>
      <c r="C328" s="1" t="n">
        <v>45879</v>
      </c>
      <c r="D328" t="inlineStr">
        <is>
          <t>VÄSTMANLANDS LÄN</t>
        </is>
      </c>
      <c r="E328" t="inlineStr">
        <is>
          <t>SALA</t>
        </is>
      </c>
      <c r="G328" t="n">
        <v>1.8</v>
      </c>
      <c r="H328" t="n">
        <v>0</v>
      </c>
      <c r="I328" t="n">
        <v>0</v>
      </c>
      <c r="J328" t="n">
        <v>0</v>
      </c>
      <c r="K328" t="n">
        <v>0</v>
      </c>
      <c r="L328" t="n">
        <v>0</v>
      </c>
      <c r="M328" t="n">
        <v>0</v>
      </c>
      <c r="N328" t="n">
        <v>0</v>
      </c>
      <c r="O328" t="n">
        <v>0</v>
      </c>
      <c r="P328" t="n">
        <v>0</v>
      </c>
      <c r="Q328" t="n">
        <v>0</v>
      </c>
      <c r="R328" s="2" t="inlineStr"/>
    </row>
    <row r="329" ht="15" customHeight="1">
      <c r="A329" t="inlineStr">
        <is>
          <t>A 25868-2024</t>
        </is>
      </c>
      <c r="B329" s="1" t="n">
        <v>45467.47506944444</v>
      </c>
      <c r="C329" s="1" t="n">
        <v>45879</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15681-2025</t>
        </is>
      </c>
      <c r="B330" s="1" t="n">
        <v>45748.45454861111</v>
      </c>
      <c r="C330" s="1" t="n">
        <v>45879</v>
      </c>
      <c r="D330" t="inlineStr">
        <is>
          <t>VÄSTMANLANDS LÄN</t>
        </is>
      </c>
      <c r="E330" t="inlineStr">
        <is>
          <t>SALA</t>
        </is>
      </c>
      <c r="F330" t="inlineStr">
        <is>
          <t>Bergvik skog öst AB</t>
        </is>
      </c>
      <c r="G330" t="n">
        <v>4.3</v>
      </c>
      <c r="H330" t="n">
        <v>0</v>
      </c>
      <c r="I330" t="n">
        <v>0</v>
      </c>
      <c r="J330" t="n">
        <v>0</v>
      </c>
      <c r="K330" t="n">
        <v>0</v>
      </c>
      <c r="L330" t="n">
        <v>0</v>
      </c>
      <c r="M330" t="n">
        <v>0</v>
      </c>
      <c r="N330" t="n">
        <v>0</v>
      </c>
      <c r="O330" t="n">
        <v>0</v>
      </c>
      <c r="P330" t="n">
        <v>0</v>
      </c>
      <c r="Q330" t="n">
        <v>0</v>
      </c>
      <c r="R330" s="2" t="inlineStr"/>
    </row>
    <row r="331" ht="15" customHeight="1">
      <c r="A331" t="inlineStr">
        <is>
          <t>A 41485-2020</t>
        </is>
      </c>
      <c r="B331" s="1" t="n">
        <v>44074</v>
      </c>
      <c r="C331" s="1" t="n">
        <v>45879</v>
      </c>
      <c r="D331" t="inlineStr">
        <is>
          <t>VÄSTMANLANDS LÄN</t>
        </is>
      </c>
      <c r="E331" t="inlineStr">
        <is>
          <t>SALA</t>
        </is>
      </c>
      <c r="G331" t="n">
        <v>4.7</v>
      </c>
      <c r="H331" t="n">
        <v>0</v>
      </c>
      <c r="I331" t="n">
        <v>0</v>
      </c>
      <c r="J331" t="n">
        <v>0</v>
      </c>
      <c r="K331" t="n">
        <v>0</v>
      </c>
      <c r="L331" t="n">
        <v>0</v>
      </c>
      <c r="M331" t="n">
        <v>0</v>
      </c>
      <c r="N331" t="n">
        <v>0</v>
      </c>
      <c r="O331" t="n">
        <v>0</v>
      </c>
      <c r="P331" t="n">
        <v>0</v>
      </c>
      <c r="Q331" t="n">
        <v>0</v>
      </c>
      <c r="R331" s="2" t="inlineStr"/>
    </row>
    <row r="332" ht="15" customHeight="1">
      <c r="A332" t="inlineStr">
        <is>
          <t>A 71471-2021</t>
        </is>
      </c>
      <c r="B332" s="1" t="n">
        <v>44540.53421296296</v>
      </c>
      <c r="C332" s="1" t="n">
        <v>45879</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8775-2024</t>
        </is>
      </c>
      <c r="B333" s="1" t="n">
        <v>45356</v>
      </c>
      <c r="C333" s="1" t="n">
        <v>45879</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7772-2023</t>
        </is>
      </c>
      <c r="B334" s="1" t="n">
        <v>44973.40076388889</v>
      </c>
      <c r="C334" s="1" t="n">
        <v>45879</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39011-2023</t>
        </is>
      </c>
      <c r="B335" s="1" t="n">
        <v>45162</v>
      </c>
      <c r="C335" s="1" t="n">
        <v>45879</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17495-2024</t>
        </is>
      </c>
      <c r="B336" s="1" t="n">
        <v>45415</v>
      </c>
      <c r="C336" s="1" t="n">
        <v>45879</v>
      </c>
      <c r="D336" t="inlineStr">
        <is>
          <t>VÄSTMANLANDS LÄN</t>
        </is>
      </c>
      <c r="E336" t="inlineStr">
        <is>
          <t>SALA</t>
        </is>
      </c>
      <c r="G336" t="n">
        <v>3.1</v>
      </c>
      <c r="H336" t="n">
        <v>0</v>
      </c>
      <c r="I336" t="n">
        <v>0</v>
      </c>
      <c r="J336" t="n">
        <v>0</v>
      </c>
      <c r="K336" t="n">
        <v>0</v>
      </c>
      <c r="L336" t="n">
        <v>0</v>
      </c>
      <c r="M336" t="n">
        <v>0</v>
      </c>
      <c r="N336" t="n">
        <v>0</v>
      </c>
      <c r="O336" t="n">
        <v>0</v>
      </c>
      <c r="P336" t="n">
        <v>0</v>
      </c>
      <c r="Q336" t="n">
        <v>0</v>
      </c>
      <c r="R336" s="2" t="inlineStr"/>
    </row>
    <row r="337" ht="15" customHeight="1">
      <c r="A337" t="inlineStr">
        <is>
          <t>A 56547-2022</t>
        </is>
      </c>
      <c r="B337" s="1" t="n">
        <v>44893.48284722222</v>
      </c>
      <c r="C337" s="1" t="n">
        <v>45879</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42416-2022</t>
        </is>
      </c>
      <c r="B338" s="1" t="n">
        <v>44831</v>
      </c>
      <c r="C338" s="1" t="n">
        <v>45879</v>
      </c>
      <c r="D338" t="inlineStr">
        <is>
          <t>VÄSTMANLANDS LÄN</t>
        </is>
      </c>
      <c r="E338" t="inlineStr">
        <is>
          <t>SALA</t>
        </is>
      </c>
      <c r="G338" t="n">
        <v>2.2</v>
      </c>
      <c r="H338" t="n">
        <v>0</v>
      </c>
      <c r="I338" t="n">
        <v>0</v>
      </c>
      <c r="J338" t="n">
        <v>0</v>
      </c>
      <c r="K338" t="n">
        <v>0</v>
      </c>
      <c r="L338" t="n">
        <v>0</v>
      </c>
      <c r="M338" t="n">
        <v>0</v>
      </c>
      <c r="N338" t="n">
        <v>0</v>
      </c>
      <c r="O338" t="n">
        <v>0</v>
      </c>
      <c r="P338" t="n">
        <v>0</v>
      </c>
      <c r="Q338" t="n">
        <v>0</v>
      </c>
      <c r="R338" s="2" t="inlineStr"/>
    </row>
    <row r="339" ht="15" customHeight="1">
      <c r="A339" t="inlineStr">
        <is>
          <t>A 56916-2022</t>
        </is>
      </c>
      <c r="B339" s="1" t="n">
        <v>44888</v>
      </c>
      <c r="C339" s="1" t="n">
        <v>45879</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19381-2025</t>
        </is>
      </c>
      <c r="B340" s="1" t="n">
        <v>45769</v>
      </c>
      <c r="C340" s="1" t="n">
        <v>45879</v>
      </c>
      <c r="D340" t="inlineStr">
        <is>
          <t>VÄSTMANLANDS LÄN</t>
        </is>
      </c>
      <c r="E340" t="inlineStr">
        <is>
          <t>SALA</t>
        </is>
      </c>
      <c r="G340" t="n">
        <v>0.6</v>
      </c>
      <c r="H340" t="n">
        <v>0</v>
      </c>
      <c r="I340" t="n">
        <v>0</v>
      </c>
      <c r="J340" t="n">
        <v>0</v>
      </c>
      <c r="K340" t="n">
        <v>0</v>
      </c>
      <c r="L340" t="n">
        <v>0</v>
      </c>
      <c r="M340" t="n">
        <v>0</v>
      </c>
      <c r="N340" t="n">
        <v>0</v>
      </c>
      <c r="O340" t="n">
        <v>0</v>
      </c>
      <c r="P340" t="n">
        <v>0</v>
      </c>
      <c r="Q340" t="n">
        <v>0</v>
      </c>
      <c r="R340" s="2" t="inlineStr"/>
    </row>
    <row r="341" ht="15" customHeight="1">
      <c r="A341" t="inlineStr">
        <is>
          <t>A 2925-2024</t>
        </is>
      </c>
      <c r="B341" s="1" t="n">
        <v>45315.58909722222</v>
      </c>
      <c r="C341" s="1" t="n">
        <v>45879</v>
      </c>
      <c r="D341" t="inlineStr">
        <is>
          <t>VÄSTMANLANDS LÄN</t>
        </is>
      </c>
      <c r="E341" t="inlineStr">
        <is>
          <t>SALA</t>
        </is>
      </c>
      <c r="G341" t="n">
        <v>1.3</v>
      </c>
      <c r="H341" t="n">
        <v>0</v>
      </c>
      <c r="I341" t="n">
        <v>0</v>
      </c>
      <c r="J341" t="n">
        <v>0</v>
      </c>
      <c r="K341" t="n">
        <v>0</v>
      </c>
      <c r="L341" t="n">
        <v>0</v>
      </c>
      <c r="M341" t="n">
        <v>0</v>
      </c>
      <c r="N341" t="n">
        <v>0</v>
      </c>
      <c r="O341" t="n">
        <v>0</v>
      </c>
      <c r="P341" t="n">
        <v>0</v>
      </c>
      <c r="Q341" t="n">
        <v>0</v>
      </c>
      <c r="R341" s="2" t="inlineStr"/>
    </row>
    <row r="342" ht="15" customHeight="1">
      <c r="A342" t="inlineStr">
        <is>
          <t>A 48688-2024</t>
        </is>
      </c>
      <c r="B342" s="1" t="n">
        <v>45593.50541666667</v>
      </c>
      <c r="C342" s="1" t="n">
        <v>45879</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45879</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44713-2023</t>
        </is>
      </c>
      <c r="B344" s="1" t="n">
        <v>45184</v>
      </c>
      <c r="C344" s="1" t="n">
        <v>45879</v>
      </c>
      <c r="D344" t="inlineStr">
        <is>
          <t>VÄSTMANLANDS LÄN</t>
        </is>
      </c>
      <c r="E344" t="inlineStr">
        <is>
          <t>SALA</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23431-2024</t>
        </is>
      </c>
      <c r="B345" s="1" t="n">
        <v>45453</v>
      </c>
      <c r="C345" s="1" t="n">
        <v>45879</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21168-2025</t>
        </is>
      </c>
      <c r="B346" s="1" t="n">
        <v>45777</v>
      </c>
      <c r="C346" s="1" t="n">
        <v>45879</v>
      </c>
      <c r="D346" t="inlineStr">
        <is>
          <t>VÄSTMANLANDS LÄN</t>
        </is>
      </c>
      <c r="E346" t="inlineStr">
        <is>
          <t>SALA</t>
        </is>
      </c>
      <c r="G346" t="n">
        <v>4.5</v>
      </c>
      <c r="H346" t="n">
        <v>0</v>
      </c>
      <c r="I346" t="n">
        <v>0</v>
      </c>
      <c r="J346" t="n">
        <v>0</v>
      </c>
      <c r="K346" t="n">
        <v>0</v>
      </c>
      <c r="L346" t="n">
        <v>0</v>
      </c>
      <c r="M346" t="n">
        <v>0</v>
      </c>
      <c r="N346" t="n">
        <v>0</v>
      </c>
      <c r="O346" t="n">
        <v>0</v>
      </c>
      <c r="P346" t="n">
        <v>0</v>
      </c>
      <c r="Q346" t="n">
        <v>0</v>
      </c>
      <c r="R346" s="2" t="inlineStr"/>
    </row>
    <row r="347" ht="15" customHeight="1">
      <c r="A347" t="inlineStr">
        <is>
          <t>A 45313-2024</t>
        </is>
      </c>
      <c r="B347" s="1" t="n">
        <v>45576</v>
      </c>
      <c r="C347" s="1" t="n">
        <v>45879</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56535-2022</t>
        </is>
      </c>
      <c r="B348" s="1" t="n">
        <v>44893.47173611111</v>
      </c>
      <c r="C348" s="1" t="n">
        <v>45879</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47909-2022</t>
        </is>
      </c>
      <c r="B349" s="1" t="n">
        <v>44855</v>
      </c>
      <c r="C349" s="1" t="n">
        <v>45879</v>
      </c>
      <c r="D349" t="inlineStr">
        <is>
          <t>VÄSTMANLANDS LÄN</t>
        </is>
      </c>
      <c r="E349" t="inlineStr">
        <is>
          <t>SALA</t>
        </is>
      </c>
      <c r="F349" t="inlineStr">
        <is>
          <t>Bergvik skog öst AB</t>
        </is>
      </c>
      <c r="G349" t="n">
        <v>2</v>
      </c>
      <c r="H349" t="n">
        <v>0</v>
      </c>
      <c r="I349" t="n">
        <v>0</v>
      </c>
      <c r="J349" t="n">
        <v>0</v>
      </c>
      <c r="K349" t="n">
        <v>0</v>
      </c>
      <c r="L349" t="n">
        <v>0</v>
      </c>
      <c r="M349" t="n">
        <v>0</v>
      </c>
      <c r="N349" t="n">
        <v>0</v>
      </c>
      <c r="O349" t="n">
        <v>0</v>
      </c>
      <c r="P349" t="n">
        <v>0</v>
      </c>
      <c r="Q349" t="n">
        <v>0</v>
      </c>
      <c r="R349" s="2" t="inlineStr"/>
    </row>
    <row r="350" ht="15" customHeight="1">
      <c r="A350" t="inlineStr">
        <is>
          <t>A 52630-2022</t>
        </is>
      </c>
      <c r="B350" s="1" t="n">
        <v>44874</v>
      </c>
      <c r="C350" s="1" t="n">
        <v>45879</v>
      </c>
      <c r="D350" t="inlineStr">
        <is>
          <t>VÄSTMANLANDS LÄN</t>
        </is>
      </c>
      <c r="E350" t="inlineStr">
        <is>
          <t>SALA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7664-2023</t>
        </is>
      </c>
      <c r="B351" s="1" t="n">
        <v>44972</v>
      </c>
      <c r="C351" s="1" t="n">
        <v>45879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45187-2024</t>
        </is>
      </c>
      <c r="B352" s="1" t="n">
        <v>45575</v>
      </c>
      <c r="C352" s="1" t="n">
        <v>45879</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15968-2024</t>
        </is>
      </c>
      <c r="B353" s="1" t="n">
        <v>45405.56021990741</v>
      </c>
      <c r="C353" s="1" t="n">
        <v>45879</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56687-2024</t>
        </is>
      </c>
      <c r="B354" s="1" t="n">
        <v>45627.63271990741</v>
      </c>
      <c r="C354" s="1" t="n">
        <v>45879</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54768-2024</t>
        </is>
      </c>
      <c r="B355" s="1" t="n">
        <v>45618</v>
      </c>
      <c r="C355" s="1" t="n">
        <v>45879</v>
      </c>
      <c r="D355" t="inlineStr">
        <is>
          <t>VÄSTMANLANDS LÄN</t>
        </is>
      </c>
      <c r="E355" t="inlineStr">
        <is>
          <t>SALA</t>
        </is>
      </c>
      <c r="G355" t="n">
        <v>2.4</v>
      </c>
      <c r="H355" t="n">
        <v>0</v>
      </c>
      <c r="I355" t="n">
        <v>0</v>
      </c>
      <c r="J355" t="n">
        <v>0</v>
      </c>
      <c r="K355" t="n">
        <v>0</v>
      </c>
      <c r="L355" t="n">
        <v>0</v>
      </c>
      <c r="M355" t="n">
        <v>0</v>
      </c>
      <c r="N355" t="n">
        <v>0</v>
      </c>
      <c r="O355" t="n">
        <v>0</v>
      </c>
      <c r="P355" t="n">
        <v>0</v>
      </c>
      <c r="Q355" t="n">
        <v>0</v>
      </c>
      <c r="R355" s="2" t="inlineStr"/>
    </row>
    <row r="356" ht="15" customHeight="1">
      <c r="A356" t="inlineStr">
        <is>
          <t>A 61715-2024</t>
        </is>
      </c>
      <c r="B356" s="1" t="n">
        <v>45648.89519675926</v>
      </c>
      <c r="C356" s="1" t="n">
        <v>45879</v>
      </c>
      <c r="D356" t="inlineStr">
        <is>
          <t>VÄSTMANLANDS LÄN</t>
        </is>
      </c>
      <c r="E356" t="inlineStr">
        <is>
          <t>SALA</t>
        </is>
      </c>
      <c r="G356" t="n">
        <v>2.5</v>
      </c>
      <c r="H356" t="n">
        <v>0</v>
      </c>
      <c r="I356" t="n">
        <v>0</v>
      </c>
      <c r="J356" t="n">
        <v>0</v>
      </c>
      <c r="K356" t="n">
        <v>0</v>
      </c>
      <c r="L356" t="n">
        <v>0</v>
      </c>
      <c r="M356" t="n">
        <v>0</v>
      </c>
      <c r="N356" t="n">
        <v>0</v>
      </c>
      <c r="O356" t="n">
        <v>0</v>
      </c>
      <c r="P356" t="n">
        <v>0</v>
      </c>
      <c r="Q356" t="n">
        <v>0</v>
      </c>
      <c r="R356" s="2" t="inlineStr"/>
    </row>
    <row r="357" ht="15" customHeight="1">
      <c r="A357" t="inlineStr">
        <is>
          <t>A 21751-2025</t>
        </is>
      </c>
      <c r="B357" s="1" t="n">
        <v>45783.61372685185</v>
      </c>
      <c r="C357" s="1" t="n">
        <v>45879</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3733-2023</t>
        </is>
      </c>
      <c r="B358" s="1" t="n">
        <v>44951.42501157407</v>
      </c>
      <c r="C358" s="1" t="n">
        <v>45879</v>
      </c>
      <c r="D358" t="inlineStr">
        <is>
          <t>VÄSTMANLANDS LÄN</t>
        </is>
      </c>
      <c r="E358" t="inlineStr">
        <is>
          <t>SALA</t>
        </is>
      </c>
      <c r="G358" t="n">
        <v>3.1</v>
      </c>
      <c r="H358" t="n">
        <v>0</v>
      </c>
      <c r="I358" t="n">
        <v>0</v>
      </c>
      <c r="J358" t="n">
        <v>0</v>
      </c>
      <c r="K358" t="n">
        <v>0</v>
      </c>
      <c r="L358" t="n">
        <v>0</v>
      </c>
      <c r="M358" t="n">
        <v>0</v>
      </c>
      <c r="N358" t="n">
        <v>0</v>
      </c>
      <c r="O358" t="n">
        <v>0</v>
      </c>
      <c r="P358" t="n">
        <v>0</v>
      </c>
      <c r="Q358" t="n">
        <v>0</v>
      </c>
      <c r="R358" s="2" t="inlineStr"/>
    </row>
    <row r="359" ht="15" customHeight="1">
      <c r="A359" t="inlineStr">
        <is>
          <t>A 21721-2025</t>
        </is>
      </c>
      <c r="B359" s="1" t="n">
        <v>45783</v>
      </c>
      <c r="C359" s="1" t="n">
        <v>45879</v>
      </c>
      <c r="D359" t="inlineStr">
        <is>
          <t>VÄSTMANLANDS LÄN</t>
        </is>
      </c>
      <c r="E359" t="inlineStr">
        <is>
          <t>SALA</t>
        </is>
      </c>
      <c r="G359" t="n">
        <v>6.1</v>
      </c>
      <c r="H359" t="n">
        <v>0</v>
      </c>
      <c r="I359" t="n">
        <v>0</v>
      </c>
      <c r="J359" t="n">
        <v>0</v>
      </c>
      <c r="K359" t="n">
        <v>0</v>
      </c>
      <c r="L359" t="n">
        <v>0</v>
      </c>
      <c r="M359" t="n">
        <v>0</v>
      </c>
      <c r="N359" t="n">
        <v>0</v>
      </c>
      <c r="O359" t="n">
        <v>0</v>
      </c>
      <c r="P359" t="n">
        <v>0</v>
      </c>
      <c r="Q359" t="n">
        <v>0</v>
      </c>
      <c r="R359" s="2" t="inlineStr"/>
    </row>
    <row r="360" ht="15" customHeight="1">
      <c r="A360" t="inlineStr">
        <is>
          <t>A 44544-2024</t>
        </is>
      </c>
      <c r="B360" s="1" t="n">
        <v>45574.46119212963</v>
      </c>
      <c r="C360" s="1" t="n">
        <v>45879</v>
      </c>
      <c r="D360" t="inlineStr">
        <is>
          <t>VÄSTMANLANDS LÄN</t>
        </is>
      </c>
      <c r="E360" t="inlineStr">
        <is>
          <t>SALA</t>
        </is>
      </c>
      <c r="G360" t="n">
        <v>3.3</v>
      </c>
      <c r="H360" t="n">
        <v>0</v>
      </c>
      <c r="I360" t="n">
        <v>0</v>
      </c>
      <c r="J360" t="n">
        <v>0</v>
      </c>
      <c r="K360" t="n">
        <v>0</v>
      </c>
      <c r="L360" t="n">
        <v>0</v>
      </c>
      <c r="M360" t="n">
        <v>0</v>
      </c>
      <c r="N360" t="n">
        <v>0</v>
      </c>
      <c r="O360" t="n">
        <v>0</v>
      </c>
      <c r="P360" t="n">
        <v>0</v>
      </c>
      <c r="Q360" t="n">
        <v>0</v>
      </c>
      <c r="R360" s="2" t="inlineStr"/>
    </row>
    <row r="361" ht="15" customHeight="1">
      <c r="A361" t="inlineStr">
        <is>
          <t>A 21738-2025</t>
        </is>
      </c>
      <c r="B361" s="1" t="n">
        <v>45783.59173611111</v>
      </c>
      <c r="C361" s="1" t="n">
        <v>45879</v>
      </c>
      <c r="D361" t="inlineStr">
        <is>
          <t>VÄSTMANLANDS LÄN</t>
        </is>
      </c>
      <c r="E361" t="inlineStr">
        <is>
          <t>SALA</t>
        </is>
      </c>
      <c r="G361" t="n">
        <v>2.1</v>
      </c>
      <c r="H361" t="n">
        <v>0</v>
      </c>
      <c r="I361" t="n">
        <v>0</v>
      </c>
      <c r="J361" t="n">
        <v>0</v>
      </c>
      <c r="K361" t="n">
        <v>0</v>
      </c>
      <c r="L361" t="n">
        <v>0</v>
      </c>
      <c r="M361" t="n">
        <v>0</v>
      </c>
      <c r="N361" t="n">
        <v>0</v>
      </c>
      <c r="O361" t="n">
        <v>0</v>
      </c>
      <c r="P361" t="n">
        <v>0</v>
      </c>
      <c r="Q361" t="n">
        <v>0</v>
      </c>
      <c r="R361" s="2" t="inlineStr"/>
    </row>
    <row r="362" ht="15" customHeight="1">
      <c r="A362" t="inlineStr">
        <is>
          <t>A 21754-2025</t>
        </is>
      </c>
      <c r="B362" s="1" t="n">
        <v>45783.61837962963</v>
      </c>
      <c r="C362" s="1" t="n">
        <v>45879</v>
      </c>
      <c r="D362" t="inlineStr">
        <is>
          <t>VÄSTMANLANDS LÄN</t>
        </is>
      </c>
      <c r="E362" t="inlineStr">
        <is>
          <t>SALA</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64729-2023</t>
        </is>
      </c>
      <c r="B363" s="1" t="n">
        <v>45281</v>
      </c>
      <c r="C363" s="1" t="n">
        <v>45879</v>
      </c>
      <c r="D363" t="inlineStr">
        <is>
          <t>VÄSTMANLANDS LÄN</t>
        </is>
      </c>
      <c r="E363" t="inlineStr">
        <is>
          <t>SALA</t>
        </is>
      </c>
      <c r="G363" t="n">
        <v>1.8</v>
      </c>
      <c r="H363" t="n">
        <v>0</v>
      </c>
      <c r="I363" t="n">
        <v>0</v>
      </c>
      <c r="J363" t="n">
        <v>0</v>
      </c>
      <c r="K363" t="n">
        <v>0</v>
      </c>
      <c r="L363" t="n">
        <v>0</v>
      </c>
      <c r="M363" t="n">
        <v>0</v>
      </c>
      <c r="N363" t="n">
        <v>0</v>
      </c>
      <c r="O363" t="n">
        <v>0</v>
      </c>
      <c r="P363" t="n">
        <v>0</v>
      </c>
      <c r="Q363" t="n">
        <v>0</v>
      </c>
      <c r="R363" s="2" t="inlineStr"/>
    </row>
    <row r="364" ht="15" customHeight="1">
      <c r="A364" t="inlineStr">
        <is>
          <t>A 56150-2024</t>
        </is>
      </c>
      <c r="B364" s="1" t="n">
        <v>45624.51481481481</v>
      </c>
      <c r="C364" s="1" t="n">
        <v>45879</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16404-2022</t>
        </is>
      </c>
      <c r="B365" s="1" t="n">
        <v>44671</v>
      </c>
      <c r="C365" s="1" t="n">
        <v>45879</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6097-2022</t>
        </is>
      </c>
      <c r="B366" s="1" t="n">
        <v>44599</v>
      </c>
      <c r="C366" s="1" t="n">
        <v>45879</v>
      </c>
      <c r="D366" t="inlineStr">
        <is>
          <t>VÄSTMANLANDS LÄN</t>
        </is>
      </c>
      <c r="E366" t="inlineStr">
        <is>
          <t>SALA</t>
        </is>
      </c>
      <c r="G366" t="n">
        <v>0.6</v>
      </c>
      <c r="H366" t="n">
        <v>0</v>
      </c>
      <c r="I366" t="n">
        <v>0</v>
      </c>
      <c r="J366" t="n">
        <v>0</v>
      </c>
      <c r="K366" t="n">
        <v>0</v>
      </c>
      <c r="L366" t="n">
        <v>0</v>
      </c>
      <c r="M366" t="n">
        <v>0</v>
      </c>
      <c r="N366" t="n">
        <v>0</v>
      </c>
      <c r="O366" t="n">
        <v>0</v>
      </c>
      <c r="P366" t="n">
        <v>0</v>
      </c>
      <c r="Q366" t="n">
        <v>0</v>
      </c>
      <c r="R366" s="2" t="inlineStr"/>
    </row>
    <row r="367" ht="15" customHeight="1">
      <c r="A367" t="inlineStr">
        <is>
          <t>A 37587-2024</t>
        </is>
      </c>
      <c r="B367" s="1" t="n">
        <v>45541</v>
      </c>
      <c r="C367" s="1" t="n">
        <v>45879</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10559-2024</t>
        </is>
      </c>
      <c r="B368" s="1" t="n">
        <v>45366</v>
      </c>
      <c r="C368" s="1" t="n">
        <v>45879</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68864-2021</t>
        </is>
      </c>
      <c r="B369" s="1" t="n">
        <v>44530</v>
      </c>
      <c r="C369" s="1" t="n">
        <v>45879</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60545-2024</t>
        </is>
      </c>
      <c r="B370" s="1" t="n">
        <v>45643</v>
      </c>
      <c r="C370" s="1" t="n">
        <v>45879</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60547-2024</t>
        </is>
      </c>
      <c r="B371" s="1" t="n">
        <v>45643</v>
      </c>
      <c r="C371" s="1" t="n">
        <v>45879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15965-2024</t>
        </is>
      </c>
      <c r="B372" s="1" t="n">
        <v>45405.55740740741</v>
      </c>
      <c r="C372" s="1" t="n">
        <v>45879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1196-2023</t>
        </is>
      </c>
      <c r="B373" s="1" t="n">
        <v>44935.82290509259</v>
      </c>
      <c r="C373" s="1" t="n">
        <v>45879</v>
      </c>
      <c r="D373" t="inlineStr">
        <is>
          <t>VÄSTMANLANDS LÄN</t>
        </is>
      </c>
      <c r="E373" t="inlineStr">
        <is>
          <t>SALA</t>
        </is>
      </c>
      <c r="G373" t="n">
        <v>4.1</v>
      </c>
      <c r="H373" t="n">
        <v>0</v>
      </c>
      <c r="I373" t="n">
        <v>0</v>
      </c>
      <c r="J373" t="n">
        <v>0</v>
      </c>
      <c r="K373" t="n">
        <v>0</v>
      </c>
      <c r="L373" t="n">
        <v>0</v>
      </c>
      <c r="M373" t="n">
        <v>0</v>
      </c>
      <c r="N373" t="n">
        <v>0</v>
      </c>
      <c r="O373" t="n">
        <v>0</v>
      </c>
      <c r="P373" t="n">
        <v>0</v>
      </c>
      <c r="Q373" t="n">
        <v>0</v>
      </c>
      <c r="R373" s="2" t="inlineStr"/>
    </row>
    <row r="374" ht="15" customHeight="1">
      <c r="A374" t="inlineStr">
        <is>
          <t>A 22353-2025</t>
        </is>
      </c>
      <c r="B374" s="1" t="n">
        <v>45786</v>
      </c>
      <c r="C374" s="1" t="n">
        <v>45879</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64724-2023</t>
        </is>
      </c>
      <c r="B375" s="1" t="n">
        <v>45281.7602662037</v>
      </c>
      <c r="C375" s="1" t="n">
        <v>45879</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22370-2025</t>
        </is>
      </c>
      <c r="B376" s="1" t="n">
        <v>45786</v>
      </c>
      <c r="C376" s="1" t="n">
        <v>45879</v>
      </c>
      <c r="D376" t="inlineStr">
        <is>
          <t>VÄSTMANLANDS LÄN</t>
        </is>
      </c>
      <c r="E376" t="inlineStr">
        <is>
          <t>SALA</t>
        </is>
      </c>
      <c r="G376" t="n">
        <v>3.2</v>
      </c>
      <c r="H376" t="n">
        <v>0</v>
      </c>
      <c r="I376" t="n">
        <v>0</v>
      </c>
      <c r="J376" t="n">
        <v>0</v>
      </c>
      <c r="K376" t="n">
        <v>0</v>
      </c>
      <c r="L376" t="n">
        <v>0</v>
      </c>
      <c r="M376" t="n">
        <v>0</v>
      </c>
      <c r="N376" t="n">
        <v>0</v>
      </c>
      <c r="O376" t="n">
        <v>0</v>
      </c>
      <c r="P376" t="n">
        <v>0</v>
      </c>
      <c r="Q376" t="n">
        <v>0</v>
      </c>
      <c r="R376" s="2" t="inlineStr"/>
    </row>
    <row r="377" ht="15" customHeight="1">
      <c r="A377" t="inlineStr">
        <is>
          <t>A 22383-2025</t>
        </is>
      </c>
      <c r="B377" s="1" t="n">
        <v>45786</v>
      </c>
      <c r="C377" s="1" t="n">
        <v>45879</v>
      </c>
      <c r="D377" t="inlineStr">
        <is>
          <t>VÄSTMANLANDS LÄN</t>
        </is>
      </c>
      <c r="E377" t="inlineStr">
        <is>
          <t>SALA</t>
        </is>
      </c>
      <c r="G377" t="n">
        <v>2.2</v>
      </c>
      <c r="H377" t="n">
        <v>0</v>
      </c>
      <c r="I377" t="n">
        <v>0</v>
      </c>
      <c r="J377" t="n">
        <v>0</v>
      </c>
      <c r="K377" t="n">
        <v>0</v>
      </c>
      <c r="L377" t="n">
        <v>0</v>
      </c>
      <c r="M377" t="n">
        <v>0</v>
      </c>
      <c r="N377" t="n">
        <v>0</v>
      </c>
      <c r="O377" t="n">
        <v>0</v>
      </c>
      <c r="P377" t="n">
        <v>0</v>
      </c>
      <c r="Q377" t="n">
        <v>0</v>
      </c>
      <c r="R377" s="2" t="inlineStr"/>
    </row>
    <row r="378" ht="15" customHeight="1">
      <c r="A378" t="inlineStr">
        <is>
          <t>A 64925-2023</t>
        </is>
      </c>
      <c r="B378" s="1" t="n">
        <v>45282</v>
      </c>
      <c r="C378" s="1" t="n">
        <v>45879</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48570-2024</t>
        </is>
      </c>
      <c r="B379" s="1" t="n">
        <v>45591</v>
      </c>
      <c r="C379" s="1" t="n">
        <v>45879</v>
      </c>
      <c r="D379" t="inlineStr">
        <is>
          <t>VÄSTMANLANDS LÄN</t>
        </is>
      </c>
      <c r="E379" t="inlineStr">
        <is>
          <t>SALA</t>
        </is>
      </c>
      <c r="G379" t="n">
        <v>3</v>
      </c>
      <c r="H379" t="n">
        <v>0</v>
      </c>
      <c r="I379" t="n">
        <v>0</v>
      </c>
      <c r="J379" t="n">
        <v>0</v>
      </c>
      <c r="K379" t="n">
        <v>0</v>
      </c>
      <c r="L379" t="n">
        <v>0</v>
      </c>
      <c r="M379" t="n">
        <v>0</v>
      </c>
      <c r="N379" t="n">
        <v>0</v>
      </c>
      <c r="O379" t="n">
        <v>0</v>
      </c>
      <c r="P379" t="n">
        <v>0</v>
      </c>
      <c r="Q379" t="n">
        <v>0</v>
      </c>
      <c r="R379" s="2" t="inlineStr"/>
    </row>
    <row r="380" ht="15" customHeight="1">
      <c r="A380" t="inlineStr">
        <is>
          <t>A 62651-2022</t>
        </is>
      </c>
      <c r="B380" s="1" t="n">
        <v>44917</v>
      </c>
      <c r="C380" s="1" t="n">
        <v>45879</v>
      </c>
      <c r="D380" t="inlineStr">
        <is>
          <t>VÄSTMANLANDS LÄN</t>
        </is>
      </c>
      <c r="E380" t="inlineStr">
        <is>
          <t>SALA</t>
        </is>
      </c>
      <c r="G380" t="n">
        <v>0.4</v>
      </c>
      <c r="H380" t="n">
        <v>0</v>
      </c>
      <c r="I380" t="n">
        <v>0</v>
      </c>
      <c r="J380" t="n">
        <v>0</v>
      </c>
      <c r="K380" t="n">
        <v>0</v>
      </c>
      <c r="L380" t="n">
        <v>0</v>
      </c>
      <c r="M380" t="n">
        <v>0</v>
      </c>
      <c r="N380" t="n">
        <v>0</v>
      </c>
      <c r="O380" t="n">
        <v>0</v>
      </c>
      <c r="P380" t="n">
        <v>0</v>
      </c>
      <c r="Q380" t="n">
        <v>0</v>
      </c>
      <c r="R380" s="2" t="inlineStr"/>
    </row>
    <row r="381" ht="15" customHeight="1">
      <c r="A381" t="inlineStr">
        <is>
          <t>A 54836-2024</t>
        </is>
      </c>
      <c r="B381" s="1" t="n">
        <v>45618</v>
      </c>
      <c r="C381" s="1" t="n">
        <v>45879</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13987-2023</t>
        </is>
      </c>
      <c r="B382" s="1" t="n">
        <v>45007</v>
      </c>
      <c r="C382" s="1" t="n">
        <v>45879</v>
      </c>
      <c r="D382" t="inlineStr">
        <is>
          <t>VÄSTMANLANDS LÄN</t>
        </is>
      </c>
      <c r="E382" t="inlineStr">
        <is>
          <t>SALA</t>
        </is>
      </c>
      <c r="G382" t="n">
        <v>3.2</v>
      </c>
      <c r="H382" t="n">
        <v>0</v>
      </c>
      <c r="I382" t="n">
        <v>0</v>
      </c>
      <c r="J382" t="n">
        <v>0</v>
      </c>
      <c r="K382" t="n">
        <v>0</v>
      </c>
      <c r="L382" t="n">
        <v>0</v>
      </c>
      <c r="M382" t="n">
        <v>0</v>
      </c>
      <c r="N382" t="n">
        <v>0</v>
      </c>
      <c r="O382" t="n">
        <v>0</v>
      </c>
      <c r="P382" t="n">
        <v>0</v>
      </c>
      <c r="Q382" t="n">
        <v>0</v>
      </c>
      <c r="R382" s="2" t="inlineStr"/>
    </row>
    <row r="383" ht="15" customHeight="1">
      <c r="A383" t="inlineStr">
        <is>
          <t>A 13990-2023</t>
        </is>
      </c>
      <c r="B383" s="1" t="n">
        <v>45007</v>
      </c>
      <c r="C383" s="1" t="n">
        <v>45879</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51464-2024</t>
        </is>
      </c>
      <c r="B384" s="1" t="n">
        <v>45604.49768518518</v>
      </c>
      <c r="C384" s="1" t="n">
        <v>45879</v>
      </c>
      <c r="D384" t="inlineStr">
        <is>
          <t>VÄSTMANLANDS LÄN</t>
        </is>
      </c>
      <c r="E384" t="inlineStr">
        <is>
          <t>SALA</t>
        </is>
      </c>
      <c r="G384" t="n">
        <v>3.9</v>
      </c>
      <c r="H384" t="n">
        <v>0</v>
      </c>
      <c r="I384" t="n">
        <v>0</v>
      </c>
      <c r="J384" t="n">
        <v>0</v>
      </c>
      <c r="K384" t="n">
        <v>0</v>
      </c>
      <c r="L384" t="n">
        <v>0</v>
      </c>
      <c r="M384" t="n">
        <v>0</v>
      </c>
      <c r="N384" t="n">
        <v>0</v>
      </c>
      <c r="O384" t="n">
        <v>0</v>
      </c>
      <c r="P384" t="n">
        <v>0</v>
      </c>
      <c r="Q384" t="n">
        <v>0</v>
      </c>
      <c r="R384" s="2" t="inlineStr"/>
    </row>
    <row r="385" ht="15" customHeight="1">
      <c r="A385" t="inlineStr">
        <is>
          <t>A 1128-2025</t>
        </is>
      </c>
      <c r="B385" s="1" t="n">
        <v>45666.68469907407</v>
      </c>
      <c r="C385" s="1" t="n">
        <v>45879</v>
      </c>
      <c r="D385" t="inlineStr">
        <is>
          <t>VÄSTMANLANDS LÄN</t>
        </is>
      </c>
      <c r="E385" t="inlineStr">
        <is>
          <t>SALA</t>
        </is>
      </c>
      <c r="G385" t="n">
        <v>2.5</v>
      </c>
      <c r="H385" t="n">
        <v>0</v>
      </c>
      <c r="I385" t="n">
        <v>0</v>
      </c>
      <c r="J385" t="n">
        <v>0</v>
      </c>
      <c r="K385" t="n">
        <v>0</v>
      </c>
      <c r="L385" t="n">
        <v>0</v>
      </c>
      <c r="M385" t="n">
        <v>0</v>
      </c>
      <c r="N385" t="n">
        <v>0</v>
      </c>
      <c r="O385" t="n">
        <v>0</v>
      </c>
      <c r="P385" t="n">
        <v>0</v>
      </c>
      <c r="Q385" t="n">
        <v>0</v>
      </c>
      <c r="R385" s="2" t="inlineStr"/>
    </row>
    <row r="386" ht="15" customHeight="1">
      <c r="A386" t="inlineStr">
        <is>
          <t>A 39364-2024</t>
        </is>
      </c>
      <c r="B386" s="1" t="n">
        <v>45551.46748842593</v>
      </c>
      <c r="C386" s="1" t="n">
        <v>45879</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43176-2023</t>
        </is>
      </c>
      <c r="B387" s="1" t="n">
        <v>45183</v>
      </c>
      <c r="C387" s="1" t="n">
        <v>45879</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73835-2021</t>
        </is>
      </c>
      <c r="B388" s="1" t="n">
        <v>44552.92112268518</v>
      </c>
      <c r="C388" s="1" t="n">
        <v>45879</v>
      </c>
      <c r="D388" t="inlineStr">
        <is>
          <t>VÄSTMANLANDS LÄN</t>
        </is>
      </c>
      <c r="E388" t="inlineStr">
        <is>
          <t>SALA</t>
        </is>
      </c>
      <c r="G388" t="n">
        <v>2</v>
      </c>
      <c r="H388" t="n">
        <v>0</v>
      </c>
      <c r="I388" t="n">
        <v>0</v>
      </c>
      <c r="J388" t="n">
        <v>0</v>
      </c>
      <c r="K388" t="n">
        <v>0</v>
      </c>
      <c r="L388" t="n">
        <v>0</v>
      </c>
      <c r="M388" t="n">
        <v>0</v>
      </c>
      <c r="N388" t="n">
        <v>0</v>
      </c>
      <c r="O388" t="n">
        <v>0</v>
      </c>
      <c r="P388" t="n">
        <v>0</v>
      </c>
      <c r="Q388" t="n">
        <v>0</v>
      </c>
      <c r="R388" s="2" t="inlineStr"/>
    </row>
    <row r="389" ht="15" customHeight="1">
      <c r="A389" t="inlineStr">
        <is>
          <t>A 61517-2024</t>
        </is>
      </c>
      <c r="B389" s="1" t="n">
        <v>45645</v>
      </c>
      <c r="C389" s="1" t="n">
        <v>45879</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60379-2022</t>
        </is>
      </c>
      <c r="B390" s="1" t="n">
        <v>44910</v>
      </c>
      <c r="C390" s="1" t="n">
        <v>45879</v>
      </c>
      <c r="D390" t="inlineStr">
        <is>
          <t>VÄSTMANLANDS LÄN</t>
        </is>
      </c>
      <c r="E390" t="inlineStr">
        <is>
          <t>SALA</t>
        </is>
      </c>
      <c r="F390" t="inlineStr">
        <is>
          <t>Kyrkan</t>
        </is>
      </c>
      <c r="G390" t="n">
        <v>2.5</v>
      </c>
      <c r="H390" t="n">
        <v>0</v>
      </c>
      <c r="I390" t="n">
        <v>0</v>
      </c>
      <c r="J390" t="n">
        <v>0</v>
      </c>
      <c r="K390" t="n">
        <v>0</v>
      </c>
      <c r="L390" t="n">
        <v>0</v>
      </c>
      <c r="M390" t="n">
        <v>0</v>
      </c>
      <c r="N390" t="n">
        <v>0</v>
      </c>
      <c r="O390" t="n">
        <v>0</v>
      </c>
      <c r="P390" t="n">
        <v>0</v>
      </c>
      <c r="Q390" t="n">
        <v>0</v>
      </c>
      <c r="R390" s="2" t="inlineStr"/>
    </row>
    <row r="391" ht="15" customHeight="1">
      <c r="A391" t="inlineStr">
        <is>
          <t>A 1638-2023</t>
        </is>
      </c>
      <c r="B391" s="1" t="n">
        <v>44937</v>
      </c>
      <c r="C391" s="1" t="n">
        <v>45879</v>
      </c>
      <c r="D391" t="inlineStr">
        <is>
          <t>VÄSTMANLANDS LÄN</t>
        </is>
      </c>
      <c r="E391" t="inlineStr">
        <is>
          <t>SALA</t>
        </is>
      </c>
      <c r="G391" t="n">
        <v>3.1</v>
      </c>
      <c r="H391" t="n">
        <v>0</v>
      </c>
      <c r="I391" t="n">
        <v>0</v>
      </c>
      <c r="J391" t="n">
        <v>0</v>
      </c>
      <c r="K391" t="n">
        <v>0</v>
      </c>
      <c r="L391" t="n">
        <v>0</v>
      </c>
      <c r="M391" t="n">
        <v>0</v>
      </c>
      <c r="N391" t="n">
        <v>0</v>
      </c>
      <c r="O391" t="n">
        <v>0</v>
      </c>
      <c r="P391" t="n">
        <v>0</v>
      </c>
      <c r="Q391" t="n">
        <v>0</v>
      </c>
      <c r="R391" s="2" t="inlineStr"/>
    </row>
    <row r="392" ht="15" customHeight="1">
      <c r="A392" t="inlineStr">
        <is>
          <t>A 16760-2024</t>
        </is>
      </c>
      <c r="B392" s="1" t="n">
        <v>45411</v>
      </c>
      <c r="C392" s="1" t="n">
        <v>45879</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7953-2024</t>
        </is>
      </c>
      <c r="B393" s="1" t="n">
        <v>45350</v>
      </c>
      <c r="C393" s="1" t="n">
        <v>45879</v>
      </c>
      <c r="D393" t="inlineStr">
        <is>
          <t>VÄSTMANLANDS LÄN</t>
        </is>
      </c>
      <c r="E393" t="inlineStr">
        <is>
          <t>SALA</t>
        </is>
      </c>
      <c r="G393" t="n">
        <v>2.6</v>
      </c>
      <c r="H393" t="n">
        <v>0</v>
      </c>
      <c r="I393" t="n">
        <v>0</v>
      </c>
      <c r="J393" t="n">
        <v>0</v>
      </c>
      <c r="K393" t="n">
        <v>0</v>
      </c>
      <c r="L393" t="n">
        <v>0</v>
      </c>
      <c r="M393" t="n">
        <v>0</v>
      </c>
      <c r="N393" t="n">
        <v>0</v>
      </c>
      <c r="O393" t="n">
        <v>0</v>
      </c>
      <c r="P393" t="n">
        <v>0</v>
      </c>
      <c r="Q393" t="n">
        <v>0</v>
      </c>
      <c r="R393" s="2" t="inlineStr"/>
    </row>
    <row r="394" ht="15" customHeight="1">
      <c r="A394" t="inlineStr">
        <is>
          <t>A 7176-2023</t>
        </is>
      </c>
      <c r="B394" s="1" t="n">
        <v>44970</v>
      </c>
      <c r="C394" s="1" t="n">
        <v>45879</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53164-2024</t>
        </is>
      </c>
      <c r="B395" s="1" t="n">
        <v>45611.64887731482</v>
      </c>
      <c r="C395" s="1" t="n">
        <v>45879</v>
      </c>
      <c r="D395" t="inlineStr">
        <is>
          <t>VÄSTMANLANDS LÄN</t>
        </is>
      </c>
      <c r="E395" t="inlineStr">
        <is>
          <t>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54603-2024</t>
        </is>
      </c>
      <c r="B396" s="1" t="n">
        <v>45617.68224537037</v>
      </c>
      <c r="C396" s="1" t="n">
        <v>45879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5477-2024</t>
        </is>
      </c>
      <c r="B397" s="1" t="n">
        <v>45333.67833333334</v>
      </c>
      <c r="C397" s="1" t="n">
        <v>45879</v>
      </c>
      <c r="D397" t="inlineStr">
        <is>
          <t>VÄSTMANLANDS LÄN</t>
        </is>
      </c>
      <c r="E397" t="inlineStr">
        <is>
          <t>SALA</t>
        </is>
      </c>
      <c r="G397" t="n">
        <v>2.3</v>
      </c>
      <c r="H397" t="n">
        <v>0</v>
      </c>
      <c r="I397" t="n">
        <v>0</v>
      </c>
      <c r="J397" t="n">
        <v>0</v>
      </c>
      <c r="K397" t="n">
        <v>0</v>
      </c>
      <c r="L397" t="n">
        <v>0</v>
      </c>
      <c r="M397" t="n">
        <v>0</v>
      </c>
      <c r="N397" t="n">
        <v>0</v>
      </c>
      <c r="O397" t="n">
        <v>0</v>
      </c>
      <c r="P397" t="n">
        <v>0</v>
      </c>
      <c r="Q397" t="n">
        <v>0</v>
      </c>
      <c r="R397" s="2" t="inlineStr"/>
    </row>
    <row r="398" ht="15" customHeight="1">
      <c r="A398" t="inlineStr">
        <is>
          <t>A 22624-2025</t>
        </is>
      </c>
      <c r="B398" s="1" t="n">
        <v>45789.43327546296</v>
      </c>
      <c r="C398" s="1" t="n">
        <v>45879</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26507-2023</t>
        </is>
      </c>
      <c r="B399" s="1" t="n">
        <v>45092</v>
      </c>
      <c r="C399" s="1" t="n">
        <v>45879</v>
      </c>
      <c r="D399" t="inlineStr">
        <is>
          <t>VÄSTMANLANDS LÄN</t>
        </is>
      </c>
      <c r="E399" t="inlineStr">
        <is>
          <t>SALA</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39604-2023</t>
        </is>
      </c>
      <c r="B400" s="1" t="n">
        <v>45163</v>
      </c>
      <c r="C400" s="1" t="n">
        <v>45879</v>
      </c>
      <c r="D400" t="inlineStr">
        <is>
          <t>VÄSTMANLANDS LÄN</t>
        </is>
      </c>
      <c r="E400" t="inlineStr">
        <is>
          <t>SALA</t>
        </is>
      </c>
      <c r="G400" t="n">
        <v>2.7</v>
      </c>
      <c r="H400" t="n">
        <v>0</v>
      </c>
      <c r="I400" t="n">
        <v>0</v>
      </c>
      <c r="J400" t="n">
        <v>0</v>
      </c>
      <c r="K400" t="n">
        <v>0</v>
      </c>
      <c r="L400" t="n">
        <v>0</v>
      </c>
      <c r="M400" t="n">
        <v>0</v>
      </c>
      <c r="N400" t="n">
        <v>0</v>
      </c>
      <c r="O400" t="n">
        <v>0</v>
      </c>
      <c r="P400" t="n">
        <v>0</v>
      </c>
      <c r="Q400" t="n">
        <v>0</v>
      </c>
      <c r="R400" s="2" t="inlineStr"/>
    </row>
    <row r="401" ht="15" customHeight="1">
      <c r="A401" t="inlineStr">
        <is>
          <t>A 6032-2025</t>
        </is>
      </c>
      <c r="B401" s="1" t="n">
        <v>45695.6371875</v>
      </c>
      <c r="C401" s="1" t="n">
        <v>45879</v>
      </c>
      <c r="D401" t="inlineStr">
        <is>
          <t>VÄSTMANLANDS LÄN</t>
        </is>
      </c>
      <c r="E401" t="inlineStr">
        <is>
          <t>SALA</t>
        </is>
      </c>
      <c r="F401" t="inlineStr">
        <is>
          <t>Bergvik skog öst AB</t>
        </is>
      </c>
      <c r="G401" t="n">
        <v>8.1</v>
      </c>
      <c r="H401" t="n">
        <v>0</v>
      </c>
      <c r="I401" t="n">
        <v>0</v>
      </c>
      <c r="J401" t="n">
        <v>0</v>
      </c>
      <c r="K401" t="n">
        <v>0</v>
      </c>
      <c r="L401" t="n">
        <v>0</v>
      </c>
      <c r="M401" t="n">
        <v>0</v>
      </c>
      <c r="N401" t="n">
        <v>0</v>
      </c>
      <c r="O401" t="n">
        <v>0</v>
      </c>
      <c r="P401" t="n">
        <v>0</v>
      </c>
      <c r="Q401" t="n">
        <v>0</v>
      </c>
      <c r="R401" s="2" t="inlineStr"/>
    </row>
    <row r="402" ht="15" customHeight="1">
      <c r="A402" t="inlineStr">
        <is>
          <t>A 18762-2024</t>
        </is>
      </c>
      <c r="B402" s="1" t="n">
        <v>45426.55240740741</v>
      </c>
      <c r="C402" s="1" t="n">
        <v>45879</v>
      </c>
      <c r="D402" t="inlineStr">
        <is>
          <t>VÄSTMANLANDS LÄN</t>
        </is>
      </c>
      <c r="E402" t="inlineStr">
        <is>
          <t>SALA</t>
        </is>
      </c>
      <c r="G402" t="n">
        <v>6.2</v>
      </c>
      <c r="H402" t="n">
        <v>0</v>
      </c>
      <c r="I402" t="n">
        <v>0</v>
      </c>
      <c r="J402" t="n">
        <v>0</v>
      </c>
      <c r="K402" t="n">
        <v>0</v>
      </c>
      <c r="L402" t="n">
        <v>0</v>
      </c>
      <c r="M402" t="n">
        <v>0</v>
      </c>
      <c r="N402" t="n">
        <v>0</v>
      </c>
      <c r="O402" t="n">
        <v>0</v>
      </c>
      <c r="P402" t="n">
        <v>0</v>
      </c>
      <c r="Q402" t="n">
        <v>0</v>
      </c>
      <c r="R402" s="2" t="inlineStr"/>
    </row>
    <row r="403" ht="15" customHeight="1">
      <c r="A403" t="inlineStr">
        <is>
          <t>A 17120-2023</t>
        </is>
      </c>
      <c r="B403" s="1" t="n">
        <v>45034</v>
      </c>
      <c r="C403" s="1" t="n">
        <v>45879</v>
      </c>
      <c r="D403" t="inlineStr">
        <is>
          <t>VÄSTMANLANDS LÄN</t>
        </is>
      </c>
      <c r="E403" t="inlineStr">
        <is>
          <t>SALA</t>
        </is>
      </c>
      <c r="G403" t="n">
        <v>0.1</v>
      </c>
      <c r="H403" t="n">
        <v>0</v>
      </c>
      <c r="I403" t="n">
        <v>0</v>
      </c>
      <c r="J403" t="n">
        <v>0</v>
      </c>
      <c r="K403" t="n">
        <v>0</v>
      </c>
      <c r="L403" t="n">
        <v>0</v>
      </c>
      <c r="M403" t="n">
        <v>0</v>
      </c>
      <c r="N403" t="n">
        <v>0</v>
      </c>
      <c r="O403" t="n">
        <v>0</v>
      </c>
      <c r="P403" t="n">
        <v>0</v>
      </c>
      <c r="Q403" t="n">
        <v>0</v>
      </c>
      <c r="R403" s="2" t="inlineStr"/>
    </row>
    <row r="404" ht="15" customHeight="1">
      <c r="A404" t="inlineStr">
        <is>
          <t>A 42938-2023</t>
        </is>
      </c>
      <c r="B404" s="1" t="n">
        <v>45179</v>
      </c>
      <c r="C404" s="1" t="n">
        <v>45879</v>
      </c>
      <c r="D404" t="inlineStr">
        <is>
          <t>VÄSTMANLANDS LÄN</t>
        </is>
      </c>
      <c r="E404" t="inlineStr">
        <is>
          <t>SALA</t>
        </is>
      </c>
      <c r="G404" t="n">
        <v>10.9</v>
      </c>
      <c r="H404" t="n">
        <v>0</v>
      </c>
      <c r="I404" t="n">
        <v>0</v>
      </c>
      <c r="J404" t="n">
        <v>0</v>
      </c>
      <c r="K404" t="n">
        <v>0</v>
      </c>
      <c r="L404" t="n">
        <v>0</v>
      </c>
      <c r="M404" t="n">
        <v>0</v>
      </c>
      <c r="N404" t="n">
        <v>0</v>
      </c>
      <c r="O404" t="n">
        <v>0</v>
      </c>
      <c r="P404" t="n">
        <v>0</v>
      </c>
      <c r="Q404" t="n">
        <v>0</v>
      </c>
      <c r="R404" s="2" t="inlineStr"/>
    </row>
    <row r="405" ht="15" customHeight="1">
      <c r="A405" t="inlineStr">
        <is>
          <t>A 42984-2023</t>
        </is>
      </c>
      <c r="B405" s="1" t="n">
        <v>45179</v>
      </c>
      <c r="C405" s="1" t="n">
        <v>45879</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31405-2024</t>
        </is>
      </c>
      <c r="B406" s="1" t="n">
        <v>45505.5490625</v>
      </c>
      <c r="C406" s="1" t="n">
        <v>45879</v>
      </c>
      <c r="D406" t="inlineStr">
        <is>
          <t>VÄSTMANLANDS LÄN</t>
        </is>
      </c>
      <c r="E406" t="inlineStr">
        <is>
          <t>SALA</t>
        </is>
      </c>
      <c r="G406" t="n">
        <v>5.2</v>
      </c>
      <c r="H406" t="n">
        <v>0</v>
      </c>
      <c r="I406" t="n">
        <v>0</v>
      </c>
      <c r="J406" t="n">
        <v>0</v>
      </c>
      <c r="K406" t="n">
        <v>0</v>
      </c>
      <c r="L406" t="n">
        <v>0</v>
      </c>
      <c r="M406" t="n">
        <v>0</v>
      </c>
      <c r="N406" t="n">
        <v>0</v>
      </c>
      <c r="O406" t="n">
        <v>0</v>
      </c>
      <c r="P406" t="n">
        <v>0</v>
      </c>
      <c r="Q406" t="n">
        <v>0</v>
      </c>
      <c r="R406" s="2" t="inlineStr"/>
    </row>
    <row r="407" ht="15" customHeight="1">
      <c r="A407" t="inlineStr">
        <is>
          <t>A 15972-2024</t>
        </is>
      </c>
      <c r="B407" s="1" t="n">
        <v>45405.56498842593</v>
      </c>
      <c r="C407" s="1" t="n">
        <v>45879</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39714-2023</t>
        </is>
      </c>
      <c r="B408" s="1" t="n">
        <v>45167.62133101852</v>
      </c>
      <c r="C408" s="1" t="n">
        <v>45879</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34814-2021</t>
        </is>
      </c>
      <c r="B409" s="1" t="n">
        <v>44383</v>
      </c>
      <c r="C409" s="1" t="n">
        <v>45879</v>
      </c>
      <c r="D409" t="inlineStr">
        <is>
          <t>VÄSTMANLANDS LÄN</t>
        </is>
      </c>
      <c r="E409" t="inlineStr">
        <is>
          <t>SALA</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33527-2023</t>
        </is>
      </c>
      <c r="B410" s="1" t="n">
        <v>45131</v>
      </c>
      <c r="C410" s="1" t="n">
        <v>45879</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54118-2023</t>
        </is>
      </c>
      <c r="B411" s="1" t="n">
        <v>45232</v>
      </c>
      <c r="C411" s="1" t="n">
        <v>45879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35462-2024</t>
        </is>
      </c>
      <c r="B412" s="1" t="n">
        <v>45531</v>
      </c>
      <c r="C412" s="1" t="n">
        <v>45879</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22616-2025</t>
        </is>
      </c>
      <c r="B413" s="1" t="n">
        <v>45789.42752314815</v>
      </c>
      <c r="C413" s="1" t="n">
        <v>45879</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43600-2024</t>
        </is>
      </c>
      <c r="B414" s="1" t="n">
        <v>45569</v>
      </c>
      <c r="C414" s="1" t="n">
        <v>45879</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10913-2025</t>
        </is>
      </c>
      <c r="B415" s="1" t="n">
        <v>45722.73423611111</v>
      </c>
      <c r="C415" s="1" t="n">
        <v>45879</v>
      </c>
      <c r="D415" t="inlineStr">
        <is>
          <t>VÄSTMANLANDS LÄN</t>
        </is>
      </c>
      <c r="E415" t="inlineStr">
        <is>
          <t>SALA</t>
        </is>
      </c>
      <c r="G415" t="n">
        <v>7.6</v>
      </c>
      <c r="H415" t="n">
        <v>0</v>
      </c>
      <c r="I415" t="n">
        <v>0</v>
      </c>
      <c r="J415" t="n">
        <v>0</v>
      </c>
      <c r="K415" t="n">
        <v>0</v>
      </c>
      <c r="L415" t="n">
        <v>0</v>
      </c>
      <c r="M415" t="n">
        <v>0</v>
      </c>
      <c r="N415" t="n">
        <v>0</v>
      </c>
      <c r="O415" t="n">
        <v>0</v>
      </c>
      <c r="P415" t="n">
        <v>0</v>
      </c>
      <c r="Q415" t="n">
        <v>0</v>
      </c>
      <c r="R415" s="2" t="inlineStr"/>
    </row>
    <row r="416" ht="15" customHeight="1">
      <c r="A416" t="inlineStr">
        <is>
          <t>A 58107-2021</t>
        </is>
      </c>
      <c r="B416" s="1" t="n">
        <v>44487</v>
      </c>
      <c r="C416" s="1" t="n">
        <v>45879</v>
      </c>
      <c r="D416" t="inlineStr">
        <is>
          <t>VÄSTMANLANDS LÄN</t>
        </is>
      </c>
      <c r="E416" t="inlineStr">
        <is>
          <t>SALA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13130-2025</t>
        </is>
      </c>
      <c r="B417" s="1" t="n">
        <v>45734</v>
      </c>
      <c r="C417" s="1" t="n">
        <v>45879</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2927-2024</t>
        </is>
      </c>
      <c r="B418" s="1" t="n">
        <v>45315.58989583333</v>
      </c>
      <c r="C418" s="1" t="n">
        <v>45879</v>
      </c>
      <c r="D418" t="inlineStr">
        <is>
          <t>VÄSTMANLANDS LÄN</t>
        </is>
      </c>
      <c r="E418" t="inlineStr">
        <is>
          <t>SALA</t>
        </is>
      </c>
      <c r="G418" t="n">
        <v>2.5</v>
      </c>
      <c r="H418" t="n">
        <v>0</v>
      </c>
      <c r="I418" t="n">
        <v>0</v>
      </c>
      <c r="J418" t="n">
        <v>0</v>
      </c>
      <c r="K418" t="n">
        <v>0</v>
      </c>
      <c r="L418" t="n">
        <v>0</v>
      </c>
      <c r="M418" t="n">
        <v>0</v>
      </c>
      <c r="N418" t="n">
        <v>0</v>
      </c>
      <c r="O418" t="n">
        <v>0</v>
      </c>
      <c r="P418" t="n">
        <v>0</v>
      </c>
      <c r="Q418" t="n">
        <v>0</v>
      </c>
      <c r="R418" s="2" t="inlineStr"/>
    </row>
    <row r="419" ht="15" customHeight="1">
      <c r="A419" t="inlineStr">
        <is>
          <t>A 37183-2024</t>
        </is>
      </c>
      <c r="B419" s="1" t="n">
        <v>45539</v>
      </c>
      <c r="C419" s="1" t="n">
        <v>45879</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36393-2023</t>
        </is>
      </c>
      <c r="B420" s="1" t="n">
        <v>45152</v>
      </c>
      <c r="C420" s="1" t="n">
        <v>45879</v>
      </c>
      <c r="D420" t="inlineStr">
        <is>
          <t>VÄSTMANLANDS LÄN</t>
        </is>
      </c>
      <c r="E420" t="inlineStr">
        <is>
          <t>SALA</t>
        </is>
      </c>
      <c r="G420" t="n">
        <v>0.9</v>
      </c>
      <c r="H420" t="n">
        <v>0</v>
      </c>
      <c r="I420" t="n">
        <v>0</v>
      </c>
      <c r="J420" t="n">
        <v>0</v>
      </c>
      <c r="K420" t="n">
        <v>0</v>
      </c>
      <c r="L420" t="n">
        <v>0</v>
      </c>
      <c r="M420" t="n">
        <v>0</v>
      </c>
      <c r="N420" t="n">
        <v>0</v>
      </c>
      <c r="O420" t="n">
        <v>0</v>
      </c>
      <c r="P420" t="n">
        <v>0</v>
      </c>
      <c r="Q420" t="n">
        <v>0</v>
      </c>
      <c r="R420" s="2" t="inlineStr"/>
    </row>
    <row r="421" ht="15" customHeight="1">
      <c r="A421" t="inlineStr">
        <is>
          <t>A 45790-2023</t>
        </is>
      </c>
      <c r="B421" s="1" t="n">
        <v>45195.45958333334</v>
      </c>
      <c r="C421" s="1" t="n">
        <v>45879</v>
      </c>
      <c r="D421" t="inlineStr">
        <is>
          <t>VÄSTMANLANDS LÄN</t>
        </is>
      </c>
      <c r="E421" t="inlineStr">
        <is>
          <t>SALA</t>
        </is>
      </c>
      <c r="G421" t="n">
        <v>5.7</v>
      </c>
      <c r="H421" t="n">
        <v>0</v>
      </c>
      <c r="I421" t="n">
        <v>0</v>
      </c>
      <c r="J421" t="n">
        <v>0</v>
      </c>
      <c r="K421" t="n">
        <v>0</v>
      </c>
      <c r="L421" t="n">
        <v>0</v>
      </c>
      <c r="M421" t="n">
        <v>0</v>
      </c>
      <c r="N421" t="n">
        <v>0</v>
      </c>
      <c r="O421" t="n">
        <v>0</v>
      </c>
      <c r="P421" t="n">
        <v>0</v>
      </c>
      <c r="Q421" t="n">
        <v>0</v>
      </c>
      <c r="R421" s="2" t="inlineStr"/>
    </row>
    <row r="422" ht="15" customHeight="1">
      <c r="A422" t="inlineStr">
        <is>
          <t>A 56949-2023</t>
        </is>
      </c>
      <c r="B422" s="1" t="n">
        <v>45244.61589120371</v>
      </c>
      <c r="C422" s="1" t="n">
        <v>45879</v>
      </c>
      <c r="D422" t="inlineStr">
        <is>
          <t>VÄSTMANLANDS LÄN</t>
        </is>
      </c>
      <c r="E422" t="inlineStr">
        <is>
          <t>SALA</t>
        </is>
      </c>
      <c r="G422" t="n">
        <v>4.7</v>
      </c>
      <c r="H422" t="n">
        <v>0</v>
      </c>
      <c r="I422" t="n">
        <v>0</v>
      </c>
      <c r="J422" t="n">
        <v>0</v>
      </c>
      <c r="K422" t="n">
        <v>0</v>
      </c>
      <c r="L422" t="n">
        <v>0</v>
      </c>
      <c r="M422" t="n">
        <v>0</v>
      </c>
      <c r="N422" t="n">
        <v>0</v>
      </c>
      <c r="O422" t="n">
        <v>0</v>
      </c>
      <c r="P422" t="n">
        <v>0</v>
      </c>
      <c r="Q422" t="n">
        <v>0</v>
      </c>
      <c r="R422" s="2" t="inlineStr"/>
    </row>
    <row r="423" ht="15" customHeight="1">
      <c r="A423" t="inlineStr">
        <is>
          <t>A 54199-2024</t>
        </is>
      </c>
      <c r="B423" s="1" t="n">
        <v>45616.64703703704</v>
      </c>
      <c r="C423" s="1" t="n">
        <v>45879</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60548-2024</t>
        </is>
      </c>
      <c r="B424" s="1" t="n">
        <v>45643.80978009259</v>
      </c>
      <c r="C424" s="1" t="n">
        <v>45879</v>
      </c>
      <c r="D424" t="inlineStr">
        <is>
          <t>VÄSTMANLANDS LÄN</t>
        </is>
      </c>
      <c r="E424" t="inlineStr">
        <is>
          <t>SALA</t>
        </is>
      </c>
      <c r="G424" t="n">
        <v>1.6</v>
      </c>
      <c r="H424" t="n">
        <v>0</v>
      </c>
      <c r="I424" t="n">
        <v>0</v>
      </c>
      <c r="J424" t="n">
        <v>0</v>
      </c>
      <c r="K424" t="n">
        <v>0</v>
      </c>
      <c r="L424" t="n">
        <v>0</v>
      </c>
      <c r="M424" t="n">
        <v>0</v>
      </c>
      <c r="N424" t="n">
        <v>0</v>
      </c>
      <c r="O424" t="n">
        <v>0</v>
      </c>
      <c r="P424" t="n">
        <v>0</v>
      </c>
      <c r="Q424" t="n">
        <v>0</v>
      </c>
      <c r="R424" s="2" t="inlineStr"/>
    </row>
    <row r="425" ht="15" customHeight="1">
      <c r="A425" t="inlineStr">
        <is>
          <t>A 40214-2023</t>
        </is>
      </c>
      <c r="B425" s="1" t="n">
        <v>45169.45173611111</v>
      </c>
      <c r="C425" s="1" t="n">
        <v>45879</v>
      </c>
      <c r="D425" t="inlineStr">
        <is>
          <t>VÄSTMANLANDS LÄN</t>
        </is>
      </c>
      <c r="E425" t="inlineStr">
        <is>
          <t>SALA</t>
        </is>
      </c>
      <c r="G425" t="n">
        <v>5.5</v>
      </c>
      <c r="H425" t="n">
        <v>0</v>
      </c>
      <c r="I425" t="n">
        <v>0</v>
      </c>
      <c r="J425" t="n">
        <v>0</v>
      </c>
      <c r="K425" t="n">
        <v>0</v>
      </c>
      <c r="L425" t="n">
        <v>0</v>
      </c>
      <c r="M425" t="n">
        <v>0</v>
      </c>
      <c r="N425" t="n">
        <v>0</v>
      </c>
      <c r="O425" t="n">
        <v>0</v>
      </c>
      <c r="P425" t="n">
        <v>0</v>
      </c>
      <c r="Q425" t="n">
        <v>0</v>
      </c>
      <c r="R425" s="2" t="inlineStr"/>
    </row>
    <row r="426" ht="15" customHeight="1">
      <c r="A426" t="inlineStr">
        <is>
          <t>A 12922-2025</t>
        </is>
      </c>
      <c r="B426" s="1" t="n">
        <v>45734.28572916667</v>
      </c>
      <c r="C426" s="1" t="n">
        <v>45879</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35016-2024</t>
        </is>
      </c>
      <c r="B427" s="1" t="n">
        <v>45527.59115740741</v>
      </c>
      <c r="C427" s="1" t="n">
        <v>45879</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37612-2024</t>
        </is>
      </c>
      <c r="B428" s="1" t="n">
        <v>45541</v>
      </c>
      <c r="C428" s="1" t="n">
        <v>45879</v>
      </c>
      <c r="D428" t="inlineStr">
        <is>
          <t>VÄSTMANLANDS LÄN</t>
        </is>
      </c>
      <c r="E428" t="inlineStr">
        <is>
          <t>SALA</t>
        </is>
      </c>
      <c r="G428" t="n">
        <v>2.2</v>
      </c>
      <c r="H428" t="n">
        <v>0</v>
      </c>
      <c r="I428" t="n">
        <v>0</v>
      </c>
      <c r="J428" t="n">
        <v>0</v>
      </c>
      <c r="K428" t="n">
        <v>0</v>
      </c>
      <c r="L428" t="n">
        <v>0</v>
      </c>
      <c r="M428" t="n">
        <v>0</v>
      </c>
      <c r="N428" t="n">
        <v>0</v>
      </c>
      <c r="O428" t="n">
        <v>0</v>
      </c>
      <c r="P428" t="n">
        <v>0</v>
      </c>
      <c r="Q428" t="n">
        <v>0</v>
      </c>
      <c r="R428" s="2" t="inlineStr"/>
    </row>
    <row r="429" ht="15" customHeight="1">
      <c r="A429" t="inlineStr">
        <is>
          <t>A 37615-2024</t>
        </is>
      </c>
      <c r="B429" s="1" t="n">
        <v>45541.50673611111</v>
      </c>
      <c r="C429" s="1" t="n">
        <v>45879</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5728-2022</t>
        </is>
      </c>
      <c r="B430" s="1" t="n">
        <v>44596.42082175926</v>
      </c>
      <c r="C430" s="1" t="n">
        <v>45879</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57895-2024</t>
        </is>
      </c>
      <c r="B431" s="1" t="n">
        <v>45631</v>
      </c>
      <c r="C431" s="1" t="n">
        <v>45879</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7681-2021</t>
        </is>
      </c>
      <c r="B432" s="1" t="n">
        <v>44242</v>
      </c>
      <c r="C432" s="1" t="n">
        <v>45879</v>
      </c>
      <c r="D432" t="inlineStr">
        <is>
          <t>VÄSTMANLANDS LÄN</t>
        </is>
      </c>
      <c r="E432" t="inlineStr">
        <is>
          <t>SALA</t>
        </is>
      </c>
      <c r="F432" t="inlineStr">
        <is>
          <t>Sveaskog</t>
        </is>
      </c>
      <c r="G432" t="n">
        <v>16.1</v>
      </c>
      <c r="H432" t="n">
        <v>0</v>
      </c>
      <c r="I432" t="n">
        <v>0</v>
      </c>
      <c r="J432" t="n">
        <v>0</v>
      </c>
      <c r="K432" t="n">
        <v>0</v>
      </c>
      <c r="L432" t="n">
        <v>0</v>
      </c>
      <c r="M432" t="n">
        <v>0</v>
      </c>
      <c r="N432" t="n">
        <v>0</v>
      </c>
      <c r="O432" t="n">
        <v>0</v>
      </c>
      <c r="P432" t="n">
        <v>0</v>
      </c>
      <c r="Q432" t="n">
        <v>0</v>
      </c>
      <c r="R432" s="2" t="inlineStr"/>
    </row>
    <row r="433" ht="15" customHeight="1">
      <c r="A433" t="inlineStr">
        <is>
          <t>A 31597-2024</t>
        </is>
      </c>
      <c r="B433" s="1" t="n">
        <v>45506</v>
      </c>
      <c r="C433" s="1" t="n">
        <v>45879</v>
      </c>
      <c r="D433" t="inlineStr">
        <is>
          <t>VÄSTMANLANDS LÄN</t>
        </is>
      </c>
      <c r="E433" t="inlineStr">
        <is>
          <t>SALA</t>
        </is>
      </c>
      <c r="G433" t="n">
        <v>2.4</v>
      </c>
      <c r="H433" t="n">
        <v>0</v>
      </c>
      <c r="I433" t="n">
        <v>0</v>
      </c>
      <c r="J433" t="n">
        <v>0</v>
      </c>
      <c r="K433" t="n">
        <v>0</v>
      </c>
      <c r="L433" t="n">
        <v>0</v>
      </c>
      <c r="M433" t="n">
        <v>0</v>
      </c>
      <c r="N433" t="n">
        <v>0</v>
      </c>
      <c r="O433" t="n">
        <v>0</v>
      </c>
      <c r="P433" t="n">
        <v>0</v>
      </c>
      <c r="Q433" t="n">
        <v>0</v>
      </c>
      <c r="R433" s="2" t="inlineStr"/>
    </row>
    <row r="434" ht="15" customHeight="1">
      <c r="A434" t="inlineStr">
        <is>
          <t>A 24169-2025</t>
        </is>
      </c>
      <c r="B434" s="1" t="n">
        <v>45796</v>
      </c>
      <c r="C434" s="1" t="n">
        <v>45879</v>
      </c>
      <c r="D434" t="inlineStr">
        <is>
          <t>VÄSTMANLANDS LÄN</t>
        </is>
      </c>
      <c r="E434" t="inlineStr">
        <is>
          <t>SALA</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22126-2025</t>
        </is>
      </c>
      <c r="B435" s="1" t="n">
        <v>45785</v>
      </c>
      <c r="C435" s="1" t="n">
        <v>45879</v>
      </c>
      <c r="D435" t="inlineStr">
        <is>
          <t>VÄSTMANLANDS LÄN</t>
        </is>
      </c>
      <c r="E435" t="inlineStr">
        <is>
          <t>SALA</t>
        </is>
      </c>
      <c r="G435" t="n">
        <v>10.6</v>
      </c>
      <c r="H435" t="n">
        <v>0</v>
      </c>
      <c r="I435" t="n">
        <v>0</v>
      </c>
      <c r="J435" t="n">
        <v>0</v>
      </c>
      <c r="K435" t="n">
        <v>0</v>
      </c>
      <c r="L435" t="n">
        <v>0</v>
      </c>
      <c r="M435" t="n">
        <v>0</v>
      </c>
      <c r="N435" t="n">
        <v>0</v>
      </c>
      <c r="O435" t="n">
        <v>0</v>
      </c>
      <c r="P435" t="n">
        <v>0</v>
      </c>
      <c r="Q435" t="n">
        <v>0</v>
      </c>
      <c r="R435" s="2" t="inlineStr"/>
    </row>
    <row r="436" ht="15" customHeight="1">
      <c r="A436" t="inlineStr">
        <is>
          <t>A 17458-2024</t>
        </is>
      </c>
      <c r="B436" s="1" t="n">
        <v>45415</v>
      </c>
      <c r="C436" s="1" t="n">
        <v>45879</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43359-2024</t>
        </is>
      </c>
      <c r="B437" s="1" t="n">
        <v>45568.57724537037</v>
      </c>
      <c r="C437" s="1" t="n">
        <v>45879</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56543-2024</t>
        </is>
      </c>
      <c r="B438" s="1" t="n">
        <v>45625</v>
      </c>
      <c r="C438" s="1" t="n">
        <v>45879</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23810-2025</t>
        </is>
      </c>
      <c r="B439" s="1" t="n">
        <v>45793.56989583333</v>
      </c>
      <c r="C439" s="1" t="n">
        <v>45879</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19751-2022</t>
        </is>
      </c>
      <c r="B440" s="1" t="n">
        <v>44694</v>
      </c>
      <c r="C440" s="1" t="n">
        <v>45879</v>
      </c>
      <c r="D440" t="inlineStr">
        <is>
          <t>VÄSTMANLANDS LÄN</t>
        </is>
      </c>
      <c r="E440" t="inlineStr">
        <is>
          <t>SALA</t>
        </is>
      </c>
      <c r="G440" t="n">
        <v>2.7</v>
      </c>
      <c r="H440" t="n">
        <v>0</v>
      </c>
      <c r="I440" t="n">
        <v>0</v>
      </c>
      <c r="J440" t="n">
        <v>0</v>
      </c>
      <c r="K440" t="n">
        <v>0</v>
      </c>
      <c r="L440" t="n">
        <v>0</v>
      </c>
      <c r="M440" t="n">
        <v>0</v>
      </c>
      <c r="N440" t="n">
        <v>0</v>
      </c>
      <c r="O440" t="n">
        <v>0</v>
      </c>
      <c r="P440" t="n">
        <v>0</v>
      </c>
      <c r="Q440" t="n">
        <v>0</v>
      </c>
      <c r="R440" s="2" t="inlineStr"/>
    </row>
    <row r="441" ht="15" customHeight="1">
      <c r="A441" t="inlineStr">
        <is>
          <t>A 24944-2023</t>
        </is>
      </c>
      <c r="B441" s="1" t="n">
        <v>45085</v>
      </c>
      <c r="C441" s="1" t="n">
        <v>45879</v>
      </c>
      <c r="D441" t="inlineStr">
        <is>
          <t>VÄSTMANLANDS LÄN</t>
        </is>
      </c>
      <c r="E441" t="inlineStr">
        <is>
          <t>SALA</t>
        </is>
      </c>
      <c r="G441" t="n">
        <v>3.8</v>
      </c>
      <c r="H441" t="n">
        <v>0</v>
      </c>
      <c r="I441" t="n">
        <v>0</v>
      </c>
      <c r="J441" t="n">
        <v>0</v>
      </c>
      <c r="K441" t="n">
        <v>0</v>
      </c>
      <c r="L441" t="n">
        <v>0</v>
      </c>
      <c r="M441" t="n">
        <v>0</v>
      </c>
      <c r="N441" t="n">
        <v>0</v>
      </c>
      <c r="O441" t="n">
        <v>0</v>
      </c>
      <c r="P441" t="n">
        <v>0</v>
      </c>
      <c r="Q441" t="n">
        <v>0</v>
      </c>
      <c r="R441" s="2" t="inlineStr"/>
    </row>
    <row r="442" ht="15" customHeight="1">
      <c r="A442" t="inlineStr">
        <is>
          <t>A 28661-2024</t>
        </is>
      </c>
      <c r="B442" s="1" t="n">
        <v>45478</v>
      </c>
      <c r="C442" s="1" t="n">
        <v>45879</v>
      </c>
      <c r="D442" t="inlineStr">
        <is>
          <t>VÄSTMANLANDS LÄN</t>
        </is>
      </c>
      <c r="E442" t="inlineStr">
        <is>
          <t>SALA</t>
        </is>
      </c>
      <c r="G442" t="n">
        <v>0.6</v>
      </c>
      <c r="H442" t="n">
        <v>0</v>
      </c>
      <c r="I442" t="n">
        <v>0</v>
      </c>
      <c r="J442" t="n">
        <v>0</v>
      </c>
      <c r="K442" t="n">
        <v>0</v>
      </c>
      <c r="L442" t="n">
        <v>0</v>
      </c>
      <c r="M442" t="n">
        <v>0</v>
      </c>
      <c r="N442" t="n">
        <v>0</v>
      </c>
      <c r="O442" t="n">
        <v>0</v>
      </c>
      <c r="P442" t="n">
        <v>0</v>
      </c>
      <c r="Q442" t="n">
        <v>0</v>
      </c>
      <c r="R442" s="2" t="inlineStr"/>
    </row>
    <row r="443" ht="15" customHeight="1">
      <c r="A443" t="inlineStr">
        <is>
          <t>A 2529-2022</t>
        </is>
      </c>
      <c r="B443" s="1" t="n">
        <v>44579.86452546297</v>
      </c>
      <c r="C443" s="1" t="n">
        <v>45879</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56540-2024</t>
        </is>
      </c>
      <c r="B444" s="1" t="n">
        <v>45625</v>
      </c>
      <c r="C444" s="1" t="n">
        <v>45879</v>
      </c>
      <c r="D444" t="inlineStr">
        <is>
          <t>VÄSTMANLANDS LÄN</t>
        </is>
      </c>
      <c r="E444" t="inlineStr">
        <is>
          <t>SALA</t>
        </is>
      </c>
      <c r="G444" t="n">
        <v>1.8</v>
      </c>
      <c r="H444" t="n">
        <v>0</v>
      </c>
      <c r="I444" t="n">
        <v>0</v>
      </c>
      <c r="J444" t="n">
        <v>0</v>
      </c>
      <c r="K444" t="n">
        <v>0</v>
      </c>
      <c r="L444" t="n">
        <v>0</v>
      </c>
      <c r="M444" t="n">
        <v>0</v>
      </c>
      <c r="N444" t="n">
        <v>0</v>
      </c>
      <c r="O444" t="n">
        <v>0</v>
      </c>
      <c r="P444" t="n">
        <v>0</v>
      </c>
      <c r="Q444" t="n">
        <v>0</v>
      </c>
      <c r="R444" s="2" t="inlineStr"/>
    </row>
    <row r="445" ht="15" customHeight="1">
      <c r="A445" t="inlineStr">
        <is>
          <t>A 31599-2024</t>
        </is>
      </c>
      <c r="B445" s="1" t="n">
        <v>45506</v>
      </c>
      <c r="C445" s="1" t="n">
        <v>45879</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31601-2024</t>
        </is>
      </c>
      <c r="B446" s="1" t="n">
        <v>45506</v>
      </c>
      <c r="C446" s="1" t="n">
        <v>45879</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31608-2024</t>
        </is>
      </c>
      <c r="B447" s="1" t="n">
        <v>45506</v>
      </c>
      <c r="C447" s="1" t="n">
        <v>45879</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31612-2024</t>
        </is>
      </c>
      <c r="B448" s="1" t="n">
        <v>45506</v>
      </c>
      <c r="C448" s="1" t="n">
        <v>45879</v>
      </c>
      <c r="D448" t="inlineStr">
        <is>
          <t>VÄSTMANLANDS LÄN</t>
        </is>
      </c>
      <c r="E448" t="inlineStr">
        <is>
          <t>SALA</t>
        </is>
      </c>
      <c r="G448" t="n">
        <v>3.2</v>
      </c>
      <c r="H448" t="n">
        <v>0</v>
      </c>
      <c r="I448" t="n">
        <v>0</v>
      </c>
      <c r="J448" t="n">
        <v>0</v>
      </c>
      <c r="K448" t="n">
        <v>0</v>
      </c>
      <c r="L448" t="n">
        <v>0</v>
      </c>
      <c r="M448" t="n">
        <v>0</v>
      </c>
      <c r="N448" t="n">
        <v>0</v>
      </c>
      <c r="O448" t="n">
        <v>0</v>
      </c>
      <c r="P448" t="n">
        <v>0</v>
      </c>
      <c r="Q448" t="n">
        <v>0</v>
      </c>
      <c r="R448" s="2" t="inlineStr"/>
    </row>
    <row r="449" ht="15" customHeight="1">
      <c r="A449" t="inlineStr">
        <is>
          <t>A 23804-2025</t>
        </is>
      </c>
      <c r="B449" s="1" t="n">
        <v>45793.55995370371</v>
      </c>
      <c r="C449" s="1" t="n">
        <v>45879</v>
      </c>
      <c r="D449" t="inlineStr">
        <is>
          <t>VÄSTMANLANDS LÄN</t>
        </is>
      </c>
      <c r="E449" t="inlineStr">
        <is>
          <t>SALA</t>
        </is>
      </c>
      <c r="G449" t="n">
        <v>1.9</v>
      </c>
      <c r="H449" t="n">
        <v>0</v>
      </c>
      <c r="I449" t="n">
        <v>0</v>
      </c>
      <c r="J449" t="n">
        <v>0</v>
      </c>
      <c r="K449" t="n">
        <v>0</v>
      </c>
      <c r="L449" t="n">
        <v>0</v>
      </c>
      <c r="M449" t="n">
        <v>0</v>
      </c>
      <c r="N449" t="n">
        <v>0</v>
      </c>
      <c r="O449" t="n">
        <v>0</v>
      </c>
      <c r="P449" t="n">
        <v>0</v>
      </c>
      <c r="Q449" t="n">
        <v>0</v>
      </c>
      <c r="R449" s="2" t="inlineStr"/>
    </row>
    <row r="450" ht="15" customHeight="1">
      <c r="A450" t="inlineStr">
        <is>
          <t>A 11210-2025</t>
        </is>
      </c>
      <c r="B450" s="1" t="n">
        <v>45726</v>
      </c>
      <c r="C450" s="1" t="n">
        <v>45879</v>
      </c>
      <c r="D450" t="inlineStr">
        <is>
          <t>VÄSTMANLANDS LÄN</t>
        </is>
      </c>
      <c r="E450" t="inlineStr">
        <is>
          <t>SALA</t>
        </is>
      </c>
      <c r="G450" t="n">
        <v>4.1</v>
      </c>
      <c r="H450" t="n">
        <v>0</v>
      </c>
      <c r="I450" t="n">
        <v>0</v>
      </c>
      <c r="J450" t="n">
        <v>0</v>
      </c>
      <c r="K450" t="n">
        <v>0</v>
      </c>
      <c r="L450" t="n">
        <v>0</v>
      </c>
      <c r="M450" t="n">
        <v>0</v>
      </c>
      <c r="N450" t="n">
        <v>0</v>
      </c>
      <c r="O450" t="n">
        <v>0</v>
      </c>
      <c r="P450" t="n">
        <v>0</v>
      </c>
      <c r="Q450" t="n">
        <v>0</v>
      </c>
      <c r="R450" s="2" t="inlineStr"/>
    </row>
    <row r="451" ht="15" customHeight="1">
      <c r="A451" t="inlineStr">
        <is>
          <t>A 46279-2021</t>
        </is>
      </c>
      <c r="B451" s="1" t="n">
        <v>44442.57797453704</v>
      </c>
      <c r="C451" s="1" t="n">
        <v>45879</v>
      </c>
      <c r="D451" t="inlineStr">
        <is>
          <t>VÄSTMANLANDS LÄN</t>
        </is>
      </c>
      <c r="E451" t="inlineStr">
        <is>
          <t>SALA</t>
        </is>
      </c>
      <c r="G451" t="n">
        <v>1.4</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45879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19297-2025</t>
        </is>
      </c>
      <c r="B453" s="1" t="n">
        <v>45769.56261574074</v>
      </c>
      <c r="C453" s="1" t="n">
        <v>45879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64693-2023</t>
        </is>
      </c>
      <c r="B454" s="1" t="n">
        <v>45281.63850694444</v>
      </c>
      <c r="C454" s="1" t="n">
        <v>45879</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64695-2023</t>
        </is>
      </c>
      <c r="B455" s="1" t="n">
        <v>45281.64099537037</v>
      </c>
      <c r="C455" s="1" t="n">
        <v>45879</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6312-2025</t>
        </is>
      </c>
      <c r="B456" s="1" t="n">
        <v>45698</v>
      </c>
      <c r="C456" s="1" t="n">
        <v>45879</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55035-2023</t>
        </is>
      </c>
      <c r="B457" s="1" t="n">
        <v>45229</v>
      </c>
      <c r="C457" s="1" t="n">
        <v>45879</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4736-2021</t>
        </is>
      </c>
      <c r="B458" s="1" t="n">
        <v>44225</v>
      </c>
      <c r="C458" s="1" t="n">
        <v>45879</v>
      </c>
      <c r="D458" t="inlineStr">
        <is>
          <t>VÄSTMANLANDS LÄN</t>
        </is>
      </c>
      <c r="E458" t="inlineStr">
        <is>
          <t>SALA</t>
        </is>
      </c>
      <c r="G458" t="n">
        <v>4.2</v>
      </c>
      <c r="H458" t="n">
        <v>0</v>
      </c>
      <c r="I458" t="n">
        <v>0</v>
      </c>
      <c r="J458" t="n">
        <v>0</v>
      </c>
      <c r="K458" t="n">
        <v>0</v>
      </c>
      <c r="L458" t="n">
        <v>0</v>
      </c>
      <c r="M458" t="n">
        <v>0</v>
      </c>
      <c r="N458" t="n">
        <v>0</v>
      </c>
      <c r="O458" t="n">
        <v>0</v>
      </c>
      <c r="P458" t="n">
        <v>0</v>
      </c>
      <c r="Q458" t="n">
        <v>0</v>
      </c>
      <c r="R458" s="2" t="inlineStr"/>
    </row>
    <row r="459" ht="15" customHeight="1">
      <c r="A459" t="inlineStr">
        <is>
          <t>A 32902-2025</t>
        </is>
      </c>
      <c r="B459" s="1" t="n">
        <v>45839</v>
      </c>
      <c r="C459" s="1" t="n">
        <v>45879</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24460-2025</t>
        </is>
      </c>
      <c r="B460" s="1" t="n">
        <v>45798</v>
      </c>
      <c r="C460" s="1" t="n">
        <v>45879</v>
      </c>
      <c r="D460" t="inlineStr">
        <is>
          <t>VÄSTMANLANDS LÄN</t>
        </is>
      </c>
      <c r="E460" t="inlineStr">
        <is>
          <t>SALA</t>
        </is>
      </c>
      <c r="F460" t="inlineStr">
        <is>
          <t>Bergvik skog öst AB</t>
        </is>
      </c>
      <c r="G460" t="n">
        <v>2.6</v>
      </c>
      <c r="H460" t="n">
        <v>0</v>
      </c>
      <c r="I460" t="n">
        <v>0</v>
      </c>
      <c r="J460" t="n">
        <v>0</v>
      </c>
      <c r="K460" t="n">
        <v>0</v>
      </c>
      <c r="L460" t="n">
        <v>0</v>
      </c>
      <c r="M460" t="n">
        <v>0</v>
      </c>
      <c r="N460" t="n">
        <v>0</v>
      </c>
      <c r="O460" t="n">
        <v>0</v>
      </c>
      <c r="P460" t="n">
        <v>0</v>
      </c>
      <c r="Q460" t="n">
        <v>0</v>
      </c>
      <c r="R460" s="2" t="inlineStr"/>
    </row>
    <row r="461" ht="15" customHeight="1">
      <c r="A461" t="inlineStr">
        <is>
          <t>A 52500-2024</t>
        </is>
      </c>
      <c r="B461" s="1" t="n">
        <v>45609</v>
      </c>
      <c r="C461" s="1" t="n">
        <v>45879</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55784-2024</t>
        </is>
      </c>
      <c r="B462" s="1" t="n">
        <v>45623</v>
      </c>
      <c r="C462" s="1" t="n">
        <v>45879</v>
      </c>
      <c r="D462" t="inlineStr">
        <is>
          <t>VÄSTMANLANDS LÄN</t>
        </is>
      </c>
      <c r="E462" t="inlineStr">
        <is>
          <t>SALA</t>
        </is>
      </c>
      <c r="F462" t="inlineStr">
        <is>
          <t>Bergvik skog öst AB</t>
        </is>
      </c>
      <c r="G462" t="n">
        <v>28.4</v>
      </c>
      <c r="H462" t="n">
        <v>0</v>
      </c>
      <c r="I462" t="n">
        <v>0</v>
      </c>
      <c r="J462" t="n">
        <v>0</v>
      </c>
      <c r="K462" t="n">
        <v>0</v>
      </c>
      <c r="L462" t="n">
        <v>0</v>
      </c>
      <c r="M462" t="n">
        <v>0</v>
      </c>
      <c r="N462" t="n">
        <v>0</v>
      </c>
      <c r="O462" t="n">
        <v>0</v>
      </c>
      <c r="P462" t="n">
        <v>0</v>
      </c>
      <c r="Q462" t="n">
        <v>0</v>
      </c>
      <c r="R462" s="2" t="inlineStr"/>
    </row>
    <row r="463" ht="15" customHeight="1">
      <c r="A463" t="inlineStr">
        <is>
          <t>A 32201-2025</t>
        </is>
      </c>
      <c r="B463" s="1" t="n">
        <v>45835</v>
      </c>
      <c r="C463" s="1" t="n">
        <v>45879</v>
      </c>
      <c r="D463" t="inlineStr">
        <is>
          <t>VÄSTMANLANDS LÄN</t>
        </is>
      </c>
      <c r="E463" t="inlineStr">
        <is>
          <t>SALA</t>
        </is>
      </c>
      <c r="F463" t="inlineStr">
        <is>
          <t>Bergvik skog öst AB</t>
        </is>
      </c>
      <c r="G463" t="n">
        <v>1.8</v>
      </c>
      <c r="H463" t="n">
        <v>0</v>
      </c>
      <c r="I463" t="n">
        <v>0</v>
      </c>
      <c r="J463" t="n">
        <v>0</v>
      </c>
      <c r="K463" t="n">
        <v>0</v>
      </c>
      <c r="L463" t="n">
        <v>0</v>
      </c>
      <c r="M463" t="n">
        <v>0</v>
      </c>
      <c r="N463" t="n">
        <v>0</v>
      </c>
      <c r="O463" t="n">
        <v>0</v>
      </c>
      <c r="P463" t="n">
        <v>0</v>
      </c>
      <c r="Q463" t="n">
        <v>0</v>
      </c>
      <c r="R463" s="2" t="inlineStr"/>
    </row>
    <row r="464" ht="15" customHeight="1">
      <c r="A464" t="inlineStr">
        <is>
          <t>A 7950-2025</t>
        </is>
      </c>
      <c r="B464" s="1" t="n">
        <v>45707.41799768519</v>
      </c>
      <c r="C464" s="1" t="n">
        <v>45879</v>
      </c>
      <c r="D464" t="inlineStr">
        <is>
          <t>VÄSTMANLANDS LÄN</t>
        </is>
      </c>
      <c r="E464" t="inlineStr">
        <is>
          <t>SALA</t>
        </is>
      </c>
      <c r="G464" t="n">
        <v>3.2</v>
      </c>
      <c r="H464" t="n">
        <v>0</v>
      </c>
      <c r="I464" t="n">
        <v>0</v>
      </c>
      <c r="J464" t="n">
        <v>0</v>
      </c>
      <c r="K464" t="n">
        <v>0</v>
      </c>
      <c r="L464" t="n">
        <v>0</v>
      </c>
      <c r="M464" t="n">
        <v>0</v>
      </c>
      <c r="N464" t="n">
        <v>0</v>
      </c>
      <c r="O464" t="n">
        <v>0</v>
      </c>
      <c r="P464" t="n">
        <v>0</v>
      </c>
      <c r="Q464" t="n">
        <v>0</v>
      </c>
      <c r="R464" s="2" t="inlineStr"/>
    </row>
    <row r="465" ht="15" customHeight="1">
      <c r="A465" t="inlineStr">
        <is>
          <t>A 10812-2021</t>
        </is>
      </c>
      <c r="B465" s="1" t="n">
        <v>44259</v>
      </c>
      <c r="C465" s="1" t="n">
        <v>45879</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55065-2024</t>
        </is>
      </c>
      <c r="B466" s="1" t="n">
        <v>45618</v>
      </c>
      <c r="C466" s="1" t="n">
        <v>45879</v>
      </c>
      <c r="D466" t="inlineStr">
        <is>
          <t>VÄSTMANLANDS LÄN</t>
        </is>
      </c>
      <c r="E466" t="inlineStr">
        <is>
          <t>SALA</t>
        </is>
      </c>
      <c r="G466" t="n">
        <v>3.5</v>
      </c>
      <c r="H466" t="n">
        <v>0</v>
      </c>
      <c r="I466" t="n">
        <v>0</v>
      </c>
      <c r="J466" t="n">
        <v>0</v>
      </c>
      <c r="K466" t="n">
        <v>0</v>
      </c>
      <c r="L466" t="n">
        <v>0</v>
      </c>
      <c r="M466" t="n">
        <v>0</v>
      </c>
      <c r="N466" t="n">
        <v>0</v>
      </c>
      <c r="O466" t="n">
        <v>0</v>
      </c>
      <c r="P466" t="n">
        <v>0</v>
      </c>
      <c r="Q466" t="n">
        <v>0</v>
      </c>
      <c r="R466" s="2" t="inlineStr"/>
    </row>
    <row r="467" ht="15" customHeight="1">
      <c r="A467" t="inlineStr">
        <is>
          <t>A 10154-2021</t>
        </is>
      </c>
      <c r="B467" s="1" t="n">
        <v>44256</v>
      </c>
      <c r="C467" s="1" t="n">
        <v>45879</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29542-2023</t>
        </is>
      </c>
      <c r="B468" s="1" t="n">
        <v>45098</v>
      </c>
      <c r="C468" s="1" t="n">
        <v>45879</v>
      </c>
      <c r="D468" t="inlineStr">
        <is>
          <t>VÄSTMANLANDS LÄN</t>
        </is>
      </c>
      <c r="E468" t="inlineStr">
        <is>
          <t>SALA</t>
        </is>
      </c>
      <c r="G468" t="n">
        <v>4.8</v>
      </c>
      <c r="H468" t="n">
        <v>0</v>
      </c>
      <c r="I468" t="n">
        <v>0</v>
      </c>
      <c r="J468" t="n">
        <v>0</v>
      </c>
      <c r="K468" t="n">
        <v>0</v>
      </c>
      <c r="L468" t="n">
        <v>0</v>
      </c>
      <c r="M468" t="n">
        <v>0</v>
      </c>
      <c r="N468" t="n">
        <v>0</v>
      </c>
      <c r="O468" t="n">
        <v>0</v>
      </c>
      <c r="P468" t="n">
        <v>0</v>
      </c>
      <c r="Q468" t="n">
        <v>0</v>
      </c>
      <c r="R468" s="2" t="inlineStr"/>
    </row>
    <row r="469" ht="15" customHeight="1">
      <c r="A469" t="inlineStr">
        <is>
          <t>A 27038-2023</t>
        </is>
      </c>
      <c r="B469" s="1" t="n">
        <v>45095</v>
      </c>
      <c r="C469" s="1" t="n">
        <v>45879</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24463-2025</t>
        </is>
      </c>
      <c r="B470" s="1" t="n">
        <v>45798</v>
      </c>
      <c r="C470" s="1" t="n">
        <v>45879</v>
      </c>
      <c r="D470" t="inlineStr">
        <is>
          <t>VÄSTMANLANDS LÄN</t>
        </is>
      </c>
      <c r="E470" t="inlineStr">
        <is>
          <t>SALA</t>
        </is>
      </c>
      <c r="F470" t="inlineStr">
        <is>
          <t>Bergvik skog öst AB</t>
        </is>
      </c>
      <c r="G470" t="n">
        <v>1.5</v>
      </c>
      <c r="H470" t="n">
        <v>0</v>
      </c>
      <c r="I470" t="n">
        <v>0</v>
      </c>
      <c r="J470" t="n">
        <v>0</v>
      </c>
      <c r="K470" t="n">
        <v>0</v>
      </c>
      <c r="L470" t="n">
        <v>0</v>
      </c>
      <c r="M470" t="n">
        <v>0</v>
      </c>
      <c r="N470" t="n">
        <v>0</v>
      </c>
      <c r="O470" t="n">
        <v>0</v>
      </c>
      <c r="P470" t="n">
        <v>0</v>
      </c>
      <c r="Q470" t="n">
        <v>0</v>
      </c>
      <c r="R470" s="2" t="inlineStr"/>
    </row>
    <row r="471" ht="15" customHeight="1">
      <c r="A471" t="inlineStr">
        <is>
          <t>A 66821-2020</t>
        </is>
      </c>
      <c r="B471" s="1" t="n">
        <v>44179.88008101852</v>
      </c>
      <c r="C471" s="1" t="n">
        <v>45879</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16328-2025</t>
        </is>
      </c>
      <c r="B472" s="1" t="n">
        <v>45751</v>
      </c>
      <c r="C472" s="1" t="n">
        <v>45879</v>
      </c>
      <c r="D472" t="inlineStr">
        <is>
          <t>VÄSTMANLANDS LÄN</t>
        </is>
      </c>
      <c r="E472" t="inlineStr">
        <is>
          <t>SALA</t>
        </is>
      </c>
      <c r="G472" t="n">
        <v>2.9</v>
      </c>
      <c r="H472" t="n">
        <v>0</v>
      </c>
      <c r="I472" t="n">
        <v>0</v>
      </c>
      <c r="J472" t="n">
        <v>0</v>
      </c>
      <c r="K472" t="n">
        <v>0</v>
      </c>
      <c r="L472" t="n">
        <v>0</v>
      </c>
      <c r="M472" t="n">
        <v>0</v>
      </c>
      <c r="N472" t="n">
        <v>0</v>
      </c>
      <c r="O472" t="n">
        <v>0</v>
      </c>
      <c r="P472" t="n">
        <v>0</v>
      </c>
      <c r="Q472" t="n">
        <v>0</v>
      </c>
      <c r="R472" s="2" t="inlineStr"/>
    </row>
    <row r="473" ht="15" customHeight="1">
      <c r="A473" t="inlineStr">
        <is>
          <t>A 17051-2025</t>
        </is>
      </c>
      <c r="B473" s="1" t="n">
        <v>45755</v>
      </c>
      <c r="C473" s="1" t="n">
        <v>45879</v>
      </c>
      <c r="D473" t="inlineStr">
        <is>
          <t>VÄSTMANLANDS LÄN</t>
        </is>
      </c>
      <c r="E473" t="inlineStr">
        <is>
          <t>SALA</t>
        </is>
      </c>
      <c r="G473" t="n">
        <v>2.9</v>
      </c>
      <c r="H473" t="n">
        <v>0</v>
      </c>
      <c r="I473" t="n">
        <v>0</v>
      </c>
      <c r="J473" t="n">
        <v>0</v>
      </c>
      <c r="K473" t="n">
        <v>0</v>
      </c>
      <c r="L473" t="n">
        <v>0</v>
      </c>
      <c r="M473" t="n">
        <v>0</v>
      </c>
      <c r="N473" t="n">
        <v>0</v>
      </c>
      <c r="O473" t="n">
        <v>0</v>
      </c>
      <c r="P473" t="n">
        <v>0</v>
      </c>
      <c r="Q473" t="n">
        <v>0</v>
      </c>
      <c r="R473" s="2" t="inlineStr"/>
    </row>
    <row r="474" ht="15" customHeight="1">
      <c r="A474" t="inlineStr">
        <is>
          <t>A 31609-2024</t>
        </is>
      </c>
      <c r="B474" s="1" t="n">
        <v>45506</v>
      </c>
      <c r="C474" s="1" t="n">
        <v>45879</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8285-2025</t>
        </is>
      </c>
      <c r="B475" s="1" t="n">
        <v>45708</v>
      </c>
      <c r="C475" s="1" t="n">
        <v>45879</v>
      </c>
      <c r="D475" t="inlineStr">
        <is>
          <t>VÄSTMANLANDS LÄN</t>
        </is>
      </c>
      <c r="E475" t="inlineStr">
        <is>
          <t>SALA</t>
        </is>
      </c>
      <c r="G475" t="n">
        <v>5.7</v>
      </c>
      <c r="H475" t="n">
        <v>0</v>
      </c>
      <c r="I475" t="n">
        <v>0</v>
      </c>
      <c r="J475" t="n">
        <v>0</v>
      </c>
      <c r="K475" t="n">
        <v>0</v>
      </c>
      <c r="L475" t="n">
        <v>0</v>
      </c>
      <c r="M475" t="n">
        <v>0</v>
      </c>
      <c r="N475" t="n">
        <v>0</v>
      </c>
      <c r="O475" t="n">
        <v>0</v>
      </c>
      <c r="P475" t="n">
        <v>0</v>
      </c>
      <c r="Q475" t="n">
        <v>0</v>
      </c>
      <c r="R475" s="2" t="inlineStr"/>
    </row>
    <row r="476" ht="15" customHeight="1">
      <c r="A476" t="inlineStr">
        <is>
          <t>A 32207-2025</t>
        </is>
      </c>
      <c r="B476" s="1" t="n">
        <v>45835</v>
      </c>
      <c r="C476" s="1" t="n">
        <v>45879</v>
      </c>
      <c r="D476" t="inlineStr">
        <is>
          <t>VÄSTMANLANDS LÄN</t>
        </is>
      </c>
      <c r="E476" t="inlineStr">
        <is>
          <t>SALA</t>
        </is>
      </c>
      <c r="F476" t="inlineStr">
        <is>
          <t>Bergvik skog öst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14010-2021</t>
        </is>
      </c>
      <c r="B477" s="1" t="n">
        <v>44277.63396990741</v>
      </c>
      <c r="C477" s="1" t="n">
        <v>45879</v>
      </c>
      <c r="D477" t="inlineStr">
        <is>
          <t>VÄSTMANLANDS LÄN</t>
        </is>
      </c>
      <c r="E477" t="inlineStr">
        <is>
          <t>SALA</t>
        </is>
      </c>
      <c r="G477" t="n">
        <v>3.5</v>
      </c>
      <c r="H477" t="n">
        <v>0</v>
      </c>
      <c r="I477" t="n">
        <v>0</v>
      </c>
      <c r="J477" t="n">
        <v>0</v>
      </c>
      <c r="K477" t="n">
        <v>0</v>
      </c>
      <c r="L477" t="n">
        <v>0</v>
      </c>
      <c r="M477" t="n">
        <v>0</v>
      </c>
      <c r="N477" t="n">
        <v>0</v>
      </c>
      <c r="O477" t="n">
        <v>0</v>
      </c>
      <c r="P477" t="n">
        <v>0</v>
      </c>
      <c r="Q477" t="n">
        <v>0</v>
      </c>
      <c r="R477" s="2" t="inlineStr"/>
    </row>
    <row r="478" ht="15" customHeight="1">
      <c r="A478" t="inlineStr">
        <is>
          <t>A 24907-2025</t>
        </is>
      </c>
      <c r="B478" s="1" t="n">
        <v>45799</v>
      </c>
      <c r="C478" s="1" t="n">
        <v>45879</v>
      </c>
      <c r="D478" t="inlineStr">
        <is>
          <t>VÄSTMANLANDS LÄN</t>
        </is>
      </c>
      <c r="E478" t="inlineStr">
        <is>
          <t>SALA</t>
        </is>
      </c>
      <c r="G478" t="n">
        <v>3.5</v>
      </c>
      <c r="H478" t="n">
        <v>0</v>
      </c>
      <c r="I478" t="n">
        <v>0</v>
      </c>
      <c r="J478" t="n">
        <v>0</v>
      </c>
      <c r="K478" t="n">
        <v>0</v>
      </c>
      <c r="L478" t="n">
        <v>0</v>
      </c>
      <c r="M478" t="n">
        <v>0</v>
      </c>
      <c r="N478" t="n">
        <v>0</v>
      </c>
      <c r="O478" t="n">
        <v>0</v>
      </c>
      <c r="P478" t="n">
        <v>0</v>
      </c>
      <c r="Q478" t="n">
        <v>0</v>
      </c>
      <c r="R478" s="2" t="inlineStr"/>
    </row>
    <row r="479" ht="15" customHeight="1">
      <c r="A479" t="inlineStr">
        <is>
          <t>A 24910-2025</t>
        </is>
      </c>
      <c r="B479" s="1" t="n">
        <v>45799.53775462963</v>
      </c>
      <c r="C479" s="1" t="n">
        <v>45879</v>
      </c>
      <c r="D479" t="inlineStr">
        <is>
          <t>VÄSTMANLANDS LÄN</t>
        </is>
      </c>
      <c r="E479" t="inlineStr">
        <is>
          <t>SALA</t>
        </is>
      </c>
      <c r="G479" t="n">
        <v>3.5</v>
      </c>
      <c r="H479" t="n">
        <v>0</v>
      </c>
      <c r="I479" t="n">
        <v>0</v>
      </c>
      <c r="J479" t="n">
        <v>0</v>
      </c>
      <c r="K479" t="n">
        <v>0</v>
      </c>
      <c r="L479" t="n">
        <v>0</v>
      </c>
      <c r="M479" t="n">
        <v>0</v>
      </c>
      <c r="N479" t="n">
        <v>0</v>
      </c>
      <c r="O479" t="n">
        <v>0</v>
      </c>
      <c r="P479" t="n">
        <v>0</v>
      </c>
      <c r="Q479" t="n">
        <v>0</v>
      </c>
      <c r="R479" s="2" t="inlineStr"/>
    </row>
    <row r="480" ht="15" customHeight="1">
      <c r="A480" t="inlineStr">
        <is>
          <t>A 32210-2025</t>
        </is>
      </c>
      <c r="B480" s="1" t="n">
        <v>45835</v>
      </c>
      <c r="C480" s="1" t="n">
        <v>45879</v>
      </c>
      <c r="D480" t="inlineStr">
        <is>
          <t>VÄSTMANLANDS LÄN</t>
        </is>
      </c>
      <c r="E480" t="inlineStr">
        <is>
          <t>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32205-2025</t>
        </is>
      </c>
      <c r="B481" s="1" t="n">
        <v>45835</v>
      </c>
      <c r="C481" s="1" t="n">
        <v>45879</v>
      </c>
      <c r="D481" t="inlineStr">
        <is>
          <t>VÄSTMANLANDS LÄN</t>
        </is>
      </c>
      <c r="E481" t="inlineStr">
        <is>
          <t>SALA</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22019-2021</t>
        </is>
      </c>
      <c r="B482" s="1" t="n">
        <v>44323</v>
      </c>
      <c r="C482" s="1" t="n">
        <v>45879</v>
      </c>
      <c r="D482" t="inlineStr">
        <is>
          <t>VÄSTMANLANDS LÄN</t>
        </is>
      </c>
      <c r="E482" t="inlineStr">
        <is>
          <t>SALA</t>
        </is>
      </c>
      <c r="G482" t="n">
        <v>1.9</v>
      </c>
      <c r="H482" t="n">
        <v>0</v>
      </c>
      <c r="I482" t="n">
        <v>0</v>
      </c>
      <c r="J482" t="n">
        <v>0</v>
      </c>
      <c r="K482" t="n">
        <v>0</v>
      </c>
      <c r="L482" t="n">
        <v>0</v>
      </c>
      <c r="M482" t="n">
        <v>0</v>
      </c>
      <c r="N482" t="n">
        <v>0</v>
      </c>
      <c r="O482" t="n">
        <v>0</v>
      </c>
      <c r="P482" t="n">
        <v>0</v>
      </c>
      <c r="Q482" t="n">
        <v>0</v>
      </c>
      <c r="R482" s="2" t="inlineStr"/>
    </row>
    <row r="483" ht="15" customHeight="1">
      <c r="A483" t="inlineStr">
        <is>
          <t>A 35410-2022</t>
        </is>
      </c>
      <c r="B483" s="1" t="n">
        <v>44798.62576388889</v>
      </c>
      <c r="C483" s="1" t="n">
        <v>45879</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57404-2024</t>
        </is>
      </c>
      <c r="B484" s="1" t="n">
        <v>45629.71967592592</v>
      </c>
      <c r="C484" s="1" t="n">
        <v>45879</v>
      </c>
      <c r="D484" t="inlineStr">
        <is>
          <t>VÄSTMANLANDS LÄN</t>
        </is>
      </c>
      <c r="E484" t="inlineStr">
        <is>
          <t>SALA</t>
        </is>
      </c>
      <c r="G484" t="n">
        <v>0.3</v>
      </c>
      <c r="H484" t="n">
        <v>0</v>
      </c>
      <c r="I484" t="n">
        <v>0</v>
      </c>
      <c r="J484" t="n">
        <v>0</v>
      </c>
      <c r="K484" t="n">
        <v>0</v>
      </c>
      <c r="L484" t="n">
        <v>0</v>
      </c>
      <c r="M484" t="n">
        <v>0</v>
      </c>
      <c r="N484" t="n">
        <v>0</v>
      </c>
      <c r="O484" t="n">
        <v>0</v>
      </c>
      <c r="P484" t="n">
        <v>0</v>
      </c>
      <c r="Q484" t="n">
        <v>0</v>
      </c>
      <c r="R484" s="2" t="inlineStr"/>
    </row>
    <row r="485" ht="15" customHeight="1">
      <c r="A485" t="inlineStr">
        <is>
          <t>A 10909-2024</t>
        </is>
      </c>
      <c r="B485" s="1" t="n">
        <v>45370</v>
      </c>
      <c r="C485" s="1" t="n">
        <v>45879</v>
      </c>
      <c r="D485" t="inlineStr">
        <is>
          <t>VÄSTMANLANDS LÄN</t>
        </is>
      </c>
      <c r="E485" t="inlineStr">
        <is>
          <t>SALA</t>
        </is>
      </c>
      <c r="G485" t="n">
        <v>3.3</v>
      </c>
      <c r="H485" t="n">
        <v>0</v>
      </c>
      <c r="I485" t="n">
        <v>0</v>
      </c>
      <c r="J485" t="n">
        <v>0</v>
      </c>
      <c r="K485" t="n">
        <v>0</v>
      </c>
      <c r="L485" t="n">
        <v>0</v>
      </c>
      <c r="M485" t="n">
        <v>0</v>
      </c>
      <c r="N485" t="n">
        <v>0</v>
      </c>
      <c r="O485" t="n">
        <v>0</v>
      </c>
      <c r="P485" t="n">
        <v>0</v>
      </c>
      <c r="Q485" t="n">
        <v>0</v>
      </c>
      <c r="R485" s="2" t="inlineStr"/>
    </row>
    <row r="486" ht="15" customHeight="1">
      <c r="A486" t="inlineStr">
        <is>
          <t>A 17722-2025</t>
        </is>
      </c>
      <c r="B486" s="1" t="n">
        <v>45758</v>
      </c>
      <c r="C486" s="1" t="n">
        <v>45879</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34069-2025</t>
        </is>
      </c>
      <c r="B487" s="1" t="n">
        <v>45845.43560185185</v>
      </c>
      <c r="C487" s="1" t="n">
        <v>45879</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c r="U487">
        <f>HYPERLINK("https://klasma.github.io/Logging_1981/knärot/A 34069-2025 karta knärot.png", "A 34069-2025")</f>
        <v/>
      </c>
      <c r="V487">
        <f>HYPERLINK("https://klasma.github.io/Logging_1981/klagomål/A 34069-2025 FSC-klagomål.docx", "A 34069-2025")</f>
        <v/>
      </c>
      <c r="W487">
        <f>HYPERLINK("https://klasma.github.io/Logging_1981/klagomålsmail/A 34069-2025 FSC-klagomål mail.docx", "A 34069-2025")</f>
        <v/>
      </c>
      <c r="X487">
        <f>HYPERLINK("https://klasma.github.io/Logging_1981/tillsyn/A 34069-2025 tillsynsbegäran.docx", "A 34069-2025")</f>
        <v/>
      </c>
      <c r="Y487">
        <f>HYPERLINK("https://klasma.github.io/Logging_1981/tillsynsmail/A 34069-2025 tillsynsbegäran mail.docx", "A 34069-2025")</f>
        <v/>
      </c>
    </row>
    <row r="488" ht="15" customHeight="1">
      <c r="A488" t="inlineStr">
        <is>
          <t>A 21777-2022</t>
        </is>
      </c>
      <c r="B488" s="1" t="n">
        <v>44708.48194444444</v>
      </c>
      <c r="C488" s="1" t="n">
        <v>45879</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17866-2025</t>
        </is>
      </c>
      <c r="B489" s="1" t="n">
        <v>45758</v>
      </c>
      <c r="C489" s="1" t="n">
        <v>45879</v>
      </c>
      <c r="D489" t="inlineStr">
        <is>
          <t>VÄSTMANLANDS LÄN</t>
        </is>
      </c>
      <c r="E489" t="inlineStr">
        <is>
          <t>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33732-2023</t>
        </is>
      </c>
      <c r="B490" s="1" t="n">
        <v>45133.32409722222</v>
      </c>
      <c r="C490" s="1" t="n">
        <v>45879</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7166-2025</t>
        </is>
      </c>
      <c r="B491" s="1" t="n">
        <v>45702</v>
      </c>
      <c r="C491" s="1" t="n">
        <v>45879</v>
      </c>
      <c r="D491" t="inlineStr">
        <is>
          <t>VÄSTMANLANDS LÄN</t>
        </is>
      </c>
      <c r="E491" t="inlineStr">
        <is>
          <t>SALA</t>
        </is>
      </c>
      <c r="G491" t="n">
        <v>6.1</v>
      </c>
      <c r="H491" t="n">
        <v>0</v>
      </c>
      <c r="I491" t="n">
        <v>0</v>
      </c>
      <c r="J491" t="n">
        <v>0</v>
      </c>
      <c r="K491" t="n">
        <v>0</v>
      </c>
      <c r="L491" t="n">
        <v>0</v>
      </c>
      <c r="M491" t="n">
        <v>0</v>
      </c>
      <c r="N491" t="n">
        <v>0</v>
      </c>
      <c r="O491" t="n">
        <v>0</v>
      </c>
      <c r="P491" t="n">
        <v>0</v>
      </c>
      <c r="Q491" t="n">
        <v>0</v>
      </c>
      <c r="R491" s="2" t="inlineStr"/>
    </row>
    <row r="492" ht="15" customHeight="1">
      <c r="A492" t="inlineStr">
        <is>
          <t>A 44857-2023</t>
        </is>
      </c>
      <c r="B492" s="1" t="n">
        <v>45190.58479166667</v>
      </c>
      <c r="C492" s="1" t="n">
        <v>45879</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46352-2023</t>
        </is>
      </c>
      <c r="B493" s="1" t="n">
        <v>45192</v>
      </c>
      <c r="C493" s="1" t="n">
        <v>45879</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22397-2022</t>
        </is>
      </c>
      <c r="B494" s="1" t="n">
        <v>44713</v>
      </c>
      <c r="C494" s="1" t="n">
        <v>45879</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27424-2023</t>
        </is>
      </c>
      <c r="B495" s="1" t="n">
        <v>45097.37690972222</v>
      </c>
      <c r="C495" s="1" t="n">
        <v>45879</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50801-2020</t>
        </is>
      </c>
      <c r="B496" s="1" t="n">
        <v>44111</v>
      </c>
      <c r="C496" s="1" t="n">
        <v>45879</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21159-2022</t>
        </is>
      </c>
      <c r="B497" s="1" t="n">
        <v>44704</v>
      </c>
      <c r="C497" s="1" t="n">
        <v>45879</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7469-2025</t>
        </is>
      </c>
      <c r="B498" s="1" t="n">
        <v>45705</v>
      </c>
      <c r="C498" s="1" t="n">
        <v>45879</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6691-2025</t>
        </is>
      </c>
      <c r="B499" s="1" t="n">
        <v>45700.50625</v>
      </c>
      <c r="C499" s="1" t="n">
        <v>45879</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60036-2024</t>
        </is>
      </c>
      <c r="B500" s="1" t="n">
        <v>45642.46434027778</v>
      </c>
      <c r="C500" s="1" t="n">
        <v>45879</v>
      </c>
      <c r="D500" t="inlineStr">
        <is>
          <t>VÄSTMANLANDS LÄN</t>
        </is>
      </c>
      <c r="E500" t="inlineStr">
        <is>
          <t>SALA</t>
        </is>
      </c>
      <c r="G500" t="n">
        <v>2.5</v>
      </c>
      <c r="H500" t="n">
        <v>0</v>
      </c>
      <c r="I500" t="n">
        <v>0</v>
      </c>
      <c r="J500" t="n">
        <v>0</v>
      </c>
      <c r="K500" t="n">
        <v>0</v>
      </c>
      <c r="L500" t="n">
        <v>0</v>
      </c>
      <c r="M500" t="n">
        <v>0</v>
      </c>
      <c r="N500" t="n">
        <v>0</v>
      </c>
      <c r="O500" t="n">
        <v>0</v>
      </c>
      <c r="P500" t="n">
        <v>0</v>
      </c>
      <c r="Q500" t="n">
        <v>0</v>
      </c>
      <c r="R500" s="2" t="inlineStr"/>
    </row>
    <row r="501" ht="15" customHeight="1">
      <c r="A501" t="inlineStr">
        <is>
          <t>A 41292-2021</t>
        </is>
      </c>
      <c r="B501" s="1" t="n">
        <v>44424</v>
      </c>
      <c r="C501" s="1" t="n">
        <v>45879</v>
      </c>
      <c r="D501" t="inlineStr">
        <is>
          <t>VÄSTMANLANDS LÄN</t>
        </is>
      </c>
      <c r="E501" t="inlineStr">
        <is>
          <t>SALA</t>
        </is>
      </c>
      <c r="G501" t="n">
        <v>0.3</v>
      </c>
      <c r="H501" t="n">
        <v>0</v>
      </c>
      <c r="I501" t="n">
        <v>0</v>
      </c>
      <c r="J501" t="n">
        <v>0</v>
      </c>
      <c r="K501" t="n">
        <v>0</v>
      </c>
      <c r="L501" t="n">
        <v>0</v>
      </c>
      <c r="M501" t="n">
        <v>0</v>
      </c>
      <c r="N501" t="n">
        <v>0</v>
      </c>
      <c r="O501" t="n">
        <v>0</v>
      </c>
      <c r="P501" t="n">
        <v>0</v>
      </c>
      <c r="Q501" t="n">
        <v>0</v>
      </c>
      <c r="R501" s="2" t="inlineStr"/>
    </row>
    <row r="502" ht="15" customHeight="1">
      <c r="A502" t="inlineStr">
        <is>
          <t>A 60328-2024</t>
        </is>
      </c>
      <c r="B502" s="1" t="n">
        <v>45643.38416666666</v>
      </c>
      <c r="C502" s="1" t="n">
        <v>45879</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6088-2021</t>
        </is>
      </c>
      <c r="B503" s="1" t="n">
        <v>44232</v>
      </c>
      <c r="C503" s="1" t="n">
        <v>45879</v>
      </c>
      <c r="D503" t="inlineStr">
        <is>
          <t>VÄSTMANLANDS LÄN</t>
        </is>
      </c>
      <c r="E503" t="inlineStr">
        <is>
          <t>SALA</t>
        </is>
      </c>
      <c r="G503" t="n">
        <v>0.2</v>
      </c>
      <c r="H503" t="n">
        <v>0</v>
      </c>
      <c r="I503" t="n">
        <v>0</v>
      </c>
      <c r="J503" t="n">
        <v>0</v>
      </c>
      <c r="K503" t="n">
        <v>0</v>
      </c>
      <c r="L503" t="n">
        <v>0</v>
      </c>
      <c r="M503" t="n">
        <v>0</v>
      </c>
      <c r="N503" t="n">
        <v>0</v>
      </c>
      <c r="O503" t="n">
        <v>0</v>
      </c>
      <c r="P503" t="n">
        <v>0</v>
      </c>
      <c r="Q503" t="n">
        <v>0</v>
      </c>
      <c r="R503" s="2" t="inlineStr"/>
    </row>
    <row r="504" ht="15" customHeight="1">
      <c r="A504" t="inlineStr">
        <is>
          <t>A 33273-2023</t>
        </is>
      </c>
      <c r="B504" s="1" t="n">
        <v>45127</v>
      </c>
      <c r="C504" s="1" t="n">
        <v>45879</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32286-2025</t>
        </is>
      </c>
      <c r="B505" s="1" t="n">
        <v>45835</v>
      </c>
      <c r="C505" s="1" t="n">
        <v>45879</v>
      </c>
      <c r="D505" t="inlineStr">
        <is>
          <t>VÄSTMANLANDS LÄN</t>
        </is>
      </c>
      <c r="E505" t="inlineStr">
        <is>
          <t>SALA</t>
        </is>
      </c>
      <c r="G505" t="n">
        <v>6.4</v>
      </c>
      <c r="H505" t="n">
        <v>0</v>
      </c>
      <c r="I505" t="n">
        <v>0</v>
      </c>
      <c r="J505" t="n">
        <v>0</v>
      </c>
      <c r="K505" t="n">
        <v>0</v>
      </c>
      <c r="L505" t="n">
        <v>0</v>
      </c>
      <c r="M505" t="n">
        <v>0</v>
      </c>
      <c r="N505" t="n">
        <v>0</v>
      </c>
      <c r="O505" t="n">
        <v>0</v>
      </c>
      <c r="P505" t="n">
        <v>0</v>
      </c>
      <c r="Q505" t="n">
        <v>0</v>
      </c>
      <c r="R505" s="2" t="inlineStr"/>
    </row>
    <row r="506" ht="15" customHeight="1">
      <c r="A506" t="inlineStr">
        <is>
          <t>A 43188-2023</t>
        </is>
      </c>
      <c r="B506" s="1" t="n">
        <v>45183</v>
      </c>
      <c r="C506" s="1" t="n">
        <v>45879</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43205-2023</t>
        </is>
      </c>
      <c r="B507" s="1" t="n">
        <v>45183</v>
      </c>
      <c r="C507" s="1" t="n">
        <v>45879</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44749.45561342593</v>
      </c>
      <c r="C508" s="1" t="n">
        <v>45879</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15756-2025</t>
        </is>
      </c>
      <c r="B509" s="1" t="n">
        <v>45748.56810185185</v>
      </c>
      <c r="C509" s="1" t="n">
        <v>45879</v>
      </c>
      <c r="D509" t="inlineStr">
        <is>
          <t>VÄSTMANLANDS LÄN</t>
        </is>
      </c>
      <c r="E509" t="inlineStr">
        <is>
          <t>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19243-2025</t>
        </is>
      </c>
      <c r="B510" s="1" t="n">
        <v>45769</v>
      </c>
      <c r="C510" s="1" t="n">
        <v>45879</v>
      </c>
      <c r="D510" t="inlineStr">
        <is>
          <t>VÄSTMANLANDS LÄN</t>
        </is>
      </c>
      <c r="E510" t="inlineStr">
        <is>
          <t>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52827-2024</t>
        </is>
      </c>
      <c r="B511" s="1" t="n">
        <v>45610</v>
      </c>
      <c r="C511" s="1" t="n">
        <v>45879</v>
      </c>
      <c r="D511" t="inlineStr">
        <is>
          <t>VÄSTMANLANDS LÄN</t>
        </is>
      </c>
      <c r="E511" t="inlineStr">
        <is>
          <t>SALA</t>
        </is>
      </c>
      <c r="G511" t="n">
        <v>0.2</v>
      </c>
      <c r="H511" t="n">
        <v>0</v>
      </c>
      <c r="I511" t="n">
        <v>0</v>
      </c>
      <c r="J511" t="n">
        <v>0</v>
      </c>
      <c r="K511" t="n">
        <v>0</v>
      </c>
      <c r="L511" t="n">
        <v>0</v>
      </c>
      <c r="M511" t="n">
        <v>0</v>
      </c>
      <c r="N511" t="n">
        <v>0</v>
      </c>
      <c r="O511" t="n">
        <v>0</v>
      </c>
      <c r="P511" t="n">
        <v>0</v>
      </c>
      <c r="Q511" t="n">
        <v>0</v>
      </c>
      <c r="R511" s="2" t="inlineStr"/>
    </row>
    <row r="512" ht="15" customHeight="1">
      <c r="A512" t="inlineStr">
        <is>
          <t>A 59297-2023</t>
        </is>
      </c>
      <c r="B512" s="1" t="n">
        <v>45253</v>
      </c>
      <c r="C512" s="1" t="n">
        <v>45879</v>
      </c>
      <c r="D512" t="inlineStr">
        <is>
          <t>VÄSTMANLANDS LÄN</t>
        </is>
      </c>
      <c r="E512" t="inlineStr">
        <is>
          <t>SALA</t>
        </is>
      </c>
      <c r="G512" t="n">
        <v>2</v>
      </c>
      <c r="H512" t="n">
        <v>0</v>
      </c>
      <c r="I512" t="n">
        <v>0</v>
      </c>
      <c r="J512" t="n">
        <v>0</v>
      </c>
      <c r="K512" t="n">
        <v>0</v>
      </c>
      <c r="L512" t="n">
        <v>0</v>
      </c>
      <c r="M512" t="n">
        <v>0</v>
      </c>
      <c r="N512" t="n">
        <v>0</v>
      </c>
      <c r="O512" t="n">
        <v>0</v>
      </c>
      <c r="P512" t="n">
        <v>0</v>
      </c>
      <c r="Q512" t="n">
        <v>0</v>
      </c>
      <c r="R512" s="2" t="inlineStr"/>
    </row>
    <row r="513" ht="15" customHeight="1">
      <c r="A513" t="inlineStr">
        <is>
          <t>A 53166-2024</t>
        </is>
      </c>
      <c r="B513" s="1" t="n">
        <v>45611</v>
      </c>
      <c r="C513" s="1" t="n">
        <v>45879</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11244-2024</t>
        </is>
      </c>
      <c r="B514" s="1" t="n">
        <v>45371</v>
      </c>
      <c r="C514" s="1" t="n">
        <v>45879</v>
      </c>
      <c r="D514" t="inlineStr">
        <is>
          <t>VÄSTMANLANDS LÄN</t>
        </is>
      </c>
      <c r="E514" t="inlineStr">
        <is>
          <t>SALA</t>
        </is>
      </c>
      <c r="G514" t="n">
        <v>1.2</v>
      </c>
      <c r="H514" t="n">
        <v>0</v>
      </c>
      <c r="I514" t="n">
        <v>0</v>
      </c>
      <c r="J514" t="n">
        <v>0</v>
      </c>
      <c r="K514" t="n">
        <v>0</v>
      </c>
      <c r="L514" t="n">
        <v>0</v>
      </c>
      <c r="M514" t="n">
        <v>0</v>
      </c>
      <c r="N514" t="n">
        <v>0</v>
      </c>
      <c r="O514" t="n">
        <v>0</v>
      </c>
      <c r="P514" t="n">
        <v>0</v>
      </c>
      <c r="Q514" t="n">
        <v>0</v>
      </c>
      <c r="R514" s="2" t="inlineStr"/>
    </row>
    <row r="515" ht="15" customHeight="1">
      <c r="A515" t="inlineStr">
        <is>
          <t>A 6136-2025</t>
        </is>
      </c>
      <c r="B515" s="1" t="n">
        <v>45698.37601851852</v>
      </c>
      <c r="C515" s="1" t="n">
        <v>45879</v>
      </c>
      <c r="D515" t="inlineStr">
        <is>
          <t>VÄSTMANLANDS LÄN</t>
        </is>
      </c>
      <c r="E515" t="inlineStr">
        <is>
          <t>SALA</t>
        </is>
      </c>
      <c r="F515" t="inlineStr">
        <is>
          <t>Bergvik skog öst AB</t>
        </is>
      </c>
      <c r="G515" t="n">
        <v>2.2</v>
      </c>
      <c r="H515" t="n">
        <v>0</v>
      </c>
      <c r="I515" t="n">
        <v>0</v>
      </c>
      <c r="J515" t="n">
        <v>0</v>
      </c>
      <c r="K515" t="n">
        <v>0</v>
      </c>
      <c r="L515" t="n">
        <v>0</v>
      </c>
      <c r="M515" t="n">
        <v>0</v>
      </c>
      <c r="N515" t="n">
        <v>0</v>
      </c>
      <c r="O515" t="n">
        <v>0</v>
      </c>
      <c r="P515" t="n">
        <v>0</v>
      </c>
      <c r="Q515" t="n">
        <v>0</v>
      </c>
      <c r="R515" s="2" t="inlineStr"/>
    </row>
    <row r="516" ht="15" customHeight="1">
      <c r="A516" t="inlineStr">
        <is>
          <t>A 6190-2025</t>
        </is>
      </c>
      <c r="B516" s="1" t="n">
        <v>45698</v>
      </c>
      <c r="C516" s="1" t="n">
        <v>45879</v>
      </c>
      <c r="D516" t="inlineStr">
        <is>
          <t>VÄSTMANLANDS LÄN</t>
        </is>
      </c>
      <c r="E516" t="inlineStr">
        <is>
          <t>SALA</t>
        </is>
      </c>
      <c r="F516" t="inlineStr">
        <is>
          <t>Bergvik skog öst AB</t>
        </is>
      </c>
      <c r="G516" t="n">
        <v>4.6</v>
      </c>
      <c r="H516" t="n">
        <v>0</v>
      </c>
      <c r="I516" t="n">
        <v>0</v>
      </c>
      <c r="J516" t="n">
        <v>0</v>
      </c>
      <c r="K516" t="n">
        <v>0</v>
      </c>
      <c r="L516" t="n">
        <v>0</v>
      </c>
      <c r="M516" t="n">
        <v>0</v>
      </c>
      <c r="N516" t="n">
        <v>0</v>
      </c>
      <c r="O516" t="n">
        <v>0</v>
      </c>
      <c r="P516" t="n">
        <v>0</v>
      </c>
      <c r="Q516" t="n">
        <v>0</v>
      </c>
      <c r="R516" s="2" t="inlineStr"/>
    </row>
    <row r="517" ht="15" customHeight="1">
      <c r="A517" t="inlineStr">
        <is>
          <t>A 62654-2022</t>
        </is>
      </c>
      <c r="B517" s="1" t="n">
        <v>44917</v>
      </c>
      <c r="C517" s="1" t="n">
        <v>45879</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6135-2023</t>
        </is>
      </c>
      <c r="B518" s="1" t="n">
        <v>44964.62628472222</v>
      </c>
      <c r="C518" s="1" t="n">
        <v>45879</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53864-2022</t>
        </is>
      </c>
      <c r="B519" s="1" t="n">
        <v>44880.64016203704</v>
      </c>
      <c r="C519" s="1" t="n">
        <v>45879</v>
      </c>
      <c r="D519" t="inlineStr">
        <is>
          <t>VÄSTMANLANDS LÄN</t>
        </is>
      </c>
      <c r="E519" t="inlineStr">
        <is>
          <t>SALA</t>
        </is>
      </c>
      <c r="G519" t="n">
        <v>5.9</v>
      </c>
      <c r="H519" t="n">
        <v>0</v>
      </c>
      <c r="I519" t="n">
        <v>0</v>
      </c>
      <c r="J519" t="n">
        <v>0</v>
      </c>
      <c r="K519" t="n">
        <v>0</v>
      </c>
      <c r="L519" t="n">
        <v>0</v>
      </c>
      <c r="M519" t="n">
        <v>0</v>
      </c>
      <c r="N519" t="n">
        <v>0</v>
      </c>
      <c r="O519" t="n">
        <v>0</v>
      </c>
      <c r="P519" t="n">
        <v>0</v>
      </c>
      <c r="Q519" t="n">
        <v>0</v>
      </c>
      <c r="R519" s="2" t="inlineStr"/>
    </row>
    <row r="520" ht="15" customHeight="1">
      <c r="A520" t="inlineStr">
        <is>
          <t>A 28863-2022</t>
        </is>
      </c>
      <c r="B520" s="1" t="n">
        <v>44749.50649305555</v>
      </c>
      <c r="C520" s="1" t="n">
        <v>45879</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27255-2023</t>
        </is>
      </c>
      <c r="B521" s="1" t="n">
        <v>45096</v>
      </c>
      <c r="C521" s="1" t="n">
        <v>45879</v>
      </c>
      <c r="D521" t="inlineStr">
        <is>
          <t>VÄSTMANLANDS LÄN</t>
        </is>
      </c>
      <c r="E521" t="inlineStr">
        <is>
          <t>SALA</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60034-2024</t>
        </is>
      </c>
      <c r="B522" s="1" t="n">
        <v>45642.46261574074</v>
      </c>
      <c r="C522" s="1" t="n">
        <v>45879</v>
      </c>
      <c r="D522" t="inlineStr">
        <is>
          <t>VÄSTMANLANDS LÄN</t>
        </is>
      </c>
      <c r="E522" t="inlineStr">
        <is>
          <t>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3810-2023</t>
        </is>
      </c>
      <c r="B523" s="1" t="n">
        <v>44951.60454861111</v>
      </c>
      <c r="C523" s="1" t="n">
        <v>45879</v>
      </c>
      <c r="D523" t="inlineStr">
        <is>
          <t>VÄSTMANLANDS LÄN</t>
        </is>
      </c>
      <c r="E523" t="inlineStr">
        <is>
          <t>SALA</t>
        </is>
      </c>
      <c r="G523" t="n">
        <v>4.2</v>
      </c>
      <c r="H523" t="n">
        <v>0</v>
      </c>
      <c r="I523" t="n">
        <v>0</v>
      </c>
      <c r="J523" t="n">
        <v>0</v>
      </c>
      <c r="K523" t="n">
        <v>0</v>
      </c>
      <c r="L523" t="n">
        <v>0</v>
      </c>
      <c r="M523" t="n">
        <v>0</v>
      </c>
      <c r="N523" t="n">
        <v>0</v>
      </c>
      <c r="O523" t="n">
        <v>0</v>
      </c>
      <c r="P523" t="n">
        <v>0</v>
      </c>
      <c r="Q523" t="n">
        <v>0</v>
      </c>
      <c r="R523" s="2" t="inlineStr"/>
    </row>
    <row r="524" ht="15" customHeight="1">
      <c r="A524" t="inlineStr">
        <is>
          <t>A 25541-2024</t>
        </is>
      </c>
      <c r="B524" s="1" t="n">
        <v>45463.56337962963</v>
      </c>
      <c r="C524" s="1" t="n">
        <v>45879</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26661-2025</t>
        </is>
      </c>
      <c r="B525" s="1" t="n">
        <v>45810</v>
      </c>
      <c r="C525" s="1" t="n">
        <v>45879</v>
      </c>
      <c r="D525" t="inlineStr">
        <is>
          <t>VÄSTMANLANDS LÄN</t>
        </is>
      </c>
      <c r="E525" t="inlineStr">
        <is>
          <t>SALA</t>
        </is>
      </c>
      <c r="G525" t="n">
        <v>3.5</v>
      </c>
      <c r="H525" t="n">
        <v>0</v>
      </c>
      <c r="I525" t="n">
        <v>0</v>
      </c>
      <c r="J525" t="n">
        <v>0</v>
      </c>
      <c r="K525" t="n">
        <v>0</v>
      </c>
      <c r="L525" t="n">
        <v>0</v>
      </c>
      <c r="M525" t="n">
        <v>0</v>
      </c>
      <c r="N525" t="n">
        <v>0</v>
      </c>
      <c r="O525" t="n">
        <v>0</v>
      </c>
      <c r="P525" t="n">
        <v>0</v>
      </c>
      <c r="Q525" t="n">
        <v>0</v>
      </c>
      <c r="R525" s="2" t="inlineStr"/>
    </row>
    <row r="526" ht="15" customHeight="1">
      <c r="A526" t="inlineStr">
        <is>
          <t>A 29213-2022</t>
        </is>
      </c>
      <c r="B526" s="1" t="n">
        <v>44750.57474537037</v>
      </c>
      <c r="C526" s="1" t="n">
        <v>45879</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56964-2023</t>
        </is>
      </c>
      <c r="B527" s="1" t="n">
        <v>45244.63140046296</v>
      </c>
      <c r="C527" s="1" t="n">
        <v>45879</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52503-2024</t>
        </is>
      </c>
      <c r="B528" s="1" t="n">
        <v>45609.58806712963</v>
      </c>
      <c r="C528" s="1" t="n">
        <v>45879</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2521-2025</t>
        </is>
      </c>
      <c r="B529" s="1" t="n">
        <v>45674</v>
      </c>
      <c r="C529" s="1" t="n">
        <v>45879</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45879</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1555-2024</t>
        </is>
      </c>
      <c r="B531" s="1" t="n">
        <v>45306</v>
      </c>
      <c r="C531" s="1" t="n">
        <v>45879</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13128-2025</t>
        </is>
      </c>
      <c r="B532" s="1" t="n">
        <v>45734.9083912037</v>
      </c>
      <c r="C532" s="1" t="n">
        <v>45879</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13188-2025</t>
        </is>
      </c>
      <c r="B533" s="1" t="n">
        <v>45735.39246527778</v>
      </c>
      <c r="C533" s="1" t="n">
        <v>45879</v>
      </c>
      <c r="D533" t="inlineStr">
        <is>
          <t>VÄSTMANLANDS LÄN</t>
        </is>
      </c>
      <c r="E533" t="inlineStr">
        <is>
          <t>SALA</t>
        </is>
      </c>
      <c r="F533" t="inlineStr">
        <is>
          <t>Naturvårdsverket</t>
        </is>
      </c>
      <c r="G533" t="n">
        <v>18.4</v>
      </c>
      <c r="H533" t="n">
        <v>0</v>
      </c>
      <c r="I533" t="n">
        <v>0</v>
      </c>
      <c r="J533" t="n">
        <v>0</v>
      </c>
      <c r="K533" t="n">
        <v>0</v>
      </c>
      <c r="L533" t="n">
        <v>0</v>
      </c>
      <c r="M533" t="n">
        <v>0</v>
      </c>
      <c r="N533" t="n">
        <v>0</v>
      </c>
      <c r="O533" t="n">
        <v>0</v>
      </c>
      <c r="P533" t="n">
        <v>0</v>
      </c>
      <c r="Q533" t="n">
        <v>0</v>
      </c>
      <c r="R533" s="2" t="inlineStr"/>
    </row>
    <row r="534" ht="15" customHeight="1">
      <c r="A534" t="inlineStr">
        <is>
          <t>A 31950-2023</t>
        </is>
      </c>
      <c r="B534" s="1" t="n">
        <v>45107</v>
      </c>
      <c r="C534" s="1" t="n">
        <v>45879</v>
      </c>
      <c r="D534" t="inlineStr">
        <is>
          <t>VÄSTMANLANDS LÄN</t>
        </is>
      </c>
      <c r="E534" t="inlineStr">
        <is>
          <t>SALA</t>
        </is>
      </c>
      <c r="G534" t="n">
        <v>0.1</v>
      </c>
      <c r="H534" t="n">
        <v>0</v>
      </c>
      <c r="I534" t="n">
        <v>0</v>
      </c>
      <c r="J534" t="n">
        <v>0</v>
      </c>
      <c r="K534" t="n">
        <v>0</v>
      </c>
      <c r="L534" t="n">
        <v>0</v>
      </c>
      <c r="M534" t="n">
        <v>0</v>
      </c>
      <c r="N534" t="n">
        <v>0</v>
      </c>
      <c r="O534" t="n">
        <v>0</v>
      </c>
      <c r="P534" t="n">
        <v>0</v>
      </c>
      <c r="Q534" t="n">
        <v>0</v>
      </c>
      <c r="R534" s="2" t="inlineStr"/>
    </row>
    <row r="535" ht="15" customHeight="1">
      <c r="A535" t="inlineStr">
        <is>
          <t>A 7197-2025</t>
        </is>
      </c>
      <c r="B535" s="1" t="n">
        <v>45702</v>
      </c>
      <c r="C535" s="1" t="n">
        <v>45879</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15099-2025</t>
        </is>
      </c>
      <c r="B536" s="1" t="n">
        <v>45744.3434837963</v>
      </c>
      <c r="C536" s="1" t="n">
        <v>45879</v>
      </c>
      <c r="D536" t="inlineStr">
        <is>
          <t>VÄSTMANLANDS LÄN</t>
        </is>
      </c>
      <c r="E536" t="inlineStr">
        <is>
          <t>SALA</t>
        </is>
      </c>
      <c r="F536" t="inlineStr">
        <is>
          <t>Sveaskog</t>
        </is>
      </c>
      <c r="G536" t="n">
        <v>14.4</v>
      </c>
      <c r="H536" t="n">
        <v>0</v>
      </c>
      <c r="I536" t="n">
        <v>0</v>
      </c>
      <c r="J536" t="n">
        <v>0</v>
      </c>
      <c r="K536" t="n">
        <v>0</v>
      </c>
      <c r="L536" t="n">
        <v>0</v>
      </c>
      <c r="M536" t="n">
        <v>0</v>
      </c>
      <c r="N536" t="n">
        <v>0</v>
      </c>
      <c r="O536" t="n">
        <v>0</v>
      </c>
      <c r="P536" t="n">
        <v>0</v>
      </c>
      <c r="Q536" t="n">
        <v>0</v>
      </c>
      <c r="R536" s="2" t="inlineStr"/>
    </row>
    <row r="537" ht="15" customHeight="1">
      <c r="A537" t="inlineStr">
        <is>
          <t>A 16693-2023</t>
        </is>
      </c>
      <c r="B537" s="1" t="n">
        <v>45028</v>
      </c>
      <c r="C537" s="1" t="n">
        <v>45879</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2928-2024</t>
        </is>
      </c>
      <c r="B538" s="1" t="n">
        <v>45315.59041666667</v>
      </c>
      <c r="C538" s="1" t="n">
        <v>45879</v>
      </c>
      <c r="D538" t="inlineStr">
        <is>
          <t>VÄSTMANLANDS LÄN</t>
        </is>
      </c>
      <c r="E538" t="inlineStr">
        <is>
          <t>SALA</t>
        </is>
      </c>
      <c r="G538" t="n">
        <v>1.4</v>
      </c>
      <c r="H538" t="n">
        <v>0</v>
      </c>
      <c r="I538" t="n">
        <v>0</v>
      </c>
      <c r="J538" t="n">
        <v>0</v>
      </c>
      <c r="K538" t="n">
        <v>0</v>
      </c>
      <c r="L538" t="n">
        <v>0</v>
      </c>
      <c r="M538" t="n">
        <v>0</v>
      </c>
      <c r="N538" t="n">
        <v>0</v>
      </c>
      <c r="O538" t="n">
        <v>0</v>
      </c>
      <c r="P538" t="n">
        <v>0</v>
      </c>
      <c r="Q538" t="n">
        <v>0</v>
      </c>
      <c r="R538" s="2" t="inlineStr"/>
    </row>
    <row r="539" ht="15" customHeight="1">
      <c r="A539" t="inlineStr">
        <is>
          <t>A 15744-2025</t>
        </is>
      </c>
      <c r="B539" s="1" t="n">
        <v>45748</v>
      </c>
      <c r="C539" s="1" t="n">
        <v>45879</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35776-2025</t>
        </is>
      </c>
      <c r="B540" s="1" t="n">
        <v>45860.69211805556</v>
      </c>
      <c r="C540" s="1" t="n">
        <v>45879</v>
      </c>
      <c r="D540" t="inlineStr">
        <is>
          <t>VÄSTMANLANDS LÄN</t>
        </is>
      </c>
      <c r="E540" t="inlineStr">
        <is>
          <t>SALA</t>
        </is>
      </c>
      <c r="G540" t="n">
        <v>14.2</v>
      </c>
      <c r="H540" t="n">
        <v>0</v>
      </c>
      <c r="I540" t="n">
        <v>0</v>
      </c>
      <c r="J540" t="n">
        <v>0</v>
      </c>
      <c r="K540" t="n">
        <v>0</v>
      </c>
      <c r="L540" t="n">
        <v>0</v>
      </c>
      <c r="M540" t="n">
        <v>0</v>
      </c>
      <c r="N540" t="n">
        <v>0</v>
      </c>
      <c r="O540" t="n">
        <v>0</v>
      </c>
      <c r="P540" t="n">
        <v>0</v>
      </c>
      <c r="Q540" t="n">
        <v>0</v>
      </c>
      <c r="R540" s="2" t="inlineStr"/>
    </row>
    <row r="541" ht="15" customHeight="1">
      <c r="A541" t="inlineStr">
        <is>
          <t>A 28193-2025</t>
        </is>
      </c>
      <c r="B541" s="1" t="n">
        <v>45818.425625</v>
      </c>
      <c r="C541" s="1" t="n">
        <v>45879</v>
      </c>
      <c r="D541" t="inlineStr">
        <is>
          <t>VÄSTMANLANDS LÄN</t>
        </is>
      </c>
      <c r="E541" t="inlineStr">
        <is>
          <t>SALA</t>
        </is>
      </c>
      <c r="G541" t="n">
        <v>1.8</v>
      </c>
      <c r="H541" t="n">
        <v>0</v>
      </c>
      <c r="I541" t="n">
        <v>0</v>
      </c>
      <c r="J541" t="n">
        <v>0</v>
      </c>
      <c r="K541" t="n">
        <v>0</v>
      </c>
      <c r="L541" t="n">
        <v>0</v>
      </c>
      <c r="M541" t="n">
        <v>0</v>
      </c>
      <c r="N541" t="n">
        <v>0</v>
      </c>
      <c r="O541" t="n">
        <v>0</v>
      </c>
      <c r="P541" t="n">
        <v>0</v>
      </c>
      <c r="Q541" t="n">
        <v>0</v>
      </c>
      <c r="R541" s="2" t="inlineStr"/>
    </row>
    <row r="542" ht="15" customHeight="1">
      <c r="A542" t="inlineStr">
        <is>
          <t>A 35779-2025</t>
        </is>
      </c>
      <c r="B542" s="1" t="n">
        <v>45860.69495370371</v>
      </c>
      <c r="C542" s="1" t="n">
        <v>45879</v>
      </c>
      <c r="D542" t="inlineStr">
        <is>
          <t>VÄSTMANLANDS LÄN</t>
        </is>
      </c>
      <c r="E542" t="inlineStr">
        <is>
          <t>SALA</t>
        </is>
      </c>
      <c r="G542" t="n">
        <v>2.4</v>
      </c>
      <c r="H542" t="n">
        <v>0</v>
      </c>
      <c r="I542" t="n">
        <v>0</v>
      </c>
      <c r="J542" t="n">
        <v>0</v>
      </c>
      <c r="K542" t="n">
        <v>0</v>
      </c>
      <c r="L542" t="n">
        <v>0</v>
      </c>
      <c r="M542" t="n">
        <v>0</v>
      </c>
      <c r="N542" t="n">
        <v>0</v>
      </c>
      <c r="O542" t="n">
        <v>0</v>
      </c>
      <c r="P542" t="n">
        <v>0</v>
      </c>
      <c r="Q542" t="n">
        <v>0</v>
      </c>
      <c r="R542" s="2" t="inlineStr"/>
    </row>
    <row r="543" ht="15" customHeight="1">
      <c r="A543" t="inlineStr">
        <is>
          <t>A 27981-2025</t>
        </is>
      </c>
      <c r="B543" s="1" t="n">
        <v>45817.57471064815</v>
      </c>
      <c r="C543" s="1" t="n">
        <v>45879</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9962-2025</t>
        </is>
      </c>
      <c r="B544" s="1" t="n">
        <v>45719.37072916667</v>
      </c>
      <c r="C544" s="1" t="n">
        <v>45879</v>
      </c>
      <c r="D544" t="inlineStr">
        <is>
          <t>VÄSTMANLANDS LÄN</t>
        </is>
      </c>
      <c r="E544" t="inlineStr">
        <is>
          <t>SALA</t>
        </is>
      </c>
      <c r="G544" t="n">
        <v>4.5</v>
      </c>
      <c r="H544" t="n">
        <v>0</v>
      </c>
      <c r="I544" t="n">
        <v>0</v>
      </c>
      <c r="J544" t="n">
        <v>0</v>
      </c>
      <c r="K544" t="n">
        <v>0</v>
      </c>
      <c r="L544" t="n">
        <v>0</v>
      </c>
      <c r="M544" t="n">
        <v>0</v>
      </c>
      <c r="N544" t="n">
        <v>0</v>
      </c>
      <c r="O544" t="n">
        <v>0</v>
      </c>
      <c r="P544" t="n">
        <v>0</v>
      </c>
      <c r="Q544" t="n">
        <v>0</v>
      </c>
      <c r="R544" s="2" t="inlineStr"/>
    </row>
    <row r="545" ht="15" customHeight="1">
      <c r="A545" t="inlineStr">
        <is>
          <t>A 28278-2025</t>
        </is>
      </c>
      <c r="B545" s="1" t="n">
        <v>45818.58454861111</v>
      </c>
      <c r="C545" s="1" t="n">
        <v>45879</v>
      </c>
      <c r="D545" t="inlineStr">
        <is>
          <t>VÄSTMANLANDS LÄN</t>
        </is>
      </c>
      <c r="E545" t="inlineStr">
        <is>
          <t>SALA</t>
        </is>
      </c>
      <c r="G545" t="n">
        <v>7.6</v>
      </c>
      <c r="H545" t="n">
        <v>0</v>
      </c>
      <c r="I545" t="n">
        <v>0</v>
      </c>
      <c r="J545" t="n">
        <v>0</v>
      </c>
      <c r="K545" t="n">
        <v>0</v>
      </c>
      <c r="L545" t="n">
        <v>0</v>
      </c>
      <c r="M545" t="n">
        <v>0</v>
      </c>
      <c r="N545" t="n">
        <v>0</v>
      </c>
      <c r="O545" t="n">
        <v>0</v>
      </c>
      <c r="P545" t="n">
        <v>0</v>
      </c>
      <c r="Q545" t="n">
        <v>0</v>
      </c>
      <c r="R545" s="2" t="inlineStr"/>
    </row>
    <row r="546" ht="15" customHeight="1">
      <c r="A546" t="inlineStr">
        <is>
          <t>A 35715-2025</t>
        </is>
      </c>
      <c r="B546" s="1" t="n">
        <v>45860.42148148148</v>
      </c>
      <c r="C546" s="1" t="n">
        <v>45879</v>
      </c>
      <c r="D546" t="inlineStr">
        <is>
          <t>VÄSTMANLANDS LÄN</t>
        </is>
      </c>
      <c r="E546" t="inlineStr">
        <is>
          <t>SALA</t>
        </is>
      </c>
      <c r="G546" t="n">
        <v>3.8</v>
      </c>
      <c r="H546" t="n">
        <v>0</v>
      </c>
      <c r="I546" t="n">
        <v>0</v>
      </c>
      <c r="J546" t="n">
        <v>0</v>
      </c>
      <c r="K546" t="n">
        <v>0</v>
      </c>
      <c r="L546" t="n">
        <v>0</v>
      </c>
      <c r="M546" t="n">
        <v>0</v>
      </c>
      <c r="N546" t="n">
        <v>0</v>
      </c>
      <c r="O546" t="n">
        <v>0</v>
      </c>
      <c r="P546" t="n">
        <v>0</v>
      </c>
      <c r="Q546" t="n">
        <v>0</v>
      </c>
      <c r="R546" s="2" t="inlineStr"/>
    </row>
    <row r="547" ht="15" customHeight="1">
      <c r="A547" t="inlineStr">
        <is>
          <t>A 14024-2025</t>
        </is>
      </c>
      <c r="B547" s="1" t="n">
        <v>45740.34650462963</v>
      </c>
      <c r="C547" s="1" t="n">
        <v>45879</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3551-2024</t>
        </is>
      </c>
      <c r="B548" s="1" t="n">
        <v>45320.61099537037</v>
      </c>
      <c r="C548" s="1" t="n">
        <v>45879</v>
      </c>
      <c r="D548" t="inlineStr">
        <is>
          <t>VÄSTMANLANDS LÄN</t>
        </is>
      </c>
      <c r="E548" t="inlineStr">
        <is>
          <t>SALA</t>
        </is>
      </c>
      <c r="F548" t="inlineStr">
        <is>
          <t>Kommuner</t>
        </is>
      </c>
      <c r="G548" t="n">
        <v>6</v>
      </c>
      <c r="H548" t="n">
        <v>0</v>
      </c>
      <c r="I548" t="n">
        <v>0</v>
      </c>
      <c r="J548" t="n">
        <v>0</v>
      </c>
      <c r="K548" t="n">
        <v>0</v>
      </c>
      <c r="L548" t="n">
        <v>0</v>
      </c>
      <c r="M548" t="n">
        <v>0</v>
      </c>
      <c r="N548" t="n">
        <v>0</v>
      </c>
      <c r="O548" t="n">
        <v>0</v>
      </c>
      <c r="P548" t="n">
        <v>0</v>
      </c>
      <c r="Q548" t="n">
        <v>0</v>
      </c>
      <c r="R548" s="2" t="inlineStr"/>
    </row>
    <row r="549" ht="15" customHeight="1">
      <c r="A549" t="inlineStr">
        <is>
          <t>A 35651-2025</t>
        </is>
      </c>
      <c r="B549" s="1" t="n">
        <v>45859.52435185185</v>
      </c>
      <c r="C549" s="1" t="n">
        <v>45879</v>
      </c>
      <c r="D549" t="inlineStr">
        <is>
          <t>VÄSTMANLANDS LÄN</t>
        </is>
      </c>
      <c r="E549" t="inlineStr">
        <is>
          <t>SALA</t>
        </is>
      </c>
      <c r="G549" t="n">
        <v>6.3</v>
      </c>
      <c r="H549" t="n">
        <v>0</v>
      </c>
      <c r="I549" t="n">
        <v>0</v>
      </c>
      <c r="J549" t="n">
        <v>0</v>
      </c>
      <c r="K549" t="n">
        <v>0</v>
      </c>
      <c r="L549" t="n">
        <v>0</v>
      </c>
      <c r="M549" t="n">
        <v>0</v>
      </c>
      <c r="N549" t="n">
        <v>0</v>
      </c>
      <c r="O549" t="n">
        <v>0</v>
      </c>
      <c r="P549" t="n">
        <v>0</v>
      </c>
      <c r="Q549" t="n">
        <v>0</v>
      </c>
      <c r="R549" s="2" t="inlineStr"/>
    </row>
    <row r="550" ht="15" customHeight="1">
      <c r="A550" t="inlineStr">
        <is>
          <t>A 27989-2025</t>
        </is>
      </c>
      <c r="B550" s="1" t="n">
        <v>45817.58716435185</v>
      </c>
      <c r="C550" s="1" t="n">
        <v>45879</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23182-2022</t>
        </is>
      </c>
      <c r="B551" s="1" t="n">
        <v>44719.79707175926</v>
      </c>
      <c r="C551" s="1" t="n">
        <v>45879</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62635-2022</t>
        </is>
      </c>
      <c r="B552" s="1" t="n">
        <v>44917</v>
      </c>
      <c r="C552" s="1" t="n">
        <v>45879</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28284-2025</t>
        </is>
      </c>
      <c r="B553" s="1" t="n">
        <v>45818.58893518519</v>
      </c>
      <c r="C553" s="1" t="n">
        <v>45879</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57371-2022</t>
        </is>
      </c>
      <c r="B554" s="1" t="n">
        <v>44896.43832175926</v>
      </c>
      <c r="C554" s="1" t="n">
        <v>45879</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35774-2025</t>
        </is>
      </c>
      <c r="B555" s="1" t="n">
        <v>45860.68780092592</v>
      </c>
      <c r="C555" s="1" t="n">
        <v>45879</v>
      </c>
      <c r="D555" t="inlineStr">
        <is>
          <t>VÄSTMANLANDS LÄN</t>
        </is>
      </c>
      <c r="E555" t="inlineStr">
        <is>
          <t>SALA</t>
        </is>
      </c>
      <c r="G555" t="n">
        <v>6.5</v>
      </c>
      <c r="H555" t="n">
        <v>0</v>
      </c>
      <c r="I555" t="n">
        <v>0</v>
      </c>
      <c r="J555" t="n">
        <v>0</v>
      </c>
      <c r="K555" t="n">
        <v>0</v>
      </c>
      <c r="L555" t="n">
        <v>0</v>
      </c>
      <c r="M555" t="n">
        <v>0</v>
      </c>
      <c r="N555" t="n">
        <v>0</v>
      </c>
      <c r="O555" t="n">
        <v>0</v>
      </c>
      <c r="P555" t="n">
        <v>0</v>
      </c>
      <c r="Q555" t="n">
        <v>0</v>
      </c>
      <c r="R555" s="2" t="inlineStr"/>
    </row>
    <row r="556" ht="15" customHeight="1">
      <c r="A556" t="inlineStr">
        <is>
          <t>A 19304-2025</t>
        </is>
      </c>
      <c r="B556" s="1" t="n">
        <v>45769</v>
      </c>
      <c r="C556" s="1" t="n">
        <v>45879</v>
      </c>
      <c r="D556" t="inlineStr">
        <is>
          <t>VÄSTMANLANDS LÄN</t>
        </is>
      </c>
      <c r="E556" t="inlineStr">
        <is>
          <t>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28632-2025</t>
        </is>
      </c>
      <c r="B557" s="1" t="n">
        <v>45819.62344907408</v>
      </c>
      <c r="C557" s="1" t="n">
        <v>45879</v>
      </c>
      <c r="D557" t="inlineStr">
        <is>
          <t>VÄSTMANLANDS LÄN</t>
        </is>
      </c>
      <c r="E557" t="inlineStr">
        <is>
          <t>SALA</t>
        </is>
      </c>
      <c r="F557" t="inlineStr">
        <is>
          <t>Sveaskog</t>
        </is>
      </c>
      <c r="G557" t="n">
        <v>2.4</v>
      </c>
      <c r="H557" t="n">
        <v>0</v>
      </c>
      <c r="I557" t="n">
        <v>0</v>
      </c>
      <c r="J557" t="n">
        <v>0</v>
      </c>
      <c r="K557" t="n">
        <v>0</v>
      </c>
      <c r="L557" t="n">
        <v>0</v>
      </c>
      <c r="M557" t="n">
        <v>0</v>
      </c>
      <c r="N557" t="n">
        <v>0</v>
      </c>
      <c r="O557" t="n">
        <v>0</v>
      </c>
      <c r="P557" t="n">
        <v>0</v>
      </c>
      <c r="Q557" t="n">
        <v>0</v>
      </c>
      <c r="R557" s="2" t="inlineStr"/>
    </row>
    <row r="558" ht="15" customHeight="1">
      <c r="A558" t="inlineStr">
        <is>
          <t>A 28628-2025</t>
        </is>
      </c>
      <c r="B558" s="1" t="n">
        <v>45819.62158564815</v>
      </c>
      <c r="C558" s="1" t="n">
        <v>45879</v>
      </c>
      <c r="D558" t="inlineStr">
        <is>
          <t>VÄSTMANLANDS LÄN</t>
        </is>
      </c>
      <c r="E558" t="inlineStr">
        <is>
          <t>SALA</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56057-2023</t>
        </is>
      </c>
      <c r="B559" s="1" t="n">
        <v>45233</v>
      </c>
      <c r="C559" s="1" t="n">
        <v>45879</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28630-2025</t>
        </is>
      </c>
      <c r="B560" s="1" t="n">
        <v>45819.62274305556</v>
      </c>
      <c r="C560" s="1" t="n">
        <v>45879</v>
      </c>
      <c r="D560" t="inlineStr">
        <is>
          <t>VÄSTMANLANDS LÄN</t>
        </is>
      </c>
      <c r="E560" t="inlineStr">
        <is>
          <t>SALA</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61717-2024</t>
        </is>
      </c>
      <c r="B561" s="1" t="n">
        <v>45648</v>
      </c>
      <c r="C561" s="1" t="n">
        <v>45879</v>
      </c>
      <c r="D561" t="inlineStr">
        <is>
          <t>VÄSTMANLANDS LÄN</t>
        </is>
      </c>
      <c r="E561" t="inlineStr">
        <is>
          <t>SALA</t>
        </is>
      </c>
      <c r="G561" t="n">
        <v>3.7</v>
      </c>
      <c r="H561" t="n">
        <v>0</v>
      </c>
      <c r="I561" t="n">
        <v>0</v>
      </c>
      <c r="J561" t="n">
        <v>0</v>
      </c>
      <c r="K561" t="n">
        <v>0</v>
      </c>
      <c r="L561" t="n">
        <v>0</v>
      </c>
      <c r="M561" t="n">
        <v>0</v>
      </c>
      <c r="N561" t="n">
        <v>0</v>
      </c>
      <c r="O561" t="n">
        <v>0</v>
      </c>
      <c r="P561" t="n">
        <v>0</v>
      </c>
      <c r="Q561" t="n">
        <v>0</v>
      </c>
      <c r="R561" s="2" t="inlineStr"/>
    </row>
    <row r="562" ht="15" customHeight="1">
      <c r="A562" t="inlineStr">
        <is>
          <t>A 28837-2025</t>
        </is>
      </c>
      <c r="B562" s="1" t="n">
        <v>45820.56243055555</v>
      </c>
      <c r="C562" s="1" t="n">
        <v>45879</v>
      </c>
      <c r="D562" t="inlineStr">
        <is>
          <t>VÄSTMANLANDS LÄN</t>
        </is>
      </c>
      <c r="E562" t="inlineStr">
        <is>
          <t>SALA</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28849-2025</t>
        </is>
      </c>
      <c r="B563" s="1" t="n">
        <v>45820</v>
      </c>
      <c r="C563" s="1" t="n">
        <v>45879</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17766-2025</t>
        </is>
      </c>
      <c r="B564" s="1" t="n">
        <v>45758</v>
      </c>
      <c r="C564" s="1" t="n">
        <v>45879</v>
      </c>
      <c r="D564" t="inlineStr">
        <is>
          <t>VÄSTMANLANDS LÄN</t>
        </is>
      </c>
      <c r="E564" t="inlineStr">
        <is>
          <t>SALA</t>
        </is>
      </c>
      <c r="G564" t="n">
        <v>16.5</v>
      </c>
      <c r="H564" t="n">
        <v>0</v>
      </c>
      <c r="I564" t="n">
        <v>0</v>
      </c>
      <c r="J564" t="n">
        <v>0</v>
      </c>
      <c r="K564" t="n">
        <v>0</v>
      </c>
      <c r="L564" t="n">
        <v>0</v>
      </c>
      <c r="M564" t="n">
        <v>0</v>
      </c>
      <c r="N564" t="n">
        <v>0</v>
      </c>
      <c r="O564" t="n">
        <v>0</v>
      </c>
      <c r="P564" t="n">
        <v>0</v>
      </c>
      <c r="Q564" t="n">
        <v>0</v>
      </c>
      <c r="R564" s="2" t="inlineStr"/>
    </row>
    <row r="565" ht="15" customHeight="1">
      <c r="A565" t="inlineStr">
        <is>
          <t>A 55024-2023</t>
        </is>
      </c>
      <c r="B565" s="1" t="n">
        <v>45229</v>
      </c>
      <c r="C565" s="1" t="n">
        <v>45879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55032-2023</t>
        </is>
      </c>
      <c r="B566" s="1" t="n">
        <v>45229</v>
      </c>
      <c r="C566" s="1" t="n">
        <v>45879</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55040-2023</t>
        </is>
      </c>
      <c r="B567" s="1" t="n">
        <v>45229</v>
      </c>
      <c r="C567" s="1" t="n">
        <v>45879</v>
      </c>
      <c r="D567" t="inlineStr">
        <is>
          <t>VÄSTMANLANDS LÄN</t>
        </is>
      </c>
      <c r="E567" t="inlineStr">
        <is>
          <t>SALA</t>
        </is>
      </c>
      <c r="G567" t="n">
        <v>3.3</v>
      </c>
      <c r="H567" t="n">
        <v>0</v>
      </c>
      <c r="I567" t="n">
        <v>0</v>
      </c>
      <c r="J567" t="n">
        <v>0</v>
      </c>
      <c r="K567" t="n">
        <v>0</v>
      </c>
      <c r="L567" t="n">
        <v>0</v>
      </c>
      <c r="M567" t="n">
        <v>0</v>
      </c>
      <c r="N567" t="n">
        <v>0</v>
      </c>
      <c r="O567" t="n">
        <v>0</v>
      </c>
      <c r="P567" t="n">
        <v>0</v>
      </c>
      <c r="Q567" t="n">
        <v>0</v>
      </c>
      <c r="R567" s="2" t="inlineStr"/>
    </row>
    <row r="568" ht="15" customHeight="1">
      <c r="A568" t="inlineStr">
        <is>
          <t>A 56548-2024</t>
        </is>
      </c>
      <c r="B568" s="1" t="n">
        <v>45625</v>
      </c>
      <c r="C568" s="1" t="n">
        <v>45879</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47086-2022</t>
        </is>
      </c>
      <c r="B569" s="1" t="n">
        <v>44852</v>
      </c>
      <c r="C569" s="1" t="n">
        <v>45879</v>
      </c>
      <c r="D569" t="inlineStr">
        <is>
          <t>VÄSTMANLANDS LÄN</t>
        </is>
      </c>
      <c r="E569" t="inlineStr">
        <is>
          <t>SALA</t>
        </is>
      </c>
      <c r="G569" t="n">
        <v>12.5</v>
      </c>
      <c r="H569" t="n">
        <v>0</v>
      </c>
      <c r="I569" t="n">
        <v>0</v>
      </c>
      <c r="J569" t="n">
        <v>0</v>
      </c>
      <c r="K569" t="n">
        <v>0</v>
      </c>
      <c r="L569" t="n">
        <v>0</v>
      </c>
      <c r="M569" t="n">
        <v>0</v>
      </c>
      <c r="N569" t="n">
        <v>0</v>
      </c>
      <c r="O569" t="n">
        <v>0</v>
      </c>
      <c r="P569" t="n">
        <v>0</v>
      </c>
      <c r="Q569" t="n">
        <v>0</v>
      </c>
      <c r="R569" s="2" t="inlineStr"/>
    </row>
    <row r="570" ht="15" customHeight="1">
      <c r="A570" t="inlineStr">
        <is>
          <t>A 35775-2025</t>
        </is>
      </c>
      <c r="B570" s="1" t="n">
        <v>45860</v>
      </c>
      <c r="C570" s="1" t="n">
        <v>45879</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29085-2025</t>
        </is>
      </c>
      <c r="B571" s="1" t="n">
        <v>45821</v>
      </c>
      <c r="C571" s="1" t="n">
        <v>45879</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29248-2022</t>
        </is>
      </c>
      <c r="B572" s="1" t="n">
        <v>44750</v>
      </c>
      <c r="C572" s="1" t="n">
        <v>45879</v>
      </c>
      <c r="D572" t="inlineStr">
        <is>
          <t>VÄSTMANLANDS LÄN</t>
        </is>
      </c>
      <c r="E572" t="inlineStr">
        <is>
          <t>SALA</t>
        </is>
      </c>
      <c r="G572" t="n">
        <v>1.6</v>
      </c>
      <c r="H572" t="n">
        <v>0</v>
      </c>
      <c r="I572" t="n">
        <v>0</v>
      </c>
      <c r="J572" t="n">
        <v>0</v>
      </c>
      <c r="K572" t="n">
        <v>0</v>
      </c>
      <c r="L572" t="n">
        <v>0</v>
      </c>
      <c r="M572" t="n">
        <v>0</v>
      </c>
      <c r="N572" t="n">
        <v>0</v>
      </c>
      <c r="O572" t="n">
        <v>0</v>
      </c>
      <c r="P572" t="n">
        <v>0</v>
      </c>
      <c r="Q572" t="n">
        <v>0</v>
      </c>
      <c r="R572" s="2" t="inlineStr"/>
    </row>
    <row r="573" ht="15" customHeight="1">
      <c r="A573" t="inlineStr">
        <is>
          <t>A 59175-2022</t>
        </is>
      </c>
      <c r="B573" s="1" t="n">
        <v>44904.48502314815</v>
      </c>
      <c r="C573" s="1" t="n">
        <v>45879</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39451-2022</t>
        </is>
      </c>
      <c r="B574" s="1" t="n">
        <v>44818.36606481481</v>
      </c>
      <c r="C574" s="1" t="n">
        <v>45879</v>
      </c>
      <c r="D574" t="inlineStr">
        <is>
          <t>VÄSTMANLANDS LÄN</t>
        </is>
      </c>
      <c r="E574" t="inlineStr">
        <is>
          <t>SALA</t>
        </is>
      </c>
      <c r="G574" t="n">
        <v>9.4</v>
      </c>
      <c r="H574" t="n">
        <v>0</v>
      </c>
      <c r="I574" t="n">
        <v>0</v>
      </c>
      <c r="J574" t="n">
        <v>0</v>
      </c>
      <c r="K574" t="n">
        <v>0</v>
      </c>
      <c r="L574" t="n">
        <v>0</v>
      </c>
      <c r="M574" t="n">
        <v>0</v>
      </c>
      <c r="N574" t="n">
        <v>0</v>
      </c>
      <c r="O574" t="n">
        <v>0</v>
      </c>
      <c r="P574" t="n">
        <v>0</v>
      </c>
      <c r="Q574" t="n">
        <v>0</v>
      </c>
      <c r="R574" s="2" t="inlineStr"/>
    </row>
    <row r="575" ht="15" customHeight="1">
      <c r="A575" t="inlineStr">
        <is>
          <t>A 36031-2025</t>
        </is>
      </c>
      <c r="B575" s="1" t="n">
        <v>45865.46111111111</v>
      </c>
      <c r="C575" s="1" t="n">
        <v>45879</v>
      </c>
      <c r="D575" t="inlineStr">
        <is>
          <t>VÄSTMANLANDS LÄN</t>
        </is>
      </c>
      <c r="E575" t="inlineStr">
        <is>
          <t>SALA</t>
        </is>
      </c>
      <c r="G575" t="n">
        <v>7.2</v>
      </c>
      <c r="H575" t="n">
        <v>0</v>
      </c>
      <c r="I575" t="n">
        <v>0</v>
      </c>
      <c r="J575" t="n">
        <v>0</v>
      </c>
      <c r="K575" t="n">
        <v>0</v>
      </c>
      <c r="L575" t="n">
        <v>0</v>
      </c>
      <c r="M575" t="n">
        <v>0</v>
      </c>
      <c r="N575" t="n">
        <v>0</v>
      </c>
      <c r="O575" t="n">
        <v>0</v>
      </c>
      <c r="P575" t="n">
        <v>0</v>
      </c>
      <c r="Q575" t="n">
        <v>0</v>
      </c>
      <c r="R575" s="2" t="inlineStr"/>
    </row>
    <row r="576" ht="15" customHeight="1">
      <c r="A576" t="inlineStr">
        <is>
          <t>A 36043-2025</t>
        </is>
      </c>
      <c r="B576" s="1" t="n">
        <v>45866.35333333333</v>
      </c>
      <c r="C576" s="1" t="n">
        <v>45879</v>
      </c>
      <c r="D576" t="inlineStr">
        <is>
          <t>VÄSTMANLANDS LÄN</t>
        </is>
      </c>
      <c r="E576" t="inlineStr">
        <is>
          <t>SALA</t>
        </is>
      </c>
      <c r="F576" t="inlineStr">
        <is>
          <t>Kommuner</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36045-2025</t>
        </is>
      </c>
      <c r="B577" s="1" t="n">
        <v>45866.36200231482</v>
      </c>
      <c r="C577" s="1" t="n">
        <v>45879</v>
      </c>
      <c r="D577" t="inlineStr">
        <is>
          <t>VÄSTMANLANDS LÄN</t>
        </is>
      </c>
      <c r="E577" t="inlineStr">
        <is>
          <t>SALA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36032-2025</t>
        </is>
      </c>
      <c r="B578" s="1" t="n">
        <v>45865.48740740741</v>
      </c>
      <c r="C578" s="1" t="n">
        <v>45879</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36049-2025</t>
        </is>
      </c>
      <c r="B579" s="1" t="n">
        <v>45866.37065972222</v>
      </c>
      <c r="C579" s="1" t="n">
        <v>45879</v>
      </c>
      <c r="D579" t="inlineStr">
        <is>
          <t>VÄSTMANLANDS LÄN</t>
        </is>
      </c>
      <c r="E579" t="inlineStr">
        <is>
          <t>SALA</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60541-2024</t>
        </is>
      </c>
      <c r="B580" s="1" t="n">
        <v>45643</v>
      </c>
      <c r="C580" s="1" t="n">
        <v>45879</v>
      </c>
      <c r="D580" t="inlineStr">
        <is>
          <t>VÄSTMANLANDS LÄN</t>
        </is>
      </c>
      <c r="E580" t="inlineStr">
        <is>
          <t>SALA</t>
        </is>
      </c>
      <c r="G580" t="n">
        <v>10.6</v>
      </c>
      <c r="H580" t="n">
        <v>0</v>
      </c>
      <c r="I580" t="n">
        <v>0</v>
      </c>
      <c r="J580" t="n">
        <v>0</v>
      </c>
      <c r="K580" t="n">
        <v>0</v>
      </c>
      <c r="L580" t="n">
        <v>0</v>
      </c>
      <c r="M580" t="n">
        <v>0</v>
      </c>
      <c r="N580" t="n">
        <v>0</v>
      </c>
      <c r="O580" t="n">
        <v>0</v>
      </c>
      <c r="P580" t="n">
        <v>0</v>
      </c>
      <c r="Q580" t="n">
        <v>0</v>
      </c>
      <c r="R580" s="2" t="inlineStr"/>
    </row>
    <row r="581" ht="15" customHeight="1">
      <c r="A581" t="inlineStr">
        <is>
          <t>A 36060-2025</t>
        </is>
      </c>
      <c r="B581" s="1" t="n">
        <v>45866.39469907407</v>
      </c>
      <c r="C581" s="1" t="n">
        <v>45879</v>
      </c>
      <c r="D581" t="inlineStr">
        <is>
          <t>VÄSTMANLANDS LÄN</t>
        </is>
      </c>
      <c r="E581" t="inlineStr">
        <is>
          <t>SALA</t>
        </is>
      </c>
      <c r="F581" t="inlineStr">
        <is>
          <t>Kommuner</t>
        </is>
      </c>
      <c r="G581" t="n">
        <v>4.3</v>
      </c>
      <c r="H581" t="n">
        <v>0</v>
      </c>
      <c r="I581" t="n">
        <v>0</v>
      </c>
      <c r="J581" t="n">
        <v>0</v>
      </c>
      <c r="K581" t="n">
        <v>0</v>
      </c>
      <c r="L581" t="n">
        <v>0</v>
      </c>
      <c r="M581" t="n">
        <v>0</v>
      </c>
      <c r="N581" t="n">
        <v>0</v>
      </c>
      <c r="O581" t="n">
        <v>0</v>
      </c>
      <c r="P581" t="n">
        <v>0</v>
      </c>
      <c r="Q581" t="n">
        <v>0</v>
      </c>
      <c r="R581" s="2" t="inlineStr"/>
    </row>
    <row r="582" ht="15" customHeight="1">
      <c r="A582" t="inlineStr">
        <is>
          <t>A 29826-2025</t>
        </is>
      </c>
      <c r="B582" s="1" t="n">
        <v>45825.85761574074</v>
      </c>
      <c r="C582" s="1" t="n">
        <v>45879</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11631-2023</t>
        </is>
      </c>
      <c r="B583" s="1" t="n">
        <v>44994.44001157407</v>
      </c>
      <c r="C583" s="1" t="n">
        <v>45879</v>
      </c>
      <c r="D583" t="inlineStr">
        <is>
          <t>VÄSTMANLANDS LÄN</t>
        </is>
      </c>
      <c r="E583" t="inlineStr">
        <is>
          <t>SALA</t>
        </is>
      </c>
      <c r="F583" t="inlineStr">
        <is>
          <t>Kommuner</t>
        </is>
      </c>
      <c r="G583" t="n">
        <v>1.9</v>
      </c>
      <c r="H583" t="n">
        <v>0</v>
      </c>
      <c r="I583" t="n">
        <v>0</v>
      </c>
      <c r="J583" t="n">
        <v>0</v>
      </c>
      <c r="K583" t="n">
        <v>0</v>
      </c>
      <c r="L583" t="n">
        <v>0</v>
      </c>
      <c r="M583" t="n">
        <v>0</v>
      </c>
      <c r="N583" t="n">
        <v>0</v>
      </c>
      <c r="O583" t="n">
        <v>0</v>
      </c>
      <c r="P583" t="n">
        <v>0</v>
      </c>
      <c r="Q583" t="n">
        <v>0</v>
      </c>
      <c r="R583" s="2" t="inlineStr"/>
    </row>
    <row r="584" ht="15" customHeight="1">
      <c r="A584" t="inlineStr">
        <is>
          <t>A 988-2025</t>
        </is>
      </c>
      <c r="B584" s="1" t="n">
        <v>45666.44038194444</v>
      </c>
      <c r="C584" s="1" t="n">
        <v>45879</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5032-2025</t>
        </is>
      </c>
      <c r="B585" s="1" t="n">
        <v>45691</v>
      </c>
      <c r="C585" s="1" t="n">
        <v>45879</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29691-2025</t>
        </is>
      </c>
      <c r="B586" s="1" t="n">
        <v>45825.53645833334</v>
      </c>
      <c r="C586" s="1" t="n">
        <v>45879</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29972-2025</t>
        </is>
      </c>
      <c r="B587" s="1" t="n">
        <v>45826</v>
      </c>
      <c r="C587" s="1" t="n">
        <v>45879</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66908-2021</t>
        </is>
      </c>
      <c r="B588" s="1" t="n">
        <v>44522</v>
      </c>
      <c r="C588" s="1" t="n">
        <v>45879</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11696-2025</t>
        </is>
      </c>
      <c r="B589" s="1" t="n">
        <v>45727</v>
      </c>
      <c r="C589" s="1" t="n">
        <v>45879</v>
      </c>
      <c r="D589" t="inlineStr">
        <is>
          <t>VÄSTMANLANDS LÄN</t>
        </is>
      </c>
      <c r="E589" t="inlineStr">
        <is>
          <t>SALA</t>
        </is>
      </c>
      <c r="F589" t="inlineStr">
        <is>
          <t>Bergvik skog öst AB</t>
        </is>
      </c>
      <c r="G589" t="n">
        <v>1.6</v>
      </c>
      <c r="H589" t="n">
        <v>0</v>
      </c>
      <c r="I589" t="n">
        <v>0</v>
      </c>
      <c r="J589" t="n">
        <v>0</v>
      </c>
      <c r="K589" t="n">
        <v>0</v>
      </c>
      <c r="L589" t="n">
        <v>0</v>
      </c>
      <c r="M589" t="n">
        <v>0</v>
      </c>
      <c r="N589" t="n">
        <v>0</v>
      </c>
      <c r="O589" t="n">
        <v>0</v>
      </c>
      <c r="P589" t="n">
        <v>0</v>
      </c>
      <c r="Q589" t="n">
        <v>0</v>
      </c>
      <c r="R589" s="2" t="inlineStr"/>
    </row>
    <row r="590" ht="15" customHeight="1">
      <c r="A590" t="inlineStr">
        <is>
          <t>A 62648-2022</t>
        </is>
      </c>
      <c r="B590" s="1" t="n">
        <v>44917</v>
      </c>
      <c r="C590" s="1" t="n">
        <v>45879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43509-2021</t>
        </is>
      </c>
      <c r="B591" s="1" t="n">
        <v>44433</v>
      </c>
      <c r="C591" s="1" t="n">
        <v>45879</v>
      </c>
      <c r="D591" t="inlineStr">
        <is>
          <t>VÄSTMANLANDS LÄN</t>
        </is>
      </c>
      <c r="E591" t="inlineStr">
        <is>
          <t>SALA</t>
        </is>
      </c>
      <c r="G591" t="n">
        <v>0.8</v>
      </c>
      <c r="H591" t="n">
        <v>0</v>
      </c>
      <c r="I591" t="n">
        <v>0</v>
      </c>
      <c r="J591" t="n">
        <v>0</v>
      </c>
      <c r="K591" t="n">
        <v>0</v>
      </c>
      <c r="L591" t="n">
        <v>0</v>
      </c>
      <c r="M591" t="n">
        <v>0</v>
      </c>
      <c r="N591" t="n">
        <v>0</v>
      </c>
      <c r="O591" t="n">
        <v>0</v>
      </c>
      <c r="P591" t="n">
        <v>0</v>
      </c>
      <c r="Q591" t="n">
        <v>0</v>
      </c>
      <c r="R591" s="2" t="inlineStr"/>
    </row>
    <row r="592" ht="15" customHeight="1">
      <c r="A592" t="inlineStr">
        <is>
          <t>A 42344-2020</t>
        </is>
      </c>
      <c r="B592" s="1" t="n">
        <v>44076</v>
      </c>
      <c r="C592" s="1" t="n">
        <v>45879</v>
      </c>
      <c r="D592" t="inlineStr">
        <is>
          <t>VÄSTMANLANDS LÄN</t>
        </is>
      </c>
      <c r="E592" t="inlineStr">
        <is>
          <t>SALA</t>
        </is>
      </c>
      <c r="G592" t="n">
        <v>5.1</v>
      </c>
      <c r="H592" t="n">
        <v>0</v>
      </c>
      <c r="I592" t="n">
        <v>0</v>
      </c>
      <c r="J592" t="n">
        <v>0</v>
      </c>
      <c r="K592" t="n">
        <v>0</v>
      </c>
      <c r="L592" t="n">
        <v>0</v>
      </c>
      <c r="M592" t="n">
        <v>0</v>
      </c>
      <c r="N592" t="n">
        <v>0</v>
      </c>
      <c r="O592" t="n">
        <v>0</v>
      </c>
      <c r="P592" t="n">
        <v>0</v>
      </c>
      <c r="Q592" t="n">
        <v>0</v>
      </c>
      <c r="R592" s="2" t="inlineStr"/>
    </row>
    <row r="593" ht="15" customHeight="1">
      <c r="A593" t="inlineStr">
        <is>
          <t>A 42346-2020</t>
        </is>
      </c>
      <c r="B593" s="1" t="n">
        <v>44076</v>
      </c>
      <c r="C593" s="1" t="n">
        <v>45879</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1934-2023</t>
        </is>
      </c>
      <c r="B594" s="1" t="n">
        <v>44939.43024305555</v>
      </c>
      <c r="C594" s="1" t="n">
        <v>45879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11927-2025</t>
        </is>
      </c>
      <c r="B595" s="1" t="n">
        <v>45728.5137962963</v>
      </c>
      <c r="C595" s="1" t="n">
        <v>45879</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60823-2024</t>
        </is>
      </c>
      <c r="B596" s="1" t="n">
        <v>45644</v>
      </c>
      <c r="C596" s="1" t="n">
        <v>45879</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30874-2025</t>
        </is>
      </c>
      <c r="B597" s="1" t="n">
        <v>45832.34430555555</v>
      </c>
      <c r="C597" s="1" t="n">
        <v>45879</v>
      </c>
      <c r="D597" t="inlineStr">
        <is>
          <t>VÄSTMANLANDS LÄN</t>
        </is>
      </c>
      <c r="E597" t="inlineStr">
        <is>
          <t>SALA</t>
        </is>
      </c>
      <c r="G597" t="n">
        <v>8.4</v>
      </c>
      <c r="H597" t="n">
        <v>0</v>
      </c>
      <c r="I597" t="n">
        <v>0</v>
      </c>
      <c r="J597" t="n">
        <v>0</v>
      </c>
      <c r="K597" t="n">
        <v>0</v>
      </c>
      <c r="L597" t="n">
        <v>0</v>
      </c>
      <c r="M597" t="n">
        <v>0</v>
      </c>
      <c r="N597" t="n">
        <v>0</v>
      </c>
      <c r="O597" t="n">
        <v>0</v>
      </c>
      <c r="P597" t="n">
        <v>0</v>
      </c>
      <c r="Q597" t="n">
        <v>0</v>
      </c>
      <c r="R597" s="2" t="inlineStr"/>
    </row>
    <row r="598" ht="15" customHeight="1">
      <c r="A598" t="inlineStr">
        <is>
          <t>A 96-2024</t>
        </is>
      </c>
      <c r="B598" s="1" t="n">
        <v>45293.85872685185</v>
      </c>
      <c r="C598" s="1" t="n">
        <v>45879</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37017-2025</t>
        </is>
      </c>
      <c r="B599" s="1" t="n">
        <v>45874</v>
      </c>
      <c r="C599" s="1" t="n">
        <v>45879</v>
      </c>
      <c r="D599" t="inlineStr">
        <is>
          <t>VÄSTMANLANDS LÄN</t>
        </is>
      </c>
      <c r="E599" t="inlineStr">
        <is>
          <t>SALA</t>
        </is>
      </c>
      <c r="G599" t="n">
        <v>11.1</v>
      </c>
      <c r="H599" t="n">
        <v>0</v>
      </c>
      <c r="I599" t="n">
        <v>0</v>
      </c>
      <c r="J599" t="n">
        <v>0</v>
      </c>
      <c r="K599" t="n">
        <v>0</v>
      </c>
      <c r="L599" t="n">
        <v>0</v>
      </c>
      <c r="M599" t="n">
        <v>0</v>
      </c>
      <c r="N599" t="n">
        <v>0</v>
      </c>
      <c r="O599" t="n">
        <v>0</v>
      </c>
      <c r="P599" t="n">
        <v>0</v>
      </c>
      <c r="Q599" t="n">
        <v>0</v>
      </c>
      <c r="R599" s="2" t="inlineStr"/>
    </row>
    <row r="600" ht="15" customHeight="1">
      <c r="A600" t="inlineStr">
        <is>
          <t>A 23374-2023</t>
        </is>
      </c>
      <c r="B600" s="1" t="n">
        <v>45076.4399537037</v>
      </c>
      <c r="C600" s="1" t="n">
        <v>45879</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30899-2025</t>
        </is>
      </c>
      <c r="B601" s="1" t="n">
        <v>45832.35767361111</v>
      </c>
      <c r="C601" s="1" t="n">
        <v>45879</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30866-2025</t>
        </is>
      </c>
      <c r="B602" s="1" t="n">
        <v>45832.3246875</v>
      </c>
      <c r="C602" s="1" t="n">
        <v>45879</v>
      </c>
      <c r="D602" t="inlineStr">
        <is>
          <t>VÄSTMANLANDS LÄN</t>
        </is>
      </c>
      <c r="E602" t="inlineStr">
        <is>
          <t>SALA</t>
        </is>
      </c>
      <c r="G602" t="n">
        <v>14.3</v>
      </c>
      <c r="H602" t="n">
        <v>0</v>
      </c>
      <c r="I602" t="n">
        <v>0</v>
      </c>
      <c r="J602" t="n">
        <v>0</v>
      </c>
      <c r="K602" t="n">
        <v>0</v>
      </c>
      <c r="L602" t="n">
        <v>0</v>
      </c>
      <c r="M602" t="n">
        <v>0</v>
      </c>
      <c r="N602" t="n">
        <v>0</v>
      </c>
      <c r="O602" t="n">
        <v>0</v>
      </c>
      <c r="P602" t="n">
        <v>0</v>
      </c>
      <c r="Q602" t="n">
        <v>0</v>
      </c>
      <c r="R602" s="2" t="inlineStr"/>
    </row>
    <row r="603" ht="15" customHeight="1">
      <c r="A603" t="inlineStr">
        <is>
          <t>A 61874-2021</t>
        </is>
      </c>
      <c r="B603" s="1" t="n">
        <v>44502</v>
      </c>
      <c r="C603" s="1" t="n">
        <v>45879</v>
      </c>
      <c r="D603" t="inlineStr">
        <is>
          <t>VÄSTMANLANDS LÄN</t>
        </is>
      </c>
      <c r="E603" t="inlineStr">
        <is>
          <t>SALA</t>
        </is>
      </c>
      <c r="F603" t="inlineStr">
        <is>
          <t>Kyrkan</t>
        </is>
      </c>
      <c r="G603" t="n">
        <v>1.3</v>
      </c>
      <c r="H603" t="n">
        <v>0</v>
      </c>
      <c r="I603" t="n">
        <v>0</v>
      </c>
      <c r="J603" t="n">
        <v>0</v>
      </c>
      <c r="K603" t="n">
        <v>0</v>
      </c>
      <c r="L603" t="n">
        <v>0</v>
      </c>
      <c r="M603" t="n">
        <v>0</v>
      </c>
      <c r="N603" t="n">
        <v>0</v>
      </c>
      <c r="O603" t="n">
        <v>0</v>
      </c>
      <c r="P603" t="n">
        <v>0</v>
      </c>
      <c r="Q603" t="n">
        <v>0</v>
      </c>
      <c r="R603" s="2" t="inlineStr"/>
    </row>
    <row r="604" ht="15" customHeight="1">
      <c r="A604" t="inlineStr">
        <is>
          <t>A 9856-2022</t>
        </is>
      </c>
      <c r="B604" s="1" t="n">
        <v>44620</v>
      </c>
      <c r="C604" s="1" t="n">
        <v>45879</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31065-2025</t>
        </is>
      </c>
      <c r="B605" s="1" t="n">
        <v>45832.57571759259</v>
      </c>
      <c r="C605" s="1" t="n">
        <v>45879</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16159-2024</t>
        </is>
      </c>
      <c r="B606" s="1" t="n">
        <v>45406</v>
      </c>
      <c r="C606" s="1" t="n">
        <v>45879</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50241-2023</t>
        </is>
      </c>
      <c r="B607" s="1" t="n">
        <v>45216</v>
      </c>
      <c r="C607" s="1" t="n">
        <v>45879</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3332-2024</t>
        </is>
      </c>
      <c r="B608" s="1" t="n">
        <v>45317</v>
      </c>
      <c r="C608" s="1" t="n">
        <v>45879</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31612-2025</t>
        </is>
      </c>
      <c r="B609" s="1" t="n">
        <v>45833.80056712963</v>
      </c>
      <c r="C609" s="1" t="n">
        <v>45879</v>
      </c>
      <c r="D609" t="inlineStr">
        <is>
          <t>VÄSTMANLANDS LÄN</t>
        </is>
      </c>
      <c r="E609" t="inlineStr">
        <is>
          <t>SALA</t>
        </is>
      </c>
      <c r="G609" t="n">
        <v>6.3</v>
      </c>
      <c r="H609" t="n">
        <v>0</v>
      </c>
      <c r="I609" t="n">
        <v>0</v>
      </c>
      <c r="J609" t="n">
        <v>0</v>
      </c>
      <c r="K609" t="n">
        <v>0</v>
      </c>
      <c r="L609" t="n">
        <v>0</v>
      </c>
      <c r="M609" t="n">
        <v>0</v>
      </c>
      <c r="N609" t="n">
        <v>0</v>
      </c>
      <c r="O609" t="n">
        <v>0</v>
      </c>
      <c r="P609" t="n">
        <v>0</v>
      </c>
      <c r="Q609" t="n">
        <v>0</v>
      </c>
      <c r="R609" s="2" t="inlineStr"/>
    </row>
    <row r="610" ht="15" customHeight="1">
      <c r="A610" t="inlineStr">
        <is>
          <t>A 35637-2022</t>
        </is>
      </c>
      <c r="B610" s="1" t="n">
        <v>44799.55194444444</v>
      </c>
      <c r="C610" s="1" t="n">
        <v>45879</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31748-2025</t>
        </is>
      </c>
      <c r="B611" s="1" t="n">
        <v>45834</v>
      </c>
      <c r="C611" s="1" t="n">
        <v>45879</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31288-2025</t>
        </is>
      </c>
      <c r="B612" s="1" t="n">
        <v>45833</v>
      </c>
      <c r="C612" s="1" t="n">
        <v>45879</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19033-2025</t>
        </is>
      </c>
      <c r="B613" s="1" t="n">
        <v>45764.65796296296</v>
      </c>
      <c r="C613" s="1" t="n">
        <v>45879</v>
      </c>
      <c r="D613" t="inlineStr">
        <is>
          <t>VÄSTMANLANDS LÄN</t>
        </is>
      </c>
      <c r="E613" t="inlineStr">
        <is>
          <t>SALA</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31771-2025</t>
        </is>
      </c>
      <c r="B614" s="1" t="n">
        <v>45834.50910879629</v>
      </c>
      <c r="C614" s="1" t="n">
        <v>45879</v>
      </c>
      <c r="D614" t="inlineStr">
        <is>
          <t>VÄSTMANLANDS LÄN</t>
        </is>
      </c>
      <c r="E614" t="inlineStr">
        <is>
          <t>SALA</t>
        </is>
      </c>
      <c r="G614" t="n">
        <v>5.1</v>
      </c>
      <c r="H614" t="n">
        <v>0</v>
      </c>
      <c r="I614" t="n">
        <v>0</v>
      </c>
      <c r="J614" t="n">
        <v>0</v>
      </c>
      <c r="K614" t="n">
        <v>0</v>
      </c>
      <c r="L614" t="n">
        <v>0</v>
      </c>
      <c r="M614" t="n">
        <v>0</v>
      </c>
      <c r="N614" t="n">
        <v>0</v>
      </c>
      <c r="O614" t="n">
        <v>0</v>
      </c>
      <c r="P614" t="n">
        <v>0</v>
      </c>
      <c r="Q614" t="n">
        <v>0</v>
      </c>
      <c r="R614" s="2" t="inlineStr"/>
    </row>
    <row r="615" ht="15" customHeight="1">
      <c r="A615" t="inlineStr">
        <is>
          <t>A 31860-2025</t>
        </is>
      </c>
      <c r="B615" s="1" t="n">
        <v>45834</v>
      </c>
      <c r="C615" s="1" t="n">
        <v>45879</v>
      </c>
      <c r="D615" t="inlineStr">
        <is>
          <t>VÄSTMANLANDS LÄN</t>
        </is>
      </c>
      <c r="E615" t="inlineStr">
        <is>
          <t>SALA</t>
        </is>
      </c>
      <c r="G615" t="n">
        <v>7.4</v>
      </c>
      <c r="H615" t="n">
        <v>0</v>
      </c>
      <c r="I615" t="n">
        <v>0</v>
      </c>
      <c r="J615" t="n">
        <v>0</v>
      </c>
      <c r="K615" t="n">
        <v>0</v>
      </c>
      <c r="L615" t="n">
        <v>0</v>
      </c>
      <c r="M615" t="n">
        <v>0</v>
      </c>
      <c r="N615" t="n">
        <v>0</v>
      </c>
      <c r="O615" t="n">
        <v>0</v>
      </c>
      <c r="P615" t="n">
        <v>0</v>
      </c>
      <c r="Q615" t="n">
        <v>0</v>
      </c>
      <c r="R615" s="2" t="inlineStr"/>
    </row>
    <row r="616" ht="15" customHeight="1">
      <c r="A616" t="inlineStr">
        <is>
          <t>A 31864-2025</t>
        </is>
      </c>
      <c r="B616" s="1" t="n">
        <v>45834.63819444444</v>
      </c>
      <c r="C616" s="1" t="n">
        <v>45879</v>
      </c>
      <c r="D616" t="inlineStr">
        <is>
          <t>VÄSTMANLANDS LÄN</t>
        </is>
      </c>
      <c r="E616" t="inlineStr">
        <is>
          <t>SALA</t>
        </is>
      </c>
      <c r="G616" t="n">
        <v>6.3</v>
      </c>
      <c r="H616" t="n">
        <v>0</v>
      </c>
      <c r="I616" t="n">
        <v>0</v>
      </c>
      <c r="J616" t="n">
        <v>0</v>
      </c>
      <c r="K616" t="n">
        <v>0</v>
      </c>
      <c r="L616" t="n">
        <v>0</v>
      </c>
      <c r="M616" t="n">
        <v>0</v>
      </c>
      <c r="N616" t="n">
        <v>0</v>
      </c>
      <c r="O616" t="n">
        <v>0</v>
      </c>
      <c r="P616" t="n">
        <v>0</v>
      </c>
      <c r="Q616" t="n">
        <v>0</v>
      </c>
      <c r="R616" s="2" t="inlineStr"/>
    </row>
    <row r="617" ht="15" customHeight="1">
      <c r="A617" t="inlineStr">
        <is>
          <t>A 37263-2025</t>
        </is>
      </c>
      <c r="B617" s="1" t="n">
        <v>45876.4584837963</v>
      </c>
      <c r="C617" s="1" t="n">
        <v>45879</v>
      </c>
      <c r="D617" t="inlineStr">
        <is>
          <t>VÄSTMANLANDS LÄN</t>
        </is>
      </c>
      <c r="E617" t="inlineStr">
        <is>
          <t>SALA</t>
        </is>
      </c>
      <c r="G617" t="n">
        <v>2.3</v>
      </c>
      <c r="H617" t="n">
        <v>0</v>
      </c>
      <c r="I617" t="n">
        <v>0</v>
      </c>
      <c r="J617" t="n">
        <v>0</v>
      </c>
      <c r="K617" t="n">
        <v>0</v>
      </c>
      <c r="L617" t="n">
        <v>0</v>
      </c>
      <c r="M617" t="n">
        <v>0</v>
      </c>
      <c r="N617" t="n">
        <v>0</v>
      </c>
      <c r="O617" t="n">
        <v>0</v>
      </c>
      <c r="P617" t="n">
        <v>0</v>
      </c>
      <c r="Q617" t="n">
        <v>0</v>
      </c>
      <c r="R617" s="2" t="inlineStr"/>
    </row>
    <row r="618" ht="15" customHeight="1">
      <c r="A618" t="inlineStr">
        <is>
          <t>A 31887-2025</t>
        </is>
      </c>
      <c r="B618" s="1" t="n">
        <v>45834.6608449074</v>
      </c>
      <c r="C618" s="1" t="n">
        <v>45879</v>
      </c>
      <c r="D618" t="inlineStr">
        <is>
          <t>VÄSTMANLANDS LÄN</t>
        </is>
      </c>
      <c r="E618" t="inlineStr">
        <is>
          <t>SALA</t>
        </is>
      </c>
      <c r="G618" t="n">
        <v>7</v>
      </c>
      <c r="H618" t="n">
        <v>0</v>
      </c>
      <c r="I618" t="n">
        <v>0</v>
      </c>
      <c r="J618" t="n">
        <v>0</v>
      </c>
      <c r="K618" t="n">
        <v>0</v>
      </c>
      <c r="L618" t="n">
        <v>0</v>
      </c>
      <c r="M618" t="n">
        <v>0</v>
      </c>
      <c r="N618" t="n">
        <v>0</v>
      </c>
      <c r="O618" t="n">
        <v>0</v>
      </c>
      <c r="P618" t="n">
        <v>0</v>
      </c>
      <c r="Q618" t="n">
        <v>0</v>
      </c>
      <c r="R618" s="2" t="inlineStr"/>
    </row>
    <row r="619" ht="15" customHeight="1">
      <c r="A619" t="inlineStr">
        <is>
          <t>A 37253-2025</t>
        </is>
      </c>
      <c r="B619" s="1" t="n">
        <v>45876.42290509259</v>
      </c>
      <c r="C619" s="1" t="n">
        <v>45879</v>
      </c>
      <c r="D619" t="inlineStr">
        <is>
          <t>VÄSTMANLANDS LÄN</t>
        </is>
      </c>
      <c r="E619" t="inlineStr">
        <is>
          <t>SALA</t>
        </is>
      </c>
      <c r="G619" t="n">
        <v>2.6</v>
      </c>
      <c r="H619" t="n">
        <v>0</v>
      </c>
      <c r="I619" t="n">
        <v>0</v>
      </c>
      <c r="J619" t="n">
        <v>0</v>
      </c>
      <c r="K619" t="n">
        <v>0</v>
      </c>
      <c r="L619" t="n">
        <v>0</v>
      </c>
      <c r="M619" t="n">
        <v>0</v>
      </c>
      <c r="N619" t="n">
        <v>0</v>
      </c>
      <c r="O619" t="n">
        <v>0</v>
      </c>
      <c r="P619" t="n">
        <v>0</v>
      </c>
      <c r="Q619" t="n">
        <v>0</v>
      </c>
      <c r="R619" s="2" t="inlineStr"/>
    </row>
    <row r="620" ht="15" customHeight="1">
      <c r="A620" t="inlineStr">
        <is>
          <t>A 31554-2025</t>
        </is>
      </c>
      <c r="B620" s="1" t="n">
        <v>45833</v>
      </c>
      <c r="C620" s="1" t="n">
        <v>45879</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37103-2025</t>
        </is>
      </c>
      <c r="B621" s="1" t="n">
        <v>45875.47743055555</v>
      </c>
      <c r="C621" s="1" t="n">
        <v>45879</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31762-2025</t>
        </is>
      </c>
      <c r="B622" s="1" t="n">
        <v>45834.49288194445</v>
      </c>
      <c r="C622" s="1" t="n">
        <v>45879</v>
      </c>
      <c r="D622" t="inlineStr">
        <is>
          <t>VÄSTMANLANDS LÄN</t>
        </is>
      </c>
      <c r="E622" t="inlineStr">
        <is>
          <t>SALA</t>
        </is>
      </c>
      <c r="G622" t="n">
        <v>5.9</v>
      </c>
      <c r="H622" t="n">
        <v>0</v>
      </c>
      <c r="I622" t="n">
        <v>0</v>
      </c>
      <c r="J622" t="n">
        <v>0</v>
      </c>
      <c r="K622" t="n">
        <v>0</v>
      </c>
      <c r="L622" t="n">
        <v>0</v>
      </c>
      <c r="M622" t="n">
        <v>0</v>
      </c>
      <c r="N622" t="n">
        <v>0</v>
      </c>
      <c r="O622" t="n">
        <v>0</v>
      </c>
      <c r="P622" t="n">
        <v>0</v>
      </c>
      <c r="Q622" t="n">
        <v>0</v>
      </c>
      <c r="R622" s="2" t="inlineStr"/>
    </row>
    <row r="623" ht="15" customHeight="1">
      <c r="A623" t="inlineStr">
        <is>
          <t>A 31608-2025</t>
        </is>
      </c>
      <c r="B623" s="1" t="n">
        <v>45833</v>
      </c>
      <c r="C623" s="1" t="n">
        <v>45879</v>
      </c>
      <c r="D623" t="inlineStr">
        <is>
          <t>VÄSTMANLANDS LÄN</t>
        </is>
      </c>
      <c r="E623" t="inlineStr">
        <is>
          <t>SALA</t>
        </is>
      </c>
      <c r="G623" t="n">
        <v>6.1</v>
      </c>
      <c r="H623" t="n">
        <v>0</v>
      </c>
      <c r="I623" t="n">
        <v>0</v>
      </c>
      <c r="J623" t="n">
        <v>0</v>
      </c>
      <c r="K623" t="n">
        <v>0</v>
      </c>
      <c r="L623" t="n">
        <v>0</v>
      </c>
      <c r="M623" t="n">
        <v>0</v>
      </c>
      <c r="N623" t="n">
        <v>0</v>
      </c>
      <c r="O623" t="n">
        <v>0</v>
      </c>
      <c r="P623" t="n">
        <v>0</v>
      </c>
      <c r="Q623" t="n">
        <v>0</v>
      </c>
      <c r="R623" s="2" t="inlineStr"/>
    </row>
    <row r="624" ht="15" customHeight="1">
      <c r="A624" t="inlineStr">
        <is>
          <t>A 31863-2025</t>
        </is>
      </c>
      <c r="B624" s="1" t="n">
        <v>45834.63303240741</v>
      </c>
      <c r="C624" s="1" t="n">
        <v>45879</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31610-2025</t>
        </is>
      </c>
      <c r="B625" s="1" t="n">
        <v>45833.78650462963</v>
      </c>
      <c r="C625" s="1" t="n">
        <v>45879</v>
      </c>
      <c r="D625" t="inlineStr">
        <is>
          <t>VÄSTMANLANDS LÄN</t>
        </is>
      </c>
      <c r="E625" t="inlineStr">
        <is>
          <t>SALA</t>
        </is>
      </c>
      <c r="G625" t="n">
        <v>8</v>
      </c>
      <c r="H625" t="n">
        <v>0</v>
      </c>
      <c r="I625" t="n">
        <v>0</v>
      </c>
      <c r="J625" t="n">
        <v>0</v>
      </c>
      <c r="K625" t="n">
        <v>0</v>
      </c>
      <c r="L625" t="n">
        <v>0</v>
      </c>
      <c r="M625" t="n">
        <v>0</v>
      </c>
      <c r="N625" t="n">
        <v>0</v>
      </c>
      <c r="O625" t="n">
        <v>0</v>
      </c>
      <c r="P625" t="n">
        <v>0</v>
      </c>
      <c r="Q625" t="n">
        <v>0</v>
      </c>
      <c r="R625" s="2" t="inlineStr"/>
    </row>
    <row r="626" ht="15" customHeight="1">
      <c r="A626" t="inlineStr">
        <is>
          <t>A 31869-2025</t>
        </is>
      </c>
      <c r="B626" s="1" t="n">
        <v>45834.64555555556</v>
      </c>
      <c r="C626" s="1" t="n">
        <v>45879</v>
      </c>
      <c r="D626" t="inlineStr">
        <is>
          <t>VÄSTMANLANDS LÄN</t>
        </is>
      </c>
      <c r="E626" t="inlineStr">
        <is>
          <t>SALA</t>
        </is>
      </c>
      <c r="G626" t="n">
        <v>17.5</v>
      </c>
      <c r="H626" t="n">
        <v>0</v>
      </c>
      <c r="I626" t="n">
        <v>0</v>
      </c>
      <c r="J626" t="n">
        <v>0</v>
      </c>
      <c r="K626" t="n">
        <v>0</v>
      </c>
      <c r="L626" t="n">
        <v>0</v>
      </c>
      <c r="M626" t="n">
        <v>0</v>
      </c>
      <c r="N626" t="n">
        <v>0</v>
      </c>
      <c r="O626" t="n">
        <v>0</v>
      </c>
      <c r="P626" t="n">
        <v>0</v>
      </c>
      <c r="Q626" t="n">
        <v>0</v>
      </c>
      <c r="R626" s="2" t="inlineStr"/>
    </row>
    <row r="627" ht="15" customHeight="1">
      <c r="A627" t="inlineStr">
        <is>
          <t>A 31296-2025</t>
        </is>
      </c>
      <c r="B627" s="1" t="n">
        <v>45833.36765046296</v>
      </c>
      <c r="C627" s="1" t="n">
        <v>45879</v>
      </c>
      <c r="D627" t="inlineStr">
        <is>
          <t>VÄSTMANLANDS LÄN</t>
        </is>
      </c>
      <c r="E627" t="inlineStr">
        <is>
          <t>SALA</t>
        </is>
      </c>
      <c r="G627" t="n">
        <v>3.7</v>
      </c>
      <c r="H627" t="n">
        <v>0</v>
      </c>
      <c r="I627" t="n">
        <v>0</v>
      </c>
      <c r="J627" t="n">
        <v>0</v>
      </c>
      <c r="K627" t="n">
        <v>0</v>
      </c>
      <c r="L627" t="n">
        <v>0</v>
      </c>
      <c r="M627" t="n">
        <v>0</v>
      </c>
      <c r="N627" t="n">
        <v>0</v>
      </c>
      <c r="O627" t="n">
        <v>0</v>
      </c>
      <c r="P627" t="n">
        <v>0</v>
      </c>
      <c r="Q627" t="n">
        <v>0</v>
      </c>
      <c r="R627" s="2" t="inlineStr"/>
    </row>
    <row r="628" ht="15" customHeight="1">
      <c r="A628" t="inlineStr">
        <is>
          <t>A 37246-2025</t>
        </is>
      </c>
      <c r="B628" s="1" t="n">
        <v>45876.39435185185</v>
      </c>
      <c r="C628" s="1" t="n">
        <v>45879</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31573-2025</t>
        </is>
      </c>
      <c r="B629" s="1" t="n">
        <v>45833</v>
      </c>
      <c r="C629" s="1" t="n">
        <v>45879</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57883-2024</t>
        </is>
      </c>
      <c r="B630" s="1" t="n">
        <v>45630</v>
      </c>
      <c r="C630" s="1" t="n">
        <v>45879</v>
      </c>
      <c r="D630" t="inlineStr">
        <is>
          <t>VÄSTMANLANDS LÄN</t>
        </is>
      </c>
      <c r="E630" t="inlineStr">
        <is>
          <t>SALA</t>
        </is>
      </c>
      <c r="G630" t="n">
        <v>5.4</v>
      </c>
      <c r="H630" t="n">
        <v>0</v>
      </c>
      <c r="I630" t="n">
        <v>0</v>
      </c>
      <c r="J630" t="n">
        <v>0</v>
      </c>
      <c r="K630" t="n">
        <v>0</v>
      </c>
      <c r="L630" t="n">
        <v>0</v>
      </c>
      <c r="M630" t="n">
        <v>0</v>
      </c>
      <c r="N630" t="n">
        <v>0</v>
      </c>
      <c r="O630" t="n">
        <v>0</v>
      </c>
      <c r="P630" t="n">
        <v>0</v>
      </c>
      <c r="Q630" t="n">
        <v>0</v>
      </c>
      <c r="R630" s="2" t="inlineStr"/>
    </row>
    <row r="631" ht="15" customHeight="1">
      <c r="A631" t="inlineStr">
        <is>
          <t>A 50876-2023</t>
        </is>
      </c>
      <c r="B631" s="1" t="n">
        <v>45211</v>
      </c>
      <c r="C631" s="1" t="n">
        <v>45879</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37624-2024</t>
        </is>
      </c>
      <c r="B632" s="1" t="n">
        <v>45541</v>
      </c>
      <c r="C632" s="1" t="n">
        <v>45879</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40398-2021</t>
        </is>
      </c>
      <c r="B633" s="1" t="n">
        <v>44419</v>
      </c>
      <c r="C633" s="1" t="n">
        <v>45879</v>
      </c>
      <c r="D633" t="inlineStr">
        <is>
          <t>VÄSTMANLANDS LÄN</t>
        </is>
      </c>
      <c r="E633" t="inlineStr">
        <is>
          <t>SALA</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41493-2020</t>
        </is>
      </c>
      <c r="B634" s="1" t="n">
        <v>44074</v>
      </c>
      <c r="C634" s="1" t="n">
        <v>45879</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45879</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27262-2024</t>
        </is>
      </c>
      <c r="B636" s="1" t="n">
        <v>45471</v>
      </c>
      <c r="C636" s="1" t="n">
        <v>45879</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15584-2021</t>
        </is>
      </c>
      <c r="B637" s="1" t="n">
        <v>44285</v>
      </c>
      <c r="C637" s="1" t="n">
        <v>45879</v>
      </c>
      <c r="D637" t="inlineStr">
        <is>
          <t>VÄSTMANLANDS LÄN</t>
        </is>
      </c>
      <c r="E637" t="inlineStr">
        <is>
          <t>SALA</t>
        </is>
      </c>
      <c r="G637" t="n">
        <v>3.4</v>
      </c>
      <c r="H637" t="n">
        <v>0</v>
      </c>
      <c r="I637" t="n">
        <v>0</v>
      </c>
      <c r="J637" t="n">
        <v>0</v>
      </c>
      <c r="K637" t="n">
        <v>0</v>
      </c>
      <c r="L637" t="n">
        <v>0</v>
      </c>
      <c r="M637" t="n">
        <v>0</v>
      </c>
      <c r="N637" t="n">
        <v>0</v>
      </c>
      <c r="O637" t="n">
        <v>0</v>
      </c>
      <c r="P637" t="n">
        <v>0</v>
      </c>
      <c r="Q637" t="n">
        <v>0</v>
      </c>
      <c r="R637" s="2" t="inlineStr"/>
    </row>
    <row r="638" ht="15" customHeight="1">
      <c r="A638" t="inlineStr">
        <is>
          <t>A 23119-2022</t>
        </is>
      </c>
      <c r="B638" s="1" t="n">
        <v>44719.56697916667</v>
      </c>
      <c r="C638" s="1" t="n">
        <v>45879</v>
      </c>
      <c r="D638" t="inlineStr">
        <is>
          <t>VÄSTMANLANDS LÄN</t>
        </is>
      </c>
      <c r="E638" t="inlineStr">
        <is>
          <t>SALA</t>
        </is>
      </c>
      <c r="G638" t="n">
        <v>7</v>
      </c>
      <c r="H638" t="n">
        <v>0</v>
      </c>
      <c r="I638" t="n">
        <v>0</v>
      </c>
      <c r="J638" t="n">
        <v>0</v>
      </c>
      <c r="K638" t="n">
        <v>0</v>
      </c>
      <c r="L638" t="n">
        <v>0</v>
      </c>
      <c r="M638" t="n">
        <v>0</v>
      </c>
      <c r="N638" t="n">
        <v>0</v>
      </c>
      <c r="O638" t="n">
        <v>0</v>
      </c>
      <c r="P638" t="n">
        <v>0</v>
      </c>
      <c r="Q638" t="n">
        <v>0</v>
      </c>
      <c r="R638" s="2" t="inlineStr"/>
    </row>
    <row r="639" ht="15" customHeight="1">
      <c r="A639" t="inlineStr">
        <is>
          <t>A 43751-2021</t>
        </is>
      </c>
      <c r="B639" s="1" t="n">
        <v>44433</v>
      </c>
      <c r="C639" s="1" t="n">
        <v>45879</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59483-2022</t>
        </is>
      </c>
      <c r="B640" s="1" t="n">
        <v>44907.45679398148</v>
      </c>
      <c r="C640" s="1" t="n">
        <v>45879</v>
      </c>
      <c r="D640" t="inlineStr">
        <is>
          <t>VÄSTMANLANDS LÄN</t>
        </is>
      </c>
      <c r="E640" t="inlineStr">
        <is>
          <t>SALA</t>
        </is>
      </c>
      <c r="G640" t="n">
        <v>5.2</v>
      </c>
      <c r="H640" t="n">
        <v>0</v>
      </c>
      <c r="I640" t="n">
        <v>0</v>
      </c>
      <c r="J640" t="n">
        <v>0</v>
      </c>
      <c r="K640" t="n">
        <v>0</v>
      </c>
      <c r="L640" t="n">
        <v>0</v>
      </c>
      <c r="M640" t="n">
        <v>0</v>
      </c>
      <c r="N640" t="n">
        <v>0</v>
      </c>
      <c r="O640" t="n">
        <v>0</v>
      </c>
      <c r="P640" t="n">
        <v>0</v>
      </c>
      <c r="Q640" t="n">
        <v>0</v>
      </c>
      <c r="R640" s="2" t="inlineStr"/>
    </row>
    <row r="641" ht="15" customHeight="1">
      <c r="A641" t="inlineStr">
        <is>
          <t>A 73673-2021</t>
        </is>
      </c>
      <c r="B641" s="1" t="n">
        <v>44552.46501157407</v>
      </c>
      <c r="C641" s="1" t="n">
        <v>45879</v>
      </c>
      <c r="D641" t="inlineStr">
        <is>
          <t>VÄSTMANLANDS LÄN</t>
        </is>
      </c>
      <c r="E641" t="inlineStr">
        <is>
          <t>SALA</t>
        </is>
      </c>
      <c r="G641" t="n">
        <v>11.4</v>
      </c>
      <c r="H641" t="n">
        <v>0</v>
      </c>
      <c r="I641" t="n">
        <v>0</v>
      </c>
      <c r="J641" t="n">
        <v>0</v>
      </c>
      <c r="K641" t="n">
        <v>0</v>
      </c>
      <c r="L641" t="n">
        <v>0</v>
      </c>
      <c r="M641" t="n">
        <v>0</v>
      </c>
      <c r="N641" t="n">
        <v>0</v>
      </c>
      <c r="O641" t="n">
        <v>0</v>
      </c>
      <c r="P641" t="n">
        <v>0</v>
      </c>
      <c r="Q641" t="n">
        <v>0</v>
      </c>
      <c r="R641" s="2" t="inlineStr"/>
    </row>
    <row r="642" ht="15" customHeight="1">
      <c r="A642" t="inlineStr">
        <is>
          <t>A 922-2025</t>
        </is>
      </c>
      <c r="B642" s="1" t="n">
        <v>45665.80069444444</v>
      </c>
      <c r="C642" s="1" t="n">
        <v>45879</v>
      </c>
      <c r="D642" t="inlineStr">
        <is>
          <t>VÄSTMANLANDS LÄN</t>
        </is>
      </c>
      <c r="E642" t="inlineStr">
        <is>
          <t>SALA</t>
        </is>
      </c>
      <c r="G642" t="n">
        <v>6.2</v>
      </c>
      <c r="H642" t="n">
        <v>0</v>
      </c>
      <c r="I642" t="n">
        <v>0</v>
      </c>
      <c r="J642" t="n">
        <v>0</v>
      </c>
      <c r="K642" t="n">
        <v>0</v>
      </c>
      <c r="L642" t="n">
        <v>0</v>
      </c>
      <c r="M642" t="n">
        <v>0</v>
      </c>
      <c r="N642" t="n">
        <v>0</v>
      </c>
      <c r="O642" t="n">
        <v>0</v>
      </c>
      <c r="P642" t="n">
        <v>0</v>
      </c>
      <c r="Q642" t="n">
        <v>0</v>
      </c>
      <c r="R642" s="2" t="inlineStr"/>
    </row>
    <row r="643" ht="15" customHeight="1">
      <c r="A643" t="inlineStr">
        <is>
          <t>A 4853-2023</t>
        </is>
      </c>
      <c r="B643" s="1" t="n">
        <v>44957.73234953704</v>
      </c>
      <c r="C643" s="1" t="n">
        <v>45879</v>
      </c>
      <c r="D643" t="inlineStr">
        <is>
          <t>VÄSTMANLANDS LÄN</t>
        </is>
      </c>
      <c r="E643" t="inlineStr">
        <is>
          <t>SALA</t>
        </is>
      </c>
      <c r="G643" t="n">
        <v>2.7</v>
      </c>
      <c r="H643" t="n">
        <v>0</v>
      </c>
      <c r="I643" t="n">
        <v>0</v>
      </c>
      <c r="J643" t="n">
        <v>0</v>
      </c>
      <c r="K643" t="n">
        <v>0</v>
      </c>
      <c r="L643" t="n">
        <v>0</v>
      </c>
      <c r="M643" t="n">
        <v>0</v>
      </c>
      <c r="N643" t="n">
        <v>0</v>
      </c>
      <c r="O643" t="n">
        <v>0</v>
      </c>
      <c r="P643" t="n">
        <v>0</v>
      </c>
      <c r="Q643" t="n">
        <v>0</v>
      </c>
      <c r="R643" s="2" t="inlineStr"/>
    </row>
    <row r="644" ht="15" customHeight="1">
      <c r="A644" t="inlineStr">
        <is>
          <t>A 1993-2022</t>
        </is>
      </c>
      <c r="B644" s="1" t="n">
        <v>44575</v>
      </c>
      <c r="C644" s="1" t="n">
        <v>45879</v>
      </c>
      <c r="D644" t="inlineStr">
        <is>
          <t>VÄSTMANLANDS LÄN</t>
        </is>
      </c>
      <c r="E644" t="inlineStr">
        <is>
          <t>SALA</t>
        </is>
      </c>
      <c r="G644" t="n">
        <v>1.6</v>
      </c>
      <c r="H644" t="n">
        <v>0</v>
      </c>
      <c r="I644" t="n">
        <v>0</v>
      </c>
      <c r="J644" t="n">
        <v>0</v>
      </c>
      <c r="K644" t="n">
        <v>0</v>
      </c>
      <c r="L644" t="n">
        <v>0</v>
      </c>
      <c r="M644" t="n">
        <v>0</v>
      </c>
      <c r="N644" t="n">
        <v>0</v>
      </c>
      <c r="O644" t="n">
        <v>0</v>
      </c>
      <c r="P644" t="n">
        <v>0</v>
      </c>
      <c r="Q644" t="n">
        <v>0</v>
      </c>
      <c r="R644" s="2" t="inlineStr"/>
    </row>
    <row r="645" ht="15" customHeight="1">
      <c r="A645" t="inlineStr">
        <is>
          <t>A 1793-2023</t>
        </is>
      </c>
      <c r="B645" s="1" t="n">
        <v>44937</v>
      </c>
      <c r="C645" s="1" t="n">
        <v>45879</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42447-2022</t>
        </is>
      </c>
      <c r="B646" s="1" t="n">
        <v>44831</v>
      </c>
      <c r="C646" s="1" t="n">
        <v>45879</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11183-2023</t>
        </is>
      </c>
      <c r="B647" s="1" t="n">
        <v>44992.57782407408</v>
      </c>
      <c r="C647" s="1" t="n">
        <v>45879</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45879</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31950-2023</t>
        </is>
      </c>
      <c r="B649" s="1" t="n">
        <v>45107</v>
      </c>
      <c r="C649" s="1" t="n">
        <v>45879</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48710-2024</t>
        </is>
      </c>
      <c r="B650" s="1" t="n">
        <v>45593.53636574074</v>
      </c>
      <c r="C650" s="1" t="n">
        <v>45879</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23406-2024</t>
        </is>
      </c>
      <c r="B651" s="1" t="n">
        <v>45453.58296296297</v>
      </c>
      <c r="C651" s="1" t="n">
        <v>45879</v>
      </c>
      <c r="D651" t="inlineStr">
        <is>
          <t>VÄSTMANLANDS LÄN</t>
        </is>
      </c>
      <c r="E651" t="inlineStr">
        <is>
          <t>SALA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45879</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57800-2020</t>
        </is>
      </c>
      <c r="B653" s="1" t="n">
        <v>44141</v>
      </c>
      <c r="C653" s="1" t="n">
        <v>45879</v>
      </c>
      <c r="D653" t="inlineStr">
        <is>
          <t>VÄSTMANLANDS LÄN</t>
        </is>
      </c>
      <c r="E653" t="inlineStr">
        <is>
          <t>SALA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48571-2024</t>
        </is>
      </c>
      <c r="B654" s="1" t="n">
        <v>45591</v>
      </c>
      <c r="C654" s="1" t="n">
        <v>45879</v>
      </c>
      <c r="D654" t="inlineStr">
        <is>
          <t>VÄSTMANLANDS LÄN</t>
        </is>
      </c>
      <c r="E654" t="inlineStr">
        <is>
          <t>SALA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43362-2023</t>
        </is>
      </c>
      <c r="B655" s="1" t="n">
        <v>45183</v>
      </c>
      <c r="C655" s="1" t="n">
        <v>45879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16767-2024</t>
        </is>
      </c>
      <c r="B656" s="1" t="n">
        <v>45411.38171296296</v>
      </c>
      <c r="C656" s="1" t="n">
        <v>45879</v>
      </c>
      <c r="D656" t="inlineStr">
        <is>
          <t>VÄSTMANLANDS LÄN</t>
        </is>
      </c>
      <c r="E656" t="inlineStr">
        <is>
          <t>SALA</t>
        </is>
      </c>
      <c r="G656" t="n">
        <v>2.5</v>
      </c>
      <c r="H656" t="n">
        <v>0</v>
      </c>
      <c r="I656" t="n">
        <v>0</v>
      </c>
      <c r="J656" t="n">
        <v>0</v>
      </c>
      <c r="K656" t="n">
        <v>0</v>
      </c>
      <c r="L656" t="n">
        <v>0</v>
      </c>
      <c r="M656" t="n">
        <v>0</v>
      </c>
      <c r="N656" t="n">
        <v>0</v>
      </c>
      <c r="O656" t="n">
        <v>0</v>
      </c>
      <c r="P656" t="n">
        <v>0</v>
      </c>
      <c r="Q656" t="n">
        <v>0</v>
      </c>
      <c r="R656" s="2" t="inlineStr"/>
    </row>
    <row r="657" ht="15" customHeight="1">
      <c r="A657" t="inlineStr">
        <is>
          <t>A 31470-2021</t>
        </is>
      </c>
      <c r="B657" s="1" t="n">
        <v>44369</v>
      </c>
      <c r="C657" s="1" t="n">
        <v>45879</v>
      </c>
      <c r="D657" t="inlineStr">
        <is>
          <t>VÄSTMANLANDS LÄN</t>
        </is>
      </c>
      <c r="E657" t="inlineStr">
        <is>
          <t>SALA</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18461-2024</t>
        </is>
      </c>
      <c r="B658" s="1" t="n">
        <v>45425.47435185185</v>
      </c>
      <c r="C658" s="1" t="n">
        <v>45879</v>
      </c>
      <c r="D658" t="inlineStr">
        <is>
          <t>VÄSTMANLANDS LÄN</t>
        </is>
      </c>
      <c r="E658" t="inlineStr">
        <is>
          <t>SALA</t>
        </is>
      </c>
      <c r="G658" t="n">
        <v>1.7</v>
      </c>
      <c r="H658" t="n">
        <v>0</v>
      </c>
      <c r="I658" t="n">
        <v>0</v>
      </c>
      <c r="J658" t="n">
        <v>0</v>
      </c>
      <c r="K658" t="n">
        <v>0</v>
      </c>
      <c r="L658" t="n">
        <v>0</v>
      </c>
      <c r="M658" t="n">
        <v>0</v>
      </c>
      <c r="N658" t="n">
        <v>0</v>
      </c>
      <c r="O658" t="n">
        <v>0</v>
      </c>
      <c r="P658" t="n">
        <v>0</v>
      </c>
      <c r="Q658" t="n">
        <v>0</v>
      </c>
      <c r="R658" s="2" t="inlineStr"/>
    </row>
    <row r="659" ht="15" customHeight="1">
      <c r="A659" t="inlineStr">
        <is>
          <t>A 29230-2022</t>
        </is>
      </c>
      <c r="B659" s="1" t="n">
        <v>44750</v>
      </c>
      <c r="C659" s="1" t="n">
        <v>45879</v>
      </c>
      <c r="D659" t="inlineStr">
        <is>
          <t>VÄSTMANLANDS LÄN</t>
        </is>
      </c>
      <c r="E659" t="inlineStr">
        <is>
          <t>SALA</t>
        </is>
      </c>
      <c r="G659" t="n">
        <v>1.1</v>
      </c>
      <c r="H659" t="n">
        <v>0</v>
      </c>
      <c r="I659" t="n">
        <v>0</v>
      </c>
      <c r="J659" t="n">
        <v>0</v>
      </c>
      <c r="K659" t="n">
        <v>0</v>
      </c>
      <c r="L659" t="n">
        <v>0</v>
      </c>
      <c r="M659" t="n">
        <v>0</v>
      </c>
      <c r="N659" t="n">
        <v>0</v>
      </c>
      <c r="O659" t="n">
        <v>0</v>
      </c>
      <c r="P659" t="n">
        <v>0</v>
      </c>
      <c r="Q659" t="n">
        <v>0</v>
      </c>
      <c r="R659" s="2" t="inlineStr"/>
    </row>
    <row r="660" ht="15" customHeight="1">
      <c r="A660" t="inlineStr">
        <is>
          <t>A 9335-2022</t>
        </is>
      </c>
      <c r="B660" s="1" t="n">
        <v>44616.56579861111</v>
      </c>
      <c r="C660" s="1" t="n">
        <v>45879</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47479-2024</t>
        </is>
      </c>
      <c r="B661" s="1" t="n">
        <v>45587</v>
      </c>
      <c r="C661" s="1" t="n">
        <v>45879</v>
      </c>
      <c r="D661" t="inlineStr">
        <is>
          <t>VÄSTMANLANDS LÄN</t>
        </is>
      </c>
      <c r="E661" t="inlineStr">
        <is>
          <t>SALA</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19065-2022</t>
        </is>
      </c>
      <c r="B662" s="1" t="n">
        <v>44691.44309027777</v>
      </c>
      <c r="C662" s="1" t="n">
        <v>45879</v>
      </c>
      <c r="D662" t="inlineStr">
        <is>
          <t>VÄSTMANLANDS LÄN</t>
        </is>
      </c>
      <c r="E662" t="inlineStr">
        <is>
          <t>SALA</t>
        </is>
      </c>
      <c r="G662" t="n">
        <v>3.4</v>
      </c>
      <c r="H662" t="n">
        <v>0</v>
      </c>
      <c r="I662" t="n">
        <v>0</v>
      </c>
      <c r="J662" t="n">
        <v>0</v>
      </c>
      <c r="K662" t="n">
        <v>0</v>
      </c>
      <c r="L662" t="n">
        <v>0</v>
      </c>
      <c r="M662" t="n">
        <v>0</v>
      </c>
      <c r="N662" t="n">
        <v>0</v>
      </c>
      <c r="O662" t="n">
        <v>0</v>
      </c>
      <c r="P662" t="n">
        <v>0</v>
      </c>
      <c r="Q662" t="n">
        <v>0</v>
      </c>
      <c r="R662" s="2" t="inlineStr"/>
    </row>
    <row r="663" ht="15" customHeight="1">
      <c r="A663" t="inlineStr">
        <is>
          <t>A 22961-2023</t>
        </is>
      </c>
      <c r="B663" s="1" t="n">
        <v>45072</v>
      </c>
      <c r="C663" s="1" t="n">
        <v>45879</v>
      </c>
      <c r="D663" t="inlineStr">
        <is>
          <t>VÄSTMANLANDS LÄN</t>
        </is>
      </c>
      <c r="E663" t="inlineStr">
        <is>
          <t>SALA</t>
        </is>
      </c>
      <c r="G663" t="n">
        <v>2.7</v>
      </c>
      <c r="H663" t="n">
        <v>0</v>
      </c>
      <c r="I663" t="n">
        <v>0</v>
      </c>
      <c r="J663" t="n">
        <v>0</v>
      </c>
      <c r="K663" t="n">
        <v>0</v>
      </c>
      <c r="L663" t="n">
        <v>0</v>
      </c>
      <c r="M663" t="n">
        <v>0</v>
      </c>
      <c r="N663" t="n">
        <v>0</v>
      </c>
      <c r="O663" t="n">
        <v>0</v>
      </c>
      <c r="P663" t="n">
        <v>0</v>
      </c>
      <c r="Q663" t="n">
        <v>0</v>
      </c>
      <c r="R663" s="2" t="inlineStr"/>
    </row>
    <row r="664" ht="15" customHeight="1">
      <c r="A664" t="inlineStr">
        <is>
          <t>A 22963-2023</t>
        </is>
      </c>
      <c r="B664" s="1" t="n">
        <v>45072</v>
      </c>
      <c r="C664" s="1" t="n">
        <v>45879</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10585-2022</t>
        </is>
      </c>
      <c r="B665" s="1" t="n">
        <v>44624</v>
      </c>
      <c r="C665" s="1" t="n">
        <v>45879</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69236-2021</t>
        </is>
      </c>
      <c r="B666" s="1" t="n">
        <v>44531.4047337963</v>
      </c>
      <c r="C666" s="1" t="n">
        <v>45879</v>
      </c>
      <c r="D666" t="inlineStr">
        <is>
          <t>VÄSTMANLANDS LÄN</t>
        </is>
      </c>
      <c r="E666" t="inlineStr">
        <is>
          <t>SALA</t>
        </is>
      </c>
      <c r="G666" t="n">
        <v>2.8</v>
      </c>
      <c r="H666" t="n">
        <v>0</v>
      </c>
      <c r="I666" t="n">
        <v>0</v>
      </c>
      <c r="J666" t="n">
        <v>0</v>
      </c>
      <c r="K666" t="n">
        <v>0</v>
      </c>
      <c r="L666" t="n">
        <v>0</v>
      </c>
      <c r="M666" t="n">
        <v>0</v>
      </c>
      <c r="N666" t="n">
        <v>0</v>
      </c>
      <c r="O666" t="n">
        <v>0</v>
      </c>
      <c r="P666" t="n">
        <v>0</v>
      </c>
      <c r="Q666" t="n">
        <v>0</v>
      </c>
      <c r="R666" s="2" t="inlineStr"/>
    </row>
    <row r="667" ht="15" customHeight="1">
      <c r="A667" t="inlineStr">
        <is>
          <t>A 48117-2024</t>
        </is>
      </c>
      <c r="B667" s="1" t="n">
        <v>45589</v>
      </c>
      <c r="C667" s="1" t="n">
        <v>45879</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45879</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12252-2023</t>
        </is>
      </c>
      <c r="B669" s="1" t="n">
        <v>44995</v>
      </c>
      <c r="C669" s="1" t="n">
        <v>45879</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6116-2023</t>
        </is>
      </c>
      <c r="B670" s="1" t="n">
        <v>44964</v>
      </c>
      <c r="C670" s="1" t="n">
        <v>45879</v>
      </c>
      <c r="D670" t="inlineStr">
        <is>
          <t>VÄSTMANLANDS LÄN</t>
        </is>
      </c>
      <c r="E670" t="inlineStr">
        <is>
          <t>SALA</t>
        </is>
      </c>
      <c r="G670" t="n">
        <v>1.9</v>
      </c>
      <c r="H670" t="n">
        <v>0</v>
      </c>
      <c r="I670" t="n">
        <v>0</v>
      </c>
      <c r="J670" t="n">
        <v>0</v>
      </c>
      <c r="K670" t="n">
        <v>0</v>
      </c>
      <c r="L670" t="n">
        <v>0</v>
      </c>
      <c r="M670" t="n">
        <v>0</v>
      </c>
      <c r="N670" t="n">
        <v>0</v>
      </c>
      <c r="O670" t="n">
        <v>0</v>
      </c>
      <c r="P670" t="n">
        <v>0</v>
      </c>
      <c r="Q670" t="n">
        <v>0</v>
      </c>
      <c r="R670" s="2" t="inlineStr"/>
    </row>
    <row r="671" ht="15" customHeight="1">
      <c r="A671" t="inlineStr">
        <is>
          <t>A 18100-2023</t>
        </is>
      </c>
      <c r="B671" s="1" t="n">
        <v>45040</v>
      </c>
      <c r="C671" s="1" t="n">
        <v>45879</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13471-2025</t>
        </is>
      </c>
      <c r="B672" s="1" t="n">
        <v>45736.40579861111</v>
      </c>
      <c r="C672" s="1" t="n">
        <v>45879</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26854-2024</t>
        </is>
      </c>
      <c r="B673" s="1" t="n">
        <v>45470</v>
      </c>
      <c r="C673" s="1" t="n">
        <v>45879</v>
      </c>
      <c r="D673" t="inlineStr">
        <is>
          <t>VÄSTMANLANDS LÄN</t>
        </is>
      </c>
      <c r="E673" t="inlineStr">
        <is>
          <t>SALA</t>
        </is>
      </c>
      <c r="G673" t="n">
        <v>1.4</v>
      </c>
      <c r="H673" t="n">
        <v>0</v>
      </c>
      <c r="I673" t="n">
        <v>0</v>
      </c>
      <c r="J673" t="n">
        <v>0</v>
      </c>
      <c r="K673" t="n">
        <v>0</v>
      </c>
      <c r="L673" t="n">
        <v>0</v>
      </c>
      <c r="M673" t="n">
        <v>0</v>
      </c>
      <c r="N673" t="n">
        <v>0</v>
      </c>
      <c r="O673" t="n">
        <v>0</v>
      </c>
      <c r="P673" t="n">
        <v>0</v>
      </c>
      <c r="Q673" t="n">
        <v>0</v>
      </c>
      <c r="R673" s="2" t="inlineStr"/>
    </row>
    <row r="674" ht="15" customHeight="1">
      <c r="A674" t="inlineStr">
        <is>
          <t>A 37602-2024</t>
        </is>
      </c>
      <c r="B674" s="1" t="n">
        <v>45541</v>
      </c>
      <c r="C674" s="1" t="n">
        <v>45879</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1985-2022</t>
        </is>
      </c>
      <c r="B675" s="1" t="n">
        <v>44575</v>
      </c>
      <c r="C675" s="1" t="n">
        <v>45879</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6308-2021</t>
        </is>
      </c>
      <c r="B676" s="1" t="n">
        <v>44235</v>
      </c>
      <c r="C676" s="1" t="n">
        <v>45879</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21455-2023</t>
        </is>
      </c>
      <c r="B677" s="1" t="n">
        <v>45058</v>
      </c>
      <c r="C677" s="1" t="n">
        <v>45879</v>
      </c>
      <c r="D677" t="inlineStr">
        <is>
          <t>VÄSTMANLANDS LÄN</t>
        </is>
      </c>
      <c r="E677" t="inlineStr">
        <is>
          <t>SALA</t>
        </is>
      </c>
      <c r="G677" t="n">
        <v>6.4</v>
      </c>
      <c r="H677" t="n">
        <v>0</v>
      </c>
      <c r="I677" t="n">
        <v>0</v>
      </c>
      <c r="J677" t="n">
        <v>0</v>
      </c>
      <c r="K677" t="n">
        <v>0</v>
      </c>
      <c r="L677" t="n">
        <v>0</v>
      </c>
      <c r="M677" t="n">
        <v>0</v>
      </c>
      <c r="N677" t="n">
        <v>0</v>
      </c>
      <c r="O677" t="n">
        <v>0</v>
      </c>
      <c r="P677" t="n">
        <v>0</v>
      </c>
      <c r="Q677" t="n">
        <v>0</v>
      </c>
      <c r="R677" s="2" t="inlineStr"/>
    </row>
    <row r="678" ht="15" customHeight="1">
      <c r="A678" t="inlineStr">
        <is>
          <t>A 4797-2023</t>
        </is>
      </c>
      <c r="B678" s="1" t="n">
        <v>44957</v>
      </c>
      <c r="C678" s="1" t="n">
        <v>45879</v>
      </c>
      <c r="D678" t="inlineStr">
        <is>
          <t>VÄSTMANLANDS LÄN</t>
        </is>
      </c>
      <c r="E678" t="inlineStr">
        <is>
          <t>SALA</t>
        </is>
      </c>
      <c r="G678" t="n">
        <v>5.7</v>
      </c>
      <c r="H678" t="n">
        <v>0</v>
      </c>
      <c r="I678" t="n">
        <v>0</v>
      </c>
      <c r="J678" t="n">
        <v>0</v>
      </c>
      <c r="K678" t="n">
        <v>0</v>
      </c>
      <c r="L678" t="n">
        <v>0</v>
      </c>
      <c r="M678" t="n">
        <v>0</v>
      </c>
      <c r="N678" t="n">
        <v>0</v>
      </c>
      <c r="O678" t="n">
        <v>0</v>
      </c>
      <c r="P678" t="n">
        <v>0</v>
      </c>
      <c r="Q678" t="n">
        <v>0</v>
      </c>
      <c r="R678" s="2" t="inlineStr"/>
    </row>
    <row r="679" ht="15" customHeight="1">
      <c r="A679" t="inlineStr">
        <is>
          <t>A 4852-2023</t>
        </is>
      </c>
      <c r="B679" s="1" t="n">
        <v>44957.72496527778</v>
      </c>
      <c r="C679" s="1" t="n">
        <v>45879</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36858-2023</t>
        </is>
      </c>
      <c r="B680" s="1" t="n">
        <v>45154.55184027777</v>
      </c>
      <c r="C680" s="1" t="n">
        <v>45879</v>
      </c>
      <c r="D680" t="inlineStr">
        <is>
          <t>VÄSTMANLANDS LÄN</t>
        </is>
      </c>
      <c r="E680" t="inlineStr">
        <is>
          <t>SALA</t>
        </is>
      </c>
      <c r="G680" t="n">
        <v>2.1</v>
      </c>
      <c r="H680" t="n">
        <v>0</v>
      </c>
      <c r="I680" t="n">
        <v>0</v>
      </c>
      <c r="J680" t="n">
        <v>0</v>
      </c>
      <c r="K680" t="n">
        <v>0</v>
      </c>
      <c r="L680" t="n">
        <v>0</v>
      </c>
      <c r="M680" t="n">
        <v>0</v>
      </c>
      <c r="N680" t="n">
        <v>0</v>
      </c>
      <c r="O680" t="n">
        <v>0</v>
      </c>
      <c r="P680" t="n">
        <v>0</v>
      </c>
      <c r="Q680" t="n">
        <v>0</v>
      </c>
      <c r="R680" s="2" t="inlineStr"/>
    </row>
    <row r="681" ht="15" customHeight="1">
      <c r="A681" t="inlineStr">
        <is>
          <t>A 58701-2021</t>
        </is>
      </c>
      <c r="B681" s="1" t="n">
        <v>44489.46454861111</v>
      </c>
      <c r="C681" s="1" t="n">
        <v>45879</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37337-2024</t>
        </is>
      </c>
      <c r="B682" s="1" t="n">
        <v>45540</v>
      </c>
      <c r="C682" s="1" t="n">
        <v>45879</v>
      </c>
      <c r="D682" t="inlineStr">
        <is>
          <t>VÄSTMANLANDS LÄN</t>
        </is>
      </c>
      <c r="E682" t="inlineStr">
        <is>
          <t>SALA</t>
        </is>
      </c>
      <c r="G682" t="n">
        <v>6.5</v>
      </c>
      <c r="H682" t="n">
        <v>0</v>
      </c>
      <c r="I682" t="n">
        <v>0</v>
      </c>
      <c r="J682" t="n">
        <v>0</v>
      </c>
      <c r="K682" t="n">
        <v>0</v>
      </c>
      <c r="L682" t="n">
        <v>0</v>
      </c>
      <c r="M682" t="n">
        <v>0</v>
      </c>
      <c r="N682" t="n">
        <v>0</v>
      </c>
      <c r="O682" t="n">
        <v>0</v>
      </c>
      <c r="P682" t="n">
        <v>0</v>
      </c>
      <c r="Q682" t="n">
        <v>0</v>
      </c>
      <c r="R682" s="2" t="inlineStr"/>
    </row>
    <row r="683" ht="15" customHeight="1">
      <c r="A683" t="inlineStr">
        <is>
          <t>A 55107-2024</t>
        </is>
      </c>
      <c r="B683" s="1" t="n">
        <v>45618</v>
      </c>
      <c r="C683" s="1" t="n">
        <v>45879</v>
      </c>
      <c r="D683" t="inlineStr">
        <is>
          <t>VÄSTMANLANDS LÄN</t>
        </is>
      </c>
      <c r="E683" t="inlineStr">
        <is>
          <t>SALA</t>
        </is>
      </c>
      <c r="G683" t="n">
        <v>5.9</v>
      </c>
      <c r="H683" t="n">
        <v>0</v>
      </c>
      <c r="I683" t="n">
        <v>0</v>
      </c>
      <c r="J683" t="n">
        <v>0</v>
      </c>
      <c r="K683" t="n">
        <v>0</v>
      </c>
      <c r="L683" t="n">
        <v>0</v>
      </c>
      <c r="M683" t="n">
        <v>0</v>
      </c>
      <c r="N683" t="n">
        <v>0</v>
      </c>
      <c r="O683" t="n">
        <v>0</v>
      </c>
      <c r="P683" t="n">
        <v>0</v>
      </c>
      <c r="Q683" t="n">
        <v>0</v>
      </c>
      <c r="R683" s="2" t="inlineStr"/>
    </row>
    <row r="684">
      <c r="A684" t="inlineStr">
        <is>
          <t>A 10250-2025</t>
        </is>
      </c>
      <c r="B684" s="1" t="n">
        <v>45720.36165509259</v>
      </c>
      <c r="C684" s="1" t="n">
        <v>45879</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2025-08-10T08:27:40Z</dcterms:created>
  <dcterms:modified xmlns:dcterms="http://purl.org/dc/terms/" xmlns:xsi="http://www.w3.org/2001/XMLSchema-instance" xsi:type="dcterms:W3CDTF">2025-08-10T08:27:41Z</dcterms:modified>
</cp:coreProperties>
</file>