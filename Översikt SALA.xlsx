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46174</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46174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46174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46174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46174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46174</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46174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46174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46174</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46174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46174</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46174</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46174</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46174</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46174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46174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46174</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62768-2021</t>
        </is>
      </c>
      <c r="B20" s="1" t="n">
        <v>44504</v>
      </c>
      <c r="C20" s="1" t="n">
        <v>46174</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40895-2025</t>
        </is>
      </c>
      <c r="B21" s="1" t="n">
        <v>45897.61241898148</v>
      </c>
      <c r="C21" s="1" t="n">
        <v>46174</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46174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4264-2024</t>
        </is>
      </c>
      <c r="B23" s="1" t="n">
        <v>45324</v>
      </c>
      <c r="C23" s="1" t="n">
        <v>46174</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46174</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3930-2026</t>
        </is>
      </c>
      <c r="B25" s="1" t="n">
        <v>46043</v>
      </c>
      <c r="C25" s="1" t="n">
        <v>46174</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46174</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46174</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21044-2026</t>
        </is>
      </c>
      <c r="B28" s="1" t="n">
        <v>46146.36681712963</v>
      </c>
      <c r="C28" s="1" t="n">
        <v>46174</v>
      </c>
      <c r="D28" t="inlineStr">
        <is>
          <t>VÄSTMANLANDS LÄN</t>
        </is>
      </c>
      <c r="E28" t="inlineStr">
        <is>
          <t>SALA</t>
        </is>
      </c>
      <c r="G28" t="n">
        <v>41.2</v>
      </c>
      <c r="H28" t="n">
        <v>1</v>
      </c>
      <c r="I28" t="n">
        <v>0</v>
      </c>
      <c r="J28" t="n">
        <v>2</v>
      </c>
      <c r="K28" t="n">
        <v>1</v>
      </c>
      <c r="L28" t="n">
        <v>0</v>
      </c>
      <c r="M28" t="n">
        <v>0</v>
      </c>
      <c r="N28" t="n">
        <v>0</v>
      </c>
      <c r="O28" t="n">
        <v>3</v>
      </c>
      <c r="P28" t="n">
        <v>1</v>
      </c>
      <c r="Q28" t="n">
        <v>3</v>
      </c>
      <c r="R28" s="2" t="inlineStr">
        <is>
          <t>Knärot
Garnlav
Motaggsvamp</t>
        </is>
      </c>
      <c r="S28">
        <f>HYPERLINK("https://klasma.github.io/Logging_1981/artfynd/A 21044-2026 artfynd.xlsx", "A 21044-2026")</f>
        <v/>
      </c>
      <c r="T28">
        <f>HYPERLINK("https://klasma.github.io/Logging_1981/kartor/A 21044-2026 karta.png", "A 21044-2026")</f>
        <v/>
      </c>
      <c r="U28">
        <f>HYPERLINK("https://klasma.github.io/Logging_1981/knärot/A 21044-2026 karta knärot.png", "A 21044-2026")</f>
        <v/>
      </c>
      <c r="V28">
        <f>HYPERLINK("https://klasma.github.io/Logging_1981/klagomål/A 21044-2026 FSC-klagomål.docx", "A 21044-2026")</f>
        <v/>
      </c>
      <c r="W28">
        <f>HYPERLINK("https://klasma.github.io/Logging_1981/klagomålsmail/A 21044-2026 FSC-klagomål mail.docx", "A 21044-2026")</f>
        <v/>
      </c>
      <c r="X28">
        <f>HYPERLINK("https://klasma.github.io/Logging_1981/tillsyn/A 21044-2026 tillsynsbegäran.docx", "A 21044-2026")</f>
        <v/>
      </c>
      <c r="Y28">
        <f>HYPERLINK("https://klasma.github.io/Logging_1981/tillsynsmail/A 21044-2026 tillsynsbegäran mail.docx", "A 21044-2026")</f>
        <v/>
      </c>
    </row>
    <row r="29" ht="15" customHeight="1">
      <c r="A29" t="inlineStr">
        <is>
          <t>A 52909-2022</t>
        </is>
      </c>
      <c r="B29" s="1" t="n">
        <v>44875</v>
      </c>
      <c r="C29" s="1" t="n">
        <v>46174</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46174</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46174</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13029-2023</t>
        </is>
      </c>
      <c r="B32" s="1" t="n">
        <v>45001</v>
      </c>
      <c r="C32" s="1" t="n">
        <v>46174</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46174</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46174</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12444-2024</t>
        </is>
      </c>
      <c r="B35" s="1" t="n">
        <v>45379.46285879629</v>
      </c>
      <c r="C35" s="1" t="n">
        <v>46174</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53048-2025</t>
        </is>
      </c>
      <c r="B36" s="1" t="n">
        <v>45958.36018518519</v>
      </c>
      <c r="C36" s="1" t="n">
        <v>46174</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46174</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24872-2025</t>
        </is>
      </c>
      <c r="B38" s="1" t="n">
        <v>45799.49038194444</v>
      </c>
      <c r="C38" s="1" t="n">
        <v>46174</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63584-2025</t>
        </is>
      </c>
      <c r="B39" s="1" t="n">
        <v>46013.77002314815</v>
      </c>
      <c r="C39" s="1" t="n">
        <v>46174</v>
      </c>
      <c r="D39" t="inlineStr">
        <is>
          <t>VÄSTMANLANDS LÄN</t>
        </is>
      </c>
      <c r="E39" t="inlineStr">
        <is>
          <t>SALA</t>
        </is>
      </c>
      <c r="G39" t="n">
        <v>7.3</v>
      </c>
      <c r="H39" t="n">
        <v>1</v>
      </c>
      <c r="I39" t="n">
        <v>0</v>
      </c>
      <c r="J39" t="n">
        <v>1</v>
      </c>
      <c r="K39" t="n">
        <v>1</v>
      </c>
      <c r="L39" t="n">
        <v>0</v>
      </c>
      <c r="M39" t="n">
        <v>0</v>
      </c>
      <c r="N39" t="n">
        <v>0</v>
      </c>
      <c r="O39" t="n">
        <v>2</v>
      </c>
      <c r="P39" t="n">
        <v>1</v>
      </c>
      <c r="Q39" t="n">
        <v>2</v>
      </c>
      <c r="R39" s="2" t="inlineStr">
        <is>
          <t>Knärot
Vedtrappmossa</t>
        </is>
      </c>
      <c r="S39">
        <f>HYPERLINK("https://klasma.github.io/Logging_1981/artfynd/A 63584-2025 artfynd.xlsx", "A 63584-2025")</f>
        <v/>
      </c>
      <c r="T39">
        <f>HYPERLINK("https://klasma.github.io/Logging_1981/kartor/A 63584-2025 karta.png", "A 63584-2025")</f>
        <v/>
      </c>
      <c r="U39">
        <f>HYPERLINK("https://klasma.github.io/Logging_1981/knärot/A 63584-2025 karta knärot.png", "A 63584-2025")</f>
        <v/>
      </c>
      <c r="V39">
        <f>HYPERLINK("https://klasma.github.io/Logging_1981/klagomål/A 63584-2025 FSC-klagomål.docx", "A 63584-2025")</f>
        <v/>
      </c>
      <c r="W39">
        <f>HYPERLINK("https://klasma.github.io/Logging_1981/klagomålsmail/A 63584-2025 FSC-klagomål mail.docx", "A 63584-2025")</f>
        <v/>
      </c>
      <c r="X39">
        <f>HYPERLINK("https://klasma.github.io/Logging_1981/tillsyn/A 63584-2025 tillsynsbegäran.docx", "A 63584-2025")</f>
        <v/>
      </c>
      <c r="Y39">
        <f>HYPERLINK("https://klasma.github.io/Logging_1981/tillsynsmail/A 63584-2025 tillsynsbegäran mail.docx", "A 63584-2025")</f>
        <v/>
      </c>
    </row>
    <row r="40" ht="15" customHeight="1">
      <c r="A40" t="inlineStr">
        <is>
          <t>A 14485-2026</t>
        </is>
      </c>
      <c r="B40" s="1" t="n">
        <v>46100.59055555556</v>
      </c>
      <c r="C40" s="1" t="n">
        <v>46174</v>
      </c>
      <c r="D40" t="inlineStr">
        <is>
          <t>VÄSTMANLANDS LÄN</t>
        </is>
      </c>
      <c r="E40" t="inlineStr">
        <is>
          <t>SALA</t>
        </is>
      </c>
      <c r="F40" t="inlineStr">
        <is>
          <t>Sveaskog</t>
        </is>
      </c>
      <c r="G40" t="n">
        <v>13.6</v>
      </c>
      <c r="H40" t="n">
        <v>1</v>
      </c>
      <c r="I40" t="n">
        <v>0</v>
      </c>
      <c r="J40" t="n">
        <v>2</v>
      </c>
      <c r="K40" t="n">
        <v>0</v>
      </c>
      <c r="L40" t="n">
        <v>0</v>
      </c>
      <c r="M40" t="n">
        <v>0</v>
      </c>
      <c r="N40" t="n">
        <v>0</v>
      </c>
      <c r="O40" t="n">
        <v>2</v>
      </c>
      <c r="P40" t="n">
        <v>0</v>
      </c>
      <c r="Q40" t="n">
        <v>2</v>
      </c>
      <c r="R40" s="2" t="inlineStr">
        <is>
          <t>Motaggsvamp
Talltita</t>
        </is>
      </c>
      <c r="S40">
        <f>HYPERLINK("https://klasma.github.io/Logging_1981/artfynd/A 14485-2026 artfynd.xlsx", "A 14485-2026")</f>
        <v/>
      </c>
      <c r="T40">
        <f>HYPERLINK("https://klasma.github.io/Logging_1981/kartor/A 14485-2026 karta.png", "A 14485-2026")</f>
        <v/>
      </c>
      <c r="V40">
        <f>HYPERLINK("https://klasma.github.io/Logging_1981/klagomål/A 14485-2026 FSC-klagomål.docx", "A 14485-2026")</f>
        <v/>
      </c>
      <c r="W40">
        <f>HYPERLINK("https://klasma.github.io/Logging_1981/klagomålsmail/A 14485-2026 FSC-klagomål mail.docx", "A 14485-2026")</f>
        <v/>
      </c>
      <c r="X40">
        <f>HYPERLINK("https://klasma.github.io/Logging_1981/tillsyn/A 14485-2026 tillsynsbegäran.docx", "A 14485-2026")</f>
        <v/>
      </c>
      <c r="Y40">
        <f>HYPERLINK("https://klasma.github.io/Logging_1981/tillsynsmail/A 14485-2026 tillsynsbegäran mail.docx", "A 14485-2026")</f>
        <v/>
      </c>
      <c r="Z40">
        <f>HYPERLINK("https://klasma.github.io/Logging_1981/fåglar/A 14485-2026 prioriterade fågelarter.docx", "A 14485-2026")</f>
        <v/>
      </c>
    </row>
    <row r="41" ht="15" customHeight="1">
      <c r="A41" t="inlineStr">
        <is>
          <t>A 44970-2021</t>
        </is>
      </c>
      <c r="B41" s="1" t="n">
        <v>44438.74399305556</v>
      </c>
      <c r="C41" s="1" t="n">
        <v>46174</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46174</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46174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46174</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7731-2023</t>
        </is>
      </c>
      <c r="B45" s="1" t="n">
        <v>44973</v>
      </c>
      <c r="C45" s="1" t="n">
        <v>46174</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60852-2024</t>
        </is>
      </c>
      <c r="B46" s="1" t="n">
        <v>45644</v>
      </c>
      <c r="C46" s="1" t="n">
        <v>46174</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41270-2024</t>
        </is>
      </c>
      <c r="B47" s="1" t="n">
        <v>45559</v>
      </c>
      <c r="C47" s="1" t="n">
        <v>46174</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56704-2022</t>
        </is>
      </c>
      <c r="B48" s="1" t="n">
        <v>44893.78075231481</v>
      </c>
      <c r="C48" s="1" t="n">
        <v>46174</v>
      </c>
      <c r="D48" t="inlineStr">
        <is>
          <t>VÄSTMANLANDS LÄN</t>
        </is>
      </c>
      <c r="E48" t="inlineStr">
        <is>
          <t>SALA</t>
        </is>
      </c>
      <c r="G48" t="n">
        <v>3.2</v>
      </c>
      <c r="H48" t="n">
        <v>1</v>
      </c>
      <c r="I48" t="n">
        <v>0</v>
      </c>
      <c r="J48" t="n">
        <v>0</v>
      </c>
      <c r="K48" t="n">
        <v>1</v>
      </c>
      <c r="L48" t="n">
        <v>0</v>
      </c>
      <c r="M48" t="n">
        <v>0</v>
      </c>
      <c r="N48" t="n">
        <v>0</v>
      </c>
      <c r="O48" t="n">
        <v>1</v>
      </c>
      <c r="P48" t="n">
        <v>1</v>
      </c>
      <c r="Q48" t="n">
        <v>1</v>
      </c>
      <c r="R48" s="2" t="inlineStr">
        <is>
          <t>Knärot</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14775-2023</t>
        </is>
      </c>
      <c r="B49" s="1" t="n">
        <v>45014</v>
      </c>
      <c r="C49" s="1" t="n">
        <v>46174</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46174</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19361-2025</t>
        </is>
      </c>
      <c r="B51" s="1" t="n">
        <v>45769.63357638889</v>
      </c>
      <c r="C51" s="1" t="n">
        <v>46174</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46174</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48705-2025</t>
        </is>
      </c>
      <c r="B53" s="1" t="n">
        <v>45936.62290509259</v>
      </c>
      <c r="C53" s="1" t="n">
        <v>46174</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43175-2023</t>
        </is>
      </c>
      <c r="B54" s="1" t="n">
        <v>45183</v>
      </c>
      <c r="C54" s="1" t="n">
        <v>46174</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21738-2025</t>
        </is>
      </c>
      <c r="B55" s="1" t="n">
        <v>45783.59173611111</v>
      </c>
      <c r="C55" s="1" t="n">
        <v>46174</v>
      </c>
      <c r="D55" t="inlineStr">
        <is>
          <t>VÄSTMANLANDS LÄN</t>
        </is>
      </c>
      <c r="E55" t="inlineStr">
        <is>
          <t>SALA</t>
        </is>
      </c>
      <c r="G55" t="n">
        <v>2.1</v>
      </c>
      <c r="H55" t="n">
        <v>0</v>
      </c>
      <c r="I55" t="n">
        <v>0</v>
      </c>
      <c r="J55" t="n">
        <v>1</v>
      </c>
      <c r="K55" t="n">
        <v>0</v>
      </c>
      <c r="L55" t="n">
        <v>0</v>
      </c>
      <c r="M55" t="n">
        <v>0</v>
      </c>
      <c r="N55" t="n">
        <v>0</v>
      </c>
      <c r="O55" t="n">
        <v>1</v>
      </c>
      <c r="P55" t="n">
        <v>0</v>
      </c>
      <c r="Q55" t="n">
        <v>1</v>
      </c>
      <c r="R55" s="2" t="inlineStr">
        <is>
          <t>Motaggsvamp</t>
        </is>
      </c>
      <c r="S55">
        <f>HYPERLINK("https://klasma.github.io/Logging_1981/artfynd/A 21738-2025 artfynd.xlsx", "A 21738-2025")</f>
        <v/>
      </c>
      <c r="T55">
        <f>HYPERLINK("https://klasma.github.io/Logging_1981/kartor/A 21738-2025 karta.png", "A 21738-2025")</f>
        <v/>
      </c>
      <c r="V55">
        <f>HYPERLINK("https://klasma.github.io/Logging_1981/klagomål/A 21738-2025 FSC-klagomål.docx", "A 21738-2025")</f>
        <v/>
      </c>
      <c r="W55">
        <f>HYPERLINK("https://klasma.github.io/Logging_1981/klagomålsmail/A 21738-2025 FSC-klagomål mail.docx", "A 21738-2025")</f>
        <v/>
      </c>
      <c r="X55">
        <f>HYPERLINK("https://klasma.github.io/Logging_1981/tillsyn/A 21738-2025 tillsynsbegäran.docx", "A 21738-2025")</f>
        <v/>
      </c>
      <c r="Y55">
        <f>HYPERLINK("https://klasma.github.io/Logging_1981/tillsynsmail/A 21738-2025 tillsynsbegäran mail.docx", "A 21738-2025")</f>
        <v/>
      </c>
    </row>
    <row r="56" ht="15" customHeight="1">
      <c r="A56" t="inlineStr">
        <is>
          <t>A 50268-2025</t>
        </is>
      </c>
      <c r="B56" s="1" t="n">
        <v>45944.35162037037</v>
      </c>
      <c r="C56" s="1" t="n">
        <v>46174</v>
      </c>
      <c r="D56" t="inlineStr">
        <is>
          <t>VÄSTMANLANDS LÄN</t>
        </is>
      </c>
      <c r="E56" t="inlineStr">
        <is>
          <t>SALA</t>
        </is>
      </c>
      <c r="G56" t="n">
        <v>0.7</v>
      </c>
      <c r="H56" t="n">
        <v>1</v>
      </c>
      <c r="I56" t="n">
        <v>0</v>
      </c>
      <c r="J56" t="n">
        <v>0</v>
      </c>
      <c r="K56" t="n">
        <v>0</v>
      </c>
      <c r="L56" t="n">
        <v>0</v>
      </c>
      <c r="M56" t="n">
        <v>0</v>
      </c>
      <c r="N56" t="n">
        <v>0</v>
      </c>
      <c r="O56" t="n">
        <v>0</v>
      </c>
      <c r="P56" t="n">
        <v>0</v>
      </c>
      <c r="Q56" t="n">
        <v>1</v>
      </c>
      <c r="R56" s="2" t="inlineStr">
        <is>
          <t>Fläcknycklar</t>
        </is>
      </c>
      <c r="S56">
        <f>HYPERLINK("https://klasma.github.io/Logging_1981/artfynd/A 50268-2025 artfynd.xlsx", "A 50268-2025")</f>
        <v/>
      </c>
      <c r="T56">
        <f>HYPERLINK("https://klasma.github.io/Logging_1981/kartor/A 50268-2025 karta.png", "A 50268-2025")</f>
        <v/>
      </c>
      <c r="V56">
        <f>HYPERLINK("https://klasma.github.io/Logging_1981/klagomål/A 50268-2025 FSC-klagomål.docx", "A 50268-2025")</f>
        <v/>
      </c>
      <c r="W56">
        <f>HYPERLINK("https://klasma.github.io/Logging_1981/klagomålsmail/A 50268-2025 FSC-klagomål mail.docx", "A 50268-2025")</f>
        <v/>
      </c>
      <c r="X56">
        <f>HYPERLINK("https://klasma.github.io/Logging_1981/tillsyn/A 50268-2025 tillsynsbegäran.docx", "A 50268-2025")</f>
        <v/>
      </c>
      <c r="Y56">
        <f>HYPERLINK("https://klasma.github.io/Logging_1981/tillsynsmail/A 50268-2025 tillsynsbegäran mail.docx", "A 50268-2025")</f>
        <v/>
      </c>
    </row>
    <row r="57" ht="15" customHeight="1">
      <c r="A57" t="inlineStr">
        <is>
          <t>A 43068-2024</t>
        </is>
      </c>
      <c r="B57" s="1" t="n">
        <v>45567</v>
      </c>
      <c r="C57" s="1" t="n">
        <v>46174</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53052-2025</t>
        </is>
      </c>
      <c r="B58" s="1" t="n">
        <v>45958.36266203703</v>
      </c>
      <c r="C58" s="1" t="n">
        <v>46174</v>
      </c>
      <c r="D58" t="inlineStr">
        <is>
          <t>VÄSTMANLANDS LÄN</t>
        </is>
      </c>
      <c r="E58" t="inlineStr">
        <is>
          <t>SALA</t>
        </is>
      </c>
      <c r="F58" t="inlineStr">
        <is>
          <t>Sveaskog</t>
        </is>
      </c>
      <c r="G58" t="n">
        <v>1.1</v>
      </c>
      <c r="H58" t="n">
        <v>0</v>
      </c>
      <c r="I58" t="n">
        <v>0</v>
      </c>
      <c r="J58" t="n">
        <v>1</v>
      </c>
      <c r="K58" t="n">
        <v>0</v>
      </c>
      <c r="L58" t="n">
        <v>0</v>
      </c>
      <c r="M58" t="n">
        <v>0</v>
      </c>
      <c r="N58" t="n">
        <v>0</v>
      </c>
      <c r="O58" t="n">
        <v>1</v>
      </c>
      <c r="P58" t="n">
        <v>0</v>
      </c>
      <c r="Q58" t="n">
        <v>1</v>
      </c>
      <c r="R58" s="2" t="inlineStr">
        <is>
          <t>Motaggsvamp</t>
        </is>
      </c>
      <c r="S58">
        <f>HYPERLINK("https://klasma.github.io/Logging_1981/artfynd/A 53052-2025 artfynd.xlsx", "A 53052-2025")</f>
        <v/>
      </c>
      <c r="T58">
        <f>HYPERLINK("https://klasma.github.io/Logging_1981/kartor/A 53052-2025 karta.png", "A 53052-2025")</f>
        <v/>
      </c>
      <c r="V58">
        <f>HYPERLINK("https://klasma.github.io/Logging_1981/klagomål/A 53052-2025 FSC-klagomål.docx", "A 53052-2025")</f>
        <v/>
      </c>
      <c r="W58">
        <f>HYPERLINK("https://klasma.github.io/Logging_1981/klagomålsmail/A 53052-2025 FSC-klagomål mail.docx", "A 53052-2025")</f>
        <v/>
      </c>
      <c r="X58">
        <f>HYPERLINK("https://klasma.github.io/Logging_1981/tillsyn/A 53052-2025 tillsynsbegäran.docx", "A 53052-2025")</f>
        <v/>
      </c>
      <c r="Y58">
        <f>HYPERLINK("https://klasma.github.io/Logging_1981/tillsynsmail/A 53052-2025 tillsynsbegäran mail.docx", "A 53052-2025")</f>
        <v/>
      </c>
    </row>
    <row r="59" ht="15" customHeight="1">
      <c r="A59" t="inlineStr">
        <is>
          <t>A 55550-2023</t>
        </is>
      </c>
      <c r="B59" s="1" t="n">
        <v>45232</v>
      </c>
      <c r="C59" s="1" t="n">
        <v>46174</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7919-2022</t>
        </is>
      </c>
      <c r="B60" s="1" t="n">
        <v>44608</v>
      </c>
      <c r="C60" s="1" t="n">
        <v>46174</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55995-2025</t>
        </is>
      </c>
      <c r="B61" s="1" t="n">
        <v>45973.56733796297</v>
      </c>
      <c r="C61" s="1" t="n">
        <v>46174</v>
      </c>
      <c r="D61" t="inlineStr">
        <is>
          <t>VÄSTMANLANDS LÄN</t>
        </is>
      </c>
      <c r="E61" t="inlineStr">
        <is>
          <t>SALA</t>
        </is>
      </c>
      <c r="F61" t="inlineStr">
        <is>
          <t>Sveaskog</t>
        </is>
      </c>
      <c r="G61" t="n">
        <v>4.5</v>
      </c>
      <c r="H61" t="n">
        <v>1</v>
      </c>
      <c r="I61" t="n">
        <v>0</v>
      </c>
      <c r="J61" t="n">
        <v>0</v>
      </c>
      <c r="K61" t="n">
        <v>0</v>
      </c>
      <c r="L61" t="n">
        <v>0</v>
      </c>
      <c r="M61" t="n">
        <v>0</v>
      </c>
      <c r="N61" t="n">
        <v>0</v>
      </c>
      <c r="O61" t="n">
        <v>0</v>
      </c>
      <c r="P61" t="n">
        <v>0</v>
      </c>
      <c r="Q61" t="n">
        <v>1</v>
      </c>
      <c r="R61" s="2" t="inlineStr">
        <is>
          <t>Fläcknycklar</t>
        </is>
      </c>
      <c r="S61">
        <f>HYPERLINK("https://klasma.github.io/Logging_1981/artfynd/A 55995-2025 artfynd.xlsx", "A 55995-2025")</f>
        <v/>
      </c>
      <c r="T61">
        <f>HYPERLINK("https://klasma.github.io/Logging_1981/kartor/A 55995-2025 karta.png", "A 55995-2025")</f>
        <v/>
      </c>
      <c r="V61">
        <f>HYPERLINK("https://klasma.github.io/Logging_1981/klagomål/A 55995-2025 FSC-klagomål.docx", "A 55995-2025")</f>
        <v/>
      </c>
      <c r="W61">
        <f>HYPERLINK("https://klasma.github.io/Logging_1981/klagomålsmail/A 55995-2025 FSC-klagomål mail.docx", "A 55995-2025")</f>
        <v/>
      </c>
      <c r="X61">
        <f>HYPERLINK("https://klasma.github.io/Logging_1981/tillsyn/A 55995-2025 tillsynsbegäran.docx", "A 55995-2025")</f>
        <v/>
      </c>
      <c r="Y61">
        <f>HYPERLINK("https://klasma.github.io/Logging_1981/tillsynsmail/A 55995-2025 tillsynsbegäran mail.docx", "A 55995-2025")</f>
        <v/>
      </c>
    </row>
    <row r="62" ht="15" customHeight="1">
      <c r="A62" t="inlineStr">
        <is>
          <t>A 29985-2022</t>
        </is>
      </c>
      <c r="B62" s="1" t="n">
        <v>44756</v>
      </c>
      <c r="C62" s="1" t="n">
        <v>46174</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18896-2026</t>
        </is>
      </c>
      <c r="B63" s="1" t="n">
        <v>46129</v>
      </c>
      <c r="C63" s="1" t="n">
        <v>46174</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22950-2025</t>
        </is>
      </c>
      <c r="B64" s="1" t="n">
        <v>45790.50728009259</v>
      </c>
      <c r="C64" s="1" t="n">
        <v>46174</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32594-2025</t>
        </is>
      </c>
      <c r="B65" s="1" t="n">
        <v>45838</v>
      </c>
      <c r="C65" s="1" t="n">
        <v>46174</v>
      </c>
      <c r="D65" t="inlineStr">
        <is>
          <t>VÄSTMANLANDS LÄN</t>
        </is>
      </c>
      <c r="E65" t="inlineStr">
        <is>
          <t>SALA</t>
        </is>
      </c>
      <c r="F65" t="inlineStr">
        <is>
          <t>Bergvik skog öst AB</t>
        </is>
      </c>
      <c r="G65" t="n">
        <v>0.9</v>
      </c>
      <c r="H65" t="n">
        <v>1</v>
      </c>
      <c r="I65" t="n">
        <v>0</v>
      </c>
      <c r="J65" t="n">
        <v>0</v>
      </c>
      <c r="K65" t="n">
        <v>0</v>
      </c>
      <c r="L65" t="n">
        <v>0</v>
      </c>
      <c r="M65" t="n">
        <v>0</v>
      </c>
      <c r="N65" t="n">
        <v>0</v>
      </c>
      <c r="O65" t="n">
        <v>0</v>
      </c>
      <c r="P65" t="n">
        <v>0</v>
      </c>
      <c r="Q65" t="n">
        <v>1</v>
      </c>
      <c r="R65" s="2" t="inlineStr">
        <is>
          <t>Blåsippa</t>
        </is>
      </c>
      <c r="S65">
        <f>HYPERLINK("https://klasma.github.io/Logging_1981/artfynd/A 32594-2025 artfynd.xlsx", "A 32594-2025")</f>
        <v/>
      </c>
      <c r="T65">
        <f>HYPERLINK("https://klasma.github.io/Logging_1981/kartor/A 32594-2025 karta.png", "A 32594-2025")</f>
        <v/>
      </c>
      <c r="V65">
        <f>HYPERLINK("https://klasma.github.io/Logging_1981/klagomål/A 32594-2025 FSC-klagomål.docx", "A 32594-2025")</f>
        <v/>
      </c>
      <c r="W65">
        <f>HYPERLINK("https://klasma.github.io/Logging_1981/klagomålsmail/A 32594-2025 FSC-klagomål mail.docx", "A 32594-2025")</f>
        <v/>
      </c>
      <c r="X65">
        <f>HYPERLINK("https://klasma.github.io/Logging_1981/tillsyn/A 32594-2025 tillsynsbegäran.docx", "A 32594-2025")</f>
        <v/>
      </c>
      <c r="Y65">
        <f>HYPERLINK("https://klasma.github.io/Logging_1981/tillsynsmail/A 32594-2025 tillsynsbegäran mail.docx", "A 32594-2025")</f>
        <v/>
      </c>
    </row>
    <row r="66" ht="15" customHeight="1">
      <c r="A66" t="inlineStr">
        <is>
          <t>A 7672-2026</t>
        </is>
      </c>
      <c r="B66" s="1" t="n">
        <v>46062.42077546296</v>
      </c>
      <c r="C66" s="1" t="n">
        <v>46174</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22350-2024</t>
        </is>
      </c>
      <c r="B67" s="1" t="n">
        <v>45446</v>
      </c>
      <c r="C67" s="1" t="n">
        <v>46174</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38255-2025</t>
        </is>
      </c>
      <c r="B68" s="1" t="n">
        <v>45883.38020833334</v>
      </c>
      <c r="C68" s="1" t="n">
        <v>46174</v>
      </c>
      <c r="D68" t="inlineStr">
        <is>
          <t>VÄSTMANLANDS LÄN</t>
        </is>
      </c>
      <c r="E68" t="inlineStr">
        <is>
          <t>SALA</t>
        </is>
      </c>
      <c r="G68" t="n">
        <v>0.9</v>
      </c>
      <c r="H68" t="n">
        <v>1</v>
      </c>
      <c r="I68" t="n">
        <v>0</v>
      </c>
      <c r="J68" t="n">
        <v>0</v>
      </c>
      <c r="K68" t="n">
        <v>1</v>
      </c>
      <c r="L68" t="n">
        <v>0</v>
      </c>
      <c r="M68" t="n">
        <v>0</v>
      </c>
      <c r="N68" t="n">
        <v>0</v>
      </c>
      <c r="O68" t="n">
        <v>1</v>
      </c>
      <c r="P68" t="n">
        <v>1</v>
      </c>
      <c r="Q68" t="n">
        <v>1</v>
      </c>
      <c r="R68" s="2" t="inlineStr">
        <is>
          <t>Knärot</t>
        </is>
      </c>
      <c r="S68">
        <f>HYPERLINK("https://klasma.github.io/Logging_1981/artfynd/A 38255-2025 artfynd.xlsx", "A 38255-2025")</f>
        <v/>
      </c>
      <c r="T68">
        <f>HYPERLINK("https://klasma.github.io/Logging_1981/kartor/A 38255-2025 karta.png", "A 38255-2025")</f>
        <v/>
      </c>
      <c r="U68">
        <f>HYPERLINK("https://klasma.github.io/Logging_1981/knärot/A 38255-2025 karta knärot.png", "A 38255-2025")</f>
        <v/>
      </c>
      <c r="V68">
        <f>HYPERLINK("https://klasma.github.io/Logging_1981/klagomål/A 38255-2025 FSC-klagomål.docx", "A 38255-2025")</f>
        <v/>
      </c>
      <c r="W68">
        <f>HYPERLINK("https://klasma.github.io/Logging_1981/klagomålsmail/A 38255-2025 FSC-klagomål mail.docx", "A 38255-2025")</f>
        <v/>
      </c>
      <c r="X68">
        <f>HYPERLINK("https://klasma.github.io/Logging_1981/tillsyn/A 38255-2025 tillsynsbegäran.docx", "A 38255-2025")</f>
        <v/>
      </c>
      <c r="Y68">
        <f>HYPERLINK("https://klasma.github.io/Logging_1981/tillsynsmail/A 38255-2025 tillsynsbegäran mail.docx", "A 38255-2025")</f>
        <v/>
      </c>
    </row>
    <row r="69" ht="15" customHeight="1">
      <c r="A69" t="inlineStr">
        <is>
          <t>A 14488-2026</t>
        </is>
      </c>
      <c r="B69" s="1" t="n">
        <v>46100.59216435185</v>
      </c>
      <c r="C69" s="1" t="n">
        <v>46174</v>
      </c>
      <c r="D69" t="inlineStr">
        <is>
          <t>VÄSTMANLANDS LÄN</t>
        </is>
      </c>
      <c r="E69" t="inlineStr">
        <is>
          <t>SALA</t>
        </is>
      </c>
      <c r="F69" t="inlineStr">
        <is>
          <t>Sveaskog</t>
        </is>
      </c>
      <c r="G69" t="n">
        <v>1.5</v>
      </c>
      <c r="H69" t="n">
        <v>1</v>
      </c>
      <c r="I69" t="n">
        <v>0</v>
      </c>
      <c r="J69" t="n">
        <v>0</v>
      </c>
      <c r="K69" t="n">
        <v>0</v>
      </c>
      <c r="L69" t="n">
        <v>0</v>
      </c>
      <c r="M69" t="n">
        <v>0</v>
      </c>
      <c r="N69" t="n">
        <v>0</v>
      </c>
      <c r="O69" t="n">
        <v>0</v>
      </c>
      <c r="P69" t="n">
        <v>0</v>
      </c>
      <c r="Q69" t="n">
        <v>1</v>
      </c>
      <c r="R69" s="2" t="inlineStr">
        <is>
          <t>Mattlummer</t>
        </is>
      </c>
      <c r="S69">
        <f>HYPERLINK("https://klasma.github.io/Logging_1981/artfynd/A 14488-2026 artfynd.xlsx", "A 14488-2026")</f>
        <v/>
      </c>
      <c r="T69">
        <f>HYPERLINK("https://klasma.github.io/Logging_1981/kartor/A 14488-2026 karta.png", "A 14488-2026")</f>
        <v/>
      </c>
      <c r="V69">
        <f>HYPERLINK("https://klasma.github.io/Logging_1981/klagomål/A 14488-2026 FSC-klagomål.docx", "A 14488-2026")</f>
        <v/>
      </c>
      <c r="W69">
        <f>HYPERLINK("https://klasma.github.io/Logging_1981/klagomålsmail/A 14488-2026 FSC-klagomål mail.docx", "A 14488-2026")</f>
        <v/>
      </c>
      <c r="X69">
        <f>HYPERLINK("https://klasma.github.io/Logging_1981/tillsyn/A 14488-2026 tillsynsbegäran.docx", "A 14488-2026")</f>
        <v/>
      </c>
      <c r="Y69">
        <f>HYPERLINK("https://klasma.github.io/Logging_1981/tillsynsmail/A 14488-2026 tillsynsbegäran mail.docx", "A 14488-2026")</f>
        <v/>
      </c>
    </row>
    <row r="70" ht="15" customHeight="1">
      <c r="A70" t="inlineStr">
        <is>
          <t>A 14487-2026</t>
        </is>
      </c>
      <c r="B70" s="1" t="n">
        <v>46100.59162037037</v>
      </c>
      <c r="C70" s="1" t="n">
        <v>46174</v>
      </c>
      <c r="D70" t="inlineStr">
        <is>
          <t>VÄSTMANLANDS LÄN</t>
        </is>
      </c>
      <c r="E70" t="inlineStr">
        <is>
          <t>SALA</t>
        </is>
      </c>
      <c r="F70" t="inlineStr">
        <is>
          <t>Sveaskog</t>
        </is>
      </c>
      <c r="G70" t="n">
        <v>6.7</v>
      </c>
      <c r="H70" t="n">
        <v>0</v>
      </c>
      <c r="I70" t="n">
        <v>0</v>
      </c>
      <c r="J70" t="n">
        <v>1</v>
      </c>
      <c r="K70" t="n">
        <v>0</v>
      </c>
      <c r="L70" t="n">
        <v>0</v>
      </c>
      <c r="M70" t="n">
        <v>0</v>
      </c>
      <c r="N70" t="n">
        <v>0</v>
      </c>
      <c r="O70" t="n">
        <v>1</v>
      </c>
      <c r="P70" t="n">
        <v>0</v>
      </c>
      <c r="Q70" t="n">
        <v>1</v>
      </c>
      <c r="R70" s="2" t="inlineStr">
        <is>
          <t>Motaggsvamp</t>
        </is>
      </c>
      <c r="S70">
        <f>HYPERLINK("https://klasma.github.io/Logging_1981/artfynd/A 14487-2026 artfynd.xlsx", "A 14487-2026")</f>
        <v/>
      </c>
      <c r="T70">
        <f>HYPERLINK("https://klasma.github.io/Logging_1981/kartor/A 14487-2026 karta.png", "A 14487-2026")</f>
        <v/>
      </c>
      <c r="V70">
        <f>HYPERLINK("https://klasma.github.io/Logging_1981/klagomål/A 14487-2026 FSC-klagomål.docx", "A 14487-2026")</f>
        <v/>
      </c>
      <c r="W70">
        <f>HYPERLINK("https://klasma.github.io/Logging_1981/klagomålsmail/A 14487-2026 FSC-klagomål mail.docx", "A 14487-2026")</f>
        <v/>
      </c>
      <c r="X70">
        <f>HYPERLINK("https://klasma.github.io/Logging_1981/tillsyn/A 14487-2026 tillsynsbegäran.docx", "A 14487-2026")</f>
        <v/>
      </c>
      <c r="Y70">
        <f>HYPERLINK("https://klasma.github.io/Logging_1981/tillsynsmail/A 14487-2026 tillsynsbegäran mail.docx", "A 14487-2026")</f>
        <v/>
      </c>
    </row>
    <row r="71" ht="15" customHeight="1">
      <c r="A71" t="inlineStr">
        <is>
          <t>A 73124-2021</t>
        </is>
      </c>
      <c r="B71" s="1" t="n">
        <v>44550</v>
      </c>
      <c r="C71" s="1" t="n">
        <v>46174</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46174</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46174</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46174</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73788-2021</t>
        </is>
      </c>
      <c r="B75" s="1" t="n">
        <v>44552</v>
      </c>
      <c r="C75" s="1" t="n">
        <v>46174</v>
      </c>
      <c r="D75" t="inlineStr">
        <is>
          <t>VÄSTMANLANDS LÄN</t>
        </is>
      </c>
      <c r="E75" t="inlineStr">
        <is>
          <t>SALA</t>
        </is>
      </c>
      <c r="G75" t="n">
        <v>0.8</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46174</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46174</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46174</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46174</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46174</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46174</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46174</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46174</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46174</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46174</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46174</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46174</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31387-2022</t>
        </is>
      </c>
      <c r="B88" s="1" t="n">
        <v>44774.62174768518</v>
      </c>
      <c r="C88" s="1" t="n">
        <v>46174</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46174</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46174</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46174</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46174</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46174</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46174</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46174</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46174</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46174</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46174</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46174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46174</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46174</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46174</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46174</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46174</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46174</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46174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46174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46174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46174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46174</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46174</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46174</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46174</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46174</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46174</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46174</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46174</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46174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46174</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53630-2022</t>
        </is>
      </c>
      <c r="B120" s="1" t="n">
        <v>44879.87533564815</v>
      </c>
      <c r="C120" s="1" t="n">
        <v>46174</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65856-2021</t>
        </is>
      </c>
      <c r="B121" s="1" t="n">
        <v>44517</v>
      </c>
      <c r="C121" s="1" t="n">
        <v>46174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72405-2021</t>
        </is>
      </c>
      <c r="B122" s="1" t="n">
        <v>44545</v>
      </c>
      <c r="C122" s="1" t="n">
        <v>46174</v>
      </c>
      <c r="D122" t="inlineStr">
        <is>
          <t>VÄSTMANLANDS LÄN</t>
        </is>
      </c>
      <c r="E122" t="inlineStr">
        <is>
          <t>SALA</t>
        </is>
      </c>
      <c r="G122" t="n">
        <v>1</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46174</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67962-2021</t>
        </is>
      </c>
      <c r="B124" s="1" t="n">
        <v>44525</v>
      </c>
      <c r="C124" s="1" t="n">
        <v>46174</v>
      </c>
      <c r="D124" t="inlineStr">
        <is>
          <t>VÄSTMANLANDS LÄN</t>
        </is>
      </c>
      <c r="E124" t="inlineStr">
        <is>
          <t>SALA</t>
        </is>
      </c>
      <c r="G124" t="n">
        <v>1.4</v>
      </c>
      <c r="H124" t="n">
        <v>0</v>
      </c>
      <c r="I124" t="n">
        <v>0</v>
      </c>
      <c r="J124" t="n">
        <v>0</v>
      </c>
      <c r="K124" t="n">
        <v>0</v>
      </c>
      <c r="L124" t="n">
        <v>0</v>
      </c>
      <c r="M124" t="n">
        <v>0</v>
      </c>
      <c r="N124" t="n">
        <v>0</v>
      </c>
      <c r="O124" t="n">
        <v>0</v>
      </c>
      <c r="P124" t="n">
        <v>0</v>
      </c>
      <c r="Q124" t="n">
        <v>0</v>
      </c>
      <c r="R124" s="2" t="inlineStr"/>
    </row>
    <row r="125" ht="15" customHeight="1">
      <c r="A125" t="inlineStr">
        <is>
          <t>A 63290-2021</t>
        </is>
      </c>
      <c r="B125" s="1" t="n">
        <v>44505</v>
      </c>
      <c r="C125" s="1" t="n">
        <v>46174</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46174</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46174</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73519-2021</t>
        </is>
      </c>
      <c r="B128" s="1" t="n">
        <v>44551</v>
      </c>
      <c r="C128" s="1" t="n">
        <v>46174</v>
      </c>
      <c r="D128" t="inlineStr">
        <is>
          <t>VÄSTMANLANDS LÄN</t>
        </is>
      </c>
      <c r="E128" t="inlineStr">
        <is>
          <t>SALA</t>
        </is>
      </c>
      <c r="G128" t="n">
        <v>0.3</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46174</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37881-2021</t>
        </is>
      </c>
      <c r="B130" s="1" t="n">
        <v>44403</v>
      </c>
      <c r="C130" s="1" t="n">
        <v>46174</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72805-2021</t>
        </is>
      </c>
      <c r="B131" s="1" t="n">
        <v>44546</v>
      </c>
      <c r="C131" s="1" t="n">
        <v>46174</v>
      </c>
      <c r="D131" t="inlineStr">
        <is>
          <t>VÄSTMANLANDS LÄN</t>
        </is>
      </c>
      <c r="E131" t="inlineStr">
        <is>
          <t>SALA</t>
        </is>
      </c>
      <c r="G131" t="n">
        <v>7.8</v>
      </c>
      <c r="H131" t="n">
        <v>0</v>
      </c>
      <c r="I131" t="n">
        <v>0</v>
      </c>
      <c r="J131" t="n">
        <v>0</v>
      </c>
      <c r="K131" t="n">
        <v>0</v>
      </c>
      <c r="L131" t="n">
        <v>0</v>
      </c>
      <c r="M131" t="n">
        <v>0</v>
      </c>
      <c r="N131" t="n">
        <v>0</v>
      </c>
      <c r="O131" t="n">
        <v>0</v>
      </c>
      <c r="P131" t="n">
        <v>0</v>
      </c>
      <c r="Q131" t="n">
        <v>0</v>
      </c>
      <c r="R131" s="2" t="inlineStr"/>
    </row>
    <row r="132" ht="15" customHeight="1">
      <c r="A132" t="inlineStr">
        <is>
          <t>A 72808-2021</t>
        </is>
      </c>
      <c r="B132" s="1" t="n">
        <v>44546</v>
      </c>
      <c r="C132" s="1" t="n">
        <v>46174</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46174</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23757-2022</t>
        </is>
      </c>
      <c r="B134" s="1" t="n">
        <v>44722.37339120371</v>
      </c>
      <c r="C134" s="1" t="n">
        <v>46174</v>
      </c>
      <c r="D134" t="inlineStr">
        <is>
          <t>VÄSTMANLANDS LÄN</t>
        </is>
      </c>
      <c r="E134" t="inlineStr">
        <is>
          <t>SALA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25603-2022</t>
        </is>
      </c>
      <c r="B135" s="1" t="n">
        <v>44732</v>
      </c>
      <c r="C135" s="1" t="n">
        <v>46174</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40113-2022</t>
        </is>
      </c>
      <c r="B136" s="1" t="n">
        <v>44819</v>
      </c>
      <c r="C136" s="1" t="n">
        <v>46174</v>
      </c>
      <c r="D136" t="inlineStr">
        <is>
          <t>VÄSTMANLANDS LÄN</t>
        </is>
      </c>
      <c r="E136" t="inlineStr">
        <is>
          <t>SALA</t>
        </is>
      </c>
      <c r="G136" t="n">
        <v>0.9</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46174</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3204-2022</t>
        </is>
      </c>
      <c r="B138" s="1" t="n">
        <v>44582</v>
      </c>
      <c r="C138" s="1" t="n">
        <v>46174</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26570-2021</t>
        </is>
      </c>
      <c r="B139" s="1" t="n">
        <v>44348</v>
      </c>
      <c r="C139" s="1" t="n">
        <v>46174</v>
      </c>
      <c r="D139" t="inlineStr">
        <is>
          <t>VÄSTMANLANDS LÄN</t>
        </is>
      </c>
      <c r="E139" t="inlineStr">
        <is>
          <t>SALA</t>
        </is>
      </c>
      <c r="G139" t="n">
        <v>2.5</v>
      </c>
      <c r="H139" t="n">
        <v>0</v>
      </c>
      <c r="I139" t="n">
        <v>0</v>
      </c>
      <c r="J139" t="n">
        <v>0</v>
      </c>
      <c r="K139" t="n">
        <v>0</v>
      </c>
      <c r="L139" t="n">
        <v>0</v>
      </c>
      <c r="M139" t="n">
        <v>0</v>
      </c>
      <c r="N139" t="n">
        <v>0</v>
      </c>
      <c r="O139" t="n">
        <v>0</v>
      </c>
      <c r="P139" t="n">
        <v>0</v>
      </c>
      <c r="Q139" t="n">
        <v>0</v>
      </c>
      <c r="R139" s="2" t="inlineStr"/>
    </row>
    <row r="140" ht="15" customHeight="1">
      <c r="A140" t="inlineStr">
        <is>
          <t>A 29233-2022</t>
        </is>
      </c>
      <c r="B140" s="1" t="n">
        <v>44750</v>
      </c>
      <c r="C140" s="1" t="n">
        <v>46174</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46174</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46174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31452-2021</t>
        </is>
      </c>
      <c r="B143" s="1" t="n">
        <v>44369</v>
      </c>
      <c r="C143" s="1" t="n">
        <v>46174</v>
      </c>
      <c r="D143" t="inlineStr">
        <is>
          <t>VÄSTMANLANDS LÄN</t>
        </is>
      </c>
      <c r="E143" t="inlineStr">
        <is>
          <t>SALA</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46174</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46174</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46174</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46174</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46174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46174</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41876-2022</t>
        </is>
      </c>
      <c r="B150" s="1" t="n">
        <v>44829.97008101852</v>
      </c>
      <c r="C150" s="1" t="n">
        <v>46174</v>
      </c>
      <c r="D150" t="inlineStr">
        <is>
          <t>VÄSTMANLANDS LÄN</t>
        </is>
      </c>
      <c r="E150" t="inlineStr">
        <is>
          <t>SALA</t>
        </is>
      </c>
      <c r="G150" t="n">
        <v>3.6</v>
      </c>
      <c r="H150" t="n">
        <v>0</v>
      </c>
      <c r="I150" t="n">
        <v>0</v>
      </c>
      <c r="J150" t="n">
        <v>0</v>
      </c>
      <c r="K150" t="n">
        <v>0</v>
      </c>
      <c r="L150" t="n">
        <v>0</v>
      </c>
      <c r="M150" t="n">
        <v>0</v>
      </c>
      <c r="N150" t="n">
        <v>0</v>
      </c>
      <c r="O150" t="n">
        <v>0</v>
      </c>
      <c r="P150" t="n">
        <v>0</v>
      </c>
      <c r="Q150" t="n">
        <v>0</v>
      </c>
      <c r="R150" s="2" t="inlineStr"/>
    </row>
    <row r="151" ht="15" customHeight="1">
      <c r="A151" t="inlineStr">
        <is>
          <t>A 67958-2021</t>
        </is>
      </c>
      <c r="B151" s="1" t="n">
        <v>44525</v>
      </c>
      <c r="C151" s="1" t="n">
        <v>46174</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67965-2021</t>
        </is>
      </c>
      <c r="B152" s="1" t="n">
        <v>44525</v>
      </c>
      <c r="C152" s="1" t="n">
        <v>46174</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8130-2022</t>
        </is>
      </c>
      <c r="B153" s="1" t="n">
        <v>44609.5984837963</v>
      </c>
      <c r="C153" s="1" t="n">
        <v>46174</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66830-2021</t>
        </is>
      </c>
      <c r="B154" s="1" t="n">
        <v>44522.40886574074</v>
      </c>
      <c r="C154" s="1" t="n">
        <v>46174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65818-2021</t>
        </is>
      </c>
      <c r="B155" s="1" t="n">
        <v>44517</v>
      </c>
      <c r="C155" s="1" t="n">
        <v>46174</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44879.87171296297</v>
      </c>
      <c r="C156" s="1" t="n">
        <v>46174</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45015-2022</t>
        </is>
      </c>
      <c r="B157" s="1" t="n">
        <v>44841.63766203704</v>
      </c>
      <c r="C157" s="1" t="n">
        <v>46174</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46174</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46174</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46174</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46174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9050-2022</t>
        </is>
      </c>
      <c r="B162" s="1" t="n">
        <v>44615.45451388889</v>
      </c>
      <c r="C162" s="1" t="n">
        <v>46174</v>
      </c>
      <c r="D162" t="inlineStr">
        <is>
          <t>VÄSTMANLANDS LÄN</t>
        </is>
      </c>
      <c r="E162" t="inlineStr">
        <is>
          <t>SALA</t>
        </is>
      </c>
      <c r="G162" t="n">
        <v>3.1</v>
      </c>
      <c r="H162" t="n">
        <v>0</v>
      </c>
      <c r="I162" t="n">
        <v>0</v>
      </c>
      <c r="J162" t="n">
        <v>0</v>
      </c>
      <c r="K162" t="n">
        <v>0</v>
      </c>
      <c r="L162" t="n">
        <v>0</v>
      </c>
      <c r="M162" t="n">
        <v>0</v>
      </c>
      <c r="N162" t="n">
        <v>0</v>
      </c>
      <c r="O162" t="n">
        <v>0</v>
      </c>
      <c r="P162" t="n">
        <v>0</v>
      </c>
      <c r="Q162" t="n">
        <v>0</v>
      </c>
      <c r="R162" s="2" t="inlineStr"/>
    </row>
    <row r="163" ht="15" customHeight="1">
      <c r="A163" t="inlineStr">
        <is>
          <t>A 10168-2022</t>
        </is>
      </c>
      <c r="B163" s="1" t="n">
        <v>44622.37693287037</v>
      </c>
      <c r="C163" s="1" t="n">
        <v>46174</v>
      </c>
      <c r="D163" t="inlineStr">
        <is>
          <t>VÄSTMANLANDS LÄN</t>
        </is>
      </c>
      <c r="E163" t="inlineStr">
        <is>
          <t>SALA</t>
        </is>
      </c>
      <c r="G163" t="n">
        <v>2.1</v>
      </c>
      <c r="H163" t="n">
        <v>0</v>
      </c>
      <c r="I163" t="n">
        <v>0</v>
      </c>
      <c r="J163" t="n">
        <v>0</v>
      </c>
      <c r="K163" t="n">
        <v>0</v>
      </c>
      <c r="L163" t="n">
        <v>0</v>
      </c>
      <c r="M163" t="n">
        <v>0</v>
      </c>
      <c r="N163" t="n">
        <v>0</v>
      </c>
      <c r="O163" t="n">
        <v>0</v>
      </c>
      <c r="P163" t="n">
        <v>0</v>
      </c>
      <c r="Q163" t="n">
        <v>0</v>
      </c>
      <c r="R163" s="2" t="inlineStr"/>
    </row>
    <row r="164" ht="15" customHeight="1">
      <c r="A164" t="inlineStr">
        <is>
          <t>A 49254-2022</t>
        </is>
      </c>
      <c r="B164" s="1" t="n">
        <v>44861</v>
      </c>
      <c r="C164" s="1" t="n">
        <v>46174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15972-2024</t>
        </is>
      </c>
      <c r="B165" s="1" t="n">
        <v>45405.56498842593</v>
      </c>
      <c r="C165" s="1" t="n">
        <v>46174</v>
      </c>
      <c r="D165" t="inlineStr">
        <is>
          <t>VÄSTMANLANDS LÄN</t>
        </is>
      </c>
      <c r="E165" t="inlineStr">
        <is>
          <t>SALA</t>
        </is>
      </c>
      <c r="G165" t="n">
        <v>1.8</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46174</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37958-2024</t>
        </is>
      </c>
      <c r="B167" s="1" t="n">
        <v>45544</v>
      </c>
      <c r="C167" s="1" t="n">
        <v>46174</v>
      </c>
      <c r="D167" t="inlineStr">
        <is>
          <t>VÄSTMANLANDS LÄN</t>
        </is>
      </c>
      <c r="E167" t="inlineStr">
        <is>
          <t>SALA</t>
        </is>
      </c>
      <c r="G167" t="n">
        <v>5.6</v>
      </c>
      <c r="H167" t="n">
        <v>0</v>
      </c>
      <c r="I167" t="n">
        <v>0</v>
      </c>
      <c r="J167" t="n">
        <v>0</v>
      </c>
      <c r="K167" t="n">
        <v>0</v>
      </c>
      <c r="L167" t="n">
        <v>0</v>
      </c>
      <c r="M167" t="n">
        <v>0</v>
      </c>
      <c r="N167" t="n">
        <v>0</v>
      </c>
      <c r="O167" t="n">
        <v>0</v>
      </c>
      <c r="P167" t="n">
        <v>0</v>
      </c>
      <c r="Q167" t="n">
        <v>0</v>
      </c>
      <c r="R167" s="2" t="inlineStr"/>
    </row>
    <row r="168" ht="15" customHeight="1">
      <c r="A168" t="inlineStr">
        <is>
          <t>A 43176-2023</t>
        </is>
      </c>
      <c r="B168" s="1" t="n">
        <v>45183</v>
      </c>
      <c r="C168" s="1" t="n">
        <v>46174</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37624-2024</t>
        </is>
      </c>
      <c r="B169" s="1" t="n">
        <v>45541</v>
      </c>
      <c r="C169" s="1" t="n">
        <v>46174</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57895-2024</t>
        </is>
      </c>
      <c r="B170" s="1" t="n">
        <v>45631</v>
      </c>
      <c r="C170" s="1" t="n">
        <v>46174</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47086-2022</t>
        </is>
      </c>
      <c r="B171" s="1" t="n">
        <v>44852</v>
      </c>
      <c r="C171" s="1" t="n">
        <v>46174</v>
      </c>
      <c r="D171" t="inlineStr">
        <is>
          <t>VÄSTMANLANDS LÄN</t>
        </is>
      </c>
      <c r="E171" t="inlineStr">
        <is>
          <t>SALA</t>
        </is>
      </c>
      <c r="G171" t="n">
        <v>12.5</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46174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46174</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1555-2024</t>
        </is>
      </c>
      <c r="B174" s="1" t="n">
        <v>45306</v>
      </c>
      <c r="C174" s="1" t="n">
        <v>46174</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46174</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30915-2021</t>
        </is>
      </c>
      <c r="B176" s="1" t="n">
        <v>44365</v>
      </c>
      <c r="C176" s="1" t="n">
        <v>46174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30918-2021</t>
        </is>
      </c>
      <c r="B177" s="1" t="n">
        <v>44365.60569444444</v>
      </c>
      <c r="C177" s="1" t="n">
        <v>46174</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56687-2024</t>
        </is>
      </c>
      <c r="B178" s="1" t="n">
        <v>45627.63271990741</v>
      </c>
      <c r="C178" s="1" t="n">
        <v>46174</v>
      </c>
      <c r="D178" t="inlineStr">
        <is>
          <t>VÄSTMANLANDS LÄN</t>
        </is>
      </c>
      <c r="E178" t="inlineStr">
        <is>
          <t>SALA</t>
        </is>
      </c>
      <c r="G178" t="n">
        <v>1.2</v>
      </c>
      <c r="H178" t="n">
        <v>0</v>
      </c>
      <c r="I178" t="n">
        <v>0</v>
      </c>
      <c r="J178" t="n">
        <v>0</v>
      </c>
      <c r="K178" t="n">
        <v>0</v>
      </c>
      <c r="L178" t="n">
        <v>0</v>
      </c>
      <c r="M178" t="n">
        <v>0</v>
      </c>
      <c r="N178" t="n">
        <v>0</v>
      </c>
      <c r="O178" t="n">
        <v>0</v>
      </c>
      <c r="P178" t="n">
        <v>0</v>
      </c>
      <c r="Q178" t="n">
        <v>0</v>
      </c>
      <c r="R178" s="2" t="inlineStr"/>
    </row>
    <row r="179" ht="15" customHeight="1">
      <c r="A179" t="inlineStr">
        <is>
          <t>A 22562-2022</t>
        </is>
      </c>
      <c r="B179" s="1" t="n">
        <v>44713</v>
      </c>
      <c r="C179" s="1" t="n">
        <v>46174</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54347-2024</t>
        </is>
      </c>
      <c r="B180" s="1" t="n">
        <v>45617.39325231482</v>
      </c>
      <c r="C180" s="1" t="n">
        <v>46174</v>
      </c>
      <c r="D180" t="inlineStr">
        <is>
          <t>VÄSTMANLANDS LÄN</t>
        </is>
      </c>
      <c r="E180" t="inlineStr">
        <is>
          <t>SALA</t>
        </is>
      </c>
      <c r="G180" t="n">
        <v>2</v>
      </c>
      <c r="H180" t="n">
        <v>0</v>
      </c>
      <c r="I180" t="n">
        <v>0</v>
      </c>
      <c r="J180" t="n">
        <v>0</v>
      </c>
      <c r="K180" t="n">
        <v>0</v>
      </c>
      <c r="L180" t="n">
        <v>0</v>
      </c>
      <c r="M180" t="n">
        <v>0</v>
      </c>
      <c r="N180" t="n">
        <v>0</v>
      </c>
      <c r="O180" t="n">
        <v>0</v>
      </c>
      <c r="P180" t="n">
        <v>0</v>
      </c>
      <c r="Q180" t="n">
        <v>0</v>
      </c>
      <c r="R180" s="2" t="inlineStr"/>
    </row>
    <row r="181" ht="15" customHeight="1">
      <c r="A181" t="inlineStr">
        <is>
          <t>A 30904-2021</t>
        </is>
      </c>
      <c r="B181" s="1" t="n">
        <v>44365.5983449074</v>
      </c>
      <c r="C181" s="1" t="n">
        <v>46174</v>
      </c>
      <c r="D181" t="inlineStr">
        <is>
          <t>VÄSTMANLANDS LÄN</t>
        </is>
      </c>
      <c r="E181" t="inlineStr">
        <is>
          <t>SALA</t>
        </is>
      </c>
      <c r="G181" t="n">
        <v>1.9</v>
      </c>
      <c r="H181" t="n">
        <v>0</v>
      </c>
      <c r="I181" t="n">
        <v>0</v>
      </c>
      <c r="J181" t="n">
        <v>0</v>
      </c>
      <c r="K181" t="n">
        <v>0</v>
      </c>
      <c r="L181" t="n">
        <v>0</v>
      </c>
      <c r="M181" t="n">
        <v>0</v>
      </c>
      <c r="N181" t="n">
        <v>0</v>
      </c>
      <c r="O181" t="n">
        <v>0</v>
      </c>
      <c r="P181" t="n">
        <v>0</v>
      </c>
      <c r="Q181" t="n">
        <v>0</v>
      </c>
      <c r="R181" s="2" t="inlineStr"/>
    </row>
    <row r="182" ht="15" customHeight="1">
      <c r="A182" t="inlineStr">
        <is>
          <t>A 64693-2023</t>
        </is>
      </c>
      <c r="B182" s="1" t="n">
        <v>45281.63850694444</v>
      </c>
      <c r="C182" s="1" t="n">
        <v>46174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64695-2023</t>
        </is>
      </c>
      <c r="B183" s="1" t="n">
        <v>45281.64099537037</v>
      </c>
      <c r="C183" s="1" t="n">
        <v>46174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27486-2022</t>
        </is>
      </c>
      <c r="B184" s="1" t="n">
        <v>44742.60846064815</v>
      </c>
      <c r="C184" s="1" t="n">
        <v>46174</v>
      </c>
      <c r="D184" t="inlineStr">
        <is>
          <t>VÄSTMANLANDS LÄN</t>
        </is>
      </c>
      <c r="E184" t="inlineStr">
        <is>
          <t>SALA</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15756-2025</t>
        </is>
      </c>
      <c r="B185" s="1" t="n">
        <v>45748.56810185185</v>
      </c>
      <c r="C185" s="1" t="n">
        <v>46174</v>
      </c>
      <c r="D185" t="inlineStr">
        <is>
          <t>VÄSTMANLANDS LÄN</t>
        </is>
      </c>
      <c r="E185" t="inlineStr">
        <is>
          <t>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35003-2024</t>
        </is>
      </c>
      <c r="B186" s="1" t="n">
        <v>45527.56790509259</v>
      </c>
      <c r="C186" s="1" t="n">
        <v>46174</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31000-2022</t>
        </is>
      </c>
      <c r="B187" s="1" t="n">
        <v>44768</v>
      </c>
      <c r="C187" s="1" t="n">
        <v>46174</v>
      </c>
      <c r="D187" t="inlineStr">
        <is>
          <t>VÄSTMANLANDS LÄN</t>
        </is>
      </c>
      <c r="E187" t="inlineStr">
        <is>
          <t>SALA</t>
        </is>
      </c>
      <c r="G187" t="n">
        <v>5.7</v>
      </c>
      <c r="H187" t="n">
        <v>0</v>
      </c>
      <c r="I187" t="n">
        <v>0</v>
      </c>
      <c r="J187" t="n">
        <v>0</v>
      </c>
      <c r="K187" t="n">
        <v>0</v>
      </c>
      <c r="L187" t="n">
        <v>0</v>
      </c>
      <c r="M187" t="n">
        <v>0</v>
      </c>
      <c r="N187" t="n">
        <v>0</v>
      </c>
      <c r="O187" t="n">
        <v>0</v>
      </c>
      <c r="P187" t="n">
        <v>0</v>
      </c>
      <c r="Q187" t="n">
        <v>0</v>
      </c>
      <c r="R187" s="2" t="inlineStr"/>
    </row>
    <row r="188" ht="15" customHeight="1">
      <c r="A188" t="inlineStr">
        <is>
          <t>A 37183-2024</t>
        </is>
      </c>
      <c r="B188" s="1" t="n">
        <v>45539</v>
      </c>
      <c r="C188" s="1" t="n">
        <v>46174</v>
      </c>
      <c r="D188" t="inlineStr">
        <is>
          <t>VÄSTMANLANDS LÄN</t>
        </is>
      </c>
      <c r="E188" t="inlineStr">
        <is>
          <t>SALA</t>
        </is>
      </c>
      <c r="G188" t="n">
        <v>1.2</v>
      </c>
      <c r="H188" t="n">
        <v>0</v>
      </c>
      <c r="I188" t="n">
        <v>0</v>
      </c>
      <c r="J188" t="n">
        <v>0</v>
      </c>
      <c r="K188" t="n">
        <v>0</v>
      </c>
      <c r="L188" t="n">
        <v>0</v>
      </c>
      <c r="M188" t="n">
        <v>0</v>
      </c>
      <c r="N188" t="n">
        <v>0</v>
      </c>
      <c r="O188" t="n">
        <v>0</v>
      </c>
      <c r="P188" t="n">
        <v>0</v>
      </c>
      <c r="Q188" t="n">
        <v>0</v>
      </c>
      <c r="R188" s="2" t="inlineStr"/>
    </row>
    <row r="189" ht="15" customHeight="1">
      <c r="A189" t="inlineStr">
        <is>
          <t>A 58107-2021</t>
        </is>
      </c>
      <c r="B189" s="1" t="n">
        <v>44487</v>
      </c>
      <c r="C189" s="1" t="n">
        <v>46174</v>
      </c>
      <c r="D189" t="inlineStr">
        <is>
          <t>VÄSTMANLANDS LÄN</t>
        </is>
      </c>
      <c r="E189" t="inlineStr">
        <is>
          <t>SALA</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48688-2024</t>
        </is>
      </c>
      <c r="B190" s="1" t="n">
        <v>45593.50541666667</v>
      </c>
      <c r="C190" s="1" t="n">
        <v>46174</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27229-2022</t>
        </is>
      </c>
      <c r="B191" s="1" t="n">
        <v>44741</v>
      </c>
      <c r="C191" s="1" t="n">
        <v>46174</v>
      </c>
      <c r="D191" t="inlineStr">
        <is>
          <t>VÄSTMANLANDS LÄN</t>
        </is>
      </c>
      <c r="E191" t="inlineStr">
        <is>
          <t>SALA</t>
        </is>
      </c>
      <c r="F191" t="inlineStr">
        <is>
          <t>Kommuner</t>
        </is>
      </c>
      <c r="G191" t="n">
        <v>1.4</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46174</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46174</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46174</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44746-2024</t>
        </is>
      </c>
      <c r="B195" s="1" t="n">
        <v>45574.59813657407</v>
      </c>
      <c r="C195" s="1" t="n">
        <v>46174</v>
      </c>
      <c r="D195" t="inlineStr">
        <is>
          <t>VÄSTMANLANDS LÄN</t>
        </is>
      </c>
      <c r="E195" t="inlineStr">
        <is>
          <t>SALA</t>
        </is>
      </c>
      <c r="G195" t="n">
        <v>6.7</v>
      </c>
      <c r="H195" t="n">
        <v>0</v>
      </c>
      <c r="I195" t="n">
        <v>0</v>
      </c>
      <c r="J195" t="n">
        <v>0</v>
      </c>
      <c r="K195" t="n">
        <v>0</v>
      </c>
      <c r="L195" t="n">
        <v>0</v>
      </c>
      <c r="M195" t="n">
        <v>0</v>
      </c>
      <c r="N195" t="n">
        <v>0</v>
      </c>
      <c r="O195" t="n">
        <v>0</v>
      </c>
      <c r="P195" t="n">
        <v>0</v>
      </c>
      <c r="Q195" t="n">
        <v>0</v>
      </c>
      <c r="R195" s="2" t="inlineStr"/>
    </row>
    <row r="196" ht="15" customHeight="1">
      <c r="A196" t="inlineStr">
        <is>
          <t>A 1793-2023</t>
        </is>
      </c>
      <c r="B196" s="1" t="n">
        <v>44937</v>
      </c>
      <c r="C196" s="1" t="n">
        <v>46174</v>
      </c>
      <c r="D196" t="inlineStr">
        <is>
          <t>VÄSTMANLANDS LÄN</t>
        </is>
      </c>
      <c r="E196" t="inlineStr">
        <is>
          <t>SALA</t>
        </is>
      </c>
      <c r="G196" t="n">
        <v>2.6</v>
      </c>
      <c r="H196" t="n">
        <v>0</v>
      </c>
      <c r="I196" t="n">
        <v>0</v>
      </c>
      <c r="J196" t="n">
        <v>0</v>
      </c>
      <c r="K196" t="n">
        <v>0</v>
      </c>
      <c r="L196" t="n">
        <v>0</v>
      </c>
      <c r="M196" t="n">
        <v>0</v>
      </c>
      <c r="N196" t="n">
        <v>0</v>
      </c>
      <c r="O196" t="n">
        <v>0</v>
      </c>
      <c r="P196" t="n">
        <v>0</v>
      </c>
      <c r="Q196" t="n">
        <v>0</v>
      </c>
      <c r="R196" s="2" t="inlineStr"/>
    </row>
    <row r="197" ht="15" customHeight="1">
      <c r="A197" t="inlineStr">
        <is>
          <t>A 33273-2023</t>
        </is>
      </c>
      <c r="B197" s="1" t="n">
        <v>45127</v>
      </c>
      <c r="C197" s="1" t="n">
        <v>46174</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26692-2023</t>
        </is>
      </c>
      <c r="B198" s="1" t="n">
        <v>45093.360625</v>
      </c>
      <c r="C198" s="1" t="n">
        <v>46174</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11696-2025</t>
        </is>
      </c>
      <c r="B199" s="1" t="n">
        <v>45727</v>
      </c>
      <c r="C199" s="1" t="n">
        <v>46174</v>
      </c>
      <c r="D199" t="inlineStr">
        <is>
          <t>VÄSTMANLANDS LÄN</t>
        </is>
      </c>
      <c r="E199" t="inlineStr">
        <is>
          <t>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29248-2022</t>
        </is>
      </c>
      <c r="B200" s="1" t="n">
        <v>44750</v>
      </c>
      <c r="C200" s="1" t="n">
        <v>46174</v>
      </c>
      <c r="D200" t="inlineStr">
        <is>
          <t>VÄSTMANLANDS LÄN</t>
        </is>
      </c>
      <c r="E200" t="inlineStr">
        <is>
          <t>SALA</t>
        </is>
      </c>
      <c r="G200" t="n">
        <v>1.6</v>
      </c>
      <c r="H200" t="n">
        <v>0</v>
      </c>
      <c r="I200" t="n">
        <v>0</v>
      </c>
      <c r="J200" t="n">
        <v>0</v>
      </c>
      <c r="K200" t="n">
        <v>0</v>
      </c>
      <c r="L200" t="n">
        <v>0</v>
      </c>
      <c r="M200" t="n">
        <v>0</v>
      </c>
      <c r="N200" t="n">
        <v>0</v>
      </c>
      <c r="O200" t="n">
        <v>0</v>
      </c>
      <c r="P200" t="n">
        <v>0</v>
      </c>
      <c r="Q200" t="n">
        <v>0</v>
      </c>
      <c r="R200" s="2" t="inlineStr"/>
    </row>
    <row r="201" ht="15" customHeight="1">
      <c r="A201" t="inlineStr">
        <is>
          <t>A 54910-2023</t>
        </is>
      </c>
      <c r="B201" s="1" t="n">
        <v>45229</v>
      </c>
      <c r="C201" s="1" t="n">
        <v>46174</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62449-2023</t>
        </is>
      </c>
      <c r="B202" s="1" t="n">
        <v>45268.49008101852</v>
      </c>
      <c r="C202" s="1" t="n">
        <v>46174</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17458-2024</t>
        </is>
      </c>
      <c r="B203" s="1" t="n">
        <v>45415</v>
      </c>
      <c r="C203" s="1" t="n">
        <v>46174</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65353-2021</t>
        </is>
      </c>
      <c r="B204" s="1" t="n">
        <v>44515</v>
      </c>
      <c r="C204" s="1" t="n">
        <v>46174</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22397-2022</t>
        </is>
      </c>
      <c r="B205" s="1" t="n">
        <v>44713</v>
      </c>
      <c r="C205" s="1" t="n">
        <v>46174</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28863-2022</t>
        </is>
      </c>
      <c r="B206" s="1" t="n">
        <v>44749.50649305555</v>
      </c>
      <c r="C206" s="1" t="n">
        <v>46174</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56543-2024</t>
        </is>
      </c>
      <c r="B207" s="1" t="n">
        <v>45625</v>
      </c>
      <c r="C207" s="1" t="n">
        <v>46174</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31950-2023</t>
        </is>
      </c>
      <c r="B208" s="1" t="n">
        <v>45107</v>
      </c>
      <c r="C208" s="1" t="n">
        <v>46174</v>
      </c>
      <c r="D208" t="inlineStr">
        <is>
          <t>VÄSTMANLANDS LÄN</t>
        </is>
      </c>
      <c r="E208" t="inlineStr">
        <is>
          <t>SALA</t>
        </is>
      </c>
      <c r="G208" t="n">
        <v>1.9</v>
      </c>
      <c r="H208" t="n">
        <v>0</v>
      </c>
      <c r="I208" t="n">
        <v>0</v>
      </c>
      <c r="J208" t="n">
        <v>0</v>
      </c>
      <c r="K208" t="n">
        <v>0</v>
      </c>
      <c r="L208" t="n">
        <v>0</v>
      </c>
      <c r="M208" t="n">
        <v>0</v>
      </c>
      <c r="N208" t="n">
        <v>0</v>
      </c>
      <c r="O208" t="n">
        <v>0</v>
      </c>
      <c r="P208" t="n">
        <v>0</v>
      </c>
      <c r="Q208" t="n">
        <v>0</v>
      </c>
      <c r="R208" s="2" t="inlineStr"/>
    </row>
    <row r="209" ht="15" customHeight="1">
      <c r="A209" t="inlineStr">
        <is>
          <t>A 60545-2024</t>
        </is>
      </c>
      <c r="B209" s="1" t="n">
        <v>45643</v>
      </c>
      <c r="C209" s="1" t="n">
        <v>46174</v>
      </c>
      <c r="D209" t="inlineStr">
        <is>
          <t>VÄSTMANLANDS LÄN</t>
        </is>
      </c>
      <c r="E209" t="inlineStr">
        <is>
          <t>SALA</t>
        </is>
      </c>
      <c r="G209" t="n">
        <v>3.3</v>
      </c>
      <c r="H209" t="n">
        <v>0</v>
      </c>
      <c r="I209" t="n">
        <v>0</v>
      </c>
      <c r="J209" t="n">
        <v>0</v>
      </c>
      <c r="K209" t="n">
        <v>0</v>
      </c>
      <c r="L209" t="n">
        <v>0</v>
      </c>
      <c r="M209" t="n">
        <v>0</v>
      </c>
      <c r="N209" t="n">
        <v>0</v>
      </c>
      <c r="O209" t="n">
        <v>0</v>
      </c>
      <c r="P209" t="n">
        <v>0</v>
      </c>
      <c r="Q209" t="n">
        <v>0</v>
      </c>
      <c r="R209" s="2" t="inlineStr"/>
    </row>
    <row r="210" ht="15" customHeight="1">
      <c r="A210" t="inlineStr">
        <is>
          <t>A 60547-2024</t>
        </is>
      </c>
      <c r="B210" s="1" t="n">
        <v>45643</v>
      </c>
      <c r="C210" s="1" t="n">
        <v>46174</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14919-2025</t>
        </is>
      </c>
      <c r="B211" s="1" t="n">
        <v>45743.54256944444</v>
      </c>
      <c r="C211" s="1" t="n">
        <v>46174</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14920-2025</t>
        </is>
      </c>
      <c r="B212" s="1" t="n">
        <v>45743</v>
      </c>
      <c r="C212" s="1" t="n">
        <v>46174</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40398-2021</t>
        </is>
      </c>
      <c r="B213" s="1" t="n">
        <v>44419</v>
      </c>
      <c r="C213" s="1" t="n">
        <v>46174</v>
      </c>
      <c r="D213" t="inlineStr">
        <is>
          <t>VÄSTMANLANDS LÄN</t>
        </is>
      </c>
      <c r="E213" t="inlineStr">
        <is>
          <t>SALA</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16767-2024</t>
        </is>
      </c>
      <c r="B214" s="1" t="n">
        <v>45411.38171296296</v>
      </c>
      <c r="C214" s="1" t="n">
        <v>46174</v>
      </c>
      <c r="D214" t="inlineStr">
        <is>
          <t>VÄSTMANLANDS LÄN</t>
        </is>
      </c>
      <c r="E214" t="inlineStr">
        <is>
          <t>SALA</t>
        </is>
      </c>
      <c r="G214" t="n">
        <v>2.5</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46174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6097-2022</t>
        </is>
      </c>
      <c r="B216" s="1" t="n">
        <v>44599</v>
      </c>
      <c r="C216" s="1" t="n">
        <v>46174</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43362-2023</t>
        </is>
      </c>
      <c r="B217" s="1" t="n">
        <v>45183</v>
      </c>
      <c r="C217" s="1" t="n">
        <v>46174</v>
      </c>
      <c r="D217" t="inlineStr">
        <is>
          <t>VÄSTMANLANDS LÄN</t>
        </is>
      </c>
      <c r="E217" t="inlineStr">
        <is>
          <t>SALA</t>
        </is>
      </c>
      <c r="G217" t="n">
        <v>2</v>
      </c>
      <c r="H217" t="n">
        <v>0</v>
      </c>
      <c r="I217" t="n">
        <v>0</v>
      </c>
      <c r="J217" t="n">
        <v>0</v>
      </c>
      <c r="K217" t="n">
        <v>0</v>
      </c>
      <c r="L217" t="n">
        <v>0</v>
      </c>
      <c r="M217" t="n">
        <v>0</v>
      </c>
      <c r="N217" t="n">
        <v>0</v>
      </c>
      <c r="O217" t="n">
        <v>0</v>
      </c>
      <c r="P217" t="n">
        <v>0</v>
      </c>
      <c r="Q217" t="n">
        <v>0</v>
      </c>
      <c r="R217" s="2" t="inlineStr"/>
    </row>
    <row r="218" ht="15" customHeight="1">
      <c r="A218" t="inlineStr">
        <is>
          <t>A 27261-2024</t>
        </is>
      </c>
      <c r="B218" s="1" t="n">
        <v>45471</v>
      </c>
      <c r="C218" s="1" t="n">
        <v>46174</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46174</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22575-2022</t>
        </is>
      </c>
      <c r="B220" s="1" t="n">
        <v>44713</v>
      </c>
      <c r="C220" s="1" t="n">
        <v>46174</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46174</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46174</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35976-2024</t>
        </is>
      </c>
      <c r="B223" s="1" t="n">
        <v>45533.49555555556</v>
      </c>
      <c r="C223" s="1" t="n">
        <v>46174</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13022-2023</t>
        </is>
      </c>
      <c r="B224" s="1" t="n">
        <v>45002.33291666667</v>
      </c>
      <c r="C224" s="1" t="n">
        <v>46174</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55556-2023</t>
        </is>
      </c>
      <c r="B225" s="1" t="n">
        <v>45232</v>
      </c>
      <c r="C225" s="1" t="n">
        <v>46174</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4853-2023</t>
        </is>
      </c>
      <c r="B226" s="1" t="n">
        <v>44957.73234953704</v>
      </c>
      <c r="C226" s="1" t="n">
        <v>46174</v>
      </c>
      <c r="D226" t="inlineStr">
        <is>
          <t>VÄSTMANLANDS LÄN</t>
        </is>
      </c>
      <c r="E226" t="inlineStr">
        <is>
          <t>SALA</t>
        </is>
      </c>
      <c r="G226" t="n">
        <v>2.7</v>
      </c>
      <c r="H226" t="n">
        <v>0</v>
      </c>
      <c r="I226" t="n">
        <v>0</v>
      </c>
      <c r="J226" t="n">
        <v>0</v>
      </c>
      <c r="K226" t="n">
        <v>0</v>
      </c>
      <c r="L226" t="n">
        <v>0</v>
      </c>
      <c r="M226" t="n">
        <v>0</v>
      </c>
      <c r="N226" t="n">
        <v>0</v>
      </c>
      <c r="O226" t="n">
        <v>0</v>
      </c>
      <c r="P226" t="n">
        <v>0</v>
      </c>
      <c r="Q226" t="n">
        <v>0</v>
      </c>
      <c r="R226" s="2" t="inlineStr"/>
    </row>
    <row r="227" ht="15" customHeight="1">
      <c r="A227" t="inlineStr">
        <is>
          <t>A 57650-2024</t>
        </is>
      </c>
      <c r="B227" s="1" t="n">
        <v>45630</v>
      </c>
      <c r="C227" s="1" t="n">
        <v>46174</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50479-2022</t>
        </is>
      </c>
      <c r="B228" s="1" t="n">
        <v>44861</v>
      </c>
      <c r="C228" s="1" t="n">
        <v>46174</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40094-2022</t>
        </is>
      </c>
      <c r="B229" s="1" t="n">
        <v>44819</v>
      </c>
      <c r="C229" s="1" t="n">
        <v>46174</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45790-2023</t>
        </is>
      </c>
      <c r="B230" s="1" t="n">
        <v>45195.45958333334</v>
      </c>
      <c r="C230" s="1" t="n">
        <v>46174</v>
      </c>
      <c r="D230" t="inlineStr">
        <is>
          <t>VÄSTMANLANDS LÄN</t>
        </is>
      </c>
      <c r="E230" t="inlineStr">
        <is>
          <t>SALA</t>
        </is>
      </c>
      <c r="G230" t="n">
        <v>5.7</v>
      </c>
      <c r="H230" t="n">
        <v>0</v>
      </c>
      <c r="I230" t="n">
        <v>0</v>
      </c>
      <c r="J230" t="n">
        <v>0</v>
      </c>
      <c r="K230" t="n">
        <v>0</v>
      </c>
      <c r="L230" t="n">
        <v>0</v>
      </c>
      <c r="M230" t="n">
        <v>0</v>
      </c>
      <c r="N230" t="n">
        <v>0</v>
      </c>
      <c r="O230" t="n">
        <v>0</v>
      </c>
      <c r="P230" t="n">
        <v>0</v>
      </c>
      <c r="Q230" t="n">
        <v>0</v>
      </c>
      <c r="R230" s="2" t="inlineStr"/>
    </row>
    <row r="231" ht="15" customHeight="1">
      <c r="A231" t="inlineStr">
        <is>
          <t>A 14690-2025</t>
        </is>
      </c>
      <c r="B231" s="1" t="n">
        <v>45742.58212962963</v>
      </c>
      <c r="C231" s="1" t="n">
        <v>46174</v>
      </c>
      <c r="D231" t="inlineStr">
        <is>
          <t>VÄSTMANLANDS LÄN</t>
        </is>
      </c>
      <c r="E231" t="inlineStr">
        <is>
          <t>SALA</t>
        </is>
      </c>
      <c r="G231" t="n">
        <v>3.4</v>
      </c>
      <c r="H231" t="n">
        <v>0</v>
      </c>
      <c r="I231" t="n">
        <v>0</v>
      </c>
      <c r="J231" t="n">
        <v>0</v>
      </c>
      <c r="K231" t="n">
        <v>0</v>
      </c>
      <c r="L231" t="n">
        <v>0</v>
      </c>
      <c r="M231" t="n">
        <v>0</v>
      </c>
      <c r="N231" t="n">
        <v>0</v>
      </c>
      <c r="O231" t="n">
        <v>0</v>
      </c>
      <c r="P231" t="n">
        <v>0</v>
      </c>
      <c r="Q231" t="n">
        <v>0</v>
      </c>
      <c r="R231" s="2" t="inlineStr"/>
    </row>
    <row r="232" ht="15" customHeight="1">
      <c r="A232" t="inlineStr">
        <is>
          <t>A 12246-2023</t>
        </is>
      </c>
      <c r="B232" s="1" t="n">
        <v>44995</v>
      </c>
      <c r="C232" s="1" t="n">
        <v>46174</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2521-2025</t>
        </is>
      </c>
      <c r="B233" s="1" t="n">
        <v>45674</v>
      </c>
      <c r="C233" s="1" t="n">
        <v>46174</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42447-2022</t>
        </is>
      </c>
      <c r="B234" s="1" t="n">
        <v>44831</v>
      </c>
      <c r="C234" s="1" t="n">
        <v>46174</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2928-2024</t>
        </is>
      </c>
      <c r="B235" s="1" t="n">
        <v>45315.59041666667</v>
      </c>
      <c r="C235" s="1" t="n">
        <v>46174</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60548-2024</t>
        </is>
      </c>
      <c r="B236" s="1" t="n">
        <v>45643.80978009259</v>
      </c>
      <c r="C236" s="1" t="n">
        <v>46174</v>
      </c>
      <c r="D236" t="inlineStr">
        <is>
          <t>VÄSTMANLANDS LÄN</t>
        </is>
      </c>
      <c r="E236" t="inlineStr">
        <is>
          <t>SALA</t>
        </is>
      </c>
      <c r="G236" t="n">
        <v>1.6</v>
      </c>
      <c r="H236" t="n">
        <v>0</v>
      </c>
      <c r="I236" t="n">
        <v>0</v>
      </c>
      <c r="J236" t="n">
        <v>0</v>
      </c>
      <c r="K236" t="n">
        <v>0</v>
      </c>
      <c r="L236" t="n">
        <v>0</v>
      </c>
      <c r="M236" t="n">
        <v>0</v>
      </c>
      <c r="N236" t="n">
        <v>0</v>
      </c>
      <c r="O236" t="n">
        <v>0</v>
      </c>
      <c r="P236" t="n">
        <v>0</v>
      </c>
      <c r="Q236" t="n">
        <v>0</v>
      </c>
      <c r="R236" s="2" t="inlineStr"/>
    </row>
    <row r="237" ht="15" customHeight="1">
      <c r="A237" t="inlineStr">
        <is>
          <t>A 73673-2021</t>
        </is>
      </c>
      <c r="B237" s="1" t="n">
        <v>44552.46501157407</v>
      </c>
      <c r="C237" s="1" t="n">
        <v>46174</v>
      </c>
      <c r="D237" t="inlineStr">
        <is>
          <t>VÄSTMANLANDS LÄN</t>
        </is>
      </c>
      <c r="E237" t="inlineStr">
        <is>
          <t>SALA</t>
        </is>
      </c>
      <c r="G237" t="n">
        <v>11.4</v>
      </c>
      <c r="H237" t="n">
        <v>0</v>
      </c>
      <c r="I237" t="n">
        <v>0</v>
      </c>
      <c r="J237" t="n">
        <v>0</v>
      </c>
      <c r="K237" t="n">
        <v>0</v>
      </c>
      <c r="L237" t="n">
        <v>0</v>
      </c>
      <c r="M237" t="n">
        <v>0</v>
      </c>
      <c r="N237" t="n">
        <v>0</v>
      </c>
      <c r="O237" t="n">
        <v>0</v>
      </c>
      <c r="P237" t="n">
        <v>0</v>
      </c>
      <c r="Q237" t="n">
        <v>0</v>
      </c>
      <c r="R237" s="2" t="inlineStr"/>
    </row>
    <row r="238" ht="15" customHeight="1">
      <c r="A238" t="inlineStr">
        <is>
          <t>A 33732-2023</t>
        </is>
      </c>
      <c r="B238" s="1" t="n">
        <v>45133.32409722222</v>
      </c>
      <c r="C238" s="1" t="n">
        <v>46174</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59909-2024</t>
        </is>
      </c>
      <c r="B239" s="1" t="n">
        <v>45641</v>
      </c>
      <c r="C239" s="1" t="n">
        <v>46174</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26761-2023</t>
        </is>
      </c>
      <c r="B240" s="1" t="n">
        <v>45093</v>
      </c>
      <c r="C240" s="1" t="n">
        <v>46174</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40871-2021</t>
        </is>
      </c>
      <c r="B241" s="1" t="n">
        <v>44421</v>
      </c>
      <c r="C241" s="1" t="n">
        <v>46174</v>
      </c>
      <c r="D241" t="inlineStr">
        <is>
          <t>VÄSTMANLANDS LÄN</t>
        </is>
      </c>
      <c r="E241" t="inlineStr">
        <is>
          <t>SALA</t>
        </is>
      </c>
      <c r="G241" t="n">
        <v>1.4</v>
      </c>
      <c r="H241" t="n">
        <v>0</v>
      </c>
      <c r="I241" t="n">
        <v>0</v>
      </c>
      <c r="J241" t="n">
        <v>0</v>
      </c>
      <c r="K241" t="n">
        <v>0</v>
      </c>
      <c r="L241" t="n">
        <v>0</v>
      </c>
      <c r="M241" t="n">
        <v>0</v>
      </c>
      <c r="N241" t="n">
        <v>0</v>
      </c>
      <c r="O241" t="n">
        <v>0</v>
      </c>
      <c r="P241" t="n">
        <v>0</v>
      </c>
      <c r="Q241" t="n">
        <v>0</v>
      </c>
      <c r="R241" s="2" t="inlineStr"/>
    </row>
    <row r="242" ht="15" customHeight="1">
      <c r="A242" t="inlineStr">
        <is>
          <t>A 41292-2021</t>
        </is>
      </c>
      <c r="B242" s="1" t="n">
        <v>44424</v>
      </c>
      <c r="C242" s="1" t="n">
        <v>46174</v>
      </c>
      <c r="D242" t="inlineStr">
        <is>
          <t>VÄSTMANLANDS LÄN</t>
        </is>
      </c>
      <c r="E242" t="inlineStr">
        <is>
          <t>SALA</t>
        </is>
      </c>
      <c r="G242" t="n">
        <v>0.3</v>
      </c>
      <c r="H242" t="n">
        <v>0</v>
      </c>
      <c r="I242" t="n">
        <v>0</v>
      </c>
      <c r="J242" t="n">
        <v>0</v>
      </c>
      <c r="K242" t="n">
        <v>0</v>
      </c>
      <c r="L242" t="n">
        <v>0</v>
      </c>
      <c r="M242" t="n">
        <v>0</v>
      </c>
      <c r="N242" t="n">
        <v>0</v>
      </c>
      <c r="O242" t="n">
        <v>0</v>
      </c>
      <c r="P242" t="n">
        <v>0</v>
      </c>
      <c r="Q242" t="n">
        <v>0</v>
      </c>
      <c r="R242" s="2" t="inlineStr"/>
    </row>
    <row r="243" ht="15" customHeight="1">
      <c r="A243" t="inlineStr">
        <is>
          <t>A 14271-2025</t>
        </is>
      </c>
      <c r="B243" s="1" t="n">
        <v>45740.64129629629</v>
      </c>
      <c r="C243" s="1" t="n">
        <v>46174</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55035-2023</t>
        </is>
      </c>
      <c r="B244" s="1" t="n">
        <v>45229</v>
      </c>
      <c r="C244" s="1" t="n">
        <v>46174</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60249-2023</t>
        </is>
      </c>
      <c r="B245" s="1" t="n">
        <v>45258</v>
      </c>
      <c r="C245" s="1" t="n">
        <v>46174</v>
      </c>
      <c r="D245" t="inlineStr">
        <is>
          <t>VÄSTMANLANDS LÄN</t>
        </is>
      </c>
      <c r="E245" t="inlineStr">
        <is>
          <t>SALA</t>
        </is>
      </c>
      <c r="G245" t="n">
        <v>2</v>
      </c>
      <c r="H245" t="n">
        <v>0</v>
      </c>
      <c r="I245" t="n">
        <v>0</v>
      </c>
      <c r="J245" t="n">
        <v>0</v>
      </c>
      <c r="K245" t="n">
        <v>0</v>
      </c>
      <c r="L245" t="n">
        <v>0</v>
      </c>
      <c r="M245" t="n">
        <v>0</v>
      </c>
      <c r="N245" t="n">
        <v>0</v>
      </c>
      <c r="O245" t="n">
        <v>0</v>
      </c>
      <c r="P245" t="n">
        <v>0</v>
      </c>
      <c r="Q245" t="n">
        <v>0</v>
      </c>
      <c r="R245" s="2" t="inlineStr"/>
    </row>
    <row r="246" ht="15" customHeight="1">
      <c r="A246" t="inlineStr">
        <is>
          <t>A 54199-2024</t>
        </is>
      </c>
      <c r="B246" s="1" t="n">
        <v>45616.64703703704</v>
      </c>
      <c r="C246" s="1" t="n">
        <v>46174</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51464-2024</t>
        </is>
      </c>
      <c r="B247" s="1" t="n">
        <v>45604.49768518518</v>
      </c>
      <c r="C247" s="1" t="n">
        <v>46174</v>
      </c>
      <c r="D247" t="inlineStr">
        <is>
          <t>VÄSTMANLANDS LÄN</t>
        </is>
      </c>
      <c r="E247" t="inlineStr">
        <is>
          <t>SALA</t>
        </is>
      </c>
      <c r="G247" t="n">
        <v>3.9</v>
      </c>
      <c r="H247" t="n">
        <v>0</v>
      </c>
      <c r="I247" t="n">
        <v>0</v>
      </c>
      <c r="J247" t="n">
        <v>0</v>
      </c>
      <c r="K247" t="n">
        <v>0</v>
      </c>
      <c r="L247" t="n">
        <v>0</v>
      </c>
      <c r="M247" t="n">
        <v>0</v>
      </c>
      <c r="N247" t="n">
        <v>0</v>
      </c>
      <c r="O247" t="n">
        <v>0</v>
      </c>
      <c r="P247" t="n">
        <v>0</v>
      </c>
      <c r="Q247" t="n">
        <v>0</v>
      </c>
      <c r="R247" s="2" t="inlineStr"/>
    </row>
    <row r="248" ht="15" customHeight="1">
      <c r="A248" t="inlineStr">
        <is>
          <t>A 54603-2024</t>
        </is>
      </c>
      <c r="B248" s="1" t="n">
        <v>45617.68224537037</v>
      </c>
      <c r="C248" s="1" t="n">
        <v>46174</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6312-2025</t>
        </is>
      </c>
      <c r="B249" s="1" t="n">
        <v>45698</v>
      </c>
      <c r="C249" s="1" t="n">
        <v>46174</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69232-2021</t>
        </is>
      </c>
      <c r="B250" s="1" t="n">
        <v>44531.39696759259</v>
      </c>
      <c r="C250" s="1" t="n">
        <v>46174</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10250-2025</t>
        </is>
      </c>
      <c r="B251" s="1" t="n">
        <v>45720.36165509259</v>
      </c>
      <c r="C251" s="1" t="n">
        <v>46174</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44857-2023</t>
        </is>
      </c>
      <c r="B252" s="1" t="n">
        <v>45190.58479166667</v>
      </c>
      <c r="C252" s="1" t="n">
        <v>46174</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19398-2025</t>
        </is>
      </c>
      <c r="B253" s="1" t="n">
        <v>45769</v>
      </c>
      <c r="C253" s="1" t="n">
        <v>46174</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31597-2024</t>
        </is>
      </c>
      <c r="B254" s="1" t="n">
        <v>45506</v>
      </c>
      <c r="C254" s="1" t="n">
        <v>46174</v>
      </c>
      <c r="D254" t="inlineStr">
        <is>
          <t>VÄSTMANLANDS LÄN</t>
        </is>
      </c>
      <c r="E254" t="inlineStr">
        <is>
          <t>SALA</t>
        </is>
      </c>
      <c r="G254" t="n">
        <v>2.4</v>
      </c>
      <c r="H254" t="n">
        <v>0</v>
      </c>
      <c r="I254" t="n">
        <v>0</v>
      </c>
      <c r="J254" t="n">
        <v>0</v>
      </c>
      <c r="K254" t="n">
        <v>0</v>
      </c>
      <c r="L254" t="n">
        <v>0</v>
      </c>
      <c r="M254" t="n">
        <v>0</v>
      </c>
      <c r="N254" t="n">
        <v>0</v>
      </c>
      <c r="O254" t="n">
        <v>0</v>
      </c>
      <c r="P254" t="n">
        <v>0</v>
      </c>
      <c r="Q254" t="n">
        <v>0</v>
      </c>
      <c r="R254" s="2" t="inlineStr"/>
    </row>
    <row r="255" ht="15" customHeight="1">
      <c r="A255" t="inlineStr">
        <is>
          <t>A 31599-2024</t>
        </is>
      </c>
      <c r="B255" s="1" t="n">
        <v>45506</v>
      </c>
      <c r="C255" s="1" t="n">
        <v>46174</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31601-2024</t>
        </is>
      </c>
      <c r="B256" s="1" t="n">
        <v>45506</v>
      </c>
      <c r="C256" s="1" t="n">
        <v>46174</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31608-2024</t>
        </is>
      </c>
      <c r="B257" s="1" t="n">
        <v>45506</v>
      </c>
      <c r="C257" s="1" t="n">
        <v>46174</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31612-2024</t>
        </is>
      </c>
      <c r="B258" s="1" t="n">
        <v>45506</v>
      </c>
      <c r="C258" s="1" t="n">
        <v>46174</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4797-2023</t>
        </is>
      </c>
      <c r="B259" s="1" t="n">
        <v>44957</v>
      </c>
      <c r="C259" s="1" t="n">
        <v>46174</v>
      </c>
      <c r="D259" t="inlineStr">
        <is>
          <t>VÄSTMANLANDS LÄN</t>
        </is>
      </c>
      <c r="E259" t="inlineStr">
        <is>
          <t>SALA</t>
        </is>
      </c>
      <c r="G259" t="n">
        <v>5.7</v>
      </c>
      <c r="H259" t="n">
        <v>0</v>
      </c>
      <c r="I259" t="n">
        <v>0</v>
      </c>
      <c r="J259" t="n">
        <v>0</v>
      </c>
      <c r="K259" t="n">
        <v>0</v>
      </c>
      <c r="L259" t="n">
        <v>0</v>
      </c>
      <c r="M259" t="n">
        <v>0</v>
      </c>
      <c r="N259" t="n">
        <v>0</v>
      </c>
      <c r="O259" t="n">
        <v>0</v>
      </c>
      <c r="P259" t="n">
        <v>0</v>
      </c>
      <c r="Q259" t="n">
        <v>0</v>
      </c>
      <c r="R259" s="2" t="inlineStr"/>
    </row>
    <row r="260" ht="15" customHeight="1">
      <c r="A260" t="inlineStr">
        <is>
          <t>A 52500-2024</t>
        </is>
      </c>
      <c r="B260" s="1" t="n">
        <v>45609</v>
      </c>
      <c r="C260" s="1" t="n">
        <v>46174</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62654-2022</t>
        </is>
      </c>
      <c r="B261" s="1" t="n">
        <v>44917</v>
      </c>
      <c r="C261" s="1" t="n">
        <v>46174</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43188-2023</t>
        </is>
      </c>
      <c r="B262" s="1" t="n">
        <v>45183</v>
      </c>
      <c r="C262" s="1" t="n">
        <v>46174</v>
      </c>
      <c r="D262" t="inlineStr">
        <is>
          <t>VÄSTMANLANDS LÄN</t>
        </is>
      </c>
      <c r="E262" t="inlineStr">
        <is>
          <t>SALA</t>
        </is>
      </c>
      <c r="G262" t="n">
        <v>1.2</v>
      </c>
      <c r="H262" t="n">
        <v>0</v>
      </c>
      <c r="I262" t="n">
        <v>0</v>
      </c>
      <c r="J262" t="n">
        <v>0</v>
      </c>
      <c r="K262" t="n">
        <v>0</v>
      </c>
      <c r="L262" t="n">
        <v>0</v>
      </c>
      <c r="M262" t="n">
        <v>0</v>
      </c>
      <c r="N262" t="n">
        <v>0</v>
      </c>
      <c r="O262" t="n">
        <v>0</v>
      </c>
      <c r="P262" t="n">
        <v>0</v>
      </c>
      <c r="Q262" t="n">
        <v>0</v>
      </c>
      <c r="R262" s="2" t="inlineStr"/>
    </row>
    <row r="263" ht="15" customHeight="1">
      <c r="A263" t="inlineStr">
        <is>
          <t>A 43205-2023</t>
        </is>
      </c>
      <c r="B263" s="1" t="n">
        <v>45183</v>
      </c>
      <c r="C263" s="1" t="n">
        <v>46174</v>
      </c>
      <c r="D263" t="inlineStr">
        <is>
          <t>VÄSTMANLANDS LÄN</t>
        </is>
      </c>
      <c r="E263" t="inlineStr">
        <is>
          <t>SALA</t>
        </is>
      </c>
      <c r="G263" t="n">
        <v>2.1</v>
      </c>
      <c r="H263" t="n">
        <v>0</v>
      </c>
      <c r="I263" t="n">
        <v>0</v>
      </c>
      <c r="J263" t="n">
        <v>0</v>
      </c>
      <c r="K263" t="n">
        <v>0</v>
      </c>
      <c r="L263" t="n">
        <v>0</v>
      </c>
      <c r="M263" t="n">
        <v>0</v>
      </c>
      <c r="N263" t="n">
        <v>0</v>
      </c>
      <c r="O263" t="n">
        <v>0</v>
      </c>
      <c r="P263" t="n">
        <v>0</v>
      </c>
      <c r="Q263" t="n">
        <v>0</v>
      </c>
      <c r="R263" s="2" t="inlineStr"/>
    </row>
    <row r="264" ht="15" customHeight="1">
      <c r="A264" t="inlineStr">
        <is>
          <t>A 61517-2024</t>
        </is>
      </c>
      <c r="B264" s="1" t="n">
        <v>45645</v>
      </c>
      <c r="C264" s="1" t="n">
        <v>46174</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61892-2021</t>
        </is>
      </c>
      <c r="B265" s="1" t="n">
        <v>44502</v>
      </c>
      <c r="C265" s="1" t="n">
        <v>46174</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29213-2022</t>
        </is>
      </c>
      <c r="B266" s="1" t="n">
        <v>44750.57474537037</v>
      </c>
      <c r="C266" s="1" t="n">
        <v>46174</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1638-2023</t>
        </is>
      </c>
      <c r="B267" s="1" t="n">
        <v>44937</v>
      </c>
      <c r="C267" s="1" t="n">
        <v>46174</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59483-2022</t>
        </is>
      </c>
      <c r="B268" s="1" t="n">
        <v>44907.45679398148</v>
      </c>
      <c r="C268" s="1" t="n">
        <v>46174</v>
      </c>
      <c r="D268" t="inlineStr">
        <is>
          <t>VÄSTMANLANDS LÄN</t>
        </is>
      </c>
      <c r="E268" t="inlineStr">
        <is>
          <t>SALA</t>
        </is>
      </c>
      <c r="G268" t="n">
        <v>5.2</v>
      </c>
      <c r="H268" t="n">
        <v>0</v>
      </c>
      <c r="I268" t="n">
        <v>0</v>
      </c>
      <c r="J268" t="n">
        <v>0</v>
      </c>
      <c r="K268" t="n">
        <v>0</v>
      </c>
      <c r="L268" t="n">
        <v>0</v>
      </c>
      <c r="M268" t="n">
        <v>0</v>
      </c>
      <c r="N268" t="n">
        <v>0</v>
      </c>
      <c r="O268" t="n">
        <v>0</v>
      </c>
      <c r="P268" t="n">
        <v>0</v>
      </c>
      <c r="Q268" t="n">
        <v>0</v>
      </c>
      <c r="R268" s="2" t="inlineStr"/>
    </row>
    <row r="269" ht="15" customHeight="1">
      <c r="A269" t="inlineStr">
        <is>
          <t>A 49512-2024</t>
        </is>
      </c>
      <c r="B269" s="1" t="n">
        <v>45591</v>
      </c>
      <c r="C269" s="1" t="n">
        <v>46174</v>
      </c>
      <c r="D269" t="inlineStr">
        <is>
          <t>VÄSTMANLANDS LÄN</t>
        </is>
      </c>
      <c r="E269" t="inlineStr">
        <is>
          <t>SALA</t>
        </is>
      </c>
      <c r="G269" t="n">
        <v>8.1</v>
      </c>
      <c r="H269" t="n">
        <v>0</v>
      </c>
      <c r="I269" t="n">
        <v>0</v>
      </c>
      <c r="J269" t="n">
        <v>0</v>
      </c>
      <c r="K269" t="n">
        <v>0</v>
      </c>
      <c r="L269" t="n">
        <v>0</v>
      </c>
      <c r="M269" t="n">
        <v>0</v>
      </c>
      <c r="N269" t="n">
        <v>0</v>
      </c>
      <c r="O269" t="n">
        <v>0</v>
      </c>
      <c r="P269" t="n">
        <v>0</v>
      </c>
      <c r="Q269" t="n">
        <v>0</v>
      </c>
      <c r="R269" s="2" t="inlineStr"/>
    </row>
    <row r="270" ht="15" customHeight="1">
      <c r="A270" t="inlineStr">
        <is>
          <t>A 56949-2023</t>
        </is>
      </c>
      <c r="B270" s="1" t="n">
        <v>45244.61589120371</v>
      </c>
      <c r="C270" s="1" t="n">
        <v>46174</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16160-2024</t>
        </is>
      </c>
      <c r="B271" s="1" t="n">
        <v>45406</v>
      </c>
      <c r="C271" s="1" t="n">
        <v>46174</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42416-2022</t>
        </is>
      </c>
      <c r="B272" s="1" t="n">
        <v>44831</v>
      </c>
      <c r="C272" s="1" t="n">
        <v>46174</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46279-2021</t>
        </is>
      </c>
      <c r="B273" s="1" t="n">
        <v>44442.57797453704</v>
      </c>
      <c r="C273" s="1" t="n">
        <v>46174</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96-2024</t>
        </is>
      </c>
      <c r="B274" s="1" t="n">
        <v>45293.85872685185</v>
      </c>
      <c r="C274" s="1" t="n">
        <v>46174</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54118-2023</t>
        </is>
      </c>
      <c r="B275" s="1" t="n">
        <v>45232</v>
      </c>
      <c r="C275" s="1" t="n">
        <v>46174</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6135-2023</t>
        </is>
      </c>
      <c r="B276" s="1" t="n">
        <v>44964.62628472222</v>
      </c>
      <c r="C276" s="1" t="n">
        <v>46174</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16693-2023</t>
        </is>
      </c>
      <c r="B277" s="1" t="n">
        <v>45028</v>
      </c>
      <c r="C277" s="1" t="n">
        <v>46174</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39597-2022</t>
        </is>
      </c>
      <c r="B278" s="1" t="n">
        <v>44818</v>
      </c>
      <c r="C278" s="1" t="n">
        <v>46174</v>
      </c>
      <c r="D278" t="inlineStr">
        <is>
          <t>VÄSTMANLANDS LÄN</t>
        </is>
      </c>
      <c r="E278" t="inlineStr">
        <is>
          <t>SALA</t>
        </is>
      </c>
      <c r="G278" t="n">
        <v>2.3</v>
      </c>
      <c r="H278" t="n">
        <v>0</v>
      </c>
      <c r="I278" t="n">
        <v>0</v>
      </c>
      <c r="J278" t="n">
        <v>0</v>
      </c>
      <c r="K278" t="n">
        <v>0</v>
      </c>
      <c r="L278" t="n">
        <v>0</v>
      </c>
      <c r="M278" t="n">
        <v>0</v>
      </c>
      <c r="N278" t="n">
        <v>0</v>
      </c>
      <c r="O278" t="n">
        <v>0</v>
      </c>
      <c r="P278" t="n">
        <v>0</v>
      </c>
      <c r="Q278" t="n">
        <v>0</v>
      </c>
      <c r="R278" s="2" t="inlineStr"/>
    </row>
    <row r="279" ht="15" customHeight="1">
      <c r="A279" t="inlineStr">
        <is>
          <t>A 8285-2025</t>
        </is>
      </c>
      <c r="B279" s="1" t="n">
        <v>45708</v>
      </c>
      <c r="C279" s="1" t="n">
        <v>46174</v>
      </c>
      <c r="D279" t="inlineStr">
        <is>
          <t>VÄSTMANLANDS LÄN</t>
        </is>
      </c>
      <c r="E279" t="inlineStr">
        <is>
          <t>SALA</t>
        </is>
      </c>
      <c r="G279" t="n">
        <v>5.7</v>
      </c>
      <c r="H279" t="n">
        <v>0</v>
      </c>
      <c r="I279" t="n">
        <v>0</v>
      </c>
      <c r="J279" t="n">
        <v>0</v>
      </c>
      <c r="K279" t="n">
        <v>0</v>
      </c>
      <c r="L279" t="n">
        <v>0</v>
      </c>
      <c r="M279" t="n">
        <v>0</v>
      </c>
      <c r="N279" t="n">
        <v>0</v>
      </c>
      <c r="O279" t="n">
        <v>0</v>
      </c>
      <c r="P279" t="n">
        <v>0</v>
      </c>
      <c r="Q279" t="n">
        <v>0</v>
      </c>
      <c r="R279" s="2" t="inlineStr"/>
    </row>
    <row r="280" ht="15" customHeight="1">
      <c r="A280" t="inlineStr">
        <is>
          <t>A 34814-2021</t>
        </is>
      </c>
      <c r="B280" s="1" t="n">
        <v>44383</v>
      </c>
      <c r="C280" s="1" t="n">
        <v>46174</v>
      </c>
      <c r="D280" t="inlineStr">
        <is>
          <t>VÄSTMANLANDS LÄN</t>
        </is>
      </c>
      <c r="E280" t="inlineStr">
        <is>
          <t>SALA</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25748-2022</t>
        </is>
      </c>
      <c r="B281" s="1" t="n">
        <v>44732</v>
      </c>
      <c r="C281" s="1" t="n">
        <v>46174</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22921-2023</t>
        </is>
      </c>
      <c r="B282" s="1" t="n">
        <v>45070</v>
      </c>
      <c r="C282" s="1" t="n">
        <v>46174</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3733-2023</t>
        </is>
      </c>
      <c r="B283" s="1" t="n">
        <v>44951.42501157407</v>
      </c>
      <c r="C283" s="1" t="n">
        <v>46174</v>
      </c>
      <c r="D283" t="inlineStr">
        <is>
          <t>VÄSTMANLANDS LÄN</t>
        </is>
      </c>
      <c r="E283" t="inlineStr">
        <is>
          <t>SALA</t>
        </is>
      </c>
      <c r="G283" t="n">
        <v>3.1</v>
      </c>
      <c r="H283" t="n">
        <v>0</v>
      </c>
      <c r="I283" t="n">
        <v>0</v>
      </c>
      <c r="J283" t="n">
        <v>0</v>
      </c>
      <c r="K283" t="n">
        <v>0</v>
      </c>
      <c r="L283" t="n">
        <v>0</v>
      </c>
      <c r="M283" t="n">
        <v>0</v>
      </c>
      <c r="N283" t="n">
        <v>0</v>
      </c>
      <c r="O283" t="n">
        <v>0</v>
      </c>
      <c r="P283" t="n">
        <v>0</v>
      </c>
      <c r="Q283" t="n">
        <v>0</v>
      </c>
      <c r="R283" s="2" t="inlineStr"/>
    </row>
    <row r="284" ht="15" customHeight="1">
      <c r="A284" t="inlineStr">
        <is>
          <t>A 6136-2025</t>
        </is>
      </c>
      <c r="B284" s="1" t="n">
        <v>45698.37601851852</v>
      </c>
      <c r="C284" s="1" t="n">
        <v>46174</v>
      </c>
      <c r="D284" t="inlineStr">
        <is>
          <t>VÄSTMANLANDS LÄN</t>
        </is>
      </c>
      <c r="E284" t="inlineStr">
        <is>
          <t>SALA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6190-2025</t>
        </is>
      </c>
      <c r="B285" s="1" t="n">
        <v>45698</v>
      </c>
      <c r="C285" s="1" t="n">
        <v>46174</v>
      </c>
      <c r="D285" t="inlineStr">
        <is>
          <t>VÄSTMANLANDS LÄN</t>
        </is>
      </c>
      <c r="E285" t="inlineStr">
        <is>
          <t>SALA</t>
        </is>
      </c>
      <c r="F285" t="inlineStr">
        <is>
          <t>Bergvik skog öst AB</t>
        </is>
      </c>
      <c r="G285" t="n">
        <v>4.6</v>
      </c>
      <c r="H285" t="n">
        <v>0</v>
      </c>
      <c r="I285" t="n">
        <v>0</v>
      </c>
      <c r="J285" t="n">
        <v>0</v>
      </c>
      <c r="K285" t="n">
        <v>0</v>
      </c>
      <c r="L285" t="n">
        <v>0</v>
      </c>
      <c r="M285" t="n">
        <v>0</v>
      </c>
      <c r="N285" t="n">
        <v>0</v>
      </c>
      <c r="O285" t="n">
        <v>0</v>
      </c>
      <c r="P285" t="n">
        <v>0</v>
      </c>
      <c r="Q285" t="n">
        <v>0</v>
      </c>
      <c r="R285" s="2" t="inlineStr"/>
    </row>
    <row r="286" ht="15" customHeight="1">
      <c r="A286" t="inlineStr">
        <is>
          <t>A 36858-2023</t>
        </is>
      </c>
      <c r="B286" s="1" t="n">
        <v>45154.55184027777</v>
      </c>
      <c r="C286" s="1" t="n">
        <v>46174</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55024-2023</t>
        </is>
      </c>
      <c r="B287" s="1" t="n">
        <v>45229</v>
      </c>
      <c r="C287" s="1" t="n">
        <v>46174</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55032-2023</t>
        </is>
      </c>
      <c r="B288" s="1" t="n">
        <v>45229</v>
      </c>
      <c r="C288" s="1" t="n">
        <v>46174</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46174</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20352-2022</t>
        </is>
      </c>
      <c r="B290" s="1" t="n">
        <v>44699.37318287037</v>
      </c>
      <c r="C290" s="1" t="n">
        <v>46174</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5032-2025</t>
        </is>
      </c>
      <c r="B291" s="1" t="n">
        <v>45691</v>
      </c>
      <c r="C291" s="1" t="n">
        <v>46174</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17117-2023</t>
        </is>
      </c>
      <c r="B292" s="1" t="n">
        <v>45034</v>
      </c>
      <c r="C292" s="1" t="n">
        <v>46174</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73673-2021</t>
        </is>
      </c>
      <c r="B293" s="1" t="n">
        <v>44552.46501157407</v>
      </c>
      <c r="C293" s="1" t="n">
        <v>46174</v>
      </c>
      <c r="D293" t="inlineStr">
        <is>
          <t>VÄSTMANLANDS LÄN</t>
        </is>
      </c>
      <c r="E293" t="inlineStr">
        <is>
          <t>SALA</t>
        </is>
      </c>
      <c r="G293" t="n">
        <v>11.4</v>
      </c>
      <c r="H293" t="n">
        <v>0</v>
      </c>
      <c r="I293" t="n">
        <v>0</v>
      </c>
      <c r="J293" t="n">
        <v>0</v>
      </c>
      <c r="K293" t="n">
        <v>0</v>
      </c>
      <c r="L293" t="n">
        <v>0</v>
      </c>
      <c r="M293" t="n">
        <v>0</v>
      </c>
      <c r="N293" t="n">
        <v>0</v>
      </c>
      <c r="O293" t="n">
        <v>0</v>
      </c>
      <c r="P293" t="n">
        <v>0</v>
      </c>
      <c r="Q293" t="n">
        <v>0</v>
      </c>
      <c r="R293" s="2" t="inlineStr"/>
    </row>
    <row r="294" ht="15" customHeight="1">
      <c r="A294" t="inlineStr">
        <is>
          <t>A 19243-2025</t>
        </is>
      </c>
      <c r="B294" s="1" t="n">
        <v>45769</v>
      </c>
      <c r="C294" s="1" t="n">
        <v>46174</v>
      </c>
      <c r="D294" t="inlineStr">
        <is>
          <t>VÄSTMANLANDS LÄN</t>
        </is>
      </c>
      <c r="E294" t="inlineStr">
        <is>
          <t>SALA</t>
        </is>
      </c>
      <c r="F294" t="inlineStr">
        <is>
          <t>Bergvik skog öst AB</t>
        </is>
      </c>
      <c r="G294" t="n">
        <v>1.5</v>
      </c>
      <c r="H294" t="n">
        <v>0</v>
      </c>
      <c r="I294" t="n">
        <v>0</v>
      </c>
      <c r="J294" t="n">
        <v>0</v>
      </c>
      <c r="K294" t="n">
        <v>0</v>
      </c>
      <c r="L294" t="n">
        <v>0</v>
      </c>
      <c r="M294" t="n">
        <v>0</v>
      </c>
      <c r="N294" t="n">
        <v>0</v>
      </c>
      <c r="O294" t="n">
        <v>0</v>
      </c>
      <c r="P294" t="n">
        <v>0</v>
      </c>
      <c r="Q294" t="n">
        <v>0</v>
      </c>
      <c r="R294" s="2" t="inlineStr"/>
    </row>
    <row r="295" ht="15" customHeight="1">
      <c r="A295" t="inlineStr">
        <is>
          <t>A 6127-2025</t>
        </is>
      </c>
      <c r="B295" s="1" t="n">
        <v>45698</v>
      </c>
      <c r="C295" s="1" t="n">
        <v>46174</v>
      </c>
      <c r="D295" t="inlineStr">
        <is>
          <t>VÄSTMANLANDS LÄN</t>
        </is>
      </c>
      <c r="E295" t="inlineStr">
        <is>
          <t>SALA</t>
        </is>
      </c>
      <c r="F295" t="inlineStr">
        <is>
          <t>Bergvik skog öst AB</t>
        </is>
      </c>
      <c r="G295" t="n">
        <v>4.3</v>
      </c>
      <c r="H295" t="n">
        <v>0</v>
      </c>
      <c r="I295" t="n">
        <v>0</v>
      </c>
      <c r="J295" t="n">
        <v>0</v>
      </c>
      <c r="K295" t="n">
        <v>0</v>
      </c>
      <c r="L295" t="n">
        <v>0</v>
      </c>
      <c r="M295" t="n">
        <v>0</v>
      </c>
      <c r="N295" t="n">
        <v>0</v>
      </c>
      <c r="O295" t="n">
        <v>0</v>
      </c>
      <c r="P295" t="n">
        <v>0</v>
      </c>
      <c r="Q295" t="n">
        <v>0</v>
      </c>
      <c r="R295" s="2" t="inlineStr"/>
    </row>
    <row r="296" ht="15" customHeight="1">
      <c r="A296" t="inlineStr">
        <is>
          <t>A 988-2025</t>
        </is>
      </c>
      <c r="B296" s="1" t="n">
        <v>45666.44038194444</v>
      </c>
      <c r="C296" s="1" t="n">
        <v>46174</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60328-2024</t>
        </is>
      </c>
      <c r="B297" s="1" t="n">
        <v>45643.38416666666</v>
      </c>
      <c r="C297" s="1" t="n">
        <v>46174</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35016-2024</t>
        </is>
      </c>
      <c r="B298" s="1" t="n">
        <v>45527.59115740741</v>
      </c>
      <c r="C298" s="1" t="n">
        <v>46174</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25897-2024</t>
        </is>
      </c>
      <c r="B299" s="1" t="n">
        <v>45467.54435185185</v>
      </c>
      <c r="C299" s="1" t="n">
        <v>46174</v>
      </c>
      <c r="D299" t="inlineStr">
        <is>
          <t>VÄSTMANLANDS LÄN</t>
        </is>
      </c>
      <c r="E299" t="inlineStr">
        <is>
          <t>SALA</t>
        </is>
      </c>
      <c r="G299" t="n">
        <v>9.9</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46174</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7166-2025</t>
        </is>
      </c>
      <c r="B301" s="1" t="n">
        <v>45702</v>
      </c>
      <c r="C301" s="1" t="n">
        <v>46174</v>
      </c>
      <c r="D301" t="inlineStr">
        <is>
          <t>VÄSTMANLANDS LÄN</t>
        </is>
      </c>
      <c r="E301" t="inlineStr">
        <is>
          <t>SALA</t>
        </is>
      </c>
      <c r="G301" t="n">
        <v>6.1</v>
      </c>
      <c r="H301" t="n">
        <v>0</v>
      </c>
      <c r="I301" t="n">
        <v>0</v>
      </c>
      <c r="J301" t="n">
        <v>0</v>
      </c>
      <c r="K301" t="n">
        <v>0</v>
      </c>
      <c r="L301" t="n">
        <v>0</v>
      </c>
      <c r="M301" t="n">
        <v>0</v>
      </c>
      <c r="N301" t="n">
        <v>0</v>
      </c>
      <c r="O301" t="n">
        <v>0</v>
      </c>
      <c r="P301" t="n">
        <v>0</v>
      </c>
      <c r="Q301" t="n">
        <v>0</v>
      </c>
      <c r="R301" s="2" t="inlineStr"/>
    </row>
    <row r="302" ht="15" customHeight="1">
      <c r="A302" t="inlineStr">
        <is>
          <t>A 36393-2023</t>
        </is>
      </c>
      <c r="B302" s="1" t="n">
        <v>45152</v>
      </c>
      <c r="C302" s="1" t="n">
        <v>46174</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26416-2023</t>
        </is>
      </c>
      <c r="B303" s="1" t="n">
        <v>45092.38087962963</v>
      </c>
      <c r="C303" s="1" t="n">
        <v>46174</v>
      </c>
      <c r="D303" t="inlineStr">
        <is>
          <t>VÄSTMANLANDS LÄN</t>
        </is>
      </c>
      <c r="E303" t="inlineStr">
        <is>
          <t>SALA</t>
        </is>
      </c>
      <c r="G303" t="n">
        <v>2.9</v>
      </c>
      <c r="H303" t="n">
        <v>0</v>
      </c>
      <c r="I303" t="n">
        <v>0</v>
      </c>
      <c r="J303" t="n">
        <v>0</v>
      </c>
      <c r="K303" t="n">
        <v>0</v>
      </c>
      <c r="L303" t="n">
        <v>0</v>
      </c>
      <c r="M303" t="n">
        <v>0</v>
      </c>
      <c r="N303" t="n">
        <v>0</v>
      </c>
      <c r="O303" t="n">
        <v>0</v>
      </c>
      <c r="P303" t="n">
        <v>0</v>
      </c>
      <c r="Q303" t="n">
        <v>0</v>
      </c>
      <c r="R303" s="2" t="inlineStr"/>
    </row>
    <row r="304" ht="15" customHeight="1">
      <c r="A304" t="inlineStr">
        <is>
          <t>A 57371-2022</t>
        </is>
      </c>
      <c r="B304" s="1" t="n">
        <v>44896.43832175926</v>
      </c>
      <c r="C304" s="1" t="n">
        <v>46174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55784-2024</t>
        </is>
      </c>
      <c r="B305" s="1" t="n">
        <v>45623</v>
      </c>
      <c r="C305" s="1" t="n">
        <v>46174</v>
      </c>
      <c r="D305" t="inlineStr">
        <is>
          <t>VÄSTMANLANDS LÄN</t>
        </is>
      </c>
      <c r="E305" t="inlineStr">
        <is>
          <t>SALA</t>
        </is>
      </c>
      <c r="F305" t="inlineStr">
        <is>
          <t>Bergvik skog öst AB</t>
        </is>
      </c>
      <c r="G305" t="n">
        <v>28.4</v>
      </c>
      <c r="H305" t="n">
        <v>0</v>
      </c>
      <c r="I305" t="n">
        <v>0</v>
      </c>
      <c r="J305" t="n">
        <v>0</v>
      </c>
      <c r="K305" t="n">
        <v>0</v>
      </c>
      <c r="L305" t="n">
        <v>0</v>
      </c>
      <c r="M305" t="n">
        <v>0</v>
      </c>
      <c r="N305" t="n">
        <v>0</v>
      </c>
      <c r="O305" t="n">
        <v>0</v>
      </c>
      <c r="P305" t="n">
        <v>0</v>
      </c>
      <c r="Q305" t="n">
        <v>0</v>
      </c>
      <c r="R305" s="2" t="inlineStr"/>
    </row>
    <row r="306" ht="15" customHeight="1">
      <c r="A306" t="inlineStr">
        <is>
          <t>A 38574-2025</t>
        </is>
      </c>
      <c r="B306" s="1" t="n">
        <v>45884.46390046296</v>
      </c>
      <c r="C306" s="1" t="n">
        <v>46174</v>
      </c>
      <c r="D306" t="inlineStr">
        <is>
          <t>VÄSTMANLANDS LÄN</t>
        </is>
      </c>
      <c r="E306" t="inlineStr">
        <is>
          <t>SALA</t>
        </is>
      </c>
      <c r="G306" t="n">
        <v>2.1</v>
      </c>
      <c r="H306" t="n">
        <v>0</v>
      </c>
      <c r="I306" t="n">
        <v>0</v>
      </c>
      <c r="J306" t="n">
        <v>0</v>
      </c>
      <c r="K306" t="n">
        <v>0</v>
      </c>
      <c r="L306" t="n">
        <v>0</v>
      </c>
      <c r="M306" t="n">
        <v>0</v>
      </c>
      <c r="N306" t="n">
        <v>0</v>
      </c>
      <c r="O306" t="n">
        <v>0</v>
      </c>
      <c r="P306" t="n">
        <v>0</v>
      </c>
      <c r="Q306" t="n">
        <v>0</v>
      </c>
      <c r="R306" s="2" t="inlineStr"/>
    </row>
    <row r="307" ht="15" customHeight="1">
      <c r="A307" t="inlineStr">
        <is>
          <t>A 19803-2024</t>
        </is>
      </c>
      <c r="B307" s="1" t="n">
        <v>45432</v>
      </c>
      <c r="C307" s="1" t="n">
        <v>46174</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28661-2024</t>
        </is>
      </c>
      <c r="B308" s="1" t="n">
        <v>45478</v>
      </c>
      <c r="C308" s="1" t="n">
        <v>46174</v>
      </c>
      <c r="D308" t="inlineStr">
        <is>
          <t>VÄSTMANLANDS LÄN</t>
        </is>
      </c>
      <c r="E308" t="inlineStr">
        <is>
          <t>SALA</t>
        </is>
      </c>
      <c r="G308" t="n">
        <v>0.6</v>
      </c>
      <c r="H308" t="n">
        <v>0</v>
      </c>
      <c r="I308" t="n">
        <v>0</v>
      </c>
      <c r="J308" t="n">
        <v>0</v>
      </c>
      <c r="K308" t="n">
        <v>0</v>
      </c>
      <c r="L308" t="n">
        <v>0</v>
      </c>
      <c r="M308" t="n">
        <v>0</v>
      </c>
      <c r="N308" t="n">
        <v>0</v>
      </c>
      <c r="O308" t="n">
        <v>0</v>
      </c>
      <c r="P308" t="n">
        <v>0</v>
      </c>
      <c r="Q308" t="n">
        <v>0</v>
      </c>
      <c r="R308" s="2" t="inlineStr"/>
    </row>
    <row r="309" ht="15" customHeight="1">
      <c r="A309" t="inlineStr">
        <is>
          <t>A 18340-2025</t>
        </is>
      </c>
      <c r="B309" s="1" t="n">
        <v>45762</v>
      </c>
      <c r="C309" s="1" t="n">
        <v>46174</v>
      </c>
      <c r="D309" t="inlineStr">
        <is>
          <t>VÄSTMANLANDS LÄN</t>
        </is>
      </c>
      <c r="E309" t="inlineStr">
        <is>
          <t>SALA</t>
        </is>
      </c>
      <c r="G309" t="n">
        <v>2.1</v>
      </c>
      <c r="H309" t="n">
        <v>0</v>
      </c>
      <c r="I309" t="n">
        <v>0</v>
      </c>
      <c r="J309" t="n">
        <v>0</v>
      </c>
      <c r="K309" t="n">
        <v>0</v>
      </c>
      <c r="L309" t="n">
        <v>0</v>
      </c>
      <c r="M309" t="n">
        <v>0</v>
      </c>
      <c r="N309" t="n">
        <v>0</v>
      </c>
      <c r="O309" t="n">
        <v>0</v>
      </c>
      <c r="P309" t="n">
        <v>0</v>
      </c>
      <c r="Q309" t="n">
        <v>0</v>
      </c>
      <c r="R309" s="2" t="inlineStr"/>
    </row>
    <row r="310" ht="15" customHeight="1">
      <c r="A310" t="inlineStr">
        <is>
          <t>A 27255-2023</t>
        </is>
      </c>
      <c r="B310" s="1" t="n">
        <v>45096</v>
      </c>
      <c r="C310" s="1" t="n">
        <v>46174</v>
      </c>
      <c r="D310" t="inlineStr">
        <is>
          <t>VÄSTMANLANDS LÄN</t>
        </is>
      </c>
      <c r="E310" t="inlineStr">
        <is>
          <t>SALA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56706-2022</t>
        </is>
      </c>
      <c r="B311" s="1" t="n">
        <v>44893.78893518518</v>
      </c>
      <c r="C311" s="1" t="n">
        <v>46174</v>
      </c>
      <c r="D311" t="inlineStr">
        <is>
          <t>VÄSTMANLANDS LÄN</t>
        </is>
      </c>
      <c r="E311" t="inlineStr">
        <is>
          <t>SALA</t>
        </is>
      </c>
      <c r="G311" t="n">
        <v>4.5</v>
      </c>
      <c r="H311" t="n">
        <v>0</v>
      </c>
      <c r="I311" t="n">
        <v>0</v>
      </c>
      <c r="J311" t="n">
        <v>0</v>
      </c>
      <c r="K311" t="n">
        <v>0</v>
      </c>
      <c r="L311" t="n">
        <v>0</v>
      </c>
      <c r="M311" t="n">
        <v>0</v>
      </c>
      <c r="N311" t="n">
        <v>0</v>
      </c>
      <c r="O311" t="n">
        <v>0</v>
      </c>
      <c r="P311" t="n">
        <v>0</v>
      </c>
      <c r="Q311" t="n">
        <v>0</v>
      </c>
      <c r="R311" s="2" t="inlineStr"/>
    </row>
    <row r="312" ht="15" customHeight="1">
      <c r="A312" t="inlineStr">
        <is>
          <t>A 56707-2022</t>
        </is>
      </c>
      <c r="B312" s="1" t="n">
        <v>44893.79412037037</v>
      </c>
      <c r="C312" s="1" t="n">
        <v>46174</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7196-2025</t>
        </is>
      </c>
      <c r="B313" s="1" t="n">
        <v>45702</v>
      </c>
      <c r="C313" s="1" t="n">
        <v>46174</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40597-2022</t>
        </is>
      </c>
      <c r="B314" s="1" t="n">
        <v>44823.84862268518</v>
      </c>
      <c r="C314" s="1" t="n">
        <v>46174</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7197-2025</t>
        </is>
      </c>
      <c r="B315" s="1" t="n">
        <v>45702</v>
      </c>
      <c r="C315" s="1" t="n">
        <v>46174</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31864-2025</t>
        </is>
      </c>
      <c r="B316" s="1" t="n">
        <v>45834.63819444444</v>
      </c>
      <c r="C316" s="1" t="n">
        <v>46174</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64925-2023</t>
        </is>
      </c>
      <c r="B317" s="1" t="n">
        <v>45282</v>
      </c>
      <c r="C317" s="1" t="n">
        <v>46174</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23406-2024</t>
        </is>
      </c>
      <c r="B318" s="1" t="n">
        <v>45453.58296296297</v>
      </c>
      <c r="C318" s="1" t="n">
        <v>46174</v>
      </c>
      <c r="D318" t="inlineStr">
        <is>
          <t>VÄSTMANLANDS LÄN</t>
        </is>
      </c>
      <c r="E318" t="inlineStr">
        <is>
          <t>SALA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16133-2025</t>
        </is>
      </c>
      <c r="B319" s="1" t="n">
        <v>45750</v>
      </c>
      <c r="C319" s="1" t="n">
        <v>46174</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13752-2025</t>
        </is>
      </c>
      <c r="B320" s="1" t="n">
        <v>45737.41416666667</v>
      </c>
      <c r="C320" s="1" t="n">
        <v>46174</v>
      </c>
      <c r="D320" t="inlineStr">
        <is>
          <t>VÄSTMANLANDS LÄN</t>
        </is>
      </c>
      <c r="E320" t="inlineStr">
        <is>
          <t>SALA</t>
        </is>
      </c>
      <c r="G320" t="n">
        <v>0.4</v>
      </c>
      <c r="H320" t="n">
        <v>0</v>
      </c>
      <c r="I320" t="n">
        <v>0</v>
      </c>
      <c r="J320" t="n">
        <v>0</v>
      </c>
      <c r="K320" t="n">
        <v>0</v>
      </c>
      <c r="L320" t="n">
        <v>0</v>
      </c>
      <c r="M320" t="n">
        <v>0</v>
      </c>
      <c r="N320" t="n">
        <v>0</v>
      </c>
      <c r="O320" t="n">
        <v>0</v>
      </c>
      <c r="P320" t="n">
        <v>0</v>
      </c>
      <c r="Q320" t="n">
        <v>0</v>
      </c>
      <c r="R320" s="2" t="inlineStr"/>
    </row>
    <row r="321" ht="15" customHeight="1">
      <c r="A321" t="inlineStr">
        <is>
          <t>A 39167-2025</t>
        </is>
      </c>
      <c r="B321" s="1" t="n">
        <v>45888</v>
      </c>
      <c r="C321" s="1" t="n">
        <v>46174</v>
      </c>
      <c r="D321" t="inlineStr">
        <is>
          <t>VÄSTMANLANDS LÄN</t>
        </is>
      </c>
      <c r="E321" t="inlineStr">
        <is>
          <t>SALA</t>
        </is>
      </c>
      <c r="G321" t="n">
        <v>5.5</v>
      </c>
      <c r="H321" t="n">
        <v>0</v>
      </c>
      <c r="I321" t="n">
        <v>0</v>
      </c>
      <c r="J321" t="n">
        <v>0</v>
      </c>
      <c r="K321" t="n">
        <v>0</v>
      </c>
      <c r="L321" t="n">
        <v>0</v>
      </c>
      <c r="M321" t="n">
        <v>0</v>
      </c>
      <c r="N321" t="n">
        <v>0</v>
      </c>
      <c r="O321" t="n">
        <v>0</v>
      </c>
      <c r="P321" t="n">
        <v>0</v>
      </c>
      <c r="Q321" t="n">
        <v>0</v>
      </c>
      <c r="R321" s="2" t="inlineStr"/>
    </row>
    <row r="322" ht="15" customHeight="1">
      <c r="A322" t="inlineStr">
        <is>
          <t>A 39182-2025</t>
        </is>
      </c>
      <c r="B322" s="1" t="n">
        <v>45888.66204861111</v>
      </c>
      <c r="C322" s="1" t="n">
        <v>46174</v>
      </c>
      <c r="D322" t="inlineStr">
        <is>
          <t>VÄSTMANLANDS LÄN</t>
        </is>
      </c>
      <c r="E322" t="inlineStr">
        <is>
          <t>SALA</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15099-2025</t>
        </is>
      </c>
      <c r="B323" s="1" t="n">
        <v>45744.3434837963</v>
      </c>
      <c r="C323" s="1" t="n">
        <v>46174</v>
      </c>
      <c r="D323" t="inlineStr">
        <is>
          <t>VÄSTMANLANDS LÄN</t>
        </is>
      </c>
      <c r="E323" t="inlineStr">
        <is>
          <t>SALA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2927-2024</t>
        </is>
      </c>
      <c r="B324" s="1" t="n">
        <v>45315.58989583333</v>
      </c>
      <c r="C324" s="1" t="n">
        <v>46174</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26854-2024</t>
        </is>
      </c>
      <c r="B325" s="1" t="n">
        <v>45470</v>
      </c>
      <c r="C325" s="1" t="n">
        <v>46174</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46174</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46174</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16328-2025</t>
        </is>
      </c>
      <c r="B328" s="1" t="n">
        <v>45751</v>
      </c>
      <c r="C328" s="1" t="n">
        <v>46174</v>
      </c>
      <c r="D328" t="inlineStr">
        <is>
          <t>VÄSTMANLANDS LÄN</t>
        </is>
      </c>
      <c r="E328" t="inlineStr">
        <is>
          <t>SALA</t>
        </is>
      </c>
      <c r="G328" t="n">
        <v>2.9</v>
      </c>
      <c r="H328" t="n">
        <v>0</v>
      </c>
      <c r="I328" t="n">
        <v>0</v>
      </c>
      <c r="J328" t="n">
        <v>0</v>
      </c>
      <c r="K328" t="n">
        <v>0</v>
      </c>
      <c r="L328" t="n">
        <v>0</v>
      </c>
      <c r="M328" t="n">
        <v>0</v>
      </c>
      <c r="N328" t="n">
        <v>0</v>
      </c>
      <c r="O328" t="n">
        <v>0</v>
      </c>
      <c r="P328" t="n">
        <v>0</v>
      </c>
      <c r="Q328" t="n">
        <v>0</v>
      </c>
      <c r="R328" s="2" t="inlineStr"/>
    </row>
    <row r="329" ht="15" customHeight="1">
      <c r="A329" t="inlineStr">
        <is>
          <t>A 48570-2024</t>
        </is>
      </c>
      <c r="B329" s="1" t="n">
        <v>45591</v>
      </c>
      <c r="C329" s="1" t="n">
        <v>46174</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57883-2024</t>
        </is>
      </c>
      <c r="B330" s="1" t="n">
        <v>45630</v>
      </c>
      <c r="C330" s="1" t="n">
        <v>46174</v>
      </c>
      <c r="D330" t="inlineStr">
        <is>
          <t>VÄSTMANLANDS LÄN</t>
        </is>
      </c>
      <c r="E330" t="inlineStr">
        <is>
          <t>SALA</t>
        </is>
      </c>
      <c r="G330" t="n">
        <v>5.4</v>
      </c>
      <c r="H330" t="n">
        <v>0</v>
      </c>
      <c r="I330" t="n">
        <v>0</v>
      </c>
      <c r="J330" t="n">
        <v>0</v>
      </c>
      <c r="K330" t="n">
        <v>0</v>
      </c>
      <c r="L330" t="n">
        <v>0</v>
      </c>
      <c r="M330" t="n">
        <v>0</v>
      </c>
      <c r="N330" t="n">
        <v>0</v>
      </c>
      <c r="O330" t="n">
        <v>0</v>
      </c>
      <c r="P330" t="n">
        <v>0</v>
      </c>
      <c r="Q330" t="n">
        <v>0</v>
      </c>
      <c r="R330" s="2" t="inlineStr"/>
    </row>
    <row r="331" ht="15" customHeight="1">
      <c r="A331" t="inlineStr">
        <is>
          <t>A 16769-2024</t>
        </is>
      </c>
      <c r="B331" s="1" t="n">
        <v>45411.38738425926</v>
      </c>
      <c r="C331" s="1" t="n">
        <v>46174</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18877-2023</t>
        </is>
      </c>
      <c r="B332" s="1" t="n">
        <v>45044</v>
      </c>
      <c r="C332" s="1" t="n">
        <v>46174</v>
      </c>
      <c r="D332" t="inlineStr">
        <is>
          <t>VÄSTMANLANDS LÄN</t>
        </is>
      </c>
      <c r="E332" t="inlineStr">
        <is>
          <t>SALA</t>
        </is>
      </c>
      <c r="F332" t="inlineStr">
        <is>
          <t>Kommuner</t>
        </is>
      </c>
      <c r="G332" t="n">
        <v>4.4</v>
      </c>
      <c r="H332" t="n">
        <v>0</v>
      </c>
      <c r="I332" t="n">
        <v>0</v>
      </c>
      <c r="J332" t="n">
        <v>0</v>
      </c>
      <c r="K332" t="n">
        <v>0</v>
      </c>
      <c r="L332" t="n">
        <v>0</v>
      </c>
      <c r="M332" t="n">
        <v>0</v>
      </c>
      <c r="N332" t="n">
        <v>0</v>
      </c>
      <c r="O332" t="n">
        <v>0</v>
      </c>
      <c r="P332" t="n">
        <v>0</v>
      </c>
      <c r="Q332" t="n">
        <v>0</v>
      </c>
      <c r="R332" s="2" t="inlineStr"/>
    </row>
    <row r="333" ht="15" customHeight="1">
      <c r="A333" t="inlineStr">
        <is>
          <t>A 52498-2022</t>
        </is>
      </c>
      <c r="B333" s="1" t="n">
        <v>44874.50152777778</v>
      </c>
      <c r="C333" s="1" t="n">
        <v>46174</v>
      </c>
      <c r="D333" t="inlineStr">
        <is>
          <t>VÄSTMANLANDS LÄN</t>
        </is>
      </c>
      <c r="E333" t="inlineStr">
        <is>
          <t>SALA</t>
        </is>
      </c>
      <c r="G333" t="n">
        <v>2.1</v>
      </c>
      <c r="H333" t="n">
        <v>0</v>
      </c>
      <c r="I333" t="n">
        <v>0</v>
      </c>
      <c r="J333" t="n">
        <v>0</v>
      </c>
      <c r="K333" t="n">
        <v>0</v>
      </c>
      <c r="L333" t="n">
        <v>0</v>
      </c>
      <c r="M333" t="n">
        <v>0</v>
      </c>
      <c r="N333" t="n">
        <v>0</v>
      </c>
      <c r="O333" t="n">
        <v>0</v>
      </c>
      <c r="P333" t="n">
        <v>0</v>
      </c>
      <c r="Q333" t="n">
        <v>0</v>
      </c>
      <c r="R333" s="2" t="inlineStr"/>
    </row>
    <row r="334" ht="15" customHeight="1">
      <c r="A334" t="inlineStr">
        <is>
          <t>A 66908-2021</t>
        </is>
      </c>
      <c r="B334" s="1" t="n">
        <v>44522</v>
      </c>
      <c r="C334" s="1" t="n">
        <v>46174</v>
      </c>
      <c r="D334" t="inlineStr">
        <is>
          <t>VÄSTMANLANDS LÄN</t>
        </is>
      </c>
      <c r="E334" t="inlineStr">
        <is>
          <t>SALA</t>
        </is>
      </c>
      <c r="G334" t="n">
        <v>2.6</v>
      </c>
      <c r="H334" t="n">
        <v>0</v>
      </c>
      <c r="I334" t="n">
        <v>0</v>
      </c>
      <c r="J334" t="n">
        <v>0</v>
      </c>
      <c r="K334" t="n">
        <v>0</v>
      </c>
      <c r="L334" t="n">
        <v>0</v>
      </c>
      <c r="M334" t="n">
        <v>0</v>
      </c>
      <c r="N334" t="n">
        <v>0</v>
      </c>
      <c r="O334" t="n">
        <v>0</v>
      </c>
      <c r="P334" t="n">
        <v>0</v>
      </c>
      <c r="Q334" t="n">
        <v>0</v>
      </c>
      <c r="R334" s="2" t="inlineStr"/>
    </row>
    <row r="335" ht="15" customHeight="1">
      <c r="A335" t="inlineStr">
        <is>
          <t>A 73835-2021</t>
        </is>
      </c>
      <c r="B335" s="1" t="n">
        <v>44552.92112268518</v>
      </c>
      <c r="C335" s="1" t="n">
        <v>46174</v>
      </c>
      <c r="D335" t="inlineStr">
        <is>
          <t>VÄSTMANLANDS LÄN</t>
        </is>
      </c>
      <c r="E335" t="inlineStr">
        <is>
          <t>SALA</t>
        </is>
      </c>
      <c r="G335" t="n">
        <v>2</v>
      </c>
      <c r="H335" t="n">
        <v>0</v>
      </c>
      <c r="I335" t="n">
        <v>0</v>
      </c>
      <c r="J335" t="n">
        <v>0</v>
      </c>
      <c r="K335" t="n">
        <v>0</v>
      </c>
      <c r="L335" t="n">
        <v>0</v>
      </c>
      <c r="M335" t="n">
        <v>0</v>
      </c>
      <c r="N335" t="n">
        <v>0</v>
      </c>
      <c r="O335" t="n">
        <v>0</v>
      </c>
      <c r="P335" t="n">
        <v>0</v>
      </c>
      <c r="Q335" t="n">
        <v>0</v>
      </c>
      <c r="R335" s="2" t="inlineStr"/>
    </row>
    <row r="336" ht="15" customHeight="1">
      <c r="A336" t="inlineStr">
        <is>
          <t>A 3810-2023</t>
        </is>
      </c>
      <c r="B336" s="1" t="n">
        <v>44951.60454861111</v>
      </c>
      <c r="C336" s="1" t="n">
        <v>46174</v>
      </c>
      <c r="D336" t="inlineStr">
        <is>
          <t>VÄSTMANLANDS LÄN</t>
        </is>
      </c>
      <c r="E336" t="inlineStr">
        <is>
          <t>SALA</t>
        </is>
      </c>
      <c r="G336" t="n">
        <v>4.2</v>
      </c>
      <c r="H336" t="n">
        <v>0</v>
      </c>
      <c r="I336" t="n">
        <v>0</v>
      </c>
      <c r="J336" t="n">
        <v>0</v>
      </c>
      <c r="K336" t="n">
        <v>0</v>
      </c>
      <c r="L336" t="n">
        <v>0</v>
      </c>
      <c r="M336" t="n">
        <v>0</v>
      </c>
      <c r="N336" t="n">
        <v>0</v>
      </c>
      <c r="O336" t="n">
        <v>0</v>
      </c>
      <c r="P336" t="n">
        <v>0</v>
      </c>
      <c r="Q336" t="n">
        <v>0</v>
      </c>
      <c r="R336" s="2" t="inlineStr"/>
    </row>
    <row r="337" ht="15" customHeight="1">
      <c r="A337" t="inlineStr">
        <is>
          <t>A 44544-2024</t>
        </is>
      </c>
      <c r="B337" s="1" t="n">
        <v>45574.46119212963</v>
      </c>
      <c r="C337" s="1" t="n">
        <v>46174</v>
      </c>
      <c r="D337" t="inlineStr">
        <is>
          <t>VÄSTMANLANDS LÄN</t>
        </is>
      </c>
      <c r="E337" t="inlineStr">
        <is>
          <t>SALA</t>
        </is>
      </c>
      <c r="G337" t="n">
        <v>3.3</v>
      </c>
      <c r="H337" t="n">
        <v>0</v>
      </c>
      <c r="I337" t="n">
        <v>0</v>
      </c>
      <c r="J337" t="n">
        <v>0</v>
      </c>
      <c r="K337" t="n">
        <v>0</v>
      </c>
      <c r="L337" t="n">
        <v>0</v>
      </c>
      <c r="M337" t="n">
        <v>0</v>
      </c>
      <c r="N337" t="n">
        <v>0</v>
      </c>
      <c r="O337" t="n">
        <v>0</v>
      </c>
      <c r="P337" t="n">
        <v>0</v>
      </c>
      <c r="Q337" t="n">
        <v>0</v>
      </c>
      <c r="R337" s="2" t="inlineStr"/>
    </row>
    <row r="338" ht="15" customHeight="1">
      <c r="A338" t="inlineStr">
        <is>
          <t>A 60379-2022</t>
        </is>
      </c>
      <c r="B338" s="1" t="n">
        <v>44910</v>
      </c>
      <c r="C338" s="1" t="n">
        <v>46174</v>
      </c>
      <c r="D338" t="inlineStr">
        <is>
          <t>VÄSTMANLANDS LÄN</t>
        </is>
      </c>
      <c r="E338" t="inlineStr">
        <is>
          <t>SALA</t>
        </is>
      </c>
      <c r="F338" t="inlineStr">
        <is>
          <t>Kyrkan</t>
        </is>
      </c>
      <c r="G338" t="n">
        <v>2.5</v>
      </c>
      <c r="H338" t="n">
        <v>0</v>
      </c>
      <c r="I338" t="n">
        <v>0</v>
      </c>
      <c r="J338" t="n">
        <v>0</v>
      </c>
      <c r="K338" t="n">
        <v>0</v>
      </c>
      <c r="L338" t="n">
        <v>0</v>
      </c>
      <c r="M338" t="n">
        <v>0</v>
      </c>
      <c r="N338" t="n">
        <v>0</v>
      </c>
      <c r="O338" t="n">
        <v>0</v>
      </c>
      <c r="P338" t="n">
        <v>0</v>
      </c>
      <c r="Q338" t="n">
        <v>0</v>
      </c>
      <c r="R338" s="2" t="inlineStr"/>
    </row>
    <row r="339" ht="15" customHeight="1">
      <c r="A339" t="inlineStr">
        <is>
          <t>A 56547-2022</t>
        </is>
      </c>
      <c r="B339" s="1" t="n">
        <v>44893.48284722222</v>
      </c>
      <c r="C339" s="1" t="n">
        <v>46174</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29542-2023</t>
        </is>
      </c>
      <c r="B340" s="1" t="n">
        <v>45098</v>
      </c>
      <c r="C340" s="1" t="n">
        <v>46174</v>
      </c>
      <c r="D340" t="inlineStr">
        <is>
          <t>VÄSTMANLANDS LÄN</t>
        </is>
      </c>
      <c r="E340" t="inlineStr">
        <is>
          <t>SALA</t>
        </is>
      </c>
      <c r="G340" t="n">
        <v>4.8</v>
      </c>
      <c r="H340" t="n">
        <v>0</v>
      </c>
      <c r="I340" t="n">
        <v>0</v>
      </c>
      <c r="J340" t="n">
        <v>0</v>
      </c>
      <c r="K340" t="n">
        <v>0</v>
      </c>
      <c r="L340" t="n">
        <v>0</v>
      </c>
      <c r="M340" t="n">
        <v>0</v>
      </c>
      <c r="N340" t="n">
        <v>0</v>
      </c>
      <c r="O340" t="n">
        <v>0</v>
      </c>
      <c r="P340" t="n">
        <v>0</v>
      </c>
      <c r="Q340" t="n">
        <v>0</v>
      </c>
      <c r="R340" s="2" t="inlineStr"/>
    </row>
    <row r="341" ht="15" customHeight="1">
      <c r="A341" t="inlineStr">
        <is>
          <t>A 16638-2023</t>
        </is>
      </c>
      <c r="B341" s="1" t="n">
        <v>45027</v>
      </c>
      <c r="C341" s="1" t="n">
        <v>46174</v>
      </c>
      <c r="D341" t="inlineStr">
        <is>
          <t>VÄSTMANLANDS LÄN</t>
        </is>
      </c>
      <c r="E341" t="inlineStr">
        <is>
          <t>SALA</t>
        </is>
      </c>
      <c r="G341" t="n">
        <v>14.8</v>
      </c>
      <c r="H341" t="n">
        <v>0</v>
      </c>
      <c r="I341" t="n">
        <v>0</v>
      </c>
      <c r="J341" t="n">
        <v>0</v>
      </c>
      <c r="K341" t="n">
        <v>0</v>
      </c>
      <c r="L341" t="n">
        <v>0</v>
      </c>
      <c r="M341" t="n">
        <v>0</v>
      </c>
      <c r="N341" t="n">
        <v>0</v>
      </c>
      <c r="O341" t="n">
        <v>0</v>
      </c>
      <c r="P341" t="n">
        <v>0</v>
      </c>
      <c r="Q341" t="n">
        <v>0</v>
      </c>
      <c r="R341" s="2" t="inlineStr"/>
    </row>
    <row r="342" ht="15" customHeight="1">
      <c r="A342" t="inlineStr">
        <is>
          <t>A 37190-2024</t>
        </is>
      </c>
      <c r="B342" s="1" t="n">
        <v>45539</v>
      </c>
      <c r="C342" s="1" t="n">
        <v>46174</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12252-2023</t>
        </is>
      </c>
      <c r="B343" s="1" t="n">
        <v>44995</v>
      </c>
      <c r="C343" s="1" t="n">
        <v>46174</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48571-2024</t>
        </is>
      </c>
      <c r="B344" s="1" t="n">
        <v>45591</v>
      </c>
      <c r="C344" s="1" t="n">
        <v>46174</v>
      </c>
      <c r="D344" t="inlineStr">
        <is>
          <t>VÄSTMANLANDS LÄN</t>
        </is>
      </c>
      <c r="E344" t="inlineStr">
        <is>
          <t>SALA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23222-2023</t>
        </is>
      </c>
      <c r="B345" s="1" t="n">
        <v>45075</v>
      </c>
      <c r="C345" s="1" t="n">
        <v>46174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23224-2023</t>
        </is>
      </c>
      <c r="B346" s="1" t="n">
        <v>45075.65040509259</v>
      </c>
      <c r="C346" s="1" t="n">
        <v>46174</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40559-2025</t>
        </is>
      </c>
      <c r="B347" s="1" t="n">
        <v>45896.45037037037</v>
      </c>
      <c r="C347" s="1" t="n">
        <v>46174</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40556-2025</t>
        </is>
      </c>
      <c r="B348" s="1" t="n">
        <v>45896.44944444444</v>
      </c>
      <c r="C348" s="1" t="n">
        <v>46174</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40620-2025</t>
        </is>
      </c>
      <c r="B349" s="1" t="n">
        <v>45896.58609953704</v>
      </c>
      <c r="C349" s="1" t="n">
        <v>46174</v>
      </c>
      <c r="D349" t="inlineStr">
        <is>
          <t>VÄSTMANLANDS LÄN</t>
        </is>
      </c>
      <c r="E349" t="inlineStr">
        <is>
          <t>SALA</t>
        </is>
      </c>
      <c r="G349" t="n">
        <v>6.7</v>
      </c>
      <c r="H349" t="n">
        <v>0</v>
      </c>
      <c r="I349" t="n">
        <v>0</v>
      </c>
      <c r="J349" t="n">
        <v>0</v>
      </c>
      <c r="K349" t="n">
        <v>0</v>
      </c>
      <c r="L349" t="n">
        <v>0</v>
      </c>
      <c r="M349" t="n">
        <v>0</v>
      </c>
      <c r="N349" t="n">
        <v>0</v>
      </c>
      <c r="O349" t="n">
        <v>0</v>
      </c>
      <c r="P349" t="n">
        <v>0</v>
      </c>
      <c r="Q349" t="n">
        <v>0</v>
      </c>
      <c r="R349" s="2" t="inlineStr"/>
    </row>
    <row r="350" ht="15" customHeight="1">
      <c r="A350" t="inlineStr">
        <is>
          <t>A 25260-2023</t>
        </is>
      </c>
      <c r="B350" s="1" t="n">
        <v>45086</v>
      </c>
      <c r="C350" s="1" t="n">
        <v>46174</v>
      </c>
      <c r="D350" t="inlineStr">
        <is>
          <t>VÄSTMANLANDS LÄN</t>
        </is>
      </c>
      <c r="E350" t="inlineStr">
        <is>
          <t>SALA</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57404-2024</t>
        </is>
      </c>
      <c r="B351" s="1" t="n">
        <v>45629.71967592592</v>
      </c>
      <c r="C351" s="1" t="n">
        <v>46174</v>
      </c>
      <c r="D351" t="inlineStr">
        <is>
          <t>VÄSTMANLANDS LÄN</t>
        </is>
      </c>
      <c r="E351" t="inlineStr">
        <is>
          <t>SALA</t>
        </is>
      </c>
      <c r="G351" t="n">
        <v>0.3</v>
      </c>
      <c r="H351" t="n">
        <v>0</v>
      </c>
      <c r="I351" t="n">
        <v>0</v>
      </c>
      <c r="J351" t="n">
        <v>0</v>
      </c>
      <c r="K351" t="n">
        <v>0</v>
      </c>
      <c r="L351" t="n">
        <v>0</v>
      </c>
      <c r="M351" t="n">
        <v>0</v>
      </c>
      <c r="N351" t="n">
        <v>0</v>
      </c>
      <c r="O351" t="n">
        <v>0</v>
      </c>
      <c r="P351" t="n">
        <v>0</v>
      </c>
      <c r="Q351" t="n">
        <v>0</v>
      </c>
      <c r="R351" s="2" t="inlineStr"/>
    </row>
    <row r="352" ht="15" customHeight="1">
      <c r="A352" t="inlineStr">
        <is>
          <t>A 68864-2021</t>
        </is>
      </c>
      <c r="B352" s="1" t="n">
        <v>44530</v>
      </c>
      <c r="C352" s="1" t="n">
        <v>46174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13128-2023</t>
        </is>
      </c>
      <c r="B353" s="1" t="n">
        <v>45002</v>
      </c>
      <c r="C353" s="1" t="n">
        <v>46174</v>
      </c>
      <c r="D353" t="inlineStr">
        <is>
          <t>VÄSTMANLANDS LÄN</t>
        </is>
      </c>
      <c r="E353" t="inlineStr">
        <is>
          <t>SALA</t>
        </is>
      </c>
      <c r="G353" t="n">
        <v>7.9</v>
      </c>
      <c r="H353" t="n">
        <v>0</v>
      </c>
      <c r="I353" t="n">
        <v>0</v>
      </c>
      <c r="J353" t="n">
        <v>0</v>
      </c>
      <c r="K353" t="n">
        <v>0</v>
      </c>
      <c r="L353" t="n">
        <v>0</v>
      </c>
      <c r="M353" t="n">
        <v>0</v>
      </c>
      <c r="N353" t="n">
        <v>0</v>
      </c>
      <c r="O353" t="n">
        <v>0</v>
      </c>
      <c r="P353" t="n">
        <v>0</v>
      </c>
      <c r="Q353" t="n">
        <v>0</v>
      </c>
      <c r="R353" s="2" t="inlineStr"/>
    </row>
    <row r="354" ht="15" customHeight="1">
      <c r="A354" t="inlineStr">
        <is>
          <t>A 13188-2025</t>
        </is>
      </c>
      <c r="B354" s="1" t="n">
        <v>45735.39246527778</v>
      </c>
      <c r="C354" s="1" t="n">
        <v>46174</v>
      </c>
      <c r="D354" t="inlineStr">
        <is>
          <t>VÄSTMANLANDS LÄN</t>
        </is>
      </c>
      <c r="E354" t="inlineStr">
        <is>
          <t>SALA</t>
        </is>
      </c>
      <c r="F354" t="inlineStr">
        <is>
          <t>Naturvårdsverket</t>
        </is>
      </c>
      <c r="G354" t="n">
        <v>18.4</v>
      </c>
      <c r="H354" t="n">
        <v>0</v>
      </c>
      <c r="I354" t="n">
        <v>0</v>
      </c>
      <c r="J354" t="n">
        <v>0</v>
      </c>
      <c r="K354" t="n">
        <v>0</v>
      </c>
      <c r="L354" t="n">
        <v>0</v>
      </c>
      <c r="M354" t="n">
        <v>0</v>
      </c>
      <c r="N354" t="n">
        <v>0</v>
      </c>
      <c r="O354" t="n">
        <v>0</v>
      </c>
      <c r="P354" t="n">
        <v>0</v>
      </c>
      <c r="Q354" t="n">
        <v>0</v>
      </c>
      <c r="R354" s="2" t="inlineStr"/>
    </row>
    <row r="355" ht="15" customHeight="1">
      <c r="A355" t="inlineStr">
        <is>
          <t>A 19065-2022</t>
        </is>
      </c>
      <c r="B355" s="1" t="n">
        <v>44691.44309027777</v>
      </c>
      <c r="C355" s="1" t="n">
        <v>46174</v>
      </c>
      <c r="D355" t="inlineStr">
        <is>
          <t>VÄSTMANLANDS LÄN</t>
        </is>
      </c>
      <c r="E355" t="inlineStr">
        <is>
          <t>SALA</t>
        </is>
      </c>
      <c r="G355" t="n">
        <v>3.4</v>
      </c>
      <c r="H355" t="n">
        <v>0</v>
      </c>
      <c r="I355" t="n">
        <v>0</v>
      </c>
      <c r="J355" t="n">
        <v>0</v>
      </c>
      <c r="K355" t="n">
        <v>0</v>
      </c>
      <c r="L355" t="n">
        <v>0</v>
      </c>
      <c r="M355" t="n">
        <v>0</v>
      </c>
      <c r="N355" t="n">
        <v>0</v>
      </c>
      <c r="O355" t="n">
        <v>0</v>
      </c>
      <c r="P355" t="n">
        <v>0</v>
      </c>
      <c r="Q355" t="n">
        <v>0</v>
      </c>
      <c r="R355" s="2" t="inlineStr"/>
    </row>
    <row r="356" ht="15" customHeight="1">
      <c r="A356" t="inlineStr">
        <is>
          <t>A 41230-2025</t>
        </is>
      </c>
      <c r="B356" s="1" t="n">
        <v>45898</v>
      </c>
      <c r="C356" s="1" t="n">
        <v>46174</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37612-2024</t>
        </is>
      </c>
      <c r="B357" s="1" t="n">
        <v>45541</v>
      </c>
      <c r="C357" s="1" t="n">
        <v>46174</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37615-2024</t>
        </is>
      </c>
      <c r="B358" s="1" t="n">
        <v>45541.50673611111</v>
      </c>
      <c r="C358" s="1" t="n">
        <v>46174</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18158-2025</t>
        </is>
      </c>
      <c r="B359" s="1" t="n">
        <v>45761</v>
      </c>
      <c r="C359" s="1" t="n">
        <v>46174</v>
      </c>
      <c r="D359" t="inlineStr">
        <is>
          <t>VÄSTMANLANDS LÄN</t>
        </is>
      </c>
      <c r="E359" t="inlineStr">
        <is>
          <t>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41414-2025</t>
        </is>
      </c>
      <c r="B360" s="1" t="n">
        <v>45901.360625</v>
      </c>
      <c r="C360" s="1" t="n">
        <v>46174</v>
      </c>
      <c r="D360" t="inlineStr">
        <is>
          <t>VÄSTMANLANDS LÄN</t>
        </is>
      </c>
      <c r="E360" t="inlineStr">
        <is>
          <t>SALA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9962-2025</t>
        </is>
      </c>
      <c r="B361" s="1" t="n">
        <v>45719.37072916667</v>
      </c>
      <c r="C361" s="1" t="n">
        <v>46174</v>
      </c>
      <c r="D361" t="inlineStr">
        <is>
          <t>VÄSTMANLANDS LÄN</t>
        </is>
      </c>
      <c r="E361" t="inlineStr">
        <is>
          <t>SALA</t>
        </is>
      </c>
      <c r="G361" t="n">
        <v>4.5</v>
      </c>
      <c r="H361" t="n">
        <v>0</v>
      </c>
      <c r="I361" t="n">
        <v>0</v>
      </c>
      <c r="J361" t="n">
        <v>0</v>
      </c>
      <c r="K361" t="n">
        <v>0</v>
      </c>
      <c r="L361" t="n">
        <v>0</v>
      </c>
      <c r="M361" t="n">
        <v>0</v>
      </c>
      <c r="N361" t="n">
        <v>0</v>
      </c>
      <c r="O361" t="n">
        <v>0</v>
      </c>
      <c r="P361" t="n">
        <v>0</v>
      </c>
      <c r="Q361" t="n">
        <v>0</v>
      </c>
      <c r="R361" s="2" t="inlineStr"/>
    </row>
    <row r="362" ht="15" customHeight="1">
      <c r="A362" t="inlineStr">
        <is>
          <t>A 61717-2024</t>
        </is>
      </c>
      <c r="B362" s="1" t="n">
        <v>45648</v>
      </c>
      <c r="C362" s="1" t="n">
        <v>46174</v>
      </c>
      <c r="D362" t="inlineStr">
        <is>
          <t>VÄSTMANLANDS LÄN</t>
        </is>
      </c>
      <c r="E362" t="inlineStr">
        <is>
          <t>SALA</t>
        </is>
      </c>
      <c r="G362" t="n">
        <v>3.7</v>
      </c>
      <c r="H362" t="n">
        <v>0</v>
      </c>
      <c r="I362" t="n">
        <v>0</v>
      </c>
      <c r="J362" t="n">
        <v>0</v>
      </c>
      <c r="K362" t="n">
        <v>0</v>
      </c>
      <c r="L362" t="n">
        <v>0</v>
      </c>
      <c r="M362" t="n">
        <v>0</v>
      </c>
      <c r="N362" t="n">
        <v>0</v>
      </c>
      <c r="O362" t="n">
        <v>0</v>
      </c>
      <c r="P362" t="n">
        <v>0</v>
      </c>
      <c r="Q362" t="n">
        <v>0</v>
      </c>
      <c r="R362" s="2" t="inlineStr"/>
    </row>
    <row r="363" ht="15" customHeight="1">
      <c r="A363" t="inlineStr">
        <is>
          <t>A 24864-2024</t>
        </is>
      </c>
      <c r="B363" s="1" t="n">
        <v>45461.48888888889</v>
      </c>
      <c r="C363" s="1" t="n">
        <v>46174</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53164-2024</t>
        </is>
      </c>
      <c r="B364" s="1" t="n">
        <v>45611.64887731482</v>
      </c>
      <c r="C364" s="1" t="n">
        <v>46174</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41431-2025</t>
        </is>
      </c>
      <c r="B365" s="1" t="n">
        <v>45901.39347222223</v>
      </c>
      <c r="C365" s="1" t="n">
        <v>46174</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37602-2024</t>
        </is>
      </c>
      <c r="B366" s="1" t="n">
        <v>45541</v>
      </c>
      <c r="C366" s="1" t="n">
        <v>46174</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18762-2024</t>
        </is>
      </c>
      <c r="B367" s="1" t="n">
        <v>45426.55240740741</v>
      </c>
      <c r="C367" s="1" t="n">
        <v>46174</v>
      </c>
      <c r="D367" t="inlineStr">
        <is>
          <t>VÄSTMANLANDS LÄN</t>
        </is>
      </c>
      <c r="E367" t="inlineStr">
        <is>
          <t>SALA</t>
        </is>
      </c>
      <c r="G367" t="n">
        <v>6.2</v>
      </c>
      <c r="H367" t="n">
        <v>0</v>
      </c>
      <c r="I367" t="n">
        <v>0</v>
      </c>
      <c r="J367" t="n">
        <v>0</v>
      </c>
      <c r="K367" t="n">
        <v>0</v>
      </c>
      <c r="L367" t="n">
        <v>0</v>
      </c>
      <c r="M367" t="n">
        <v>0</v>
      </c>
      <c r="N367" t="n">
        <v>0</v>
      </c>
      <c r="O367" t="n">
        <v>0</v>
      </c>
      <c r="P367" t="n">
        <v>0</v>
      </c>
      <c r="Q367" t="n">
        <v>0</v>
      </c>
      <c r="R367" s="2" t="inlineStr"/>
    </row>
    <row r="368" ht="15" customHeight="1">
      <c r="A368" t="inlineStr">
        <is>
          <t>A 39011-2023</t>
        </is>
      </c>
      <c r="B368" s="1" t="n">
        <v>45162</v>
      </c>
      <c r="C368" s="1" t="n">
        <v>46174</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46352-2023</t>
        </is>
      </c>
      <c r="B369" s="1" t="n">
        <v>45192</v>
      </c>
      <c r="C369" s="1" t="n">
        <v>46174</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43751-2021</t>
        </is>
      </c>
      <c r="B370" s="1" t="n">
        <v>44433</v>
      </c>
      <c r="C370" s="1" t="n">
        <v>46174</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1128-2025</t>
        </is>
      </c>
      <c r="B371" s="1" t="n">
        <v>45666.68469907407</v>
      </c>
      <c r="C371" s="1" t="n">
        <v>46174</v>
      </c>
      <c r="D371" t="inlineStr">
        <is>
          <t>VÄSTMANLANDS LÄN</t>
        </is>
      </c>
      <c r="E371" t="inlineStr">
        <is>
          <t>SALA</t>
        </is>
      </c>
      <c r="G371" t="n">
        <v>2.5</v>
      </c>
      <c r="H371" t="n">
        <v>0</v>
      </c>
      <c r="I371" t="n">
        <v>0</v>
      </c>
      <c r="J371" t="n">
        <v>0</v>
      </c>
      <c r="K371" t="n">
        <v>0</v>
      </c>
      <c r="L371" t="n">
        <v>0</v>
      </c>
      <c r="M371" t="n">
        <v>0</v>
      </c>
      <c r="N371" t="n">
        <v>0</v>
      </c>
      <c r="O371" t="n">
        <v>0</v>
      </c>
      <c r="P371" t="n">
        <v>0</v>
      </c>
      <c r="Q371" t="n">
        <v>0</v>
      </c>
      <c r="R371" s="2" t="inlineStr"/>
    </row>
    <row r="372" ht="15" customHeight="1">
      <c r="A372" t="inlineStr">
        <is>
          <t>A 21968-2024</t>
        </is>
      </c>
      <c r="B372" s="1" t="n">
        <v>45443</v>
      </c>
      <c r="C372" s="1" t="n">
        <v>46174</v>
      </c>
      <c r="D372" t="inlineStr">
        <is>
          <t>VÄSTMANLANDS LÄN</t>
        </is>
      </c>
      <c r="E372" t="inlineStr">
        <is>
          <t>SALA</t>
        </is>
      </c>
      <c r="G372" t="n">
        <v>1.9</v>
      </c>
      <c r="H372" t="n">
        <v>0</v>
      </c>
      <c r="I372" t="n">
        <v>0</v>
      </c>
      <c r="J372" t="n">
        <v>0</v>
      </c>
      <c r="K372" t="n">
        <v>0</v>
      </c>
      <c r="L372" t="n">
        <v>0</v>
      </c>
      <c r="M372" t="n">
        <v>0</v>
      </c>
      <c r="N372" t="n">
        <v>0</v>
      </c>
      <c r="O372" t="n">
        <v>0</v>
      </c>
      <c r="P372" t="n">
        <v>0</v>
      </c>
      <c r="Q372" t="n">
        <v>0</v>
      </c>
      <c r="R372" s="2" t="inlineStr"/>
    </row>
    <row r="373" ht="15" customHeight="1">
      <c r="A373" t="inlineStr">
        <is>
          <t>A 42421-2025</t>
        </is>
      </c>
      <c r="B373" s="1" t="n">
        <v>45905.40067129629</v>
      </c>
      <c r="C373" s="1" t="n">
        <v>46174</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31950-2023</t>
        </is>
      </c>
      <c r="B374" s="1" t="n">
        <v>45107</v>
      </c>
      <c r="C374" s="1" t="n">
        <v>46174</v>
      </c>
      <c r="D374" t="inlineStr">
        <is>
          <t>VÄSTMANLANDS LÄN</t>
        </is>
      </c>
      <c r="E374" t="inlineStr">
        <is>
          <t>SALA</t>
        </is>
      </c>
      <c r="G374" t="n">
        <v>0.1</v>
      </c>
      <c r="H374" t="n">
        <v>0</v>
      </c>
      <c r="I374" t="n">
        <v>0</v>
      </c>
      <c r="J374" t="n">
        <v>0</v>
      </c>
      <c r="K374" t="n">
        <v>0</v>
      </c>
      <c r="L374" t="n">
        <v>0</v>
      </c>
      <c r="M374" t="n">
        <v>0</v>
      </c>
      <c r="N374" t="n">
        <v>0</v>
      </c>
      <c r="O374" t="n">
        <v>0</v>
      </c>
      <c r="P374" t="n">
        <v>0</v>
      </c>
      <c r="Q374" t="n">
        <v>0</v>
      </c>
      <c r="R374" s="2" t="inlineStr"/>
    </row>
    <row r="375" ht="15" customHeight="1">
      <c r="A375" t="inlineStr">
        <is>
          <t>A 17495-2024</t>
        </is>
      </c>
      <c r="B375" s="1" t="n">
        <v>45415</v>
      </c>
      <c r="C375" s="1" t="n">
        <v>46174</v>
      </c>
      <c r="D375" t="inlineStr">
        <is>
          <t>VÄSTMANLANDS LÄN</t>
        </is>
      </c>
      <c r="E375" t="inlineStr">
        <is>
          <t>SALA</t>
        </is>
      </c>
      <c r="G375" t="n">
        <v>3.1</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46174</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37263-2025</t>
        </is>
      </c>
      <c r="B377" s="1" t="n">
        <v>45876.4584837963</v>
      </c>
      <c r="C377" s="1" t="n">
        <v>46174</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43127-2025</t>
        </is>
      </c>
      <c r="B378" s="1" t="n">
        <v>45909</v>
      </c>
      <c r="C378" s="1" t="n">
        <v>46174</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6116-2023</t>
        </is>
      </c>
      <c r="B379" s="1" t="n">
        <v>44964</v>
      </c>
      <c r="C379" s="1" t="n">
        <v>46174</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28696-2023</t>
        </is>
      </c>
      <c r="B380" s="1" t="n">
        <v>45103.71759259259</v>
      </c>
      <c r="C380" s="1" t="n">
        <v>46174</v>
      </c>
      <c r="D380" t="inlineStr">
        <is>
          <t>VÄSTMANLANDS LÄN</t>
        </is>
      </c>
      <c r="E380" t="inlineStr">
        <is>
          <t>SALA</t>
        </is>
      </c>
      <c r="F380" t="inlineStr">
        <is>
          <t>Kommuner</t>
        </is>
      </c>
      <c r="G380" t="n">
        <v>5.9</v>
      </c>
      <c r="H380" t="n">
        <v>0</v>
      </c>
      <c r="I380" t="n">
        <v>0</v>
      </c>
      <c r="J380" t="n">
        <v>0</v>
      </c>
      <c r="K380" t="n">
        <v>0</v>
      </c>
      <c r="L380" t="n">
        <v>0</v>
      </c>
      <c r="M380" t="n">
        <v>0</v>
      </c>
      <c r="N380" t="n">
        <v>0</v>
      </c>
      <c r="O380" t="n">
        <v>0</v>
      </c>
      <c r="P380" t="n">
        <v>0</v>
      </c>
      <c r="Q380" t="n">
        <v>0</v>
      </c>
      <c r="R380" s="2" t="inlineStr"/>
    </row>
    <row r="381" ht="15" customHeight="1">
      <c r="A381" t="inlineStr">
        <is>
          <t>A 25860-2024</t>
        </is>
      </c>
      <c r="B381" s="1" t="n">
        <v>45467.46278935186</v>
      </c>
      <c r="C381" s="1" t="n">
        <v>46174</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43128-2025</t>
        </is>
      </c>
      <c r="B382" s="1" t="n">
        <v>45909</v>
      </c>
      <c r="C382" s="1" t="n">
        <v>46174</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40554-2025</t>
        </is>
      </c>
      <c r="B383" s="1" t="n">
        <v>45896.44506944445</v>
      </c>
      <c r="C383" s="1" t="n">
        <v>46174</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43129-2025</t>
        </is>
      </c>
      <c r="B384" s="1" t="n">
        <v>45909</v>
      </c>
      <c r="C384" s="1" t="n">
        <v>46174</v>
      </c>
      <c r="D384" t="inlineStr">
        <is>
          <t>VÄSTMANLANDS LÄN</t>
        </is>
      </c>
      <c r="E384" t="inlineStr">
        <is>
          <t>SALA</t>
        </is>
      </c>
      <c r="G384" t="n">
        <v>2.4</v>
      </c>
      <c r="H384" t="n">
        <v>0</v>
      </c>
      <c r="I384" t="n">
        <v>0</v>
      </c>
      <c r="J384" t="n">
        <v>0</v>
      </c>
      <c r="K384" t="n">
        <v>0</v>
      </c>
      <c r="L384" t="n">
        <v>0</v>
      </c>
      <c r="M384" t="n">
        <v>0</v>
      </c>
      <c r="N384" t="n">
        <v>0</v>
      </c>
      <c r="O384" t="n">
        <v>0</v>
      </c>
      <c r="P384" t="n">
        <v>0</v>
      </c>
      <c r="Q384" t="n">
        <v>0</v>
      </c>
      <c r="R384" s="2" t="inlineStr"/>
    </row>
    <row r="385" ht="15" customHeight="1">
      <c r="A385" t="inlineStr">
        <is>
          <t>A 43130-2025</t>
        </is>
      </c>
      <c r="B385" s="1" t="n">
        <v>45909</v>
      </c>
      <c r="C385" s="1" t="n">
        <v>46174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6691-2025</t>
        </is>
      </c>
      <c r="B386" s="1" t="n">
        <v>45700.50625</v>
      </c>
      <c r="C386" s="1" t="n">
        <v>46174</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1934-2023</t>
        </is>
      </c>
      <c r="B387" s="1" t="n">
        <v>44939.43024305555</v>
      </c>
      <c r="C387" s="1" t="n">
        <v>46174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56916-2022</t>
        </is>
      </c>
      <c r="B388" s="1" t="n">
        <v>44888</v>
      </c>
      <c r="C388" s="1" t="n">
        <v>46174</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35519-2024</t>
        </is>
      </c>
      <c r="B389" s="1" t="n">
        <v>45531</v>
      </c>
      <c r="C389" s="1" t="n">
        <v>46174</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43028-2025</t>
        </is>
      </c>
      <c r="B390" s="1" t="n">
        <v>45909.53472222222</v>
      </c>
      <c r="C390" s="1" t="n">
        <v>46174</v>
      </c>
      <c r="D390" t="inlineStr">
        <is>
          <t>VÄSTMANLANDS LÄN</t>
        </is>
      </c>
      <c r="E390" t="inlineStr">
        <is>
          <t>SALA</t>
        </is>
      </c>
      <c r="G390" t="n">
        <v>3.8</v>
      </c>
      <c r="H390" t="n">
        <v>0</v>
      </c>
      <c r="I390" t="n">
        <v>0</v>
      </c>
      <c r="J390" t="n">
        <v>0</v>
      </c>
      <c r="K390" t="n">
        <v>0</v>
      </c>
      <c r="L390" t="n">
        <v>0</v>
      </c>
      <c r="M390" t="n">
        <v>0</v>
      </c>
      <c r="N390" t="n">
        <v>0</v>
      </c>
      <c r="O390" t="n">
        <v>0</v>
      </c>
      <c r="P390" t="n">
        <v>0</v>
      </c>
      <c r="Q390" t="n">
        <v>0</v>
      </c>
      <c r="R390" s="2" t="inlineStr"/>
    </row>
    <row r="391" ht="15" customHeight="1">
      <c r="A391" t="inlineStr">
        <is>
          <t>A 43031-2025</t>
        </is>
      </c>
      <c r="B391" s="1" t="n">
        <v>45909.53856481481</v>
      </c>
      <c r="C391" s="1" t="n">
        <v>46174</v>
      </c>
      <c r="D391" t="inlineStr">
        <is>
          <t>VÄSTMANLANDS LÄN</t>
        </is>
      </c>
      <c r="E391" t="inlineStr">
        <is>
          <t>SALA</t>
        </is>
      </c>
      <c r="G391" t="n">
        <v>0.2</v>
      </c>
      <c r="H391" t="n">
        <v>0</v>
      </c>
      <c r="I391" t="n">
        <v>0</v>
      </c>
      <c r="J391" t="n">
        <v>0</v>
      </c>
      <c r="K391" t="n">
        <v>0</v>
      </c>
      <c r="L391" t="n">
        <v>0</v>
      </c>
      <c r="M391" t="n">
        <v>0</v>
      </c>
      <c r="N391" t="n">
        <v>0</v>
      </c>
      <c r="O391" t="n">
        <v>0</v>
      </c>
      <c r="P391" t="n">
        <v>0</v>
      </c>
      <c r="Q391" t="n">
        <v>0</v>
      </c>
      <c r="R391" s="2" t="inlineStr"/>
    </row>
    <row r="392" ht="15" customHeight="1">
      <c r="A392" t="inlineStr">
        <is>
          <t>A 43328-2025</t>
        </is>
      </c>
      <c r="B392" s="1" t="n">
        <v>45910</v>
      </c>
      <c r="C392" s="1" t="n">
        <v>46174</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50241-2023</t>
        </is>
      </c>
      <c r="B393" s="1" t="n">
        <v>45216</v>
      </c>
      <c r="C393" s="1" t="n">
        <v>46174</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30971-2022</t>
        </is>
      </c>
      <c r="B394" s="1" t="n">
        <v>44768.46725694444</v>
      </c>
      <c r="C394" s="1" t="n">
        <v>46174</v>
      </c>
      <c r="D394" t="inlineStr">
        <is>
          <t>VÄSTMANLANDS LÄN</t>
        </is>
      </c>
      <c r="E394" t="inlineStr">
        <is>
          <t>SALA</t>
        </is>
      </c>
      <c r="G394" t="n">
        <v>2.4</v>
      </c>
      <c r="H394" t="n">
        <v>0</v>
      </c>
      <c r="I394" t="n">
        <v>0</v>
      </c>
      <c r="J394" t="n">
        <v>0</v>
      </c>
      <c r="K394" t="n">
        <v>0</v>
      </c>
      <c r="L394" t="n">
        <v>0</v>
      </c>
      <c r="M394" t="n">
        <v>0</v>
      </c>
      <c r="N394" t="n">
        <v>0</v>
      </c>
      <c r="O394" t="n">
        <v>0</v>
      </c>
      <c r="P394" t="n">
        <v>0</v>
      </c>
      <c r="Q394" t="n">
        <v>0</v>
      </c>
      <c r="R394" s="2" t="inlineStr"/>
    </row>
    <row r="395" ht="15" customHeight="1">
      <c r="A395" t="inlineStr">
        <is>
          <t>A 35637-2022</t>
        </is>
      </c>
      <c r="B395" s="1" t="n">
        <v>44799.55194444444</v>
      </c>
      <c r="C395" s="1" t="n">
        <v>46174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19304-2025</t>
        </is>
      </c>
      <c r="B396" s="1" t="n">
        <v>45769</v>
      </c>
      <c r="C396" s="1" t="n">
        <v>46174</v>
      </c>
      <c r="D396" t="inlineStr">
        <is>
          <t>VÄSTMANLANDS LÄN</t>
        </is>
      </c>
      <c r="E396" t="inlineStr">
        <is>
          <t>SALA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44540.53421296296</v>
      </c>
      <c r="C397" s="1" t="n">
        <v>46174</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27038-2023</t>
        </is>
      </c>
      <c r="B398" s="1" t="n">
        <v>45095</v>
      </c>
      <c r="C398" s="1" t="n">
        <v>46174</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23182-2022</t>
        </is>
      </c>
      <c r="B399" s="1" t="n">
        <v>44719.79707175926</v>
      </c>
      <c r="C399" s="1" t="n">
        <v>46174</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13987-2023</t>
        </is>
      </c>
      <c r="B400" s="1" t="n">
        <v>45007</v>
      </c>
      <c r="C400" s="1" t="n">
        <v>46174</v>
      </c>
      <c r="D400" t="inlineStr">
        <is>
          <t>VÄSTMANLANDS LÄN</t>
        </is>
      </c>
      <c r="E400" t="inlineStr">
        <is>
          <t>SALA</t>
        </is>
      </c>
      <c r="G400" t="n">
        <v>3.2</v>
      </c>
      <c r="H400" t="n">
        <v>0</v>
      </c>
      <c r="I400" t="n">
        <v>0</v>
      </c>
      <c r="J400" t="n">
        <v>0</v>
      </c>
      <c r="K400" t="n">
        <v>0</v>
      </c>
      <c r="L400" t="n">
        <v>0</v>
      </c>
      <c r="M400" t="n">
        <v>0</v>
      </c>
      <c r="N400" t="n">
        <v>0</v>
      </c>
      <c r="O400" t="n">
        <v>0</v>
      </c>
      <c r="P400" t="n">
        <v>0</v>
      </c>
      <c r="Q400" t="n">
        <v>0</v>
      </c>
      <c r="R400" s="2" t="inlineStr"/>
    </row>
    <row r="401" ht="15" customHeight="1">
      <c r="A401" t="inlineStr">
        <is>
          <t>A 13990-2023</t>
        </is>
      </c>
      <c r="B401" s="1" t="n">
        <v>45007</v>
      </c>
      <c r="C401" s="1" t="n">
        <v>46174</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44100-2025</t>
        </is>
      </c>
      <c r="B402" s="1" t="n">
        <v>45915.56707175926</v>
      </c>
      <c r="C402" s="1" t="n">
        <v>46174</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31859-2023</t>
        </is>
      </c>
      <c r="B403" s="1" t="n">
        <v>45118</v>
      </c>
      <c r="C403" s="1" t="n">
        <v>46174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c r="U403">
        <f>HYPERLINK("https://klasma.github.io/Logging_1981/knärot/A 31859-2023 karta knärot.png", "A 31859-2023")</f>
        <v/>
      </c>
      <c r="V403">
        <f>HYPERLINK("https://klasma.github.io/Logging_1981/klagomål/A 31859-2023 FSC-klagomål.docx", "A 31859-2023")</f>
        <v/>
      </c>
      <c r="W403">
        <f>HYPERLINK("https://klasma.github.io/Logging_1981/klagomålsmail/A 31859-2023 FSC-klagomål mail.docx", "A 31859-2023")</f>
        <v/>
      </c>
      <c r="X403">
        <f>HYPERLINK("https://klasma.github.io/Logging_1981/tillsyn/A 31859-2023 tillsynsbegäran.docx", "A 31859-2023")</f>
        <v/>
      </c>
      <c r="Y403">
        <f>HYPERLINK("https://klasma.github.io/Logging_1981/tillsynsmail/A 31859-2023 tillsynsbegäran mail.docx", "A 31859-2023")</f>
        <v/>
      </c>
    </row>
    <row r="404" ht="15" customHeight="1">
      <c r="A404" t="inlineStr">
        <is>
          <t>A 23431-2024</t>
        </is>
      </c>
      <c r="B404" s="1" t="n">
        <v>45453</v>
      </c>
      <c r="C404" s="1" t="n">
        <v>46174</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7469-2025</t>
        </is>
      </c>
      <c r="B405" s="1" t="n">
        <v>45705</v>
      </c>
      <c r="C405" s="1" t="n">
        <v>46174</v>
      </c>
      <c r="D405" t="inlineStr">
        <is>
          <t>VÄSTMANLANDS LÄN</t>
        </is>
      </c>
      <c r="E405" t="inlineStr">
        <is>
          <t>SALA</t>
        </is>
      </c>
      <c r="G405" t="n">
        <v>2.1</v>
      </c>
      <c r="H405" t="n">
        <v>0</v>
      </c>
      <c r="I405" t="n">
        <v>0</v>
      </c>
      <c r="J405" t="n">
        <v>0</v>
      </c>
      <c r="K405" t="n">
        <v>0</v>
      </c>
      <c r="L405" t="n">
        <v>0</v>
      </c>
      <c r="M405" t="n">
        <v>0</v>
      </c>
      <c r="N405" t="n">
        <v>0</v>
      </c>
      <c r="O405" t="n">
        <v>0</v>
      </c>
      <c r="P405" t="n">
        <v>0</v>
      </c>
      <c r="Q405" t="n">
        <v>0</v>
      </c>
      <c r="R405" s="2" t="inlineStr"/>
    </row>
    <row r="406" ht="15" customHeight="1">
      <c r="A406" t="inlineStr">
        <is>
          <t>A 1993-2022</t>
        </is>
      </c>
      <c r="B406" s="1" t="n">
        <v>44575</v>
      </c>
      <c r="C406" s="1" t="n">
        <v>46174</v>
      </c>
      <c r="D406" t="inlineStr">
        <is>
          <t>VÄSTMANLANDS LÄN</t>
        </is>
      </c>
      <c r="E406" t="inlineStr">
        <is>
          <t>SALA</t>
        </is>
      </c>
      <c r="G406" t="n">
        <v>1.6</v>
      </c>
      <c r="H406" t="n">
        <v>0</v>
      </c>
      <c r="I406" t="n">
        <v>0</v>
      </c>
      <c r="J406" t="n">
        <v>0</v>
      </c>
      <c r="K406" t="n">
        <v>0</v>
      </c>
      <c r="L406" t="n">
        <v>0</v>
      </c>
      <c r="M406" t="n">
        <v>0</v>
      </c>
      <c r="N406" t="n">
        <v>0</v>
      </c>
      <c r="O406" t="n">
        <v>0</v>
      </c>
      <c r="P406" t="n">
        <v>0</v>
      </c>
      <c r="Q406" t="n">
        <v>0</v>
      </c>
      <c r="R406" s="2" t="inlineStr"/>
    </row>
    <row r="407" ht="15" customHeight="1">
      <c r="A407" t="inlineStr">
        <is>
          <t>A 17051-2025</t>
        </is>
      </c>
      <c r="B407" s="1" t="n">
        <v>45755</v>
      </c>
      <c r="C407" s="1" t="n">
        <v>46174</v>
      </c>
      <c r="D407" t="inlineStr">
        <is>
          <t>VÄSTMANLANDS LÄN</t>
        </is>
      </c>
      <c r="E407" t="inlineStr">
        <is>
          <t>SALA</t>
        </is>
      </c>
      <c r="G407" t="n">
        <v>2.9</v>
      </c>
      <c r="H407" t="n">
        <v>0</v>
      </c>
      <c r="I407" t="n">
        <v>0</v>
      </c>
      <c r="J407" t="n">
        <v>0</v>
      </c>
      <c r="K407" t="n">
        <v>0</v>
      </c>
      <c r="L407" t="n">
        <v>0</v>
      </c>
      <c r="M407" t="n">
        <v>0</v>
      </c>
      <c r="N407" t="n">
        <v>0</v>
      </c>
      <c r="O407" t="n">
        <v>0</v>
      </c>
      <c r="P407" t="n">
        <v>0</v>
      </c>
      <c r="Q407" t="n">
        <v>0</v>
      </c>
      <c r="R407" s="2" t="inlineStr"/>
    </row>
    <row r="408" ht="15" customHeight="1">
      <c r="A408" t="inlineStr">
        <is>
          <t>A 43509-2021</t>
        </is>
      </c>
      <c r="B408" s="1" t="n">
        <v>44433</v>
      </c>
      <c r="C408" s="1" t="n">
        <v>46174</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54959-2024</t>
        </is>
      </c>
      <c r="B409" s="1" t="n">
        <v>45619</v>
      </c>
      <c r="C409" s="1" t="n">
        <v>46174</v>
      </c>
      <c r="D409" t="inlineStr">
        <is>
          <t>VÄSTMANLANDS LÄN</t>
        </is>
      </c>
      <c r="E409" t="inlineStr">
        <is>
          <t>SALA</t>
        </is>
      </c>
      <c r="G409" t="n">
        <v>1.3</v>
      </c>
      <c r="H409" t="n">
        <v>0</v>
      </c>
      <c r="I409" t="n">
        <v>0</v>
      </c>
      <c r="J409" t="n">
        <v>0</v>
      </c>
      <c r="K409" t="n">
        <v>0</v>
      </c>
      <c r="L409" t="n">
        <v>0</v>
      </c>
      <c r="M409" t="n">
        <v>0</v>
      </c>
      <c r="N409" t="n">
        <v>0</v>
      </c>
      <c r="O409" t="n">
        <v>0</v>
      </c>
      <c r="P409" t="n">
        <v>0</v>
      </c>
      <c r="Q409" t="n">
        <v>0</v>
      </c>
      <c r="R409" s="2" t="inlineStr"/>
    </row>
    <row r="410" ht="15" customHeight="1">
      <c r="A410" t="inlineStr">
        <is>
          <t>A 60034-2024</t>
        </is>
      </c>
      <c r="B410" s="1" t="n">
        <v>45642.46261574074</v>
      </c>
      <c r="C410" s="1" t="n">
        <v>46174</v>
      </c>
      <c r="D410" t="inlineStr">
        <is>
          <t>VÄSTMANLANDS LÄN</t>
        </is>
      </c>
      <c r="E410" t="inlineStr">
        <is>
          <t>SALA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56964-2023</t>
        </is>
      </c>
      <c r="B411" s="1" t="n">
        <v>45244.63140046296</v>
      </c>
      <c r="C411" s="1" t="n">
        <v>46174</v>
      </c>
      <c r="D411" t="inlineStr">
        <is>
          <t>VÄSTMANLANDS LÄN</t>
        </is>
      </c>
      <c r="E411" t="inlineStr">
        <is>
          <t>SALA</t>
        </is>
      </c>
      <c r="G411" t="n">
        <v>4.6</v>
      </c>
      <c r="H411" t="n">
        <v>0</v>
      </c>
      <c r="I411" t="n">
        <v>0</v>
      </c>
      <c r="J411" t="n">
        <v>0</v>
      </c>
      <c r="K411" t="n">
        <v>0</v>
      </c>
      <c r="L411" t="n">
        <v>0</v>
      </c>
      <c r="M411" t="n">
        <v>0</v>
      </c>
      <c r="N411" t="n">
        <v>0</v>
      </c>
      <c r="O411" t="n">
        <v>0</v>
      </c>
      <c r="P411" t="n">
        <v>0</v>
      </c>
      <c r="Q411" t="n">
        <v>0</v>
      </c>
      <c r="R411" s="2" t="inlineStr"/>
    </row>
    <row r="412" ht="15" customHeight="1">
      <c r="A412" t="inlineStr">
        <is>
          <t>A 37337-2024</t>
        </is>
      </c>
      <c r="B412" s="1" t="n">
        <v>45540</v>
      </c>
      <c r="C412" s="1" t="n">
        <v>46174</v>
      </c>
      <c r="D412" t="inlineStr">
        <is>
          <t>VÄSTMANLANDS LÄN</t>
        </is>
      </c>
      <c r="E412" t="inlineStr">
        <is>
          <t>SALA</t>
        </is>
      </c>
      <c r="G412" t="n">
        <v>6.5</v>
      </c>
      <c r="H412" t="n">
        <v>0</v>
      </c>
      <c r="I412" t="n">
        <v>0</v>
      </c>
      <c r="J412" t="n">
        <v>0</v>
      </c>
      <c r="K412" t="n">
        <v>0</v>
      </c>
      <c r="L412" t="n">
        <v>0</v>
      </c>
      <c r="M412" t="n">
        <v>0</v>
      </c>
      <c r="N412" t="n">
        <v>0</v>
      </c>
      <c r="O412" t="n">
        <v>0</v>
      </c>
      <c r="P412" t="n">
        <v>0</v>
      </c>
      <c r="Q412" t="n">
        <v>0</v>
      </c>
      <c r="R412" s="2" t="inlineStr"/>
    </row>
    <row r="413" ht="15" customHeight="1">
      <c r="A413" t="inlineStr">
        <is>
          <t>A 17120-2023</t>
        </is>
      </c>
      <c r="B413" s="1" t="n">
        <v>45034</v>
      </c>
      <c r="C413" s="1" t="n">
        <v>46174</v>
      </c>
      <c r="D413" t="inlineStr">
        <is>
          <t>VÄSTMANLANDS LÄN</t>
        </is>
      </c>
      <c r="E413" t="inlineStr">
        <is>
          <t>SALA</t>
        </is>
      </c>
      <c r="G413" t="n">
        <v>0.1</v>
      </c>
      <c r="H413" t="n">
        <v>0</v>
      </c>
      <c r="I413" t="n">
        <v>0</v>
      </c>
      <c r="J413" t="n">
        <v>0</v>
      </c>
      <c r="K413" t="n">
        <v>0</v>
      </c>
      <c r="L413" t="n">
        <v>0</v>
      </c>
      <c r="M413" t="n">
        <v>0</v>
      </c>
      <c r="N413" t="n">
        <v>0</v>
      </c>
      <c r="O413" t="n">
        <v>0</v>
      </c>
      <c r="P413" t="n">
        <v>0</v>
      </c>
      <c r="Q413" t="n">
        <v>0</v>
      </c>
      <c r="R413" s="2" t="inlineStr"/>
    </row>
    <row r="414" ht="15" customHeight="1">
      <c r="A414" t="inlineStr">
        <is>
          <t>A 34494-2023</t>
        </is>
      </c>
      <c r="B414" s="1" t="n">
        <v>45133</v>
      </c>
      <c r="C414" s="1" t="n">
        <v>46174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44524-2025</t>
        </is>
      </c>
      <c r="B415" s="1" t="n">
        <v>45916.72920138889</v>
      </c>
      <c r="C415" s="1" t="n">
        <v>46174</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44486-2025</t>
        </is>
      </c>
      <c r="B416" s="1" t="n">
        <v>45916.65517361111</v>
      </c>
      <c r="C416" s="1" t="n">
        <v>46174</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34867-2023</t>
        </is>
      </c>
      <c r="B417" s="1" t="n">
        <v>45142.33481481481</v>
      </c>
      <c r="C417" s="1" t="n">
        <v>46174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45177-2025</t>
        </is>
      </c>
      <c r="B418" s="1" t="n">
        <v>45919.52444444445</v>
      </c>
      <c r="C418" s="1" t="n">
        <v>46174</v>
      </c>
      <c r="D418" t="inlineStr">
        <is>
          <t>VÄSTMANLANDS LÄN</t>
        </is>
      </c>
      <c r="E418" t="inlineStr">
        <is>
          <t>SALA</t>
        </is>
      </c>
      <c r="G418" t="n">
        <v>2.4</v>
      </c>
      <c r="H418" t="n">
        <v>0</v>
      </c>
      <c r="I418" t="n">
        <v>0</v>
      </c>
      <c r="J418" t="n">
        <v>0</v>
      </c>
      <c r="K418" t="n">
        <v>0</v>
      </c>
      <c r="L418" t="n">
        <v>0</v>
      </c>
      <c r="M418" t="n">
        <v>0</v>
      </c>
      <c r="N418" t="n">
        <v>0</v>
      </c>
      <c r="O418" t="n">
        <v>0</v>
      </c>
      <c r="P418" t="n">
        <v>0</v>
      </c>
      <c r="Q418" t="n">
        <v>0</v>
      </c>
      <c r="R418" s="2" t="inlineStr"/>
    </row>
    <row r="419" ht="15" customHeight="1">
      <c r="A419" t="inlineStr">
        <is>
          <t>A 11631-2023</t>
        </is>
      </c>
      <c r="B419" s="1" t="n">
        <v>44994.44001157407</v>
      </c>
      <c r="C419" s="1" t="n">
        <v>46174</v>
      </c>
      <c r="D419" t="inlineStr">
        <is>
          <t>VÄSTMANLANDS LÄN</t>
        </is>
      </c>
      <c r="E419" t="inlineStr">
        <is>
          <t>SALA</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10579-2022</t>
        </is>
      </c>
      <c r="B420" s="1" t="n">
        <v>44624</v>
      </c>
      <c r="C420" s="1" t="n">
        <v>46174</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9335-2022</t>
        </is>
      </c>
      <c r="B421" s="1" t="n">
        <v>44616.56579861111</v>
      </c>
      <c r="C421" s="1" t="n">
        <v>46174</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45313-2024</t>
        </is>
      </c>
      <c r="B422" s="1" t="n">
        <v>45576</v>
      </c>
      <c r="C422" s="1" t="n">
        <v>46174</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43122-2025</t>
        </is>
      </c>
      <c r="B423" s="1" t="n">
        <v>45909</v>
      </c>
      <c r="C423" s="1" t="n">
        <v>46174</v>
      </c>
      <c r="D423" t="inlineStr">
        <is>
          <t>VÄSTMANLANDS LÄN</t>
        </is>
      </c>
      <c r="E423" t="inlineStr">
        <is>
          <t>SALA</t>
        </is>
      </c>
      <c r="G423" t="n">
        <v>3.2</v>
      </c>
      <c r="H423" t="n">
        <v>0</v>
      </c>
      <c r="I423" t="n">
        <v>0</v>
      </c>
      <c r="J423" t="n">
        <v>0</v>
      </c>
      <c r="K423" t="n">
        <v>0</v>
      </c>
      <c r="L423" t="n">
        <v>0</v>
      </c>
      <c r="M423" t="n">
        <v>0</v>
      </c>
      <c r="N423" t="n">
        <v>0</v>
      </c>
      <c r="O423" t="n">
        <v>0</v>
      </c>
      <c r="P423" t="n">
        <v>0</v>
      </c>
      <c r="Q423" t="n">
        <v>0</v>
      </c>
      <c r="R423" s="2" t="inlineStr"/>
    </row>
    <row r="424" ht="15" customHeight="1">
      <c r="A424" t="inlineStr">
        <is>
          <t>A 23119-2022</t>
        </is>
      </c>
      <c r="B424" s="1" t="n">
        <v>44719.56697916667</v>
      </c>
      <c r="C424" s="1" t="n">
        <v>46174</v>
      </c>
      <c r="D424" t="inlineStr">
        <is>
          <t>VÄSTMANLANDS LÄN</t>
        </is>
      </c>
      <c r="E424" t="inlineStr">
        <is>
          <t>SALA</t>
        </is>
      </c>
      <c r="G424" t="n">
        <v>7</v>
      </c>
      <c r="H424" t="n">
        <v>0</v>
      </c>
      <c r="I424" t="n">
        <v>0</v>
      </c>
      <c r="J424" t="n">
        <v>0</v>
      </c>
      <c r="K424" t="n">
        <v>0</v>
      </c>
      <c r="L424" t="n">
        <v>0</v>
      </c>
      <c r="M424" t="n">
        <v>0</v>
      </c>
      <c r="N424" t="n">
        <v>0</v>
      </c>
      <c r="O424" t="n">
        <v>0</v>
      </c>
      <c r="P424" t="n">
        <v>0</v>
      </c>
      <c r="Q424" t="n">
        <v>0</v>
      </c>
      <c r="R424" s="2" t="inlineStr"/>
    </row>
    <row r="425" ht="15" customHeight="1">
      <c r="A425" t="inlineStr">
        <is>
          <t>A 8775-2024</t>
        </is>
      </c>
      <c r="B425" s="1" t="n">
        <v>45356</v>
      </c>
      <c r="C425" s="1" t="n">
        <v>46174</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48710-2024</t>
        </is>
      </c>
      <c r="B426" s="1" t="n">
        <v>45593.53636574074</v>
      </c>
      <c r="C426" s="1" t="n">
        <v>46174</v>
      </c>
      <c r="D426" t="inlineStr">
        <is>
          <t>VÄSTMANLANDS LÄN</t>
        </is>
      </c>
      <c r="E426" t="inlineStr">
        <is>
          <t>SALA</t>
        </is>
      </c>
      <c r="G426" t="n">
        <v>6.5</v>
      </c>
      <c r="H426" t="n">
        <v>0</v>
      </c>
      <c r="I426" t="n">
        <v>0</v>
      </c>
      <c r="J426" t="n">
        <v>0</v>
      </c>
      <c r="K426" t="n">
        <v>0</v>
      </c>
      <c r="L426" t="n">
        <v>0</v>
      </c>
      <c r="M426" t="n">
        <v>0</v>
      </c>
      <c r="N426" t="n">
        <v>0</v>
      </c>
      <c r="O426" t="n">
        <v>0</v>
      </c>
      <c r="P426" t="n">
        <v>0</v>
      </c>
      <c r="Q426" t="n">
        <v>0</v>
      </c>
      <c r="R426" s="2" t="inlineStr"/>
    </row>
    <row r="427" ht="15" customHeight="1">
      <c r="A427" t="inlineStr">
        <is>
          <t>A 1196-2023</t>
        </is>
      </c>
      <c r="B427" s="1" t="n">
        <v>44935.82290509259</v>
      </c>
      <c r="C427" s="1" t="n">
        <v>46174</v>
      </c>
      <c r="D427" t="inlineStr">
        <is>
          <t>VÄSTMANLANDS LÄN</t>
        </is>
      </c>
      <c r="E427" t="inlineStr">
        <is>
          <t>SALA</t>
        </is>
      </c>
      <c r="G427" t="n">
        <v>4.1</v>
      </c>
      <c r="H427" t="n">
        <v>0</v>
      </c>
      <c r="I427" t="n">
        <v>0</v>
      </c>
      <c r="J427" t="n">
        <v>0</v>
      </c>
      <c r="K427" t="n">
        <v>0</v>
      </c>
      <c r="L427" t="n">
        <v>0</v>
      </c>
      <c r="M427" t="n">
        <v>0</v>
      </c>
      <c r="N427" t="n">
        <v>0</v>
      </c>
      <c r="O427" t="n">
        <v>0</v>
      </c>
      <c r="P427" t="n">
        <v>0</v>
      </c>
      <c r="Q427" t="n">
        <v>0</v>
      </c>
      <c r="R427" s="2" t="inlineStr"/>
    </row>
    <row r="428" ht="15" customHeight="1">
      <c r="A428" t="inlineStr">
        <is>
          <t>A 16404-2022</t>
        </is>
      </c>
      <c r="B428" s="1" t="n">
        <v>44671</v>
      </c>
      <c r="C428" s="1" t="n">
        <v>46174</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21168-2025</t>
        </is>
      </c>
      <c r="B429" s="1" t="n">
        <v>45777</v>
      </c>
      <c r="C429" s="1" t="n">
        <v>46174</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45371-2025</t>
        </is>
      </c>
      <c r="B430" s="1" t="n">
        <v>45922.39001157408</v>
      </c>
      <c r="C430" s="1" t="n">
        <v>46174</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24248-2023</t>
        </is>
      </c>
      <c r="B431" s="1" t="n">
        <v>45079</v>
      </c>
      <c r="C431" s="1" t="n">
        <v>46174</v>
      </c>
      <c r="D431" t="inlineStr">
        <is>
          <t>VÄSTMANLANDS LÄN</t>
        </is>
      </c>
      <c r="E431" t="inlineStr">
        <is>
          <t>SALA</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52503-2024</t>
        </is>
      </c>
      <c r="B432" s="1" t="n">
        <v>45609.58806712963</v>
      </c>
      <c r="C432" s="1" t="n">
        <v>46174</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45914-2025</t>
        </is>
      </c>
      <c r="B433" s="1" t="n">
        <v>45923.82582175926</v>
      </c>
      <c r="C433" s="1" t="n">
        <v>46174</v>
      </c>
      <c r="D433" t="inlineStr">
        <is>
          <t>VÄSTMANLANDS LÄN</t>
        </is>
      </c>
      <c r="E433" t="inlineStr">
        <is>
          <t>SALA</t>
        </is>
      </c>
      <c r="F433" t="inlineStr">
        <is>
          <t>Kommuner</t>
        </is>
      </c>
      <c r="G433" t="n">
        <v>18.2</v>
      </c>
      <c r="H433" t="n">
        <v>0</v>
      </c>
      <c r="I433" t="n">
        <v>0</v>
      </c>
      <c r="J433" t="n">
        <v>0</v>
      </c>
      <c r="K433" t="n">
        <v>0</v>
      </c>
      <c r="L433" t="n">
        <v>0</v>
      </c>
      <c r="M433" t="n">
        <v>0</v>
      </c>
      <c r="N433" t="n">
        <v>0</v>
      </c>
      <c r="O433" t="n">
        <v>0</v>
      </c>
      <c r="P433" t="n">
        <v>0</v>
      </c>
      <c r="Q433" t="n">
        <v>0</v>
      </c>
      <c r="R433" s="2" t="inlineStr"/>
      <c r="U433">
        <f>HYPERLINK("https://klasma.github.io/Logging_1981/knärot/A 45914-2025 karta knärot.png", "A 45914-2025")</f>
        <v/>
      </c>
      <c r="V433">
        <f>HYPERLINK("https://klasma.github.io/Logging_1981/klagomål/A 45914-2025 FSC-klagomål.docx", "A 45914-2025")</f>
        <v/>
      </c>
      <c r="W433">
        <f>HYPERLINK("https://klasma.github.io/Logging_1981/klagomålsmail/A 45914-2025 FSC-klagomål mail.docx", "A 45914-2025")</f>
        <v/>
      </c>
      <c r="X433">
        <f>HYPERLINK("https://klasma.github.io/Logging_1981/tillsyn/A 45914-2025 tillsynsbegäran.docx", "A 45914-2025")</f>
        <v/>
      </c>
      <c r="Y433">
        <f>HYPERLINK("https://klasma.github.io/Logging_1981/tillsynsmail/A 45914-2025 tillsynsbegäran mail.docx", "A 45914-2025")</f>
        <v/>
      </c>
    </row>
    <row r="434" ht="15" customHeight="1">
      <c r="A434" t="inlineStr">
        <is>
          <t>A 10559-2024</t>
        </is>
      </c>
      <c r="B434" s="1" t="n">
        <v>45366</v>
      </c>
      <c r="C434" s="1" t="n">
        <v>46174</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40214-2023</t>
        </is>
      </c>
      <c r="B435" s="1" t="n">
        <v>45169.45173611111</v>
      </c>
      <c r="C435" s="1" t="n">
        <v>46174</v>
      </c>
      <c r="D435" t="inlineStr">
        <is>
          <t>VÄSTMANLANDS LÄN</t>
        </is>
      </c>
      <c r="E435" t="inlineStr">
        <is>
          <t>SALA</t>
        </is>
      </c>
      <c r="G435" t="n">
        <v>5.5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46174</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45909-2025</t>
        </is>
      </c>
      <c r="B437" s="1" t="n">
        <v>45923.75078703704</v>
      </c>
      <c r="C437" s="1" t="n">
        <v>46174</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18100-2023</t>
        </is>
      </c>
      <c r="B438" s="1" t="n">
        <v>45040</v>
      </c>
      <c r="C438" s="1" t="n">
        <v>46174</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7953-2024</t>
        </is>
      </c>
      <c r="B439" s="1" t="n">
        <v>45350</v>
      </c>
      <c r="C439" s="1" t="n">
        <v>46174</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30028-2024</t>
        </is>
      </c>
      <c r="B440" s="1" t="n">
        <v>45485</v>
      </c>
      <c r="C440" s="1" t="n">
        <v>46174</v>
      </c>
      <c r="D440" t="inlineStr">
        <is>
          <t>VÄSTMANLANDS LÄN</t>
        </is>
      </c>
      <c r="E440" t="inlineStr">
        <is>
          <t>SALA</t>
        </is>
      </c>
      <c r="G440" t="n">
        <v>2.6</v>
      </c>
      <c r="H440" t="n">
        <v>0</v>
      </c>
      <c r="I440" t="n">
        <v>0</v>
      </c>
      <c r="J440" t="n">
        <v>0</v>
      </c>
      <c r="K440" t="n">
        <v>0</v>
      </c>
      <c r="L440" t="n">
        <v>0</v>
      </c>
      <c r="M440" t="n">
        <v>0</v>
      </c>
      <c r="N440" t="n">
        <v>0</v>
      </c>
      <c r="O440" t="n">
        <v>0</v>
      </c>
      <c r="P440" t="n">
        <v>0</v>
      </c>
      <c r="Q440" t="n">
        <v>0</v>
      </c>
      <c r="R440" s="2" t="inlineStr"/>
    </row>
    <row r="441" ht="15" customHeight="1">
      <c r="A441" t="inlineStr">
        <is>
          <t>A 7950-2025</t>
        </is>
      </c>
      <c r="B441" s="1" t="n">
        <v>45707.41799768519</v>
      </c>
      <c r="C441" s="1" t="n">
        <v>46174</v>
      </c>
      <c r="D441" t="inlineStr">
        <is>
          <t>VÄSTMANLANDS LÄN</t>
        </is>
      </c>
      <c r="E441" t="inlineStr">
        <is>
          <t>SALA</t>
        </is>
      </c>
      <c r="G441" t="n">
        <v>3.2</v>
      </c>
      <c r="H441" t="n">
        <v>0</v>
      </c>
      <c r="I441" t="n">
        <v>0</v>
      </c>
      <c r="J441" t="n">
        <v>0</v>
      </c>
      <c r="K441" t="n">
        <v>0</v>
      </c>
      <c r="L441" t="n">
        <v>0</v>
      </c>
      <c r="M441" t="n">
        <v>0</v>
      </c>
      <c r="N441" t="n">
        <v>0</v>
      </c>
      <c r="O441" t="n">
        <v>0</v>
      </c>
      <c r="P441" t="n">
        <v>0</v>
      </c>
      <c r="Q441" t="n">
        <v>0</v>
      </c>
      <c r="R441" s="2" t="inlineStr"/>
    </row>
    <row r="442" ht="15" customHeight="1">
      <c r="A442" t="inlineStr">
        <is>
          <t>A 46915-2025</t>
        </is>
      </c>
      <c r="B442" s="1" t="n">
        <v>45929.42114583333</v>
      </c>
      <c r="C442" s="1" t="n">
        <v>46174</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27657-2023</t>
        </is>
      </c>
      <c r="B443" s="1" t="n">
        <v>45097.76631944445</v>
      </c>
      <c r="C443" s="1" t="n">
        <v>46174</v>
      </c>
      <c r="D443" t="inlineStr">
        <is>
          <t>VÄSTMANLANDS LÄN</t>
        </is>
      </c>
      <c r="E443" t="inlineStr">
        <is>
          <t>SALA</t>
        </is>
      </c>
      <c r="G443" t="n">
        <v>0.1</v>
      </c>
      <c r="H443" t="n">
        <v>0</v>
      </c>
      <c r="I443" t="n">
        <v>0</v>
      </c>
      <c r="J443" t="n">
        <v>0</v>
      </c>
      <c r="K443" t="n">
        <v>0</v>
      </c>
      <c r="L443" t="n">
        <v>0</v>
      </c>
      <c r="M443" t="n">
        <v>0</v>
      </c>
      <c r="N443" t="n">
        <v>0</v>
      </c>
      <c r="O443" t="n">
        <v>0</v>
      </c>
      <c r="P443" t="n">
        <v>0</v>
      </c>
      <c r="Q443" t="n">
        <v>0</v>
      </c>
      <c r="R443" s="2" t="inlineStr"/>
    </row>
    <row r="444" ht="15" customHeight="1">
      <c r="A444" t="inlineStr">
        <is>
          <t>A 23374-2023</t>
        </is>
      </c>
      <c r="B444" s="1" t="n">
        <v>45076.4399537037</v>
      </c>
      <c r="C444" s="1" t="n">
        <v>46174</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46597-2025</t>
        </is>
      </c>
      <c r="B445" s="1" t="n">
        <v>45926.40113425926</v>
      </c>
      <c r="C445" s="1" t="n">
        <v>46174</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13855-2023</t>
        </is>
      </c>
      <c r="B446" s="1" t="n">
        <v>45007</v>
      </c>
      <c r="C446" s="1" t="n">
        <v>46174</v>
      </c>
      <c r="D446" t="inlineStr">
        <is>
          <t>VÄSTMANLANDS LÄN</t>
        </is>
      </c>
      <c r="E446" t="inlineStr">
        <is>
          <t>SALA</t>
        </is>
      </c>
      <c r="G446" t="n">
        <v>2.9</v>
      </c>
      <c r="H446" t="n">
        <v>0</v>
      </c>
      <c r="I446" t="n">
        <v>0</v>
      </c>
      <c r="J446" t="n">
        <v>0</v>
      </c>
      <c r="K446" t="n">
        <v>0</v>
      </c>
      <c r="L446" t="n">
        <v>0</v>
      </c>
      <c r="M446" t="n">
        <v>0</v>
      </c>
      <c r="N446" t="n">
        <v>0</v>
      </c>
      <c r="O446" t="n">
        <v>0</v>
      </c>
      <c r="P446" t="n">
        <v>0</v>
      </c>
      <c r="Q446" t="n">
        <v>0</v>
      </c>
      <c r="R446" s="2" t="inlineStr"/>
    </row>
    <row r="447" ht="15" customHeight="1">
      <c r="A447" t="inlineStr">
        <is>
          <t>A 6134-2024</t>
        </is>
      </c>
      <c r="B447" s="1" t="n">
        <v>45337</v>
      </c>
      <c r="C447" s="1" t="n">
        <v>46174</v>
      </c>
      <c r="D447" t="inlineStr">
        <is>
          <t>VÄSTMANLANDS LÄN</t>
        </is>
      </c>
      <c r="E447" t="inlineStr">
        <is>
          <t>SALA</t>
        </is>
      </c>
      <c r="G447" t="n">
        <v>1.8</v>
      </c>
      <c r="H447" t="n">
        <v>0</v>
      </c>
      <c r="I447" t="n">
        <v>0</v>
      </c>
      <c r="J447" t="n">
        <v>0</v>
      </c>
      <c r="K447" t="n">
        <v>0</v>
      </c>
      <c r="L447" t="n">
        <v>0</v>
      </c>
      <c r="M447" t="n">
        <v>0</v>
      </c>
      <c r="N447" t="n">
        <v>0</v>
      </c>
      <c r="O447" t="n">
        <v>0</v>
      </c>
      <c r="P447" t="n">
        <v>0</v>
      </c>
      <c r="Q447" t="n">
        <v>0</v>
      </c>
      <c r="R447" s="2" t="inlineStr"/>
    </row>
    <row r="448" ht="15" customHeight="1">
      <c r="A448" t="inlineStr">
        <is>
          <t>A 48117-2024</t>
        </is>
      </c>
      <c r="B448" s="1" t="n">
        <v>45589</v>
      </c>
      <c r="C448" s="1" t="n">
        <v>46174</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33309-2022</t>
        </is>
      </c>
      <c r="B449" s="1" t="n">
        <v>44788.40986111111</v>
      </c>
      <c r="C449" s="1" t="n">
        <v>46174</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47909-2022</t>
        </is>
      </c>
      <c r="B450" s="1" t="n">
        <v>44855</v>
      </c>
      <c r="C450" s="1" t="n">
        <v>46174</v>
      </c>
      <c r="D450" t="inlineStr">
        <is>
          <t>VÄSTMANLANDS LÄN</t>
        </is>
      </c>
      <c r="E450" t="inlineStr">
        <is>
          <t>SALA</t>
        </is>
      </c>
      <c r="F450" t="inlineStr">
        <is>
          <t>Bergvik skog öst AB</t>
        </is>
      </c>
      <c r="G450" t="n">
        <v>2</v>
      </c>
      <c r="H450" t="n">
        <v>0</v>
      </c>
      <c r="I450" t="n">
        <v>0</v>
      </c>
      <c r="J450" t="n">
        <v>0</v>
      </c>
      <c r="K450" t="n">
        <v>0</v>
      </c>
      <c r="L450" t="n">
        <v>0</v>
      </c>
      <c r="M450" t="n">
        <v>0</v>
      </c>
      <c r="N450" t="n">
        <v>0</v>
      </c>
      <c r="O450" t="n">
        <v>0</v>
      </c>
      <c r="P450" t="n">
        <v>0</v>
      </c>
      <c r="Q450" t="n">
        <v>0</v>
      </c>
      <c r="R450" s="2" t="inlineStr"/>
    </row>
    <row r="451" ht="15" customHeight="1">
      <c r="A451" t="inlineStr">
        <is>
          <t>A 31082-2021</t>
        </is>
      </c>
      <c r="B451" s="1" t="n">
        <v>44368</v>
      </c>
      <c r="C451" s="1" t="n">
        <v>46174</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47577-2025</t>
        </is>
      </c>
      <c r="B452" s="1" t="n">
        <v>45931.4047337963</v>
      </c>
      <c r="C452" s="1" t="n">
        <v>46174</v>
      </c>
      <c r="D452" t="inlineStr">
        <is>
          <t>VÄSTMANLANDS LÄN</t>
        </is>
      </c>
      <c r="E452" t="inlineStr">
        <is>
          <t>SALA</t>
        </is>
      </c>
      <c r="G452" t="n">
        <v>3.7</v>
      </c>
      <c r="H452" t="n">
        <v>0</v>
      </c>
      <c r="I452" t="n">
        <v>0</v>
      </c>
      <c r="J452" t="n">
        <v>0</v>
      </c>
      <c r="K452" t="n">
        <v>0</v>
      </c>
      <c r="L452" t="n">
        <v>0</v>
      </c>
      <c r="M452" t="n">
        <v>0</v>
      </c>
      <c r="N452" t="n">
        <v>0</v>
      </c>
      <c r="O452" t="n">
        <v>0</v>
      </c>
      <c r="P452" t="n">
        <v>0</v>
      </c>
      <c r="Q452" t="n">
        <v>0</v>
      </c>
      <c r="R452" s="2" t="inlineStr"/>
    </row>
    <row r="453" ht="15" customHeight="1">
      <c r="A453" t="inlineStr">
        <is>
          <t>A 31470-2021</t>
        </is>
      </c>
      <c r="B453" s="1" t="n">
        <v>44369</v>
      </c>
      <c r="C453" s="1" t="n">
        <v>46174</v>
      </c>
      <c r="D453" t="inlineStr">
        <is>
          <t>VÄSTMANLANDS LÄN</t>
        </is>
      </c>
      <c r="E453" t="inlineStr">
        <is>
          <t>SALA</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24175-2024</t>
        </is>
      </c>
      <c r="B454" s="1" t="n">
        <v>45456</v>
      </c>
      <c r="C454" s="1" t="n">
        <v>46174</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15272-2025</t>
        </is>
      </c>
      <c r="B455" s="1" t="n">
        <v>45744</v>
      </c>
      <c r="C455" s="1" t="n">
        <v>46174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28328-2023</t>
        </is>
      </c>
      <c r="B456" s="1" t="n">
        <v>45099.71063657408</v>
      </c>
      <c r="C456" s="1" t="n">
        <v>46174</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46661-2025</t>
        </is>
      </c>
      <c r="B457" s="1" t="n">
        <v>45926</v>
      </c>
      <c r="C457" s="1" t="n">
        <v>46174</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11183-2023</t>
        </is>
      </c>
      <c r="B458" s="1" t="n">
        <v>44992.57782407408</v>
      </c>
      <c r="C458" s="1" t="n">
        <v>46174</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11190-2023</t>
        </is>
      </c>
      <c r="B459" s="1" t="n">
        <v>44992</v>
      </c>
      <c r="C459" s="1" t="n">
        <v>46174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53838-2022</t>
        </is>
      </c>
      <c r="B460" s="1" t="n">
        <v>44880.59363425926</v>
      </c>
      <c r="C460" s="1" t="n">
        <v>46174</v>
      </c>
      <c r="D460" t="inlineStr">
        <is>
          <t>VÄSTMANLANDS LÄN</t>
        </is>
      </c>
      <c r="E460" t="inlineStr">
        <is>
          <t>SALA</t>
        </is>
      </c>
      <c r="G460" t="n">
        <v>3.9</v>
      </c>
      <c r="H460" t="n">
        <v>0</v>
      </c>
      <c r="I460" t="n">
        <v>0</v>
      </c>
      <c r="J460" t="n">
        <v>0</v>
      </c>
      <c r="K460" t="n">
        <v>0</v>
      </c>
      <c r="L460" t="n">
        <v>0</v>
      </c>
      <c r="M460" t="n">
        <v>0</v>
      </c>
      <c r="N460" t="n">
        <v>0</v>
      </c>
      <c r="O460" t="n">
        <v>0</v>
      </c>
      <c r="P460" t="n">
        <v>0</v>
      </c>
      <c r="Q460" t="n">
        <v>0</v>
      </c>
      <c r="R460" s="2" t="inlineStr"/>
    </row>
    <row r="461" ht="15" customHeight="1">
      <c r="A461" t="inlineStr">
        <is>
          <t>A 61715-2024</t>
        </is>
      </c>
      <c r="B461" s="1" t="n">
        <v>45648.89519675926</v>
      </c>
      <c r="C461" s="1" t="n">
        <v>46174</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38195-2021</t>
        </is>
      </c>
      <c r="B462" s="1" t="n">
        <v>44405</v>
      </c>
      <c r="C462" s="1" t="n">
        <v>46174</v>
      </c>
      <c r="D462" t="inlineStr">
        <is>
          <t>VÄSTMANLANDS LÄN</t>
        </is>
      </c>
      <c r="E462" t="inlineStr">
        <is>
          <t>SALA</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53166-2024</t>
        </is>
      </c>
      <c r="B463" s="1" t="n">
        <v>45611</v>
      </c>
      <c r="C463" s="1" t="n">
        <v>46174</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28827-2022</t>
        </is>
      </c>
      <c r="B464" s="1" t="n">
        <v>44749.45561342593</v>
      </c>
      <c r="C464" s="1" t="n">
        <v>46174</v>
      </c>
      <c r="D464" t="inlineStr">
        <is>
          <t>VÄSTMANLANDS LÄN</t>
        </is>
      </c>
      <c r="E464" t="inlineStr">
        <is>
          <t>SALA</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17866-2025</t>
        </is>
      </c>
      <c r="B465" s="1" t="n">
        <v>45758</v>
      </c>
      <c r="C465" s="1" t="n">
        <v>46174</v>
      </c>
      <c r="D465" t="inlineStr">
        <is>
          <t>VÄSTMANLANDS LÄN</t>
        </is>
      </c>
      <c r="E465" t="inlineStr">
        <is>
          <t>SALA</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6132-2025</t>
        </is>
      </c>
      <c r="B466" s="1" t="n">
        <v>45698</v>
      </c>
      <c r="C466" s="1" t="n">
        <v>46174</v>
      </c>
      <c r="D466" t="inlineStr">
        <is>
          <t>VÄSTMANLANDS LÄN</t>
        </is>
      </c>
      <c r="E466" t="inlineStr">
        <is>
          <t>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54836-2024</t>
        </is>
      </c>
      <c r="B467" s="1" t="n">
        <v>45618</v>
      </c>
      <c r="C467" s="1" t="n">
        <v>46174</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48057-2025</t>
        </is>
      </c>
      <c r="B468" s="1" t="n">
        <v>45932.67947916667</v>
      </c>
      <c r="C468" s="1" t="n">
        <v>46174</v>
      </c>
      <c r="D468" t="inlineStr">
        <is>
          <t>VÄSTMANLANDS LÄN</t>
        </is>
      </c>
      <c r="E468" t="inlineStr">
        <is>
          <t>SALA</t>
        </is>
      </c>
      <c r="G468" t="n">
        <v>4.3</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46174</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64729-2023</t>
        </is>
      </c>
      <c r="B470" s="1" t="n">
        <v>45281</v>
      </c>
      <c r="C470" s="1" t="n">
        <v>46174</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11389-2024</t>
        </is>
      </c>
      <c r="B471" s="1" t="n">
        <v>45372.45016203704</v>
      </c>
      <c r="C471" s="1" t="n">
        <v>46174</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10585-2022</t>
        </is>
      </c>
      <c r="B472" s="1" t="n">
        <v>44624</v>
      </c>
      <c r="C472" s="1" t="n">
        <v>46174</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22523-2023</t>
        </is>
      </c>
      <c r="B473" s="1" t="n">
        <v>45069</v>
      </c>
      <c r="C473" s="1" t="n">
        <v>46174</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46174</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48710-2025</t>
        </is>
      </c>
      <c r="B475" s="1" t="n">
        <v>45936.63184027778</v>
      </c>
      <c r="C475" s="1" t="n">
        <v>46174</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56057-2023</t>
        </is>
      </c>
      <c r="B476" s="1" t="n">
        <v>45233</v>
      </c>
      <c r="C476" s="1" t="n">
        <v>46174</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2925-2024</t>
        </is>
      </c>
      <c r="B477" s="1" t="n">
        <v>45315.58909722222</v>
      </c>
      <c r="C477" s="1" t="n">
        <v>46174</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48910-2025</t>
        </is>
      </c>
      <c r="B478" s="1" t="n">
        <v>45937.48649305556</v>
      </c>
      <c r="C478" s="1" t="n">
        <v>46174</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46174</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49585-2025</t>
        </is>
      </c>
      <c r="B480" s="1" t="n">
        <v>45939.5043287037</v>
      </c>
      <c r="C480" s="1" t="n">
        <v>46174</v>
      </c>
      <c r="D480" t="inlineStr">
        <is>
          <t>VÄSTMANLANDS LÄN</t>
        </is>
      </c>
      <c r="E480" t="inlineStr">
        <is>
          <t>SALA</t>
        </is>
      </c>
      <c r="G480" t="n">
        <v>2.2</v>
      </c>
      <c r="H480" t="n">
        <v>0</v>
      </c>
      <c r="I480" t="n">
        <v>0</v>
      </c>
      <c r="J480" t="n">
        <v>0</v>
      </c>
      <c r="K480" t="n">
        <v>0</v>
      </c>
      <c r="L480" t="n">
        <v>0</v>
      </c>
      <c r="M480" t="n">
        <v>0</v>
      </c>
      <c r="N480" t="n">
        <v>0</v>
      </c>
      <c r="O480" t="n">
        <v>0</v>
      </c>
      <c r="P480" t="n">
        <v>0</v>
      </c>
      <c r="Q480" t="n">
        <v>0</v>
      </c>
      <c r="R480" s="2" t="inlineStr"/>
    </row>
    <row r="481" ht="15" customHeight="1">
      <c r="A481" t="inlineStr">
        <is>
          <t>A 3332-2024</t>
        </is>
      </c>
      <c r="B481" s="1" t="n">
        <v>45317</v>
      </c>
      <c r="C481" s="1" t="n">
        <v>46174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62635-2022</t>
        </is>
      </c>
      <c r="B482" s="1" t="n">
        <v>44917</v>
      </c>
      <c r="C482" s="1" t="n">
        <v>46174</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49640-2025</t>
        </is>
      </c>
      <c r="B483" s="1" t="n">
        <v>45939.61459490741</v>
      </c>
      <c r="C483" s="1" t="n">
        <v>46174</v>
      </c>
      <c r="D483" t="inlineStr">
        <is>
          <t>VÄSTMANLANDS LÄN</t>
        </is>
      </c>
      <c r="E483" t="inlineStr">
        <is>
          <t>SALA</t>
        </is>
      </c>
      <c r="F483" t="inlineStr">
        <is>
          <t>Kommuner</t>
        </is>
      </c>
      <c r="G483" t="n">
        <v>18.8</v>
      </c>
      <c r="H483" t="n">
        <v>0</v>
      </c>
      <c r="I483" t="n">
        <v>0</v>
      </c>
      <c r="J483" t="n">
        <v>0</v>
      </c>
      <c r="K483" t="n">
        <v>0</v>
      </c>
      <c r="L483" t="n">
        <v>0</v>
      </c>
      <c r="M483" t="n">
        <v>0</v>
      </c>
      <c r="N483" t="n">
        <v>0</v>
      </c>
      <c r="O483" t="n">
        <v>0</v>
      </c>
      <c r="P483" t="n">
        <v>0</v>
      </c>
      <c r="Q483" t="n">
        <v>0</v>
      </c>
      <c r="R483" s="2" t="inlineStr"/>
    </row>
    <row r="484" ht="15" customHeight="1">
      <c r="A484" t="inlineStr">
        <is>
          <t>A 4852-2023</t>
        </is>
      </c>
      <c r="B484" s="1" t="n">
        <v>44957.72496527778</v>
      </c>
      <c r="C484" s="1" t="n">
        <v>46174</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39714-2023</t>
        </is>
      </c>
      <c r="B485" s="1" t="n">
        <v>45167.62133101852</v>
      </c>
      <c r="C485" s="1" t="n">
        <v>46174</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2529-2022</t>
        </is>
      </c>
      <c r="B486" s="1" t="n">
        <v>44579.86452546297</v>
      </c>
      <c r="C486" s="1" t="n">
        <v>46174</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13471-2025</t>
        </is>
      </c>
      <c r="B487" s="1" t="n">
        <v>45736.40579861111</v>
      </c>
      <c r="C487" s="1" t="n">
        <v>46174</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46174</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42984-2023</t>
        </is>
      </c>
      <c r="B489" s="1" t="n">
        <v>45179</v>
      </c>
      <c r="C489" s="1" t="n">
        <v>46174</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18431-2023</t>
        </is>
      </c>
      <c r="B490" s="1" t="n">
        <v>45042</v>
      </c>
      <c r="C490" s="1" t="n">
        <v>46174</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27424-2023</t>
        </is>
      </c>
      <c r="B491" s="1" t="n">
        <v>45097.37690972222</v>
      </c>
      <c r="C491" s="1" t="n">
        <v>46174</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58701-2021</t>
        </is>
      </c>
      <c r="B492" s="1" t="n">
        <v>44489.46454861111</v>
      </c>
      <c r="C492" s="1" t="n">
        <v>46174</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50128-2025</t>
        </is>
      </c>
      <c r="B493" s="1" t="n">
        <v>45943.55318287037</v>
      </c>
      <c r="C493" s="1" t="n">
        <v>46174</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46174</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50119-2025</t>
        </is>
      </c>
      <c r="B495" s="1" t="n">
        <v>45943.54883101852</v>
      </c>
      <c r="C495" s="1" t="n">
        <v>46174</v>
      </c>
      <c r="D495" t="inlineStr">
        <is>
          <t>VÄSTMANLANDS LÄN</t>
        </is>
      </c>
      <c r="E495" t="inlineStr">
        <is>
          <t>SALA</t>
        </is>
      </c>
      <c r="G495" t="n">
        <v>3.3</v>
      </c>
      <c r="H495" t="n">
        <v>0</v>
      </c>
      <c r="I495" t="n">
        <v>0</v>
      </c>
      <c r="J495" t="n">
        <v>0</v>
      </c>
      <c r="K495" t="n">
        <v>0</v>
      </c>
      <c r="L495" t="n">
        <v>0</v>
      </c>
      <c r="M495" t="n">
        <v>0</v>
      </c>
      <c r="N495" t="n">
        <v>0</v>
      </c>
      <c r="O495" t="n">
        <v>0</v>
      </c>
      <c r="P495" t="n">
        <v>0</v>
      </c>
      <c r="Q495" t="n">
        <v>0</v>
      </c>
      <c r="R495" s="2" t="inlineStr"/>
    </row>
    <row r="496" ht="15" customHeight="1">
      <c r="A496" t="inlineStr">
        <is>
          <t>A 12225-2023</t>
        </is>
      </c>
      <c r="B496" s="1" t="n">
        <v>44995</v>
      </c>
      <c r="C496" s="1" t="n">
        <v>46174</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50059-2025</t>
        </is>
      </c>
      <c r="B497" s="1" t="n">
        <v>45943.44125</v>
      </c>
      <c r="C497" s="1" t="n">
        <v>46174</v>
      </c>
      <c r="D497" t="inlineStr">
        <is>
          <t>VÄSTMANLANDS LÄN</t>
        </is>
      </c>
      <c r="E497" t="inlineStr">
        <is>
          <t>SALA</t>
        </is>
      </c>
      <c r="G497" t="n">
        <v>4.4</v>
      </c>
      <c r="H497" t="n">
        <v>0</v>
      </c>
      <c r="I497" t="n">
        <v>0</v>
      </c>
      <c r="J497" t="n">
        <v>0</v>
      </c>
      <c r="K497" t="n">
        <v>0</v>
      </c>
      <c r="L497" t="n">
        <v>0</v>
      </c>
      <c r="M497" t="n">
        <v>0</v>
      </c>
      <c r="N497" t="n">
        <v>0</v>
      </c>
      <c r="O497" t="n">
        <v>0</v>
      </c>
      <c r="P497" t="n">
        <v>0</v>
      </c>
      <c r="Q497" t="n">
        <v>0</v>
      </c>
      <c r="R497" s="2" t="inlineStr"/>
    </row>
    <row r="498" ht="15" customHeight="1">
      <c r="A498" t="inlineStr">
        <is>
          <t>A 61874-2021</t>
        </is>
      </c>
      <c r="B498" s="1" t="n">
        <v>44502</v>
      </c>
      <c r="C498" s="1" t="n">
        <v>46174</v>
      </c>
      <c r="D498" t="inlineStr">
        <is>
          <t>VÄSTMANLANDS LÄN</t>
        </is>
      </c>
      <c r="E498" t="inlineStr">
        <is>
          <t>SALA</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56535-2022</t>
        </is>
      </c>
      <c r="B499" s="1" t="n">
        <v>44893.47173611111</v>
      </c>
      <c r="C499" s="1" t="n">
        <v>46174</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50249-2025</t>
        </is>
      </c>
      <c r="B500" s="1" t="n">
        <v>45944.31508101852</v>
      </c>
      <c r="C500" s="1" t="n">
        <v>46174</v>
      </c>
      <c r="D500" t="inlineStr">
        <is>
          <t>VÄSTMANLANDS LÄN</t>
        </is>
      </c>
      <c r="E500" t="inlineStr">
        <is>
          <t>SALA</t>
        </is>
      </c>
      <c r="G500" t="n">
        <v>2.3</v>
      </c>
      <c r="H500" t="n">
        <v>0</v>
      </c>
      <c r="I500" t="n">
        <v>0</v>
      </c>
      <c r="J500" t="n">
        <v>0</v>
      </c>
      <c r="K500" t="n">
        <v>0</v>
      </c>
      <c r="L500" t="n">
        <v>0</v>
      </c>
      <c r="M500" t="n">
        <v>0</v>
      </c>
      <c r="N500" t="n">
        <v>0</v>
      </c>
      <c r="O500" t="n">
        <v>0</v>
      </c>
      <c r="P500" t="n">
        <v>0</v>
      </c>
      <c r="Q500" t="n">
        <v>0</v>
      </c>
      <c r="R500" s="2" t="inlineStr"/>
    </row>
    <row r="501" ht="15" customHeight="1">
      <c r="A501" t="inlineStr">
        <is>
          <t>A 21754-2025</t>
        </is>
      </c>
      <c r="B501" s="1" t="n">
        <v>45783.61837962963</v>
      </c>
      <c r="C501" s="1" t="n">
        <v>46174</v>
      </c>
      <c r="D501" t="inlineStr">
        <is>
          <t>VÄSTMANLANDS LÄN</t>
        </is>
      </c>
      <c r="E501" t="inlineStr">
        <is>
          <t>SALA</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62651-2022</t>
        </is>
      </c>
      <c r="B502" s="1" t="n">
        <v>44917</v>
      </c>
      <c r="C502" s="1" t="n">
        <v>46174</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21751-2025</t>
        </is>
      </c>
      <c r="B503" s="1" t="n">
        <v>45783.61372685185</v>
      </c>
      <c r="C503" s="1" t="n">
        <v>46174</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46174</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60550-2024</t>
        </is>
      </c>
      <c r="B505" s="1" t="n">
        <v>45643</v>
      </c>
      <c r="C505" s="1" t="n">
        <v>46174</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46174</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46174</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46174</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46174</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13746-2025</t>
        </is>
      </c>
      <c r="B510" s="1" t="n">
        <v>45737.40944444444</v>
      </c>
      <c r="C510" s="1" t="n">
        <v>46174</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46174</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59175-2022</t>
        </is>
      </c>
      <c r="B512" s="1" t="n">
        <v>44904.48502314815</v>
      </c>
      <c r="C512" s="1" t="n">
        <v>46174</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19381-2025</t>
        </is>
      </c>
      <c r="B513" s="1" t="n">
        <v>45769</v>
      </c>
      <c r="C513" s="1" t="n">
        <v>46174</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6032-2025</t>
        </is>
      </c>
      <c r="B514" s="1" t="n">
        <v>45695.6371875</v>
      </c>
      <c r="C514" s="1" t="n">
        <v>46174</v>
      </c>
      <c r="D514" t="inlineStr">
        <is>
          <t>VÄSTMANLANDS LÄN</t>
        </is>
      </c>
      <c r="E514" t="inlineStr">
        <is>
          <t>SALA</t>
        </is>
      </c>
      <c r="F514" t="inlineStr">
        <is>
          <t>Bergvik skog öst AB</t>
        </is>
      </c>
      <c r="G514" t="n">
        <v>8.1</v>
      </c>
      <c r="H514" t="n">
        <v>0</v>
      </c>
      <c r="I514" t="n">
        <v>0</v>
      </c>
      <c r="J514" t="n">
        <v>0</v>
      </c>
      <c r="K514" t="n">
        <v>0</v>
      </c>
      <c r="L514" t="n">
        <v>0</v>
      </c>
      <c r="M514" t="n">
        <v>0</v>
      </c>
      <c r="N514" t="n">
        <v>0</v>
      </c>
      <c r="O514" t="n">
        <v>0</v>
      </c>
      <c r="P514" t="n">
        <v>0</v>
      </c>
      <c r="Q514" t="n">
        <v>0</v>
      </c>
      <c r="R514" s="2" t="inlineStr"/>
    </row>
    <row r="515" ht="15" customHeight="1">
      <c r="A515" t="inlineStr">
        <is>
          <t>A 42938-2023</t>
        </is>
      </c>
      <c r="B515" s="1" t="n">
        <v>45179</v>
      </c>
      <c r="C515" s="1" t="n">
        <v>46174</v>
      </c>
      <c r="D515" t="inlineStr">
        <is>
          <t>VÄSTMANLANDS LÄN</t>
        </is>
      </c>
      <c r="E515" t="inlineStr">
        <is>
          <t>SALA</t>
        </is>
      </c>
      <c r="G515" t="n">
        <v>10.9</v>
      </c>
      <c r="H515" t="n">
        <v>0</v>
      </c>
      <c r="I515" t="n">
        <v>0</v>
      </c>
      <c r="J515" t="n">
        <v>0</v>
      </c>
      <c r="K515" t="n">
        <v>0</v>
      </c>
      <c r="L515" t="n">
        <v>0</v>
      </c>
      <c r="M515" t="n">
        <v>0</v>
      </c>
      <c r="N515" t="n">
        <v>0</v>
      </c>
      <c r="O515" t="n">
        <v>0</v>
      </c>
      <c r="P515" t="n">
        <v>0</v>
      </c>
      <c r="Q515" t="n">
        <v>0</v>
      </c>
      <c r="R515" s="2" t="inlineStr"/>
    </row>
    <row r="516" ht="15" customHeight="1">
      <c r="A516" t="inlineStr">
        <is>
          <t>A 19222-2025</t>
        </is>
      </c>
      <c r="B516" s="1" t="n">
        <v>45769</v>
      </c>
      <c r="C516" s="1" t="n">
        <v>46174</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19241-2025</t>
        </is>
      </c>
      <c r="B517" s="1" t="n">
        <v>45769</v>
      </c>
      <c r="C517" s="1" t="n">
        <v>46174</v>
      </c>
      <c r="D517" t="inlineStr">
        <is>
          <t>VÄSTMANLANDS LÄN</t>
        </is>
      </c>
      <c r="E517" t="inlineStr">
        <is>
          <t>SALA</t>
        </is>
      </c>
      <c r="G517" t="n">
        <v>3.6</v>
      </c>
      <c r="H517" t="n">
        <v>0</v>
      </c>
      <c r="I517" t="n">
        <v>0</v>
      </c>
      <c r="J517" t="n">
        <v>0</v>
      </c>
      <c r="K517" t="n">
        <v>0</v>
      </c>
      <c r="L517" t="n">
        <v>0</v>
      </c>
      <c r="M517" t="n">
        <v>0</v>
      </c>
      <c r="N517" t="n">
        <v>0</v>
      </c>
      <c r="O517" t="n">
        <v>0</v>
      </c>
      <c r="P517" t="n">
        <v>0</v>
      </c>
      <c r="Q517" t="n">
        <v>0</v>
      </c>
      <c r="R517" s="2" t="inlineStr"/>
    </row>
    <row r="518" ht="15" customHeight="1">
      <c r="A518" t="inlineStr">
        <is>
          <t>A 51764-2025</t>
        </is>
      </c>
      <c r="B518" s="1" t="n">
        <v>45951.63636574074</v>
      </c>
      <c r="C518" s="1" t="n">
        <v>46174</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60823-2024</t>
        </is>
      </c>
      <c r="B519" s="1" t="n">
        <v>45644</v>
      </c>
      <c r="C519" s="1" t="n">
        <v>46174</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51626-2025</t>
        </is>
      </c>
      <c r="B520" s="1" t="n">
        <v>45951.41769675926</v>
      </c>
      <c r="C520" s="1" t="n">
        <v>46174</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61681-2024</t>
        </is>
      </c>
      <c r="B521" s="1" t="n">
        <v>45647</v>
      </c>
      <c r="C521" s="1" t="n">
        <v>46174</v>
      </c>
      <c r="D521" t="inlineStr">
        <is>
          <t>VÄSTMANLANDS LÄN</t>
        </is>
      </c>
      <c r="E521" t="inlineStr">
        <is>
          <t>SALA</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2766-2024</t>
        </is>
      </c>
      <c r="B522" s="1" t="n">
        <v>45314.60950231482</v>
      </c>
      <c r="C522" s="1" t="n">
        <v>46174</v>
      </c>
      <c r="D522" t="inlineStr">
        <is>
          <t>VÄSTMANLANDS LÄN</t>
        </is>
      </c>
      <c r="E522" t="inlineStr">
        <is>
          <t>SALA</t>
        </is>
      </c>
      <c r="G522" t="n">
        <v>2.8</v>
      </c>
      <c r="H522" t="n">
        <v>0</v>
      </c>
      <c r="I522" t="n">
        <v>0</v>
      </c>
      <c r="J522" t="n">
        <v>0</v>
      </c>
      <c r="K522" t="n">
        <v>0</v>
      </c>
      <c r="L522" t="n">
        <v>0</v>
      </c>
      <c r="M522" t="n">
        <v>0</v>
      </c>
      <c r="N522" t="n">
        <v>0</v>
      </c>
      <c r="O522" t="n">
        <v>0</v>
      </c>
      <c r="P522" t="n">
        <v>0</v>
      </c>
      <c r="Q522" t="n">
        <v>0</v>
      </c>
      <c r="R522" s="2" t="inlineStr"/>
    </row>
    <row r="523" ht="15" customHeight="1">
      <c r="A523" t="inlineStr">
        <is>
          <t>A 51690-2025</t>
        </is>
      </c>
      <c r="B523" s="1" t="n">
        <v>45951.53462962963</v>
      </c>
      <c r="C523" s="1" t="n">
        <v>46174</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6351-2023</t>
        </is>
      </c>
      <c r="B524" s="1" t="n">
        <v>44965</v>
      </c>
      <c r="C524" s="1" t="n">
        <v>46174</v>
      </c>
      <c r="D524" t="inlineStr">
        <is>
          <t>VÄSTMANLANDS LÄN</t>
        </is>
      </c>
      <c r="E524" t="inlineStr">
        <is>
          <t>SALA</t>
        </is>
      </c>
      <c r="F524" t="inlineStr">
        <is>
          <t>Kommuner</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45187-2024</t>
        </is>
      </c>
      <c r="B525" s="1" t="n">
        <v>45575</v>
      </c>
      <c r="C525" s="1" t="n">
        <v>46174</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51804-2025</t>
        </is>
      </c>
      <c r="B526" s="1" t="n">
        <v>45951.77697916667</v>
      </c>
      <c r="C526" s="1" t="n">
        <v>46174</v>
      </c>
      <c r="D526" t="inlineStr">
        <is>
          <t>VÄSTMANLANDS LÄN</t>
        </is>
      </c>
      <c r="E526" t="inlineStr">
        <is>
          <t>SALA</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51808-2025</t>
        </is>
      </c>
      <c r="B527" s="1" t="n">
        <v>45951.79302083333</v>
      </c>
      <c r="C527" s="1" t="n">
        <v>46174</v>
      </c>
      <c r="D527" t="inlineStr">
        <is>
          <t>VÄSTMANLANDS LÄN</t>
        </is>
      </c>
      <c r="E527" t="inlineStr">
        <is>
          <t>SALA</t>
        </is>
      </c>
      <c r="F527" t="inlineStr">
        <is>
          <t>Kommuner</t>
        </is>
      </c>
      <c r="G527" t="n">
        <v>3</v>
      </c>
      <c r="H527" t="n">
        <v>0</v>
      </c>
      <c r="I527" t="n">
        <v>0</v>
      </c>
      <c r="J527" t="n">
        <v>0</v>
      </c>
      <c r="K527" t="n">
        <v>0</v>
      </c>
      <c r="L527" t="n">
        <v>0</v>
      </c>
      <c r="M527" t="n">
        <v>0</v>
      </c>
      <c r="N527" t="n">
        <v>0</v>
      </c>
      <c r="O527" t="n">
        <v>0</v>
      </c>
      <c r="P527" t="n">
        <v>0</v>
      </c>
      <c r="Q527" t="n">
        <v>0</v>
      </c>
      <c r="R527" s="2" t="inlineStr"/>
    </row>
    <row r="528" ht="15" customHeight="1">
      <c r="A528" t="inlineStr">
        <is>
          <t>A 51803-2025</t>
        </is>
      </c>
      <c r="B528" s="1" t="n">
        <v>45951.76818287037</v>
      </c>
      <c r="C528" s="1" t="n">
        <v>46174</v>
      </c>
      <c r="D528" t="inlineStr">
        <is>
          <t>VÄSTMANLANDS LÄN</t>
        </is>
      </c>
      <c r="E528" t="inlineStr">
        <is>
          <t>SALA</t>
        </is>
      </c>
      <c r="F528" t="inlineStr">
        <is>
          <t>Kommuner</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51805-2025</t>
        </is>
      </c>
      <c r="B529" s="1" t="n">
        <v>45951.78359953704</v>
      </c>
      <c r="C529" s="1" t="n">
        <v>46174</v>
      </c>
      <c r="D529" t="inlineStr">
        <is>
          <t>VÄSTMANLANDS LÄN</t>
        </is>
      </c>
      <c r="E529" t="inlineStr">
        <is>
          <t>SALA</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51809-2025</t>
        </is>
      </c>
      <c r="B530" s="1" t="n">
        <v>45951.80116898148</v>
      </c>
      <c r="C530" s="1" t="n">
        <v>46174</v>
      </c>
      <c r="D530" t="inlineStr">
        <is>
          <t>VÄSTMANLANDS LÄN</t>
        </is>
      </c>
      <c r="E530" t="inlineStr">
        <is>
          <t>SALA</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33527-2023</t>
        </is>
      </c>
      <c r="B531" s="1" t="n">
        <v>45131</v>
      </c>
      <c r="C531" s="1" t="n">
        <v>46174</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7377-2023</t>
        </is>
      </c>
      <c r="B532" s="1" t="n">
        <v>44971</v>
      </c>
      <c r="C532" s="1" t="n">
        <v>46174</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21159-2022</t>
        </is>
      </c>
      <c r="B533" s="1" t="n">
        <v>44704</v>
      </c>
      <c r="C533" s="1" t="n">
        <v>46174</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49661-2024</t>
        </is>
      </c>
      <c r="B534" s="1" t="n">
        <v>45596</v>
      </c>
      <c r="C534" s="1" t="n">
        <v>46174</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59297-2023</t>
        </is>
      </c>
      <c r="B535" s="1" t="n">
        <v>45253</v>
      </c>
      <c r="C535" s="1" t="n">
        <v>46174</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56688-2024</t>
        </is>
      </c>
      <c r="B536" s="1" t="n">
        <v>45627.66478009259</v>
      </c>
      <c r="C536" s="1" t="n">
        <v>46174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15965-2024</t>
        </is>
      </c>
      <c r="B537" s="1" t="n">
        <v>45405.55740740741</v>
      </c>
      <c r="C537" s="1" t="n">
        <v>46174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16159-2024</t>
        </is>
      </c>
      <c r="B538" s="1" t="n">
        <v>45406</v>
      </c>
      <c r="C538" s="1" t="n">
        <v>46174</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66307-2021</t>
        </is>
      </c>
      <c r="B539" s="1" t="n">
        <v>44518.48670138889</v>
      </c>
      <c r="C539" s="1" t="n">
        <v>46174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37587-2024</t>
        </is>
      </c>
      <c r="B540" s="1" t="n">
        <v>45541</v>
      </c>
      <c r="C540" s="1" t="n">
        <v>46174</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23180-2022</t>
        </is>
      </c>
      <c r="B541" s="1" t="n">
        <v>44719.79344907407</v>
      </c>
      <c r="C541" s="1" t="n">
        <v>46174</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27262-2024</t>
        </is>
      </c>
      <c r="B542" s="1" t="n">
        <v>45471</v>
      </c>
      <c r="C542" s="1" t="n">
        <v>46174</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53725-2025</t>
        </is>
      </c>
      <c r="B543" s="1" t="n">
        <v>45960.63394675926</v>
      </c>
      <c r="C543" s="1" t="n">
        <v>46174</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21455-2023</t>
        </is>
      </c>
      <c r="B544" s="1" t="n">
        <v>45058</v>
      </c>
      <c r="C544" s="1" t="n">
        <v>46174</v>
      </c>
      <c r="D544" t="inlineStr">
        <is>
          <t>VÄSTMANLANDS LÄN</t>
        </is>
      </c>
      <c r="E544" t="inlineStr">
        <is>
          <t>SALA</t>
        </is>
      </c>
      <c r="G544" t="n">
        <v>6.4</v>
      </c>
      <c r="H544" t="n">
        <v>0</v>
      </c>
      <c r="I544" t="n">
        <v>0</v>
      </c>
      <c r="J544" t="n">
        <v>0</v>
      </c>
      <c r="K544" t="n">
        <v>0</v>
      </c>
      <c r="L544" t="n">
        <v>0</v>
      </c>
      <c r="M544" t="n">
        <v>0</v>
      </c>
      <c r="N544" t="n">
        <v>0</v>
      </c>
      <c r="O544" t="n">
        <v>0</v>
      </c>
      <c r="P544" t="n">
        <v>0</v>
      </c>
      <c r="Q544" t="n">
        <v>0</v>
      </c>
      <c r="R544" s="2" t="inlineStr"/>
    </row>
    <row r="545" ht="15" customHeight="1">
      <c r="A545" t="inlineStr">
        <is>
          <t>A 10913-2025</t>
        </is>
      </c>
      <c r="B545" s="1" t="n">
        <v>45722.73423611111</v>
      </c>
      <c r="C545" s="1" t="n">
        <v>46174</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38636-2024</t>
        </is>
      </c>
      <c r="B546" s="1" t="n">
        <v>45546</v>
      </c>
      <c r="C546" s="1" t="n">
        <v>46174</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53744-2025</t>
        </is>
      </c>
      <c r="B547" s="1" t="n">
        <v>45960.64863425926</v>
      </c>
      <c r="C547" s="1" t="n">
        <v>46174</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35410-2022</t>
        </is>
      </c>
      <c r="B548" s="1" t="n">
        <v>44798.62576388889</v>
      </c>
      <c r="C548" s="1" t="n">
        <v>46174</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53724-2025</t>
        </is>
      </c>
      <c r="B549" s="1" t="n">
        <v>45960.63174768518</v>
      </c>
      <c r="C549" s="1" t="n">
        <v>46174</v>
      </c>
      <c r="D549" t="inlineStr">
        <is>
          <t>VÄSTMANLANDS LÄN</t>
        </is>
      </c>
      <c r="E549" t="inlineStr">
        <is>
          <t>SALA</t>
        </is>
      </c>
      <c r="G549" t="n">
        <v>2.8</v>
      </c>
      <c r="H549" t="n">
        <v>0</v>
      </c>
      <c r="I549" t="n">
        <v>0</v>
      </c>
      <c r="J549" t="n">
        <v>0</v>
      </c>
      <c r="K549" t="n">
        <v>0</v>
      </c>
      <c r="L549" t="n">
        <v>0</v>
      </c>
      <c r="M549" t="n">
        <v>0</v>
      </c>
      <c r="N549" t="n">
        <v>0</v>
      </c>
      <c r="O549" t="n">
        <v>0</v>
      </c>
      <c r="P549" t="n">
        <v>0</v>
      </c>
      <c r="Q549" t="n">
        <v>0</v>
      </c>
      <c r="R549" s="2" t="inlineStr"/>
    </row>
    <row r="550" ht="15" customHeight="1">
      <c r="A550" t="inlineStr">
        <is>
          <t>A 1118-2024</t>
        </is>
      </c>
      <c r="B550" s="1" t="n">
        <v>45302</v>
      </c>
      <c r="C550" s="1" t="n">
        <v>46174</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21053-2022</t>
        </is>
      </c>
      <c r="B551" s="1" t="n">
        <v>44704</v>
      </c>
      <c r="C551" s="1" t="n">
        <v>46174</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53864-2022</t>
        </is>
      </c>
      <c r="B552" s="1" t="n">
        <v>44880.64016203704</v>
      </c>
      <c r="C552" s="1" t="n">
        <v>46174</v>
      </c>
      <c r="D552" t="inlineStr">
        <is>
          <t>VÄSTMANLANDS LÄN</t>
        </is>
      </c>
      <c r="E552" t="inlineStr">
        <is>
          <t>SALA</t>
        </is>
      </c>
      <c r="G552" t="n">
        <v>5.9</v>
      </c>
      <c r="H552" t="n">
        <v>0</v>
      </c>
      <c r="I552" t="n">
        <v>0</v>
      </c>
      <c r="J552" t="n">
        <v>0</v>
      </c>
      <c r="K552" t="n">
        <v>0</v>
      </c>
      <c r="L552" t="n">
        <v>0</v>
      </c>
      <c r="M552" t="n">
        <v>0</v>
      </c>
      <c r="N552" t="n">
        <v>0</v>
      </c>
      <c r="O552" t="n">
        <v>0</v>
      </c>
      <c r="P552" t="n">
        <v>0</v>
      </c>
      <c r="Q552" t="n">
        <v>0</v>
      </c>
      <c r="R552" s="2" t="inlineStr"/>
    </row>
    <row r="553" ht="15" customHeight="1">
      <c r="A553" t="inlineStr">
        <is>
          <t>A 40085-2024</t>
        </is>
      </c>
      <c r="B553" s="1" t="n">
        <v>45554</v>
      </c>
      <c r="C553" s="1" t="n">
        <v>46174</v>
      </c>
      <c r="D553" t="inlineStr">
        <is>
          <t>VÄSTMANLANDS LÄN</t>
        </is>
      </c>
      <c r="E553" t="inlineStr">
        <is>
          <t>SALA</t>
        </is>
      </c>
      <c r="G553" t="n">
        <v>2.8</v>
      </c>
      <c r="H553" t="n">
        <v>0</v>
      </c>
      <c r="I553" t="n">
        <v>0</v>
      </c>
      <c r="J553" t="n">
        <v>0</v>
      </c>
      <c r="K553" t="n">
        <v>0</v>
      </c>
      <c r="L553" t="n">
        <v>0</v>
      </c>
      <c r="M553" t="n">
        <v>0</v>
      </c>
      <c r="N553" t="n">
        <v>0</v>
      </c>
      <c r="O553" t="n">
        <v>0</v>
      </c>
      <c r="P553" t="n">
        <v>0</v>
      </c>
      <c r="Q553" t="n">
        <v>0</v>
      </c>
      <c r="R553" s="2" t="inlineStr"/>
    </row>
    <row r="554" ht="15" customHeight="1">
      <c r="A554" t="inlineStr">
        <is>
          <t>A 11927-2025</t>
        </is>
      </c>
      <c r="B554" s="1" t="n">
        <v>45728.5137962963</v>
      </c>
      <c r="C554" s="1" t="n">
        <v>46174</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3551-2024</t>
        </is>
      </c>
      <c r="B555" s="1" t="n">
        <v>45320.61099537037</v>
      </c>
      <c r="C555" s="1" t="n">
        <v>46174</v>
      </c>
      <c r="D555" t="inlineStr">
        <is>
          <t>VÄSTMANLANDS LÄN</t>
        </is>
      </c>
      <c r="E555" t="inlineStr">
        <is>
          <t>SALA</t>
        </is>
      </c>
      <c r="F555" t="inlineStr">
        <is>
          <t>Kommuner</t>
        </is>
      </c>
      <c r="G555" t="n">
        <v>6</v>
      </c>
      <c r="H555" t="n">
        <v>0</v>
      </c>
      <c r="I555" t="n">
        <v>0</v>
      </c>
      <c r="J555" t="n">
        <v>0</v>
      </c>
      <c r="K555" t="n">
        <v>0</v>
      </c>
      <c r="L555" t="n">
        <v>0</v>
      </c>
      <c r="M555" t="n">
        <v>0</v>
      </c>
      <c r="N555" t="n">
        <v>0</v>
      </c>
      <c r="O555" t="n">
        <v>0</v>
      </c>
      <c r="P555" t="n">
        <v>0</v>
      </c>
      <c r="Q555" t="n">
        <v>0</v>
      </c>
      <c r="R555" s="2" t="inlineStr"/>
    </row>
    <row r="556" ht="15" customHeight="1">
      <c r="A556" t="inlineStr">
        <is>
          <t>A 54344-2025</t>
        </is>
      </c>
      <c r="B556" s="1" t="n">
        <v>45965.36462962963</v>
      </c>
      <c r="C556" s="1" t="n">
        <v>46174</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54590-2025</t>
        </is>
      </c>
      <c r="B557" s="1" t="n">
        <v>45965.74199074074</v>
      </c>
      <c r="C557" s="1" t="n">
        <v>46174</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46174</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54201-2025</t>
        </is>
      </c>
      <c r="B559" s="1" t="n">
        <v>45964.58055555556</v>
      </c>
      <c r="C559" s="1" t="n">
        <v>46174</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64724-2023</t>
        </is>
      </c>
      <c r="B560" s="1" t="n">
        <v>45281.7602662037</v>
      </c>
      <c r="C560" s="1" t="n">
        <v>46174</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10255-2024</t>
        </is>
      </c>
      <c r="B561" s="1" t="n">
        <v>45365</v>
      </c>
      <c r="C561" s="1" t="n">
        <v>46174</v>
      </c>
      <c r="D561" t="inlineStr">
        <is>
          <t>VÄSTMANLANDS LÄN</t>
        </is>
      </c>
      <c r="E561" t="inlineStr">
        <is>
          <t>SALA</t>
        </is>
      </c>
      <c r="F561" t="inlineStr">
        <is>
          <t>Kommuner</t>
        </is>
      </c>
      <c r="G561" t="n">
        <v>0.8</v>
      </c>
      <c r="H561" t="n">
        <v>0</v>
      </c>
      <c r="I561" t="n">
        <v>0</v>
      </c>
      <c r="J561" t="n">
        <v>0</v>
      </c>
      <c r="K561" t="n">
        <v>0</v>
      </c>
      <c r="L561" t="n">
        <v>0</v>
      </c>
      <c r="M561" t="n">
        <v>0</v>
      </c>
      <c r="N561" t="n">
        <v>0</v>
      </c>
      <c r="O561" t="n">
        <v>0</v>
      </c>
      <c r="P561" t="n">
        <v>0</v>
      </c>
      <c r="Q561" t="n">
        <v>0</v>
      </c>
      <c r="R561" s="2" t="inlineStr"/>
    </row>
    <row r="562" ht="15" customHeight="1">
      <c r="A562" t="inlineStr">
        <is>
          <t>A 62648-2022</t>
        </is>
      </c>
      <c r="B562" s="1" t="n">
        <v>44917</v>
      </c>
      <c r="C562" s="1" t="n">
        <v>46174</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54893-2025</t>
        </is>
      </c>
      <c r="B563" s="1" t="n">
        <v>45967.36383101852</v>
      </c>
      <c r="C563" s="1" t="n">
        <v>46174</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22961-2023</t>
        </is>
      </c>
      <c r="B564" s="1" t="n">
        <v>45072</v>
      </c>
      <c r="C564" s="1" t="n">
        <v>46174</v>
      </c>
      <c r="D564" t="inlineStr">
        <is>
          <t>VÄSTMANLANDS LÄN</t>
        </is>
      </c>
      <c r="E564" t="inlineStr">
        <is>
          <t>SALA</t>
        </is>
      </c>
      <c r="G564" t="n">
        <v>2.7</v>
      </c>
      <c r="H564" t="n">
        <v>0</v>
      </c>
      <c r="I564" t="n">
        <v>0</v>
      </c>
      <c r="J564" t="n">
        <v>0</v>
      </c>
      <c r="K564" t="n">
        <v>0</v>
      </c>
      <c r="L564" t="n">
        <v>0</v>
      </c>
      <c r="M564" t="n">
        <v>0</v>
      </c>
      <c r="N564" t="n">
        <v>0</v>
      </c>
      <c r="O564" t="n">
        <v>0</v>
      </c>
      <c r="P564" t="n">
        <v>0</v>
      </c>
      <c r="Q564" t="n">
        <v>0</v>
      </c>
      <c r="R564" s="2" t="inlineStr"/>
    </row>
    <row r="565" ht="15" customHeight="1">
      <c r="A565" t="inlineStr">
        <is>
          <t>A 22963-2023</t>
        </is>
      </c>
      <c r="B565" s="1" t="n">
        <v>45072</v>
      </c>
      <c r="C565" s="1" t="n">
        <v>46174</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56548-2024</t>
        </is>
      </c>
      <c r="B566" s="1" t="n">
        <v>45625</v>
      </c>
      <c r="C566" s="1" t="n">
        <v>46174</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54960-2024</t>
        </is>
      </c>
      <c r="B567" s="1" t="n">
        <v>45619.85208333333</v>
      </c>
      <c r="C567" s="1" t="n">
        <v>46174</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5477-2024</t>
        </is>
      </c>
      <c r="B568" s="1" t="n">
        <v>45333.67833333334</v>
      </c>
      <c r="C568" s="1" t="n">
        <v>46174</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39451-2022</t>
        </is>
      </c>
      <c r="B569" s="1" t="n">
        <v>44818.36606481481</v>
      </c>
      <c r="C569" s="1" t="n">
        <v>46174</v>
      </c>
      <c r="D569" t="inlineStr">
        <is>
          <t>VÄSTMANLANDS LÄN</t>
        </is>
      </c>
      <c r="E569" t="inlineStr">
        <is>
          <t>SALA</t>
        </is>
      </c>
      <c r="G569" t="n">
        <v>9.4</v>
      </c>
      <c r="H569" t="n">
        <v>0</v>
      </c>
      <c r="I569" t="n">
        <v>0</v>
      </c>
      <c r="J569" t="n">
        <v>0</v>
      </c>
      <c r="K569" t="n">
        <v>0</v>
      </c>
      <c r="L569" t="n">
        <v>0</v>
      </c>
      <c r="M569" t="n">
        <v>0</v>
      </c>
      <c r="N569" t="n">
        <v>0</v>
      </c>
      <c r="O569" t="n">
        <v>0</v>
      </c>
      <c r="P569" t="n">
        <v>0</v>
      </c>
      <c r="Q569" t="n">
        <v>0</v>
      </c>
      <c r="R569" s="2" t="inlineStr"/>
    </row>
    <row r="570" ht="15" customHeight="1">
      <c r="A570" t="inlineStr">
        <is>
          <t>A 19033-2025</t>
        </is>
      </c>
      <c r="B570" s="1" t="n">
        <v>45764.65796296296</v>
      </c>
      <c r="C570" s="1" t="n">
        <v>46174</v>
      </c>
      <c r="D570" t="inlineStr">
        <is>
          <t>VÄSTMANLANDS LÄN</t>
        </is>
      </c>
      <c r="E570" t="inlineStr">
        <is>
          <t>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7176-2023</t>
        </is>
      </c>
      <c r="B571" s="1" t="n">
        <v>44970</v>
      </c>
      <c r="C571" s="1" t="n">
        <v>46174</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27228-2023</t>
        </is>
      </c>
      <c r="B572" s="1" t="n">
        <v>45096.59189814814</v>
      </c>
      <c r="C572" s="1" t="n">
        <v>46174</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26507-2023</t>
        </is>
      </c>
      <c r="B573" s="1" t="n">
        <v>45092</v>
      </c>
      <c r="C573" s="1" t="n">
        <v>46174</v>
      </c>
      <c r="D573" t="inlineStr">
        <is>
          <t>VÄSTMANLANDS LÄN</t>
        </is>
      </c>
      <c r="E573" t="inlineStr">
        <is>
          <t>SALA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43600-2024</t>
        </is>
      </c>
      <c r="B574" s="1" t="n">
        <v>45569</v>
      </c>
      <c r="C574" s="1" t="n">
        <v>46174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6183-2025</t>
        </is>
      </c>
      <c r="B575" s="1" t="n">
        <v>45698</v>
      </c>
      <c r="C575" s="1" t="n">
        <v>46174</v>
      </c>
      <c r="D575" t="inlineStr">
        <is>
          <t>VÄSTMANLANDS LÄN</t>
        </is>
      </c>
      <c r="E575" t="inlineStr">
        <is>
          <t>SALA</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16543-2023</t>
        </is>
      </c>
      <c r="B576" s="1" t="n">
        <v>45029</v>
      </c>
      <c r="C576" s="1" t="n">
        <v>46174</v>
      </c>
      <c r="D576" t="inlineStr">
        <is>
          <t>VÄSTMANLANDS LÄN</t>
        </is>
      </c>
      <c r="E576" t="inlineStr">
        <is>
          <t>SALA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31405-2024</t>
        </is>
      </c>
      <c r="B577" s="1" t="n">
        <v>45505.5490625</v>
      </c>
      <c r="C577" s="1" t="n">
        <v>46174</v>
      </c>
      <c r="D577" t="inlineStr">
        <is>
          <t>VÄSTMANLANDS LÄN</t>
        </is>
      </c>
      <c r="E577" t="inlineStr">
        <is>
          <t>SALA</t>
        </is>
      </c>
      <c r="G577" t="n">
        <v>5.2</v>
      </c>
      <c r="H577" t="n">
        <v>0</v>
      </c>
      <c r="I577" t="n">
        <v>0</v>
      </c>
      <c r="J577" t="n">
        <v>0</v>
      </c>
      <c r="K577" t="n">
        <v>0</v>
      </c>
      <c r="L577" t="n">
        <v>0</v>
      </c>
      <c r="M577" t="n">
        <v>0</v>
      </c>
      <c r="N577" t="n">
        <v>0</v>
      </c>
      <c r="O577" t="n">
        <v>0</v>
      </c>
      <c r="P577" t="n">
        <v>0</v>
      </c>
      <c r="Q577" t="n">
        <v>0</v>
      </c>
      <c r="R577" s="2" t="inlineStr"/>
    </row>
    <row r="578" ht="15" customHeight="1">
      <c r="A578" t="inlineStr">
        <is>
          <t>A 22616-2025</t>
        </is>
      </c>
      <c r="B578" s="1" t="n">
        <v>45789.42752314815</v>
      </c>
      <c r="C578" s="1" t="n">
        <v>46174</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55997-2025</t>
        </is>
      </c>
      <c r="B579" s="1" t="n">
        <v>45973.56833333334</v>
      </c>
      <c r="C579" s="1" t="n">
        <v>46174</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7772-2023</t>
        </is>
      </c>
      <c r="B580" s="1" t="n">
        <v>44973.40076388889</v>
      </c>
      <c r="C580" s="1" t="n">
        <v>46174</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22353-2025</t>
        </is>
      </c>
      <c r="B581" s="1" t="n">
        <v>45786</v>
      </c>
      <c r="C581" s="1" t="n">
        <v>46174</v>
      </c>
      <c r="D581" t="inlineStr">
        <is>
          <t>VÄSTMANLANDS LÄN</t>
        </is>
      </c>
      <c r="E581" t="inlineStr">
        <is>
          <t>SALA</t>
        </is>
      </c>
      <c r="G581" t="n">
        <v>2.5</v>
      </c>
      <c r="H581" t="n">
        <v>0</v>
      </c>
      <c r="I581" t="n">
        <v>0</v>
      </c>
      <c r="J581" t="n">
        <v>0</v>
      </c>
      <c r="K581" t="n">
        <v>0</v>
      </c>
      <c r="L581" t="n">
        <v>0</v>
      </c>
      <c r="M581" t="n">
        <v>0</v>
      </c>
      <c r="N581" t="n">
        <v>0</v>
      </c>
      <c r="O581" t="n">
        <v>0</v>
      </c>
      <c r="P581" t="n">
        <v>0</v>
      </c>
      <c r="Q581" t="n">
        <v>0</v>
      </c>
      <c r="R581" s="2" t="inlineStr"/>
    </row>
    <row r="582" ht="15" customHeight="1">
      <c r="A582" t="inlineStr">
        <is>
          <t>A 55714-2025</t>
        </is>
      </c>
      <c r="B582" s="1" t="n">
        <v>45972.49131944445</v>
      </c>
      <c r="C582" s="1" t="n">
        <v>46174</v>
      </c>
      <c r="D582" t="inlineStr">
        <is>
          <t>VÄSTMANLANDS LÄN</t>
        </is>
      </c>
      <c r="E582" t="inlineStr">
        <is>
          <t>SALA</t>
        </is>
      </c>
      <c r="G582" t="n">
        <v>6.6</v>
      </c>
      <c r="H582" t="n">
        <v>0</v>
      </c>
      <c r="I582" t="n">
        <v>0</v>
      </c>
      <c r="J582" t="n">
        <v>0</v>
      </c>
      <c r="K582" t="n">
        <v>0</v>
      </c>
      <c r="L582" t="n">
        <v>0</v>
      </c>
      <c r="M582" t="n">
        <v>0</v>
      </c>
      <c r="N582" t="n">
        <v>0</v>
      </c>
      <c r="O582" t="n">
        <v>0</v>
      </c>
      <c r="P582" t="n">
        <v>0</v>
      </c>
      <c r="Q582" t="n">
        <v>0</v>
      </c>
      <c r="R582" s="2" t="inlineStr"/>
    </row>
    <row r="583" ht="15" customHeight="1">
      <c r="A583" t="inlineStr">
        <is>
          <t>A 56593-2025</t>
        </is>
      </c>
      <c r="B583" s="1" t="n">
        <v>45975</v>
      </c>
      <c r="C583" s="1" t="n">
        <v>46174</v>
      </c>
      <c r="D583" t="inlineStr">
        <is>
          <t>VÄSTMANLANDS LÄN</t>
        </is>
      </c>
      <c r="E583" t="inlineStr">
        <is>
          <t>SALA</t>
        </is>
      </c>
      <c r="F583" t="inlineStr">
        <is>
          <t>Kyrkan</t>
        </is>
      </c>
      <c r="G583" t="n">
        <v>0.1</v>
      </c>
      <c r="H583" t="n">
        <v>0</v>
      </c>
      <c r="I583" t="n">
        <v>0</v>
      </c>
      <c r="J583" t="n">
        <v>0</v>
      </c>
      <c r="K583" t="n">
        <v>0</v>
      </c>
      <c r="L583" t="n">
        <v>0</v>
      </c>
      <c r="M583" t="n">
        <v>0</v>
      </c>
      <c r="N583" t="n">
        <v>0</v>
      </c>
      <c r="O583" t="n">
        <v>0</v>
      </c>
      <c r="P583" t="n">
        <v>0</v>
      </c>
      <c r="Q583" t="n">
        <v>0</v>
      </c>
      <c r="R583" s="2" t="inlineStr"/>
    </row>
    <row r="584" ht="15" customHeight="1">
      <c r="A584" t="inlineStr">
        <is>
          <t>A 22383-2025</t>
        </is>
      </c>
      <c r="B584" s="1" t="n">
        <v>45786</v>
      </c>
      <c r="C584" s="1" t="n">
        <v>46174</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19751-2022</t>
        </is>
      </c>
      <c r="B585" s="1" t="n">
        <v>44694</v>
      </c>
      <c r="C585" s="1" t="n">
        <v>46174</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56645-2025</t>
        </is>
      </c>
      <c r="B586" s="1" t="n">
        <v>45975.63063657407</v>
      </c>
      <c r="C586" s="1" t="n">
        <v>46174</v>
      </c>
      <c r="D586" t="inlineStr">
        <is>
          <t>VÄSTMANLANDS LÄN</t>
        </is>
      </c>
      <c r="E586" t="inlineStr">
        <is>
          <t>SALA</t>
        </is>
      </c>
      <c r="F586" t="inlineStr">
        <is>
          <t>Bergvik skog öst AB</t>
        </is>
      </c>
      <c r="G586" t="n">
        <v>5.3</v>
      </c>
      <c r="H586" t="n">
        <v>0</v>
      </c>
      <c r="I586" t="n">
        <v>0</v>
      </c>
      <c r="J586" t="n">
        <v>0</v>
      </c>
      <c r="K586" t="n">
        <v>0</v>
      </c>
      <c r="L586" t="n">
        <v>0</v>
      </c>
      <c r="M586" t="n">
        <v>0</v>
      </c>
      <c r="N586" t="n">
        <v>0</v>
      </c>
      <c r="O586" t="n">
        <v>0</v>
      </c>
      <c r="P586" t="n">
        <v>0</v>
      </c>
      <c r="Q586" t="n">
        <v>0</v>
      </c>
      <c r="R586" s="2" t="inlineStr"/>
    </row>
    <row r="587" ht="15" customHeight="1">
      <c r="A587" t="inlineStr">
        <is>
          <t>A 56502-2025</t>
        </is>
      </c>
      <c r="B587" s="1" t="n">
        <v>45975</v>
      </c>
      <c r="C587" s="1" t="n">
        <v>46174</v>
      </c>
      <c r="D587" t="inlineStr">
        <is>
          <t>VÄSTMANLANDS LÄN</t>
        </is>
      </c>
      <c r="E587" t="inlineStr">
        <is>
          <t>SALA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44713-2023</t>
        </is>
      </c>
      <c r="B588" s="1" t="n">
        <v>45184</v>
      </c>
      <c r="C588" s="1" t="n">
        <v>46174</v>
      </c>
      <c r="D588" t="inlineStr">
        <is>
          <t>VÄSTMANLANDS LÄN</t>
        </is>
      </c>
      <c r="E588" t="inlineStr">
        <is>
          <t>SALA</t>
        </is>
      </c>
      <c r="F588" t="inlineStr">
        <is>
          <t>Kyrkan</t>
        </is>
      </c>
      <c r="G588" t="n">
        <v>7.6</v>
      </c>
      <c r="H588" t="n">
        <v>0</v>
      </c>
      <c r="I588" t="n">
        <v>0</v>
      </c>
      <c r="J588" t="n">
        <v>0</v>
      </c>
      <c r="K588" t="n">
        <v>0</v>
      </c>
      <c r="L588" t="n">
        <v>0</v>
      </c>
      <c r="M588" t="n">
        <v>0</v>
      </c>
      <c r="N588" t="n">
        <v>0</v>
      </c>
      <c r="O588" t="n">
        <v>0</v>
      </c>
      <c r="P588" t="n">
        <v>0</v>
      </c>
      <c r="Q588" t="n">
        <v>0</v>
      </c>
      <c r="R588" s="2" t="inlineStr"/>
    </row>
    <row r="589" ht="15" customHeight="1">
      <c r="A589" t="inlineStr">
        <is>
          <t>A 56614-2025</t>
        </is>
      </c>
      <c r="B589" s="1" t="n">
        <v>45975.59288194445</v>
      </c>
      <c r="C589" s="1" t="n">
        <v>46174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56611-2025</t>
        </is>
      </c>
      <c r="B590" s="1" t="n">
        <v>45975</v>
      </c>
      <c r="C590" s="1" t="n">
        <v>46174</v>
      </c>
      <c r="D590" t="inlineStr">
        <is>
          <t>VÄSTMANLANDS LÄN</t>
        </is>
      </c>
      <c r="E590" t="inlineStr">
        <is>
          <t>SALA</t>
        </is>
      </c>
      <c r="G590" t="n">
        <v>2.8</v>
      </c>
      <c r="H590" t="n">
        <v>0</v>
      </c>
      <c r="I590" t="n">
        <v>0</v>
      </c>
      <c r="J590" t="n">
        <v>0</v>
      </c>
      <c r="K590" t="n">
        <v>0</v>
      </c>
      <c r="L590" t="n">
        <v>0</v>
      </c>
      <c r="M590" t="n">
        <v>0</v>
      </c>
      <c r="N590" t="n">
        <v>0</v>
      </c>
      <c r="O590" t="n">
        <v>0</v>
      </c>
      <c r="P590" t="n">
        <v>0</v>
      </c>
      <c r="Q590" t="n">
        <v>0</v>
      </c>
      <c r="R590" s="2" t="inlineStr"/>
    </row>
    <row r="591" ht="15" customHeight="1">
      <c r="A591" t="inlineStr">
        <is>
          <t>A 18713-2025</t>
        </is>
      </c>
      <c r="B591" s="1" t="n">
        <v>45763</v>
      </c>
      <c r="C591" s="1" t="n">
        <v>46174</v>
      </c>
      <c r="D591" t="inlineStr">
        <is>
          <t>VÄSTMANLANDS LÄN</t>
        </is>
      </c>
      <c r="E591" t="inlineStr">
        <is>
          <t>SALA</t>
        </is>
      </c>
      <c r="F591" t="inlineStr">
        <is>
          <t>Bergvik skog öst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47479-2024</t>
        </is>
      </c>
      <c r="B592" s="1" t="n">
        <v>45587</v>
      </c>
      <c r="C592" s="1" t="n">
        <v>46174</v>
      </c>
      <c r="D592" t="inlineStr">
        <is>
          <t>VÄSTMANLANDS LÄN</t>
        </is>
      </c>
      <c r="E592" t="inlineStr">
        <is>
          <t>SALA</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18382-2026</t>
        </is>
      </c>
      <c r="B593" s="1" t="n">
        <v>46126.63601851852</v>
      </c>
      <c r="C593" s="1" t="n">
        <v>46174</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69236-2021</t>
        </is>
      </c>
      <c r="B594" s="1" t="n">
        <v>44531.4047337963</v>
      </c>
      <c r="C594" s="1" t="n">
        <v>46174</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25541-2024</t>
        </is>
      </c>
      <c r="B595" s="1" t="n">
        <v>45463.56337962963</v>
      </c>
      <c r="C595" s="1" t="n">
        <v>46174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20838-2026</t>
        </is>
      </c>
      <c r="B596" s="1" t="n">
        <v>46142.34188657408</v>
      </c>
      <c r="C596" s="1" t="n">
        <v>46174</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18592-2026</t>
        </is>
      </c>
      <c r="B597" s="1" t="n">
        <v>46127.64232638889</v>
      </c>
      <c r="C597" s="1" t="n">
        <v>46174</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5728-2022</t>
        </is>
      </c>
      <c r="B598" s="1" t="n">
        <v>44596.42082175926</v>
      </c>
      <c r="C598" s="1" t="n">
        <v>46174</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24292-2026</t>
        </is>
      </c>
      <c r="B599" s="1" t="n">
        <v>46169.42405092593</v>
      </c>
      <c r="C599" s="1" t="n">
        <v>46174</v>
      </c>
      <c r="D599" t="inlineStr">
        <is>
          <t>VÄSTMANLANDS LÄN</t>
        </is>
      </c>
      <c r="E599" t="inlineStr">
        <is>
          <t>SALA</t>
        </is>
      </c>
      <c r="G599" t="n">
        <v>1.6</v>
      </c>
      <c r="H599" t="n">
        <v>0</v>
      </c>
      <c r="I599" t="n">
        <v>0</v>
      </c>
      <c r="J599" t="n">
        <v>0</v>
      </c>
      <c r="K599" t="n">
        <v>0</v>
      </c>
      <c r="L599" t="n">
        <v>0</v>
      </c>
      <c r="M599" t="n">
        <v>0</v>
      </c>
      <c r="N599" t="n">
        <v>0</v>
      </c>
      <c r="O599" t="n">
        <v>0</v>
      </c>
      <c r="P599" t="n">
        <v>0</v>
      </c>
      <c r="Q599" t="n">
        <v>0</v>
      </c>
      <c r="R599" s="2" t="inlineStr"/>
    </row>
    <row r="600" ht="15" customHeight="1">
      <c r="A600" t="inlineStr">
        <is>
          <t>A 57014-2025</t>
        </is>
      </c>
      <c r="B600" s="1" t="n">
        <v>45978</v>
      </c>
      <c r="C600" s="1" t="n">
        <v>46174</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22624-2025</t>
        </is>
      </c>
      <c r="B601" s="1" t="n">
        <v>45789.43327546296</v>
      </c>
      <c r="C601" s="1" t="n">
        <v>46174</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22370-2025</t>
        </is>
      </c>
      <c r="B602" s="1" t="n">
        <v>45786</v>
      </c>
      <c r="C602" s="1" t="n">
        <v>46174</v>
      </c>
      <c r="D602" t="inlineStr">
        <is>
          <t>VÄSTMANLANDS LÄN</t>
        </is>
      </c>
      <c r="E602" t="inlineStr">
        <is>
          <t>SALA</t>
        </is>
      </c>
      <c r="G602" t="n">
        <v>3.2</v>
      </c>
      <c r="H602" t="n">
        <v>0</v>
      </c>
      <c r="I602" t="n">
        <v>0</v>
      </c>
      <c r="J602" t="n">
        <v>0</v>
      </c>
      <c r="K602" t="n">
        <v>0</v>
      </c>
      <c r="L602" t="n">
        <v>0</v>
      </c>
      <c r="M602" t="n">
        <v>0</v>
      </c>
      <c r="N602" t="n">
        <v>0</v>
      </c>
      <c r="O602" t="n">
        <v>0</v>
      </c>
      <c r="P602" t="n">
        <v>0</v>
      </c>
      <c r="Q602" t="n">
        <v>0</v>
      </c>
      <c r="R602" s="2" t="inlineStr"/>
    </row>
    <row r="603" ht="15" customHeight="1">
      <c r="A603" t="inlineStr">
        <is>
          <t>A 57414-2025</t>
        </is>
      </c>
      <c r="B603" s="1" t="n">
        <v>45980.45003472222</v>
      </c>
      <c r="C603" s="1" t="n">
        <v>46174</v>
      </c>
      <c r="D603" t="inlineStr">
        <is>
          <t>VÄSTMANLANDS LÄN</t>
        </is>
      </c>
      <c r="E603" t="inlineStr">
        <is>
          <t>SALA</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57415-2025</t>
        </is>
      </c>
      <c r="B604" s="1" t="n">
        <v>45980.45099537037</v>
      </c>
      <c r="C604" s="1" t="n">
        <v>46174</v>
      </c>
      <c r="D604" t="inlineStr">
        <is>
          <t>VÄSTMANLANDS LÄN</t>
        </is>
      </c>
      <c r="E604" t="inlineStr">
        <is>
          <t>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57412-2025</t>
        </is>
      </c>
      <c r="B605" s="1" t="n">
        <v>45980.44883101852</v>
      </c>
      <c r="C605" s="1" t="n">
        <v>46174</v>
      </c>
      <c r="D605" t="inlineStr">
        <is>
          <t>VÄSTMANLANDS LÄN</t>
        </is>
      </c>
      <c r="E605" t="inlineStr">
        <is>
          <t>SALA</t>
        </is>
      </c>
      <c r="F605" t="inlineStr">
        <is>
          <t>Bergvik skog öst AB</t>
        </is>
      </c>
      <c r="G605" t="n">
        <v>4.5</v>
      </c>
      <c r="H605" t="n">
        <v>0</v>
      </c>
      <c r="I605" t="n">
        <v>0</v>
      </c>
      <c r="J605" t="n">
        <v>0</v>
      </c>
      <c r="K605" t="n">
        <v>0</v>
      </c>
      <c r="L605" t="n">
        <v>0</v>
      </c>
      <c r="M605" t="n">
        <v>0</v>
      </c>
      <c r="N605" t="n">
        <v>0</v>
      </c>
      <c r="O605" t="n">
        <v>0</v>
      </c>
      <c r="P605" t="n">
        <v>0</v>
      </c>
      <c r="Q605" t="n">
        <v>0</v>
      </c>
      <c r="R605" s="2" t="inlineStr"/>
    </row>
    <row r="606" ht="15" customHeight="1">
      <c r="A606" t="inlineStr">
        <is>
          <t>A 13130-2025</t>
        </is>
      </c>
      <c r="B606" s="1" t="n">
        <v>45734</v>
      </c>
      <c r="C606" s="1" t="n">
        <v>46174</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58359-2025</t>
        </is>
      </c>
      <c r="B607" s="1" t="n">
        <v>45985.51594907408</v>
      </c>
      <c r="C607" s="1" t="n">
        <v>46174</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58364-2025</t>
        </is>
      </c>
      <c r="B608" s="1" t="n">
        <v>45985.5228125</v>
      </c>
      <c r="C608" s="1" t="n">
        <v>46174</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58282-2025</t>
        </is>
      </c>
      <c r="B609" s="1" t="n">
        <v>45985.44309027777</v>
      </c>
      <c r="C609" s="1" t="n">
        <v>46174</v>
      </c>
      <c r="D609" t="inlineStr">
        <is>
          <t>VÄSTMANLANDS LÄN</t>
        </is>
      </c>
      <c r="E609" t="inlineStr">
        <is>
          <t>SALA</t>
        </is>
      </c>
      <c r="G609" t="n">
        <v>8.9</v>
      </c>
      <c r="H609" t="n">
        <v>0</v>
      </c>
      <c r="I609" t="n">
        <v>0</v>
      </c>
      <c r="J609" t="n">
        <v>0</v>
      </c>
      <c r="K609" t="n">
        <v>0</v>
      </c>
      <c r="L609" t="n">
        <v>0</v>
      </c>
      <c r="M609" t="n">
        <v>0</v>
      </c>
      <c r="N609" t="n">
        <v>0</v>
      </c>
      <c r="O609" t="n">
        <v>0</v>
      </c>
      <c r="P609" t="n">
        <v>0</v>
      </c>
      <c r="Q609" t="n">
        <v>0</v>
      </c>
      <c r="R609" s="2" t="inlineStr"/>
    </row>
    <row r="610" ht="15" customHeight="1">
      <c r="A610" t="inlineStr">
        <is>
          <t>A 55760-2025</t>
        </is>
      </c>
      <c r="B610" s="1" t="n">
        <v>45972</v>
      </c>
      <c r="C610" s="1" t="n">
        <v>46174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58357-2025</t>
        </is>
      </c>
      <c r="B611" s="1" t="n">
        <v>45985.51518518518</v>
      </c>
      <c r="C611" s="1" t="n">
        <v>46174</v>
      </c>
      <c r="D611" t="inlineStr">
        <is>
          <t>VÄSTMANLANDS LÄN</t>
        </is>
      </c>
      <c r="E611" t="inlineStr">
        <is>
          <t>SALA</t>
        </is>
      </c>
      <c r="G611" t="n">
        <v>3</v>
      </c>
      <c r="H611" t="n">
        <v>0</v>
      </c>
      <c r="I611" t="n">
        <v>0</v>
      </c>
      <c r="J611" t="n">
        <v>0</v>
      </c>
      <c r="K611" t="n">
        <v>0</v>
      </c>
      <c r="L611" t="n">
        <v>0</v>
      </c>
      <c r="M611" t="n">
        <v>0</v>
      </c>
      <c r="N611" t="n">
        <v>0</v>
      </c>
      <c r="O611" t="n">
        <v>0</v>
      </c>
      <c r="P611" t="n">
        <v>0</v>
      </c>
      <c r="Q611" t="n">
        <v>0</v>
      </c>
      <c r="R611" s="2" t="inlineStr"/>
    </row>
    <row r="612" ht="15" customHeight="1">
      <c r="A612" t="inlineStr">
        <is>
          <t>A 58365-2025</t>
        </is>
      </c>
      <c r="B612" s="1" t="n">
        <v>45985.52288194445</v>
      </c>
      <c r="C612" s="1" t="n">
        <v>46174</v>
      </c>
      <c r="D612" t="inlineStr">
        <is>
          <t>VÄSTMANLANDS LÄN</t>
        </is>
      </c>
      <c r="E612" t="inlineStr">
        <is>
          <t>SALA</t>
        </is>
      </c>
      <c r="G612" t="n">
        <v>3.9</v>
      </c>
      <c r="H612" t="n">
        <v>0</v>
      </c>
      <c r="I612" t="n">
        <v>0</v>
      </c>
      <c r="J612" t="n">
        <v>0</v>
      </c>
      <c r="K612" t="n">
        <v>0</v>
      </c>
      <c r="L612" t="n">
        <v>0</v>
      </c>
      <c r="M612" t="n">
        <v>0</v>
      </c>
      <c r="N612" t="n">
        <v>0</v>
      </c>
      <c r="O612" t="n">
        <v>0</v>
      </c>
      <c r="P612" t="n">
        <v>0</v>
      </c>
      <c r="Q612" t="n">
        <v>0</v>
      </c>
      <c r="R612" s="2" t="inlineStr"/>
    </row>
    <row r="613" ht="15" customHeight="1">
      <c r="A613" t="inlineStr">
        <is>
          <t>A 23804-2025</t>
        </is>
      </c>
      <c r="B613" s="1" t="n">
        <v>45793.55995370371</v>
      </c>
      <c r="C613" s="1" t="n">
        <v>46174</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22126-2025</t>
        </is>
      </c>
      <c r="B614" s="1" t="n">
        <v>45785</v>
      </c>
      <c r="C614" s="1" t="n">
        <v>46174</v>
      </c>
      <c r="D614" t="inlineStr">
        <is>
          <t>VÄSTMANLANDS LÄN</t>
        </is>
      </c>
      <c r="E614" t="inlineStr">
        <is>
          <t>SALA</t>
        </is>
      </c>
      <c r="G614" t="n">
        <v>10.6</v>
      </c>
      <c r="H614" t="n">
        <v>0</v>
      </c>
      <c r="I614" t="n">
        <v>0</v>
      </c>
      <c r="J614" t="n">
        <v>0</v>
      </c>
      <c r="K614" t="n">
        <v>0</v>
      </c>
      <c r="L614" t="n">
        <v>0</v>
      </c>
      <c r="M614" t="n">
        <v>0</v>
      </c>
      <c r="N614" t="n">
        <v>0</v>
      </c>
      <c r="O614" t="n">
        <v>0</v>
      </c>
      <c r="P614" t="n">
        <v>0</v>
      </c>
      <c r="Q614" t="n">
        <v>0</v>
      </c>
      <c r="R614" s="2" t="inlineStr"/>
    </row>
    <row r="615" ht="15" customHeight="1">
      <c r="A615" t="inlineStr">
        <is>
          <t>A 19297-2025</t>
        </is>
      </c>
      <c r="B615" s="1" t="n">
        <v>45769.56261574074</v>
      </c>
      <c r="C615" s="1" t="n">
        <v>46174</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23810-2025</t>
        </is>
      </c>
      <c r="B616" s="1" t="n">
        <v>45793.56989583333</v>
      </c>
      <c r="C616" s="1" t="n">
        <v>46174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59385-2025</t>
        </is>
      </c>
      <c r="B617" s="1" t="n">
        <v>45989.45746527778</v>
      </c>
      <c r="C617" s="1" t="n">
        <v>46174</v>
      </c>
      <c r="D617" t="inlineStr">
        <is>
          <t>VÄSTMANLANDS LÄN</t>
        </is>
      </c>
      <c r="E617" t="inlineStr">
        <is>
          <t>SALA</t>
        </is>
      </c>
      <c r="G617" t="n">
        <v>0.4</v>
      </c>
      <c r="H617" t="n">
        <v>0</v>
      </c>
      <c r="I617" t="n">
        <v>0</v>
      </c>
      <c r="J617" t="n">
        <v>0</v>
      </c>
      <c r="K617" t="n">
        <v>0</v>
      </c>
      <c r="L617" t="n">
        <v>0</v>
      </c>
      <c r="M617" t="n">
        <v>0</v>
      </c>
      <c r="N617" t="n">
        <v>0</v>
      </c>
      <c r="O617" t="n">
        <v>0</v>
      </c>
      <c r="P617" t="n">
        <v>0</v>
      </c>
      <c r="Q617" t="n">
        <v>0</v>
      </c>
      <c r="R617" s="2" t="inlineStr"/>
    </row>
    <row r="618" ht="15" customHeight="1">
      <c r="A618" t="inlineStr">
        <is>
          <t>A 59390-2025</t>
        </is>
      </c>
      <c r="B618" s="1" t="n">
        <v>45989.4640162037</v>
      </c>
      <c r="C618" s="1" t="n">
        <v>46174</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51247-2025</t>
        </is>
      </c>
      <c r="B619" s="1" t="n">
        <v>45947.86487268518</v>
      </c>
      <c r="C619" s="1" t="n">
        <v>46174</v>
      </c>
      <c r="D619" t="inlineStr">
        <is>
          <t>VÄSTMANLANDS LÄN</t>
        </is>
      </c>
      <c r="E619" t="inlineStr">
        <is>
          <t>SALA</t>
        </is>
      </c>
      <c r="G619" t="n">
        <v>10.4</v>
      </c>
      <c r="H619" t="n">
        <v>0</v>
      </c>
      <c r="I619" t="n">
        <v>0</v>
      </c>
      <c r="J619" t="n">
        <v>0</v>
      </c>
      <c r="K619" t="n">
        <v>0</v>
      </c>
      <c r="L619" t="n">
        <v>0</v>
      </c>
      <c r="M619" t="n">
        <v>0</v>
      </c>
      <c r="N619" t="n">
        <v>0</v>
      </c>
      <c r="O619" t="n">
        <v>0</v>
      </c>
      <c r="P619" t="n">
        <v>0</v>
      </c>
      <c r="Q619" t="n">
        <v>0</v>
      </c>
      <c r="R619" s="2" t="inlineStr"/>
    </row>
    <row r="620" ht="15" customHeight="1">
      <c r="A620" t="inlineStr">
        <is>
          <t>A 24169-2025</t>
        </is>
      </c>
      <c r="B620" s="1" t="n">
        <v>45796</v>
      </c>
      <c r="C620" s="1" t="n">
        <v>46174</v>
      </c>
      <c r="D620" t="inlineStr">
        <is>
          <t>VÄSTMANLANDS LÄN</t>
        </is>
      </c>
      <c r="E620" t="inlineStr">
        <is>
          <t>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11210-2025</t>
        </is>
      </c>
      <c r="B621" s="1" t="n">
        <v>45726</v>
      </c>
      <c r="C621" s="1" t="n">
        <v>46174</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24944-2023</t>
        </is>
      </c>
      <c r="B622" s="1" t="n">
        <v>45085</v>
      </c>
      <c r="C622" s="1" t="n">
        <v>46174</v>
      </c>
      <c r="D622" t="inlineStr">
        <is>
          <t>VÄSTMANLANDS LÄN</t>
        </is>
      </c>
      <c r="E622" t="inlineStr">
        <is>
          <t>SALA</t>
        </is>
      </c>
      <c r="G622" t="n">
        <v>3.8</v>
      </c>
      <c r="H622" t="n">
        <v>0</v>
      </c>
      <c r="I622" t="n">
        <v>0</v>
      </c>
      <c r="J622" t="n">
        <v>0</v>
      </c>
      <c r="K622" t="n">
        <v>0</v>
      </c>
      <c r="L622" t="n">
        <v>0</v>
      </c>
      <c r="M622" t="n">
        <v>0</v>
      </c>
      <c r="N622" t="n">
        <v>0</v>
      </c>
      <c r="O622" t="n">
        <v>0</v>
      </c>
      <c r="P622" t="n">
        <v>0</v>
      </c>
      <c r="Q622" t="n">
        <v>0</v>
      </c>
      <c r="R622" s="2" t="inlineStr"/>
    </row>
    <row r="623" ht="15" customHeight="1">
      <c r="A623" t="inlineStr">
        <is>
          <t>A 59817-2025</t>
        </is>
      </c>
      <c r="B623" s="1" t="n">
        <v>45992.63711805556</v>
      </c>
      <c r="C623" s="1" t="n">
        <v>46174</v>
      </c>
      <c r="D623" t="inlineStr">
        <is>
          <t>VÄSTMANLANDS LÄN</t>
        </is>
      </c>
      <c r="E623" t="inlineStr">
        <is>
          <t>SALA</t>
        </is>
      </c>
      <c r="G623" t="n">
        <v>6.9</v>
      </c>
      <c r="H623" t="n">
        <v>0</v>
      </c>
      <c r="I623" t="n">
        <v>0</v>
      </c>
      <c r="J623" t="n">
        <v>0</v>
      </c>
      <c r="K623" t="n">
        <v>0</v>
      </c>
      <c r="L623" t="n">
        <v>0</v>
      </c>
      <c r="M623" t="n">
        <v>0</v>
      </c>
      <c r="N623" t="n">
        <v>0</v>
      </c>
      <c r="O623" t="n">
        <v>0</v>
      </c>
      <c r="P623" t="n">
        <v>0</v>
      </c>
      <c r="Q623" t="n">
        <v>0</v>
      </c>
      <c r="R623" s="2" t="inlineStr"/>
    </row>
    <row r="624" ht="15" customHeight="1">
      <c r="A624" t="inlineStr">
        <is>
          <t>A 59870-2025</t>
        </is>
      </c>
      <c r="B624" s="1" t="n">
        <v>45992.92226851852</v>
      </c>
      <c r="C624" s="1" t="n">
        <v>46174</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59926-2025</t>
        </is>
      </c>
      <c r="B625" s="1" t="n">
        <v>45993.39221064815</v>
      </c>
      <c r="C625" s="1" t="n">
        <v>46174</v>
      </c>
      <c r="D625" t="inlineStr">
        <is>
          <t>VÄSTMANLANDS LÄN</t>
        </is>
      </c>
      <c r="E625" t="inlineStr">
        <is>
          <t>SALA</t>
        </is>
      </c>
      <c r="G625" t="n">
        <v>7.1</v>
      </c>
      <c r="H625" t="n">
        <v>0</v>
      </c>
      <c r="I625" t="n">
        <v>0</v>
      </c>
      <c r="J625" t="n">
        <v>0</v>
      </c>
      <c r="K625" t="n">
        <v>0</v>
      </c>
      <c r="L625" t="n">
        <v>0</v>
      </c>
      <c r="M625" t="n">
        <v>0</v>
      </c>
      <c r="N625" t="n">
        <v>0</v>
      </c>
      <c r="O625" t="n">
        <v>0</v>
      </c>
      <c r="P625" t="n">
        <v>0</v>
      </c>
      <c r="Q625" t="n">
        <v>0</v>
      </c>
      <c r="R625" s="2" t="inlineStr"/>
    </row>
    <row r="626" ht="15" customHeight="1">
      <c r="A626" t="inlineStr">
        <is>
          <t>A 60017-2025</t>
        </is>
      </c>
      <c r="B626" s="1" t="n">
        <v>45993.59998842593</v>
      </c>
      <c r="C626" s="1" t="n">
        <v>46174</v>
      </c>
      <c r="D626" t="inlineStr">
        <is>
          <t>VÄSTMANLANDS LÄN</t>
        </is>
      </c>
      <c r="E626" t="inlineStr">
        <is>
          <t>SALA</t>
        </is>
      </c>
      <c r="G626" t="n">
        <v>4.4</v>
      </c>
      <c r="H626" t="n">
        <v>0</v>
      </c>
      <c r="I626" t="n">
        <v>0</v>
      </c>
      <c r="J626" t="n">
        <v>0</v>
      </c>
      <c r="K626" t="n">
        <v>0</v>
      </c>
      <c r="L626" t="n">
        <v>0</v>
      </c>
      <c r="M626" t="n">
        <v>0</v>
      </c>
      <c r="N626" t="n">
        <v>0</v>
      </c>
      <c r="O626" t="n">
        <v>0</v>
      </c>
      <c r="P626" t="n">
        <v>0</v>
      </c>
      <c r="Q626" t="n">
        <v>0</v>
      </c>
      <c r="R626" s="2" t="inlineStr"/>
    </row>
    <row r="627" ht="15" customHeight="1">
      <c r="A627" t="inlineStr">
        <is>
          <t>A 60254-2025</t>
        </is>
      </c>
      <c r="B627" s="1" t="n">
        <v>45994.60146990741</v>
      </c>
      <c r="C627" s="1" t="n">
        <v>46174</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60259-2025</t>
        </is>
      </c>
      <c r="B628" s="1" t="n">
        <v>45994.60913194445</v>
      </c>
      <c r="C628" s="1" t="n">
        <v>46174</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60241-2025</t>
        </is>
      </c>
      <c r="B629" s="1" t="n">
        <v>45994.58454861111</v>
      </c>
      <c r="C629" s="1" t="n">
        <v>46174</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24460-2025</t>
        </is>
      </c>
      <c r="B630" s="1" t="n">
        <v>45798</v>
      </c>
      <c r="C630" s="1" t="n">
        <v>46174</v>
      </c>
      <c r="D630" t="inlineStr">
        <is>
          <t>VÄSTMANLANDS LÄN</t>
        </is>
      </c>
      <c r="E630" t="inlineStr">
        <is>
          <t>SALA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24463-2025</t>
        </is>
      </c>
      <c r="B631" s="1" t="n">
        <v>45798</v>
      </c>
      <c r="C631" s="1" t="n">
        <v>46174</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60258-2025</t>
        </is>
      </c>
      <c r="B632" s="1" t="n">
        <v>45994.6064699074</v>
      </c>
      <c r="C632" s="1" t="n">
        <v>46174</v>
      </c>
      <c r="D632" t="inlineStr">
        <is>
          <t>VÄSTMANLANDS LÄN</t>
        </is>
      </c>
      <c r="E632" t="inlineStr">
        <is>
          <t>SALA</t>
        </is>
      </c>
      <c r="G632" t="n">
        <v>2.2</v>
      </c>
      <c r="H632" t="n">
        <v>0</v>
      </c>
      <c r="I632" t="n">
        <v>0</v>
      </c>
      <c r="J632" t="n">
        <v>0</v>
      </c>
      <c r="K632" t="n">
        <v>0</v>
      </c>
      <c r="L632" t="n">
        <v>0</v>
      </c>
      <c r="M632" t="n">
        <v>0</v>
      </c>
      <c r="N632" t="n">
        <v>0</v>
      </c>
      <c r="O632" t="n">
        <v>0</v>
      </c>
      <c r="P632" t="n">
        <v>0</v>
      </c>
      <c r="Q632" t="n">
        <v>0</v>
      </c>
      <c r="R632" s="2" t="inlineStr"/>
    </row>
    <row r="633" ht="15" customHeight="1">
      <c r="A633" t="inlineStr">
        <is>
          <t>A 60246-2025</t>
        </is>
      </c>
      <c r="B633" s="1" t="n">
        <v>45994.58931712963</v>
      </c>
      <c r="C633" s="1" t="n">
        <v>46174</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60629-2025</t>
        </is>
      </c>
      <c r="B634" s="1" t="n">
        <v>45996.41972222222</v>
      </c>
      <c r="C634" s="1" t="n">
        <v>46174</v>
      </c>
      <c r="D634" t="inlineStr">
        <is>
          <t>VÄSTMANLANDS LÄN</t>
        </is>
      </c>
      <c r="E634" t="inlineStr">
        <is>
          <t>SALA</t>
        </is>
      </c>
      <c r="G634" t="n">
        <v>4.3</v>
      </c>
      <c r="H634" t="n">
        <v>0</v>
      </c>
      <c r="I634" t="n">
        <v>0</v>
      </c>
      <c r="J634" t="n">
        <v>0</v>
      </c>
      <c r="K634" t="n">
        <v>0</v>
      </c>
      <c r="L634" t="n">
        <v>0</v>
      </c>
      <c r="M634" t="n">
        <v>0</v>
      </c>
      <c r="N634" t="n">
        <v>0</v>
      </c>
      <c r="O634" t="n">
        <v>0</v>
      </c>
      <c r="P634" t="n">
        <v>0</v>
      </c>
      <c r="Q634" t="n">
        <v>0</v>
      </c>
      <c r="R634" s="2" t="inlineStr"/>
    </row>
    <row r="635" ht="15" customHeight="1">
      <c r="A635" t="inlineStr">
        <is>
          <t>A 55065-2024</t>
        </is>
      </c>
      <c r="B635" s="1" t="n">
        <v>45618</v>
      </c>
      <c r="C635" s="1" t="n">
        <v>46174</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24907-2025</t>
        </is>
      </c>
      <c r="B636" s="1" t="n">
        <v>45799</v>
      </c>
      <c r="C636" s="1" t="n">
        <v>46174</v>
      </c>
      <c r="D636" t="inlineStr">
        <is>
          <t>VÄSTMANLANDS LÄN</t>
        </is>
      </c>
      <c r="E636" t="inlineStr">
        <is>
          <t>SALA</t>
        </is>
      </c>
      <c r="G636" t="n">
        <v>3.5</v>
      </c>
      <c r="H636" t="n">
        <v>0</v>
      </c>
      <c r="I636" t="n">
        <v>0</v>
      </c>
      <c r="J636" t="n">
        <v>0</v>
      </c>
      <c r="K636" t="n">
        <v>0</v>
      </c>
      <c r="L636" t="n">
        <v>0</v>
      </c>
      <c r="M636" t="n">
        <v>0</v>
      </c>
      <c r="N636" t="n">
        <v>0</v>
      </c>
      <c r="O636" t="n">
        <v>0</v>
      </c>
      <c r="P636" t="n">
        <v>0</v>
      </c>
      <c r="Q636" t="n">
        <v>0</v>
      </c>
      <c r="R636" s="2" t="inlineStr"/>
    </row>
    <row r="637" ht="15" customHeight="1">
      <c r="A637" t="inlineStr">
        <is>
          <t>A 24910-2025</t>
        </is>
      </c>
      <c r="B637" s="1" t="n">
        <v>45799.53775462963</v>
      </c>
      <c r="C637" s="1" t="n">
        <v>46174</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61522-2025</t>
        </is>
      </c>
      <c r="B638" s="1" t="n">
        <v>46001.68684027778</v>
      </c>
      <c r="C638" s="1" t="n">
        <v>46174</v>
      </c>
      <c r="D638" t="inlineStr">
        <is>
          <t>VÄSTMANLANDS LÄN</t>
        </is>
      </c>
      <c r="E638" t="inlineStr">
        <is>
          <t>SALA</t>
        </is>
      </c>
      <c r="G638" t="n">
        <v>5.7</v>
      </c>
      <c r="H638" t="n">
        <v>0</v>
      </c>
      <c r="I638" t="n">
        <v>0</v>
      </c>
      <c r="J638" t="n">
        <v>0</v>
      </c>
      <c r="K638" t="n">
        <v>0</v>
      </c>
      <c r="L638" t="n">
        <v>0</v>
      </c>
      <c r="M638" t="n">
        <v>0</v>
      </c>
      <c r="N638" t="n">
        <v>0</v>
      </c>
      <c r="O638" t="n">
        <v>0</v>
      </c>
      <c r="P638" t="n">
        <v>0</v>
      </c>
      <c r="Q638" t="n">
        <v>0</v>
      </c>
      <c r="R638" s="2" t="inlineStr"/>
    </row>
    <row r="639" ht="15" customHeight="1">
      <c r="A639" t="inlineStr">
        <is>
          <t>A 10909-2024</t>
        </is>
      </c>
      <c r="B639" s="1" t="n">
        <v>45370</v>
      </c>
      <c r="C639" s="1" t="n">
        <v>46174</v>
      </c>
      <c r="D639" t="inlineStr">
        <is>
          <t>VÄSTMANLANDS LÄN</t>
        </is>
      </c>
      <c r="E639" t="inlineStr">
        <is>
          <t>SALA</t>
        </is>
      </c>
      <c r="G639" t="n">
        <v>3.3</v>
      </c>
      <c r="H639" t="n">
        <v>0</v>
      </c>
      <c r="I639" t="n">
        <v>0</v>
      </c>
      <c r="J639" t="n">
        <v>0</v>
      </c>
      <c r="K639" t="n">
        <v>0</v>
      </c>
      <c r="L639" t="n">
        <v>0</v>
      </c>
      <c r="M639" t="n">
        <v>0</v>
      </c>
      <c r="N639" t="n">
        <v>0</v>
      </c>
      <c r="O639" t="n">
        <v>0</v>
      </c>
      <c r="P639" t="n">
        <v>0</v>
      </c>
      <c r="Q639" t="n">
        <v>0</v>
      </c>
      <c r="R639" s="2" t="inlineStr"/>
    </row>
    <row r="640" ht="15" customHeight="1">
      <c r="A640" t="inlineStr">
        <is>
          <t>A 62523-2025</t>
        </is>
      </c>
      <c r="B640" s="1" t="n">
        <v>46007.61512731481</v>
      </c>
      <c r="C640" s="1" t="n">
        <v>46174</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63055-2025</t>
        </is>
      </c>
      <c r="B641" s="1" t="n">
        <v>46009.63619212963</v>
      </c>
      <c r="C641" s="1" t="n">
        <v>46174</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63051-2025</t>
        </is>
      </c>
      <c r="B642" s="1" t="n">
        <v>46009.63134259259</v>
      </c>
      <c r="C642" s="1" t="n">
        <v>46174</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63046-2025</t>
        </is>
      </c>
      <c r="B643" s="1" t="n">
        <v>46009.62373842593</v>
      </c>
      <c r="C643" s="1" t="n">
        <v>46174</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63353-2025</t>
        </is>
      </c>
      <c r="B644" s="1" t="n">
        <v>46010.66670138889</v>
      </c>
      <c r="C644" s="1" t="n">
        <v>46174</v>
      </c>
      <c r="D644" t="inlineStr">
        <is>
          <t>VÄSTMANLANDS LÄN</t>
        </is>
      </c>
      <c r="E644" t="inlineStr">
        <is>
          <t>SALA</t>
        </is>
      </c>
      <c r="G644" t="n">
        <v>1.9</v>
      </c>
      <c r="H644" t="n">
        <v>0</v>
      </c>
      <c r="I644" t="n">
        <v>0</v>
      </c>
      <c r="J644" t="n">
        <v>0</v>
      </c>
      <c r="K644" t="n">
        <v>0</v>
      </c>
      <c r="L644" t="n">
        <v>0</v>
      </c>
      <c r="M644" t="n">
        <v>0</v>
      </c>
      <c r="N644" t="n">
        <v>0</v>
      </c>
      <c r="O644" t="n">
        <v>0</v>
      </c>
      <c r="P644" t="n">
        <v>0</v>
      </c>
      <c r="Q644" t="n">
        <v>0</v>
      </c>
      <c r="R644" s="2" t="inlineStr"/>
    </row>
    <row r="645" ht="15" customHeight="1">
      <c r="A645" t="inlineStr">
        <is>
          <t>A 63269-2025</t>
        </is>
      </c>
      <c r="B645" s="1" t="n">
        <v>46010</v>
      </c>
      <c r="C645" s="1" t="n">
        <v>46174</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26661-2025</t>
        </is>
      </c>
      <c r="B646" s="1" t="n">
        <v>45810</v>
      </c>
      <c r="C646" s="1" t="n">
        <v>46174</v>
      </c>
      <c r="D646" t="inlineStr">
        <is>
          <t>VÄSTMANLANDS LÄN</t>
        </is>
      </c>
      <c r="E646" t="inlineStr">
        <is>
          <t>SALA</t>
        </is>
      </c>
      <c r="G646" t="n">
        <v>3.5</v>
      </c>
      <c r="H646" t="n">
        <v>0</v>
      </c>
      <c r="I646" t="n">
        <v>0</v>
      </c>
      <c r="J646" t="n">
        <v>0</v>
      </c>
      <c r="K646" t="n">
        <v>0</v>
      </c>
      <c r="L646" t="n">
        <v>0</v>
      </c>
      <c r="M646" t="n">
        <v>0</v>
      </c>
      <c r="N646" t="n">
        <v>0</v>
      </c>
      <c r="O646" t="n">
        <v>0</v>
      </c>
      <c r="P646" t="n">
        <v>0</v>
      </c>
      <c r="Q646" t="n">
        <v>0</v>
      </c>
      <c r="R646" s="2" t="inlineStr"/>
    </row>
    <row r="647" ht="15" customHeight="1">
      <c r="A647" t="inlineStr">
        <is>
          <t>A 17722-2025</t>
        </is>
      </c>
      <c r="B647" s="1" t="n">
        <v>45758</v>
      </c>
      <c r="C647" s="1" t="n">
        <v>46174</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63749-2025</t>
        </is>
      </c>
      <c r="B648" s="1" t="n">
        <v>46017.75243055556</v>
      </c>
      <c r="C648" s="1" t="n">
        <v>46174</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63748-2025</t>
        </is>
      </c>
      <c r="B649" s="1" t="n">
        <v>46017.71640046296</v>
      </c>
      <c r="C649" s="1" t="n">
        <v>46174</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27989-2025</t>
        </is>
      </c>
      <c r="B650" s="1" t="n">
        <v>45817.58716435185</v>
      </c>
      <c r="C650" s="1" t="n">
        <v>46174</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27981-2025</t>
        </is>
      </c>
      <c r="B651" s="1" t="n">
        <v>45817.57471064815</v>
      </c>
      <c r="C651" s="1" t="n">
        <v>46174</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28193-2025</t>
        </is>
      </c>
      <c r="B652" s="1" t="n">
        <v>45818.425625</v>
      </c>
      <c r="C652" s="1" t="n">
        <v>46174</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28284-2025</t>
        </is>
      </c>
      <c r="B653" s="1" t="n">
        <v>45818.58893518519</v>
      </c>
      <c r="C653" s="1" t="n">
        <v>46174</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910-2026</t>
        </is>
      </c>
      <c r="B654" s="1" t="n">
        <v>46030.4771412037</v>
      </c>
      <c r="C654" s="1" t="n">
        <v>46174</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28278-2025</t>
        </is>
      </c>
      <c r="B655" s="1" t="n">
        <v>45818.58454861111</v>
      </c>
      <c r="C655" s="1" t="n">
        <v>46174</v>
      </c>
      <c r="D655" t="inlineStr">
        <is>
          <t>VÄSTMANLANDS LÄN</t>
        </is>
      </c>
      <c r="E655" t="inlineStr">
        <is>
          <t>SALA</t>
        </is>
      </c>
      <c r="G655" t="n">
        <v>7.6</v>
      </c>
      <c r="H655" t="n">
        <v>0</v>
      </c>
      <c r="I655" t="n">
        <v>0</v>
      </c>
      <c r="J655" t="n">
        <v>0</v>
      </c>
      <c r="K655" t="n">
        <v>0</v>
      </c>
      <c r="L655" t="n">
        <v>0</v>
      </c>
      <c r="M655" t="n">
        <v>0</v>
      </c>
      <c r="N655" t="n">
        <v>0</v>
      </c>
      <c r="O655" t="n">
        <v>0</v>
      </c>
      <c r="P655" t="n">
        <v>0</v>
      </c>
      <c r="Q655" t="n">
        <v>0</v>
      </c>
      <c r="R655" s="2" t="inlineStr"/>
    </row>
    <row r="656" ht="15" customHeight="1">
      <c r="A656" t="inlineStr">
        <is>
          <t>A 914-2026</t>
        </is>
      </c>
      <c r="B656" s="1" t="n">
        <v>46030.47952546296</v>
      </c>
      <c r="C656" s="1" t="n">
        <v>46174</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948-2026</t>
        </is>
      </c>
      <c r="B657" s="1" t="n">
        <v>46030.53986111111</v>
      </c>
      <c r="C657" s="1" t="n">
        <v>46174</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28628-2025</t>
        </is>
      </c>
      <c r="B658" s="1" t="n">
        <v>45819.62158564815</v>
      </c>
      <c r="C658" s="1" t="n">
        <v>46174</v>
      </c>
      <c r="D658" t="inlineStr">
        <is>
          <t>VÄSTMANLANDS LÄN</t>
        </is>
      </c>
      <c r="E658" t="inlineStr">
        <is>
          <t>SALA</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28632-2025</t>
        </is>
      </c>
      <c r="B659" s="1" t="n">
        <v>45819.62344907408</v>
      </c>
      <c r="C659" s="1" t="n">
        <v>46174</v>
      </c>
      <c r="D659" t="inlineStr">
        <is>
          <t>VÄSTMANLANDS LÄN</t>
        </is>
      </c>
      <c r="E659" t="inlineStr">
        <is>
          <t>SALA</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28630-2025</t>
        </is>
      </c>
      <c r="B660" s="1" t="n">
        <v>45819.62274305556</v>
      </c>
      <c r="C660" s="1" t="n">
        <v>46174</v>
      </c>
      <c r="D660" t="inlineStr">
        <is>
          <t>VÄSTMANLANDS LÄN</t>
        </is>
      </c>
      <c r="E660" t="inlineStr">
        <is>
          <t>SALA</t>
        </is>
      </c>
      <c r="F660" t="inlineStr">
        <is>
          <t>Sveaskog</t>
        </is>
      </c>
      <c r="G660" t="n">
        <v>9</v>
      </c>
      <c r="H660" t="n">
        <v>0</v>
      </c>
      <c r="I660" t="n">
        <v>0</v>
      </c>
      <c r="J660" t="n">
        <v>0</v>
      </c>
      <c r="K660" t="n">
        <v>0</v>
      </c>
      <c r="L660" t="n">
        <v>0</v>
      </c>
      <c r="M660" t="n">
        <v>0</v>
      </c>
      <c r="N660" t="n">
        <v>0</v>
      </c>
      <c r="O660" t="n">
        <v>0</v>
      </c>
      <c r="P660" t="n">
        <v>0</v>
      </c>
      <c r="Q660" t="n">
        <v>0</v>
      </c>
      <c r="R660" s="2" t="inlineStr"/>
    </row>
    <row r="661" ht="15" customHeight="1">
      <c r="A661" t="inlineStr">
        <is>
          <t>A 28837-2025</t>
        </is>
      </c>
      <c r="B661" s="1" t="n">
        <v>45820.56243055555</v>
      </c>
      <c r="C661" s="1" t="n">
        <v>46174</v>
      </c>
      <c r="D661" t="inlineStr">
        <is>
          <t>VÄSTMANLANDS LÄN</t>
        </is>
      </c>
      <c r="E661" t="inlineStr">
        <is>
          <t>SALA</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28849-2025</t>
        </is>
      </c>
      <c r="B662" s="1" t="n">
        <v>45820</v>
      </c>
      <c r="C662" s="1" t="n">
        <v>46174</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1705-2026</t>
        </is>
      </c>
      <c r="B663" s="1" t="n">
        <v>46034.59930555556</v>
      </c>
      <c r="C663" s="1" t="n">
        <v>46174</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29085-2025</t>
        </is>
      </c>
      <c r="B664" s="1" t="n">
        <v>45821</v>
      </c>
      <c r="C664" s="1" t="n">
        <v>46174</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29691-2025</t>
        </is>
      </c>
      <c r="B665" s="1" t="n">
        <v>45825.53645833334</v>
      </c>
      <c r="C665" s="1" t="n">
        <v>46174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60541-2024</t>
        </is>
      </c>
      <c r="B666" s="1" t="n">
        <v>45643</v>
      </c>
      <c r="C666" s="1" t="n">
        <v>46174</v>
      </c>
      <c r="D666" t="inlineStr">
        <is>
          <t>VÄSTMANLANDS LÄN</t>
        </is>
      </c>
      <c r="E666" t="inlineStr">
        <is>
          <t>SALA</t>
        </is>
      </c>
      <c r="G666" t="n">
        <v>10.6</v>
      </c>
      <c r="H666" t="n">
        <v>0</v>
      </c>
      <c r="I666" t="n">
        <v>0</v>
      </c>
      <c r="J666" t="n">
        <v>0</v>
      </c>
      <c r="K666" t="n">
        <v>0</v>
      </c>
      <c r="L666" t="n">
        <v>0</v>
      </c>
      <c r="M666" t="n">
        <v>0</v>
      </c>
      <c r="N666" t="n">
        <v>0</v>
      </c>
      <c r="O666" t="n">
        <v>0</v>
      </c>
      <c r="P666" t="n">
        <v>0</v>
      </c>
      <c r="Q666" t="n">
        <v>0</v>
      </c>
      <c r="R666" s="2" t="inlineStr"/>
    </row>
    <row r="667" ht="15" customHeight="1">
      <c r="A667" t="inlineStr">
        <is>
          <t>A 29826-2025</t>
        </is>
      </c>
      <c r="B667" s="1" t="n">
        <v>45825.85761574074</v>
      </c>
      <c r="C667" s="1" t="n">
        <v>46174</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31608-2025</t>
        </is>
      </c>
      <c r="B668" s="1" t="n">
        <v>45833</v>
      </c>
      <c r="C668" s="1" t="n">
        <v>46174</v>
      </c>
      <c r="D668" t="inlineStr">
        <is>
          <t>VÄSTMANLANDS LÄN</t>
        </is>
      </c>
      <c r="E668" t="inlineStr">
        <is>
          <t>SALA</t>
        </is>
      </c>
      <c r="G668" t="n">
        <v>6.1</v>
      </c>
      <c r="H668" t="n">
        <v>0</v>
      </c>
      <c r="I668" t="n">
        <v>0</v>
      </c>
      <c r="J668" t="n">
        <v>0</v>
      </c>
      <c r="K668" t="n">
        <v>0</v>
      </c>
      <c r="L668" t="n">
        <v>0</v>
      </c>
      <c r="M668" t="n">
        <v>0</v>
      </c>
      <c r="N668" t="n">
        <v>0</v>
      </c>
      <c r="O668" t="n">
        <v>0</v>
      </c>
      <c r="P668" t="n">
        <v>0</v>
      </c>
      <c r="Q668" t="n">
        <v>0</v>
      </c>
      <c r="R668" s="2" t="inlineStr"/>
    </row>
    <row r="669" ht="15" customHeight="1">
      <c r="A669" t="inlineStr">
        <is>
          <t>A 30866-2025</t>
        </is>
      </c>
      <c r="B669" s="1" t="n">
        <v>45832.3246875</v>
      </c>
      <c r="C669" s="1" t="n">
        <v>46174</v>
      </c>
      <c r="D669" t="inlineStr">
        <is>
          <t>VÄSTMANLANDS LÄN</t>
        </is>
      </c>
      <c r="E669" t="inlineStr">
        <is>
          <t>SALA</t>
        </is>
      </c>
      <c r="G669" t="n">
        <v>14.3</v>
      </c>
      <c r="H669" t="n">
        <v>0</v>
      </c>
      <c r="I669" t="n">
        <v>0</v>
      </c>
      <c r="J669" t="n">
        <v>0</v>
      </c>
      <c r="K669" t="n">
        <v>0</v>
      </c>
      <c r="L669" t="n">
        <v>0</v>
      </c>
      <c r="M669" t="n">
        <v>0</v>
      </c>
      <c r="N669" t="n">
        <v>0</v>
      </c>
      <c r="O669" t="n">
        <v>0</v>
      </c>
      <c r="P669" t="n">
        <v>0</v>
      </c>
      <c r="Q669" t="n">
        <v>0</v>
      </c>
      <c r="R669" s="2" t="inlineStr"/>
    </row>
    <row r="670" ht="15" customHeight="1">
      <c r="A670" t="inlineStr">
        <is>
          <t>A 30874-2025</t>
        </is>
      </c>
      <c r="B670" s="1" t="n">
        <v>45832.34430555555</v>
      </c>
      <c r="C670" s="1" t="n">
        <v>46174</v>
      </c>
      <c r="D670" t="inlineStr">
        <is>
          <t>VÄSTMANLANDS LÄN</t>
        </is>
      </c>
      <c r="E670" t="inlineStr">
        <is>
          <t>SALA</t>
        </is>
      </c>
      <c r="G670" t="n">
        <v>8.4</v>
      </c>
      <c r="H670" t="n">
        <v>0</v>
      </c>
      <c r="I670" t="n">
        <v>0</v>
      </c>
      <c r="J670" t="n">
        <v>0</v>
      </c>
      <c r="K670" t="n">
        <v>0</v>
      </c>
      <c r="L670" t="n">
        <v>0</v>
      </c>
      <c r="M670" t="n">
        <v>0</v>
      </c>
      <c r="N670" t="n">
        <v>0</v>
      </c>
      <c r="O670" t="n">
        <v>0</v>
      </c>
      <c r="P670" t="n">
        <v>0</v>
      </c>
      <c r="Q670" t="n">
        <v>0</v>
      </c>
      <c r="R670" s="2" t="inlineStr"/>
    </row>
    <row r="671" ht="15" customHeight="1">
      <c r="A671" t="inlineStr">
        <is>
          <t>A 31573-2025</t>
        </is>
      </c>
      <c r="B671" s="1" t="n">
        <v>45833</v>
      </c>
      <c r="C671" s="1" t="n">
        <v>46174</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31288-2025</t>
        </is>
      </c>
      <c r="B672" s="1" t="n">
        <v>45833</v>
      </c>
      <c r="C672" s="1" t="n">
        <v>46174</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4214-2026</t>
        </is>
      </c>
      <c r="B673" s="1" t="n">
        <v>46044.76459490741</v>
      </c>
      <c r="C673" s="1" t="n">
        <v>46174</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31554-2025</t>
        </is>
      </c>
      <c r="B674" s="1" t="n">
        <v>45833</v>
      </c>
      <c r="C674" s="1" t="n">
        <v>46174</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4712-2026</t>
        </is>
      </c>
      <c r="B675" s="1" t="n">
        <v>46048.46082175926</v>
      </c>
      <c r="C675" s="1" t="n">
        <v>46174</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30899-2025</t>
        </is>
      </c>
      <c r="B676" s="1" t="n">
        <v>45832.35767361111</v>
      </c>
      <c r="C676" s="1" t="n">
        <v>46174</v>
      </c>
      <c r="D676" t="inlineStr">
        <is>
          <t>VÄSTMANLANDS LÄN</t>
        </is>
      </c>
      <c r="E676" t="inlineStr">
        <is>
          <t>SALA</t>
        </is>
      </c>
      <c r="G676" t="n">
        <v>3.1</v>
      </c>
      <c r="H676" t="n">
        <v>0</v>
      </c>
      <c r="I676" t="n">
        <v>0</v>
      </c>
      <c r="J676" t="n">
        <v>0</v>
      </c>
      <c r="K676" t="n">
        <v>0</v>
      </c>
      <c r="L676" t="n">
        <v>0</v>
      </c>
      <c r="M676" t="n">
        <v>0</v>
      </c>
      <c r="N676" t="n">
        <v>0</v>
      </c>
      <c r="O676" t="n">
        <v>0</v>
      </c>
      <c r="P676" t="n">
        <v>0</v>
      </c>
      <c r="Q676" t="n">
        <v>0</v>
      </c>
      <c r="R676" s="2" t="inlineStr"/>
    </row>
    <row r="677" ht="15" customHeight="1">
      <c r="A677" t="inlineStr">
        <is>
          <t>A 4664-2026</t>
        </is>
      </c>
      <c r="B677" s="1" t="n">
        <v>46048.41061342593</v>
      </c>
      <c r="C677" s="1" t="n">
        <v>46174</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31065-2025</t>
        </is>
      </c>
      <c r="B678" s="1" t="n">
        <v>45832.57571759259</v>
      </c>
      <c r="C678" s="1" t="n">
        <v>46174</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4683-2026</t>
        </is>
      </c>
      <c r="B679" s="1" t="n">
        <v>46048.43489583334</v>
      </c>
      <c r="C679" s="1" t="n">
        <v>46174</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4681-2026</t>
        </is>
      </c>
      <c r="B680" s="1" t="n">
        <v>46048.43016203704</v>
      </c>
      <c r="C680" s="1" t="n">
        <v>46174</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4624-2026</t>
        </is>
      </c>
      <c r="B681" s="1" t="n">
        <v>46048.38107638889</v>
      </c>
      <c r="C681" s="1" t="n">
        <v>46174</v>
      </c>
      <c r="D681" t="inlineStr">
        <is>
          <t>VÄSTMANLANDS LÄN</t>
        </is>
      </c>
      <c r="E681" t="inlineStr">
        <is>
          <t>SALA</t>
        </is>
      </c>
      <c r="G681" t="n">
        <v>12.3</v>
      </c>
      <c r="H681" t="n">
        <v>0</v>
      </c>
      <c r="I681" t="n">
        <v>0</v>
      </c>
      <c r="J681" t="n">
        <v>0</v>
      </c>
      <c r="K681" t="n">
        <v>0</v>
      </c>
      <c r="L681" t="n">
        <v>0</v>
      </c>
      <c r="M681" t="n">
        <v>0</v>
      </c>
      <c r="N681" t="n">
        <v>0</v>
      </c>
      <c r="O681" t="n">
        <v>0</v>
      </c>
      <c r="P681" t="n">
        <v>0</v>
      </c>
      <c r="Q681" t="n">
        <v>0</v>
      </c>
      <c r="R681" s="2" t="inlineStr"/>
    </row>
    <row r="682" ht="15" customHeight="1">
      <c r="A682" t="inlineStr">
        <is>
          <t>A 31296-2025</t>
        </is>
      </c>
      <c r="B682" s="1" t="n">
        <v>45833.36765046296</v>
      </c>
      <c r="C682" s="1" t="n">
        <v>46174</v>
      </c>
      <c r="D682" t="inlineStr">
        <is>
          <t>VÄSTMANLANDS LÄN</t>
        </is>
      </c>
      <c r="E682" t="inlineStr">
        <is>
          <t>SALA</t>
        </is>
      </c>
      <c r="G682" t="n">
        <v>3.7</v>
      </c>
      <c r="H682" t="n">
        <v>0</v>
      </c>
      <c r="I682" t="n">
        <v>0</v>
      </c>
      <c r="J682" t="n">
        <v>0</v>
      </c>
      <c r="K682" t="n">
        <v>0</v>
      </c>
      <c r="L682" t="n">
        <v>0</v>
      </c>
      <c r="M682" t="n">
        <v>0</v>
      </c>
      <c r="N682" t="n">
        <v>0</v>
      </c>
      <c r="O682" t="n">
        <v>0</v>
      </c>
      <c r="P682" t="n">
        <v>0</v>
      </c>
      <c r="Q682" t="n">
        <v>0</v>
      </c>
      <c r="R682" s="2" t="inlineStr"/>
    </row>
    <row r="683" ht="15" customHeight="1">
      <c r="A683" t="inlineStr">
        <is>
          <t>A 5525-2026</t>
        </is>
      </c>
      <c r="B683" s="1" t="n">
        <v>46050.65055555556</v>
      </c>
      <c r="C683" s="1" t="n">
        <v>46174</v>
      </c>
      <c r="D683" t="inlineStr">
        <is>
          <t>VÄSTMANLANDS LÄN</t>
        </is>
      </c>
      <c r="E683" t="inlineStr">
        <is>
          <t>SALA</t>
        </is>
      </c>
      <c r="G683" t="n">
        <v>13.1</v>
      </c>
      <c r="H683" t="n">
        <v>0</v>
      </c>
      <c r="I683" t="n">
        <v>0</v>
      </c>
      <c r="J683" t="n">
        <v>0</v>
      </c>
      <c r="K683" t="n">
        <v>0</v>
      </c>
      <c r="L683" t="n">
        <v>0</v>
      </c>
      <c r="M683" t="n">
        <v>0</v>
      </c>
      <c r="N683" t="n">
        <v>0</v>
      </c>
      <c r="O683" t="n">
        <v>0</v>
      </c>
      <c r="P683" t="n">
        <v>0</v>
      </c>
      <c r="Q683" t="n">
        <v>0</v>
      </c>
      <c r="R683" s="2" t="inlineStr"/>
    </row>
    <row r="684" ht="15" customHeight="1">
      <c r="A684" t="inlineStr">
        <is>
          <t>A 31748-2025</t>
        </is>
      </c>
      <c r="B684" s="1" t="n">
        <v>45834</v>
      </c>
      <c r="C684" s="1" t="n">
        <v>46174</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32210-2025</t>
        </is>
      </c>
      <c r="B685" s="1" t="n">
        <v>45835</v>
      </c>
      <c r="C685" s="1" t="n">
        <v>46174</v>
      </c>
      <c r="D685" t="inlineStr">
        <is>
          <t>VÄSTMANLANDS LÄN</t>
        </is>
      </c>
      <c r="E685" t="inlineStr">
        <is>
          <t>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31610-2025</t>
        </is>
      </c>
      <c r="B686" s="1" t="n">
        <v>45833.78650462963</v>
      </c>
      <c r="C686" s="1" t="n">
        <v>46174</v>
      </c>
      <c r="D686" t="inlineStr">
        <is>
          <t>VÄSTMANLANDS LÄN</t>
        </is>
      </c>
      <c r="E686" t="inlineStr">
        <is>
          <t>SALA</t>
        </is>
      </c>
      <c r="G686" t="n">
        <v>8</v>
      </c>
      <c r="H686" t="n">
        <v>0</v>
      </c>
      <c r="I686" t="n">
        <v>0</v>
      </c>
      <c r="J686" t="n">
        <v>0</v>
      </c>
      <c r="K686" t="n">
        <v>0</v>
      </c>
      <c r="L686" t="n">
        <v>0</v>
      </c>
      <c r="M686" t="n">
        <v>0</v>
      </c>
      <c r="N686" t="n">
        <v>0</v>
      </c>
      <c r="O686" t="n">
        <v>0</v>
      </c>
      <c r="P686" t="n">
        <v>0</v>
      </c>
      <c r="Q686" t="n">
        <v>0</v>
      </c>
      <c r="R686" s="2" t="inlineStr"/>
    </row>
    <row r="687" ht="15" customHeight="1">
      <c r="A687" t="inlineStr">
        <is>
          <t>A 5219-2026</t>
        </is>
      </c>
      <c r="B687" s="1" t="n">
        <v>46049.76225694444</v>
      </c>
      <c r="C687" s="1" t="n">
        <v>46174</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5418-2026</t>
        </is>
      </c>
      <c r="B688" s="1" t="n">
        <v>46050.53740740741</v>
      </c>
      <c r="C688" s="1" t="n">
        <v>46174</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32201-2025</t>
        </is>
      </c>
      <c r="B689" s="1" t="n">
        <v>45835</v>
      </c>
      <c r="C689" s="1" t="n">
        <v>46174</v>
      </c>
      <c r="D689" t="inlineStr">
        <is>
          <t>VÄSTMANLANDS LÄN</t>
        </is>
      </c>
      <c r="E689" t="inlineStr">
        <is>
          <t>SALA</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31612-2025</t>
        </is>
      </c>
      <c r="B690" s="1" t="n">
        <v>45833.80056712963</v>
      </c>
      <c r="C690" s="1" t="n">
        <v>46174</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32207-2025</t>
        </is>
      </c>
      <c r="B691" s="1" t="n">
        <v>45835</v>
      </c>
      <c r="C691" s="1" t="n">
        <v>46174</v>
      </c>
      <c r="D691" t="inlineStr">
        <is>
          <t>VÄSTMANLANDS LÄN</t>
        </is>
      </c>
      <c r="E691" t="inlineStr">
        <is>
          <t>SALA</t>
        </is>
      </c>
      <c r="F691" t="inlineStr">
        <is>
          <t>Bergvik skog öst AB</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31762-2025</t>
        </is>
      </c>
      <c r="B692" s="1" t="n">
        <v>45834.49288194445</v>
      </c>
      <c r="C692" s="1" t="n">
        <v>46174</v>
      </c>
      <c r="D692" t="inlineStr">
        <is>
          <t>VÄSTMANLANDS LÄN</t>
        </is>
      </c>
      <c r="E692" t="inlineStr">
        <is>
          <t>SALA</t>
        </is>
      </c>
      <c r="G692" t="n">
        <v>5.9</v>
      </c>
      <c r="H692" t="n">
        <v>0</v>
      </c>
      <c r="I692" t="n">
        <v>0</v>
      </c>
      <c r="J692" t="n">
        <v>0</v>
      </c>
      <c r="K692" t="n">
        <v>0</v>
      </c>
      <c r="L692" t="n">
        <v>0</v>
      </c>
      <c r="M692" t="n">
        <v>0</v>
      </c>
      <c r="N692" t="n">
        <v>0</v>
      </c>
      <c r="O692" t="n">
        <v>0</v>
      </c>
      <c r="P692" t="n">
        <v>0</v>
      </c>
      <c r="Q692" t="n">
        <v>0</v>
      </c>
      <c r="R692" s="2" t="inlineStr"/>
    </row>
    <row r="693" ht="15" customHeight="1">
      <c r="A693" t="inlineStr">
        <is>
          <t>A 31771-2025</t>
        </is>
      </c>
      <c r="B693" s="1" t="n">
        <v>45834.50910879629</v>
      </c>
      <c r="C693" s="1" t="n">
        <v>46174</v>
      </c>
      <c r="D693" t="inlineStr">
        <is>
          <t>VÄSTMANLANDS LÄN</t>
        </is>
      </c>
      <c r="E693" t="inlineStr">
        <is>
          <t>SALA</t>
        </is>
      </c>
      <c r="G693" t="n">
        <v>5.1</v>
      </c>
      <c r="H693" t="n">
        <v>0</v>
      </c>
      <c r="I693" t="n">
        <v>0</v>
      </c>
      <c r="J693" t="n">
        <v>0</v>
      </c>
      <c r="K693" t="n">
        <v>0</v>
      </c>
      <c r="L693" t="n">
        <v>0</v>
      </c>
      <c r="M693" t="n">
        <v>0</v>
      </c>
      <c r="N693" t="n">
        <v>0</v>
      </c>
      <c r="O693" t="n">
        <v>0</v>
      </c>
      <c r="P693" t="n">
        <v>0</v>
      </c>
      <c r="Q693" t="n">
        <v>0</v>
      </c>
      <c r="R693" s="2" t="inlineStr"/>
    </row>
    <row r="694" ht="15" customHeight="1">
      <c r="A694" t="inlineStr">
        <is>
          <t>A 32205-2025</t>
        </is>
      </c>
      <c r="B694" s="1" t="n">
        <v>45835</v>
      </c>
      <c r="C694" s="1" t="n">
        <v>46174</v>
      </c>
      <c r="D694" t="inlineStr">
        <is>
          <t>VÄSTMANLANDS LÄN</t>
        </is>
      </c>
      <c r="E694" t="inlineStr">
        <is>
          <t>SALA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32286-2025</t>
        </is>
      </c>
      <c r="B695" s="1" t="n">
        <v>45835</v>
      </c>
      <c r="C695" s="1" t="n">
        <v>46174</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32902-2025</t>
        </is>
      </c>
      <c r="B696" s="1" t="n">
        <v>45839</v>
      </c>
      <c r="C696" s="1" t="n">
        <v>46174</v>
      </c>
      <c r="D696" t="inlineStr">
        <is>
          <t>VÄSTMANLANDS LÄN</t>
        </is>
      </c>
      <c r="E696" t="inlineStr">
        <is>
          <t>SALA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5894-2026</t>
        </is>
      </c>
      <c r="B697" s="1" t="n">
        <v>46052.42412037037</v>
      </c>
      <c r="C697" s="1" t="n">
        <v>46174</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6021-2026</t>
        </is>
      </c>
      <c r="B698" s="1" t="n">
        <v>46050</v>
      </c>
      <c r="C698" s="1" t="n">
        <v>46174</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7327-2026</t>
        </is>
      </c>
      <c r="B699" s="1" t="n">
        <v>46058.68371527778</v>
      </c>
      <c r="C699" s="1" t="n">
        <v>46174</v>
      </c>
      <c r="D699" t="inlineStr">
        <is>
          <t>VÄSTMANLANDS LÄN</t>
        </is>
      </c>
      <c r="E699" t="inlineStr">
        <is>
          <t>SALA</t>
        </is>
      </c>
      <c r="G699" t="n">
        <v>5.8</v>
      </c>
      <c r="H699" t="n">
        <v>0</v>
      </c>
      <c r="I699" t="n">
        <v>0</v>
      </c>
      <c r="J699" t="n">
        <v>0</v>
      </c>
      <c r="K699" t="n">
        <v>0</v>
      </c>
      <c r="L699" t="n">
        <v>0</v>
      </c>
      <c r="M699" t="n">
        <v>0</v>
      </c>
      <c r="N699" t="n">
        <v>0</v>
      </c>
      <c r="O699" t="n">
        <v>0</v>
      </c>
      <c r="P699" t="n">
        <v>0</v>
      </c>
      <c r="Q699" t="n">
        <v>0</v>
      </c>
      <c r="R699" s="2" t="inlineStr"/>
    </row>
    <row r="700" ht="15" customHeight="1">
      <c r="A700" t="inlineStr">
        <is>
          <t>A 7332-2026</t>
        </is>
      </c>
      <c r="B700" s="1" t="n">
        <v>46058.68884259259</v>
      </c>
      <c r="C700" s="1" t="n">
        <v>46174</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7324-2026</t>
        </is>
      </c>
      <c r="B701" s="1" t="n">
        <v>46058.68023148148</v>
      </c>
      <c r="C701" s="1" t="n">
        <v>46174</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7329-2026</t>
        </is>
      </c>
      <c r="B702" s="1" t="n">
        <v>46058.68678240741</v>
      </c>
      <c r="C702" s="1" t="n">
        <v>46174</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7654-2026</t>
        </is>
      </c>
      <c r="B703" s="1" t="n">
        <v>46062.38828703704</v>
      </c>
      <c r="C703" s="1" t="n">
        <v>46174</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7588-2026</t>
        </is>
      </c>
      <c r="B704" s="1" t="n">
        <v>46061.83528935185</v>
      </c>
      <c r="C704" s="1" t="n">
        <v>46174</v>
      </c>
      <c r="D704" t="inlineStr">
        <is>
          <t>VÄSTMANLANDS LÄN</t>
        </is>
      </c>
      <c r="E704" t="inlineStr">
        <is>
          <t>SALA</t>
        </is>
      </c>
      <c r="G704" t="n">
        <v>2.8</v>
      </c>
      <c r="H704" t="n">
        <v>0</v>
      </c>
      <c r="I704" t="n">
        <v>0</v>
      </c>
      <c r="J704" t="n">
        <v>0</v>
      </c>
      <c r="K704" t="n">
        <v>0</v>
      </c>
      <c r="L704" t="n">
        <v>0</v>
      </c>
      <c r="M704" t="n">
        <v>0</v>
      </c>
      <c r="N704" t="n">
        <v>0</v>
      </c>
      <c r="O704" t="n">
        <v>0</v>
      </c>
      <c r="P704" t="n">
        <v>0</v>
      </c>
      <c r="Q704" t="n">
        <v>0</v>
      </c>
      <c r="R704" s="2" t="inlineStr"/>
    </row>
    <row r="705" ht="15" customHeight="1">
      <c r="A705" t="inlineStr">
        <is>
          <t>A 7611-2026</t>
        </is>
      </c>
      <c r="B705" s="1" t="n">
        <v>46062.32387731481</v>
      </c>
      <c r="C705" s="1" t="n">
        <v>46174</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7676-2026</t>
        </is>
      </c>
      <c r="B706" s="1" t="n">
        <v>46062.42498842593</v>
      </c>
      <c r="C706" s="1" t="n">
        <v>46174</v>
      </c>
      <c r="D706" t="inlineStr">
        <is>
          <t>VÄSTMANLANDS LÄN</t>
        </is>
      </c>
      <c r="E706" t="inlineStr">
        <is>
          <t>SALA</t>
        </is>
      </c>
      <c r="G706" t="n">
        <v>2.1</v>
      </c>
      <c r="H706" t="n">
        <v>0</v>
      </c>
      <c r="I706" t="n">
        <v>0</v>
      </c>
      <c r="J706" t="n">
        <v>0</v>
      </c>
      <c r="K706" t="n">
        <v>0</v>
      </c>
      <c r="L706" t="n">
        <v>0</v>
      </c>
      <c r="M706" t="n">
        <v>0</v>
      </c>
      <c r="N706" t="n">
        <v>0</v>
      </c>
      <c r="O706" t="n">
        <v>0</v>
      </c>
      <c r="P706" t="n">
        <v>0</v>
      </c>
      <c r="Q706" t="n">
        <v>0</v>
      </c>
      <c r="R706" s="2" t="inlineStr"/>
    </row>
    <row r="707" ht="15" customHeight="1">
      <c r="A707" t="inlineStr">
        <is>
          <t>A 7593-2026</t>
        </is>
      </c>
      <c r="B707" s="1" t="n">
        <v>46061.88057870371</v>
      </c>
      <c r="C707" s="1" t="n">
        <v>46174</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7597-2026</t>
        </is>
      </c>
      <c r="B708" s="1" t="n">
        <v>46061.91765046296</v>
      </c>
      <c r="C708" s="1" t="n">
        <v>46174</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7661-2026</t>
        </is>
      </c>
      <c r="B709" s="1" t="n">
        <v>46062.39614583334</v>
      </c>
      <c r="C709" s="1" t="n">
        <v>46174</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7584-2026</t>
        </is>
      </c>
      <c r="B710" s="1" t="n">
        <v>46061.81653935185</v>
      </c>
      <c r="C710" s="1" t="n">
        <v>46174</v>
      </c>
      <c r="D710" t="inlineStr">
        <is>
          <t>VÄSTMANLANDS LÄN</t>
        </is>
      </c>
      <c r="E710" t="inlineStr">
        <is>
          <t>SALA</t>
        </is>
      </c>
      <c r="G710" t="n">
        <v>16.7</v>
      </c>
      <c r="H710" t="n">
        <v>0</v>
      </c>
      <c r="I710" t="n">
        <v>0</v>
      </c>
      <c r="J710" t="n">
        <v>0</v>
      </c>
      <c r="K710" t="n">
        <v>0</v>
      </c>
      <c r="L710" t="n">
        <v>0</v>
      </c>
      <c r="M710" t="n">
        <v>0</v>
      </c>
      <c r="N710" t="n">
        <v>0</v>
      </c>
      <c r="O710" t="n">
        <v>0</v>
      </c>
      <c r="P710" t="n">
        <v>0</v>
      </c>
      <c r="Q710" t="n">
        <v>0</v>
      </c>
      <c r="R710" s="2" t="inlineStr"/>
    </row>
    <row r="711" ht="15" customHeight="1">
      <c r="A711" t="inlineStr">
        <is>
          <t>A 7590-2026</t>
        </is>
      </c>
      <c r="B711" s="1" t="n">
        <v>46061.85252314815</v>
      </c>
      <c r="C711" s="1" t="n">
        <v>46174</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7596-2026</t>
        </is>
      </c>
      <c r="B712" s="1" t="n">
        <v>46061.90922453703</v>
      </c>
      <c r="C712" s="1" t="n">
        <v>46174</v>
      </c>
      <c r="D712" t="inlineStr">
        <is>
          <t>VÄSTMANLANDS LÄN</t>
        </is>
      </c>
      <c r="E712" t="inlineStr">
        <is>
          <t>SALA</t>
        </is>
      </c>
      <c r="G712" t="n">
        <v>3.1</v>
      </c>
      <c r="H712" t="n">
        <v>0</v>
      </c>
      <c r="I712" t="n">
        <v>0</v>
      </c>
      <c r="J712" t="n">
        <v>0</v>
      </c>
      <c r="K712" t="n">
        <v>0</v>
      </c>
      <c r="L712" t="n">
        <v>0</v>
      </c>
      <c r="M712" t="n">
        <v>0</v>
      </c>
      <c r="N712" t="n">
        <v>0</v>
      </c>
      <c r="O712" t="n">
        <v>0</v>
      </c>
      <c r="P712" t="n">
        <v>0</v>
      </c>
      <c r="Q712" t="n">
        <v>0</v>
      </c>
      <c r="R712" s="2" t="inlineStr"/>
    </row>
    <row r="713" ht="15" customHeight="1">
      <c r="A713" t="inlineStr">
        <is>
          <t>A 7850-2026</t>
        </is>
      </c>
      <c r="B713" s="1" t="n">
        <v>46062.66236111111</v>
      </c>
      <c r="C713" s="1" t="n">
        <v>46174</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7595-2026</t>
        </is>
      </c>
      <c r="B714" s="1" t="n">
        <v>46061.90009259259</v>
      </c>
      <c r="C714" s="1" t="n">
        <v>46174</v>
      </c>
      <c r="D714" t="inlineStr">
        <is>
          <t>VÄSTMANLANDS LÄN</t>
        </is>
      </c>
      <c r="E714" t="inlineStr">
        <is>
          <t>SALA</t>
        </is>
      </c>
      <c r="G714" t="n">
        <v>1.2</v>
      </c>
      <c r="H714" t="n">
        <v>0</v>
      </c>
      <c r="I714" t="n">
        <v>0</v>
      </c>
      <c r="J714" t="n">
        <v>0</v>
      </c>
      <c r="K714" t="n">
        <v>0</v>
      </c>
      <c r="L714" t="n">
        <v>0</v>
      </c>
      <c r="M714" t="n">
        <v>0</v>
      </c>
      <c r="N714" t="n">
        <v>0</v>
      </c>
      <c r="O714" t="n">
        <v>0</v>
      </c>
      <c r="P714" t="n">
        <v>0</v>
      </c>
      <c r="Q714" t="n">
        <v>0</v>
      </c>
      <c r="R714" s="2" t="inlineStr"/>
    </row>
    <row r="715" ht="15" customHeight="1">
      <c r="A715" t="inlineStr">
        <is>
          <t>A 7680-2026</t>
        </is>
      </c>
      <c r="B715" s="1" t="n">
        <v>46062.43087962963</v>
      </c>
      <c r="C715" s="1" t="n">
        <v>46174</v>
      </c>
      <c r="D715" t="inlineStr">
        <is>
          <t>VÄSTMANLANDS LÄN</t>
        </is>
      </c>
      <c r="E715" t="inlineStr">
        <is>
          <t>SALA</t>
        </is>
      </c>
      <c r="G715" t="n">
        <v>2.7</v>
      </c>
      <c r="H715" t="n">
        <v>0</v>
      </c>
      <c r="I715" t="n">
        <v>0</v>
      </c>
      <c r="J715" t="n">
        <v>0</v>
      </c>
      <c r="K715" t="n">
        <v>0</v>
      </c>
      <c r="L715" t="n">
        <v>0</v>
      </c>
      <c r="M715" t="n">
        <v>0</v>
      </c>
      <c r="N715" t="n">
        <v>0</v>
      </c>
      <c r="O715" t="n">
        <v>0</v>
      </c>
      <c r="P715" t="n">
        <v>0</v>
      </c>
      <c r="Q715" t="n">
        <v>0</v>
      </c>
      <c r="R715" s="2" t="inlineStr"/>
    </row>
    <row r="716" ht="15" customHeight="1">
      <c r="A716" t="inlineStr">
        <is>
          <t>A 34069-2025</t>
        </is>
      </c>
      <c r="B716" s="1" t="n">
        <v>45845.43560185185</v>
      </c>
      <c r="C716" s="1" t="n">
        <v>46174</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c r="U716">
        <f>HYPERLINK("https://klasma.github.io/Logging_1981/knärot/A 34069-2025 karta knärot.png", "A 34069-2025")</f>
        <v/>
      </c>
      <c r="V716">
        <f>HYPERLINK("https://klasma.github.io/Logging_1981/klagomål/A 34069-2025 FSC-klagomål.docx", "A 34069-2025")</f>
        <v/>
      </c>
      <c r="W716">
        <f>HYPERLINK("https://klasma.github.io/Logging_1981/klagomålsmail/A 34069-2025 FSC-klagomål mail.docx", "A 34069-2025")</f>
        <v/>
      </c>
      <c r="X716">
        <f>HYPERLINK("https://klasma.github.io/Logging_1981/tillsyn/A 34069-2025 tillsynsbegäran.docx", "A 34069-2025")</f>
        <v/>
      </c>
      <c r="Y716">
        <f>HYPERLINK("https://klasma.github.io/Logging_1981/tillsynsmail/A 34069-2025 tillsynsbegäran mail.docx", "A 34069-2025")</f>
        <v/>
      </c>
    </row>
    <row r="717" ht="15" customHeight="1">
      <c r="A717" t="inlineStr">
        <is>
          <t>A 15744-2025</t>
        </is>
      </c>
      <c r="B717" s="1" t="n">
        <v>45748</v>
      </c>
      <c r="C717" s="1" t="n">
        <v>46174</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10239-2026</t>
        </is>
      </c>
      <c r="B718" s="1" t="n">
        <v>46076.54824074074</v>
      </c>
      <c r="C718" s="1" t="n">
        <v>46174</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35775-2025</t>
        </is>
      </c>
      <c r="B719" s="1" t="n">
        <v>45860</v>
      </c>
      <c r="C719" s="1" t="n">
        <v>46174</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35779-2025</t>
        </is>
      </c>
      <c r="B720" s="1" t="n">
        <v>45860.69495370371</v>
      </c>
      <c r="C720" s="1" t="n">
        <v>46174</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35776-2025</t>
        </is>
      </c>
      <c r="B721" s="1" t="n">
        <v>45860.69211805556</v>
      </c>
      <c r="C721" s="1" t="n">
        <v>46174</v>
      </c>
      <c r="D721" t="inlineStr">
        <is>
          <t>VÄSTMANLANDS LÄN</t>
        </is>
      </c>
      <c r="E721" t="inlineStr">
        <is>
          <t>SALA</t>
        </is>
      </c>
      <c r="G721" t="n">
        <v>14.2</v>
      </c>
      <c r="H721" t="n">
        <v>0</v>
      </c>
      <c r="I721" t="n">
        <v>0</v>
      </c>
      <c r="J721" t="n">
        <v>0</v>
      </c>
      <c r="K721" t="n">
        <v>0</v>
      </c>
      <c r="L721" t="n">
        <v>0</v>
      </c>
      <c r="M721" t="n">
        <v>0</v>
      </c>
      <c r="N721" t="n">
        <v>0</v>
      </c>
      <c r="O721" t="n">
        <v>0</v>
      </c>
      <c r="P721" t="n">
        <v>0</v>
      </c>
      <c r="Q721" t="n">
        <v>0</v>
      </c>
      <c r="R721" s="2" t="inlineStr"/>
    </row>
    <row r="722" ht="15" customHeight="1">
      <c r="A722" t="inlineStr">
        <is>
          <t>A 35715-2025</t>
        </is>
      </c>
      <c r="B722" s="1" t="n">
        <v>45860.42148148148</v>
      </c>
      <c r="C722" s="1" t="n">
        <v>46174</v>
      </c>
      <c r="D722" t="inlineStr">
        <is>
          <t>VÄSTMANLANDS LÄN</t>
        </is>
      </c>
      <c r="E722" t="inlineStr">
        <is>
          <t>SALA</t>
        </is>
      </c>
      <c r="G722" t="n">
        <v>3.8</v>
      </c>
      <c r="H722" t="n">
        <v>0</v>
      </c>
      <c r="I722" t="n">
        <v>0</v>
      </c>
      <c r="J722" t="n">
        <v>0</v>
      </c>
      <c r="K722" t="n">
        <v>0</v>
      </c>
      <c r="L722" t="n">
        <v>0</v>
      </c>
      <c r="M722" t="n">
        <v>0</v>
      </c>
      <c r="N722" t="n">
        <v>0</v>
      </c>
      <c r="O722" t="n">
        <v>0</v>
      </c>
      <c r="P722" t="n">
        <v>0</v>
      </c>
      <c r="Q722" t="n">
        <v>0</v>
      </c>
      <c r="R722" s="2" t="inlineStr"/>
    </row>
    <row r="723" ht="15" customHeight="1">
      <c r="A723" t="inlineStr">
        <is>
          <t>A 10245-2026</t>
        </is>
      </c>
      <c r="B723" s="1" t="n">
        <v>46076.55144675926</v>
      </c>
      <c r="C723" s="1" t="n">
        <v>46174</v>
      </c>
      <c r="D723" t="inlineStr">
        <is>
          <t>VÄSTMANLANDS LÄN</t>
        </is>
      </c>
      <c r="E723" t="inlineStr">
        <is>
          <t>SALA</t>
        </is>
      </c>
      <c r="G723" t="n">
        <v>1.4</v>
      </c>
      <c r="H723" t="n">
        <v>0</v>
      </c>
      <c r="I723" t="n">
        <v>0</v>
      </c>
      <c r="J723" t="n">
        <v>0</v>
      </c>
      <c r="K723" t="n">
        <v>0</v>
      </c>
      <c r="L723" t="n">
        <v>0</v>
      </c>
      <c r="M723" t="n">
        <v>0</v>
      </c>
      <c r="N723" t="n">
        <v>0</v>
      </c>
      <c r="O723" t="n">
        <v>0</v>
      </c>
      <c r="P723" t="n">
        <v>0</v>
      </c>
      <c r="Q723" t="n">
        <v>0</v>
      </c>
      <c r="R723" s="2" t="inlineStr"/>
    </row>
    <row r="724" ht="15" customHeight="1">
      <c r="A724" t="inlineStr">
        <is>
          <t>A 10252-2026</t>
        </is>
      </c>
      <c r="B724" s="1" t="n">
        <v>46076.55700231482</v>
      </c>
      <c r="C724" s="1" t="n">
        <v>46174</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35651-2025</t>
        </is>
      </c>
      <c r="B725" s="1" t="n">
        <v>45859.52435185185</v>
      </c>
      <c r="C725" s="1" t="n">
        <v>46174</v>
      </c>
      <c r="D725" t="inlineStr">
        <is>
          <t>VÄSTMANLANDS LÄN</t>
        </is>
      </c>
      <c r="E725" t="inlineStr">
        <is>
          <t>SALA</t>
        </is>
      </c>
      <c r="G725" t="n">
        <v>6.3</v>
      </c>
      <c r="H725" t="n">
        <v>0</v>
      </c>
      <c r="I725" t="n">
        <v>0</v>
      </c>
      <c r="J725" t="n">
        <v>0</v>
      </c>
      <c r="K725" t="n">
        <v>0</v>
      </c>
      <c r="L725" t="n">
        <v>0</v>
      </c>
      <c r="M725" t="n">
        <v>0</v>
      </c>
      <c r="N725" t="n">
        <v>0</v>
      </c>
      <c r="O725" t="n">
        <v>0</v>
      </c>
      <c r="P725" t="n">
        <v>0</v>
      </c>
      <c r="Q725" t="n">
        <v>0</v>
      </c>
      <c r="R725" s="2" t="inlineStr"/>
    </row>
    <row r="726" ht="15" customHeight="1">
      <c r="A726" t="inlineStr">
        <is>
          <t>A 35774-2025</t>
        </is>
      </c>
      <c r="B726" s="1" t="n">
        <v>45860.68780092592</v>
      </c>
      <c r="C726" s="1" t="n">
        <v>46174</v>
      </c>
      <c r="D726" t="inlineStr">
        <is>
          <t>VÄSTMANLANDS LÄN</t>
        </is>
      </c>
      <c r="E726" t="inlineStr">
        <is>
          <t>SALA</t>
        </is>
      </c>
      <c r="G726" t="n">
        <v>6.5</v>
      </c>
      <c r="H726" t="n">
        <v>0</v>
      </c>
      <c r="I726" t="n">
        <v>0</v>
      </c>
      <c r="J726" t="n">
        <v>0</v>
      </c>
      <c r="K726" t="n">
        <v>0</v>
      </c>
      <c r="L726" t="n">
        <v>0</v>
      </c>
      <c r="M726" t="n">
        <v>0</v>
      </c>
      <c r="N726" t="n">
        <v>0</v>
      </c>
      <c r="O726" t="n">
        <v>0</v>
      </c>
      <c r="P726" t="n">
        <v>0</v>
      </c>
      <c r="Q726" t="n">
        <v>0</v>
      </c>
      <c r="R726" s="2" t="inlineStr"/>
    </row>
    <row r="727" ht="15" customHeight="1">
      <c r="A727" t="inlineStr">
        <is>
          <t>A 36060-2025</t>
        </is>
      </c>
      <c r="B727" s="1" t="n">
        <v>45866.39469907407</v>
      </c>
      <c r="C727" s="1" t="n">
        <v>46174</v>
      </c>
      <c r="D727" t="inlineStr">
        <is>
          <t>VÄSTMANLANDS LÄN</t>
        </is>
      </c>
      <c r="E727" t="inlineStr">
        <is>
          <t>SALA</t>
        </is>
      </c>
      <c r="F727" t="inlineStr">
        <is>
          <t>Kommuner</t>
        </is>
      </c>
      <c r="G727" t="n">
        <v>4.3</v>
      </c>
      <c r="H727" t="n">
        <v>0</v>
      </c>
      <c r="I727" t="n">
        <v>0</v>
      </c>
      <c r="J727" t="n">
        <v>0</v>
      </c>
      <c r="K727" t="n">
        <v>0</v>
      </c>
      <c r="L727" t="n">
        <v>0</v>
      </c>
      <c r="M727" t="n">
        <v>0</v>
      </c>
      <c r="N727" t="n">
        <v>0</v>
      </c>
      <c r="O727" t="n">
        <v>0</v>
      </c>
      <c r="P727" t="n">
        <v>0</v>
      </c>
      <c r="Q727" t="n">
        <v>0</v>
      </c>
      <c r="R727" s="2" t="inlineStr"/>
    </row>
    <row r="728" ht="15" customHeight="1">
      <c r="A728" t="inlineStr">
        <is>
          <t>A 36031-2025</t>
        </is>
      </c>
      <c r="B728" s="1" t="n">
        <v>45865.46111111111</v>
      </c>
      <c r="C728" s="1" t="n">
        <v>46174</v>
      </c>
      <c r="D728" t="inlineStr">
        <is>
          <t>VÄSTMANLANDS LÄN</t>
        </is>
      </c>
      <c r="E728" t="inlineStr">
        <is>
          <t>SALA</t>
        </is>
      </c>
      <c r="G728" t="n">
        <v>7.2</v>
      </c>
      <c r="H728" t="n">
        <v>0</v>
      </c>
      <c r="I728" t="n">
        <v>0</v>
      </c>
      <c r="J728" t="n">
        <v>0</v>
      </c>
      <c r="K728" t="n">
        <v>0</v>
      </c>
      <c r="L728" t="n">
        <v>0</v>
      </c>
      <c r="M728" t="n">
        <v>0</v>
      </c>
      <c r="N728" t="n">
        <v>0</v>
      </c>
      <c r="O728" t="n">
        <v>0</v>
      </c>
      <c r="P728" t="n">
        <v>0</v>
      </c>
      <c r="Q728" t="n">
        <v>0</v>
      </c>
      <c r="R728" s="2" t="inlineStr"/>
    </row>
    <row r="729" ht="15" customHeight="1">
      <c r="A729" t="inlineStr">
        <is>
          <t>A 36043-2025</t>
        </is>
      </c>
      <c r="B729" s="1" t="n">
        <v>45866.35333333333</v>
      </c>
      <c r="C729" s="1" t="n">
        <v>46174</v>
      </c>
      <c r="D729" t="inlineStr">
        <is>
          <t>VÄSTMANLANDS LÄN</t>
        </is>
      </c>
      <c r="E729" t="inlineStr">
        <is>
          <t>SALA</t>
        </is>
      </c>
      <c r="F729" t="inlineStr">
        <is>
          <t>Kommuner</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36032-2025</t>
        </is>
      </c>
      <c r="B730" s="1" t="n">
        <v>45865.48740740741</v>
      </c>
      <c r="C730" s="1" t="n">
        <v>46174</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36049-2025</t>
        </is>
      </c>
      <c r="B731" s="1" t="n">
        <v>45866.37065972222</v>
      </c>
      <c r="C731" s="1" t="n">
        <v>46174</v>
      </c>
      <c r="D731" t="inlineStr">
        <is>
          <t>VÄSTMANLANDS LÄN</t>
        </is>
      </c>
      <c r="E731" t="inlineStr">
        <is>
          <t>SALA</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36045-2025</t>
        </is>
      </c>
      <c r="B732" s="1" t="n">
        <v>45866.36200231482</v>
      </c>
      <c r="C732" s="1" t="n">
        <v>46174</v>
      </c>
      <c r="D732" t="inlineStr">
        <is>
          <t>VÄSTMANLANDS LÄN</t>
        </is>
      </c>
      <c r="E732" t="inlineStr">
        <is>
          <t>SALA</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12144-2026</t>
        </is>
      </c>
      <c r="B733" s="1" t="n">
        <v>46086.58008101852</v>
      </c>
      <c r="C733" s="1" t="n">
        <v>46174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17766-2025</t>
        </is>
      </c>
      <c r="B734" s="1" t="n">
        <v>45758</v>
      </c>
      <c r="C734" s="1" t="n">
        <v>46174</v>
      </c>
      <c r="D734" t="inlineStr">
        <is>
          <t>VÄSTMANLANDS LÄN</t>
        </is>
      </c>
      <c r="E734" t="inlineStr">
        <is>
          <t>SALA</t>
        </is>
      </c>
      <c r="G734" t="n">
        <v>16.5</v>
      </c>
      <c r="H734" t="n">
        <v>0</v>
      </c>
      <c r="I734" t="n">
        <v>0</v>
      </c>
      <c r="J734" t="n">
        <v>0</v>
      </c>
      <c r="K734" t="n">
        <v>0</v>
      </c>
      <c r="L734" t="n">
        <v>0</v>
      </c>
      <c r="M734" t="n">
        <v>0</v>
      </c>
      <c r="N734" t="n">
        <v>0</v>
      </c>
      <c r="O734" t="n">
        <v>0</v>
      </c>
      <c r="P734" t="n">
        <v>0</v>
      </c>
      <c r="Q734" t="n">
        <v>0</v>
      </c>
      <c r="R734" s="2" t="inlineStr"/>
    </row>
    <row r="735" ht="15" customHeight="1">
      <c r="A735" t="inlineStr">
        <is>
          <t>A 31863-2025</t>
        </is>
      </c>
      <c r="B735" s="1" t="n">
        <v>45834.63303240741</v>
      </c>
      <c r="C735" s="1" t="n">
        <v>46174</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3546-2025</t>
        </is>
      </c>
      <c r="B736" s="1" t="n">
        <v>45680</v>
      </c>
      <c r="C736" s="1" t="n">
        <v>46174</v>
      </c>
      <c r="D736" t="inlineStr">
        <is>
          <t>VÄSTMANLANDS LÄN</t>
        </is>
      </c>
      <c r="E736" t="inlineStr">
        <is>
          <t>SALA</t>
        </is>
      </c>
      <c r="G736" t="n">
        <v>0.4</v>
      </c>
      <c r="H736" t="n">
        <v>0</v>
      </c>
      <c r="I736" t="n">
        <v>0</v>
      </c>
      <c r="J736" t="n">
        <v>0</v>
      </c>
      <c r="K736" t="n">
        <v>0</v>
      </c>
      <c r="L736" t="n">
        <v>0</v>
      </c>
      <c r="M736" t="n">
        <v>0</v>
      </c>
      <c r="N736" t="n">
        <v>0</v>
      </c>
      <c r="O736" t="n">
        <v>0</v>
      </c>
      <c r="P736" t="n">
        <v>0</v>
      </c>
      <c r="Q736" t="n">
        <v>0</v>
      </c>
      <c r="R736" s="2" t="inlineStr"/>
    </row>
    <row r="737" ht="15" customHeight="1">
      <c r="A737" t="inlineStr">
        <is>
          <t>A 31869-2025</t>
        </is>
      </c>
      <c r="B737" s="1" t="n">
        <v>45834.64555555556</v>
      </c>
      <c r="C737" s="1" t="n">
        <v>46174</v>
      </c>
      <c r="D737" t="inlineStr">
        <is>
          <t>VÄSTMANLANDS LÄN</t>
        </is>
      </c>
      <c r="E737" t="inlineStr">
        <is>
          <t>SALA</t>
        </is>
      </c>
      <c r="G737" t="n">
        <v>17.5</v>
      </c>
      <c r="H737" t="n">
        <v>0</v>
      </c>
      <c r="I737" t="n">
        <v>0</v>
      </c>
      <c r="J737" t="n">
        <v>0</v>
      </c>
      <c r="K737" t="n">
        <v>0</v>
      </c>
      <c r="L737" t="n">
        <v>0</v>
      </c>
      <c r="M737" t="n">
        <v>0</v>
      </c>
      <c r="N737" t="n">
        <v>0</v>
      </c>
      <c r="O737" t="n">
        <v>0</v>
      </c>
      <c r="P737" t="n">
        <v>0</v>
      </c>
      <c r="Q737" t="n">
        <v>0</v>
      </c>
      <c r="R737" s="2" t="inlineStr"/>
    </row>
    <row r="738" ht="15" customHeight="1">
      <c r="A738" t="inlineStr">
        <is>
          <t>A 7664-2023</t>
        </is>
      </c>
      <c r="B738" s="1" t="n">
        <v>44972</v>
      </c>
      <c r="C738" s="1" t="n">
        <v>46174</v>
      </c>
      <c r="D738" t="inlineStr">
        <is>
          <t>VÄSTMANLANDS LÄN</t>
        </is>
      </c>
      <c r="E738" t="inlineStr">
        <is>
          <t>SALA</t>
        </is>
      </c>
      <c r="G738" t="n">
        <v>1.4</v>
      </c>
      <c r="H738" t="n">
        <v>0</v>
      </c>
      <c r="I738" t="n">
        <v>0</v>
      </c>
      <c r="J738" t="n">
        <v>0</v>
      </c>
      <c r="K738" t="n">
        <v>0</v>
      </c>
      <c r="L738" t="n">
        <v>0</v>
      </c>
      <c r="M738" t="n">
        <v>0</v>
      </c>
      <c r="N738" t="n">
        <v>0</v>
      </c>
      <c r="O738" t="n">
        <v>0</v>
      </c>
      <c r="P738" t="n">
        <v>0</v>
      </c>
      <c r="Q738" t="n">
        <v>0</v>
      </c>
      <c r="R738" s="2" t="inlineStr"/>
    </row>
    <row r="739" ht="15" customHeight="1">
      <c r="A739" t="inlineStr">
        <is>
          <t>A 12497-2026</t>
        </is>
      </c>
      <c r="B739" s="1" t="n">
        <v>46090.57240740741</v>
      </c>
      <c r="C739" s="1" t="n">
        <v>46174</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17985-2025</t>
        </is>
      </c>
      <c r="B740" s="1" t="n">
        <v>45761</v>
      </c>
      <c r="C740" s="1" t="n">
        <v>46174</v>
      </c>
      <c r="D740" t="inlineStr">
        <is>
          <t>VÄSTMANLANDS LÄN</t>
        </is>
      </c>
      <c r="E740" t="inlineStr">
        <is>
          <t>SALA</t>
        </is>
      </c>
      <c r="G740" t="n">
        <v>12.5</v>
      </c>
      <c r="H740" t="n">
        <v>0</v>
      </c>
      <c r="I740" t="n">
        <v>0</v>
      </c>
      <c r="J740" t="n">
        <v>0</v>
      </c>
      <c r="K740" t="n">
        <v>0</v>
      </c>
      <c r="L740" t="n">
        <v>0</v>
      </c>
      <c r="M740" t="n">
        <v>0</v>
      </c>
      <c r="N740" t="n">
        <v>0</v>
      </c>
      <c r="O740" t="n">
        <v>0</v>
      </c>
      <c r="P740" t="n">
        <v>0</v>
      </c>
      <c r="Q740" t="n">
        <v>0</v>
      </c>
      <c r="R740" s="2" t="inlineStr"/>
    </row>
    <row r="741" ht="15" customHeight="1">
      <c r="A741" t="inlineStr">
        <is>
          <t>A 37103-2025</t>
        </is>
      </c>
      <c r="B741" s="1" t="n">
        <v>45875.47743055555</v>
      </c>
      <c r="C741" s="1" t="n">
        <v>46174</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19044-2026</t>
        </is>
      </c>
      <c r="B742" s="1" t="n">
        <v>46132.33789351852</v>
      </c>
      <c r="C742" s="1" t="n">
        <v>46174</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37017-2025</t>
        </is>
      </c>
      <c r="B743" s="1" t="n">
        <v>45874</v>
      </c>
      <c r="C743" s="1" t="n">
        <v>46174</v>
      </c>
      <c r="D743" t="inlineStr">
        <is>
          <t>VÄSTMANLANDS LÄN</t>
        </is>
      </c>
      <c r="E743" t="inlineStr">
        <is>
          <t>SALA</t>
        </is>
      </c>
      <c r="G743" t="n">
        <v>11.1</v>
      </c>
      <c r="H743" t="n">
        <v>0</v>
      </c>
      <c r="I743" t="n">
        <v>0</v>
      </c>
      <c r="J743" t="n">
        <v>0</v>
      </c>
      <c r="K743" t="n">
        <v>0</v>
      </c>
      <c r="L743" t="n">
        <v>0</v>
      </c>
      <c r="M743" t="n">
        <v>0</v>
      </c>
      <c r="N743" t="n">
        <v>0</v>
      </c>
      <c r="O743" t="n">
        <v>0</v>
      </c>
      <c r="P743" t="n">
        <v>0</v>
      </c>
      <c r="Q743" t="n">
        <v>0</v>
      </c>
      <c r="R743" s="2" t="inlineStr"/>
    </row>
    <row r="744" ht="15" customHeight="1">
      <c r="A744" t="inlineStr">
        <is>
          <t>A 37246-2025</t>
        </is>
      </c>
      <c r="B744" s="1" t="n">
        <v>45876.39435185185</v>
      </c>
      <c r="C744" s="1" t="n">
        <v>46174</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37590-2025</t>
        </is>
      </c>
      <c r="B745" s="1" t="n">
        <v>45880.41138888889</v>
      </c>
      <c r="C745" s="1" t="n">
        <v>46174</v>
      </c>
      <c r="D745" t="inlineStr">
        <is>
          <t>VÄSTMANLANDS LÄN</t>
        </is>
      </c>
      <c r="E745" t="inlineStr">
        <is>
          <t>SALA</t>
        </is>
      </c>
      <c r="G745" t="n">
        <v>2.2</v>
      </c>
      <c r="H745" t="n">
        <v>0</v>
      </c>
      <c r="I745" t="n">
        <v>0</v>
      </c>
      <c r="J745" t="n">
        <v>0</v>
      </c>
      <c r="K745" t="n">
        <v>0</v>
      </c>
      <c r="L745" t="n">
        <v>0</v>
      </c>
      <c r="M745" t="n">
        <v>0</v>
      </c>
      <c r="N745" t="n">
        <v>0</v>
      </c>
      <c r="O745" t="n">
        <v>0</v>
      </c>
      <c r="P745" t="n">
        <v>0</v>
      </c>
      <c r="Q745" t="n">
        <v>0</v>
      </c>
      <c r="R745" s="2" t="inlineStr"/>
    </row>
    <row r="746" ht="15" customHeight="1">
      <c r="A746" t="inlineStr">
        <is>
          <t>A 37593-2025</t>
        </is>
      </c>
      <c r="B746" s="1" t="n">
        <v>45880.41325231481</v>
      </c>
      <c r="C746" s="1" t="n">
        <v>46174</v>
      </c>
      <c r="D746" t="inlineStr">
        <is>
          <t>VÄSTMANLANDS LÄN</t>
        </is>
      </c>
      <c r="E746" t="inlineStr">
        <is>
          <t>SALA</t>
        </is>
      </c>
      <c r="G746" t="n">
        <v>1.4</v>
      </c>
      <c r="H746" t="n">
        <v>0</v>
      </c>
      <c r="I746" t="n">
        <v>0</v>
      </c>
      <c r="J746" t="n">
        <v>0</v>
      </c>
      <c r="K746" t="n">
        <v>0</v>
      </c>
      <c r="L746" t="n">
        <v>0</v>
      </c>
      <c r="M746" t="n">
        <v>0</v>
      </c>
      <c r="N746" t="n">
        <v>0</v>
      </c>
      <c r="O746" t="n">
        <v>0</v>
      </c>
      <c r="P746" t="n">
        <v>0</v>
      </c>
      <c r="Q746" t="n">
        <v>0</v>
      </c>
      <c r="R746" s="2" t="inlineStr"/>
    </row>
    <row r="747" ht="15" customHeight="1">
      <c r="A747" t="inlineStr">
        <is>
          <t>A 19376-2026</t>
        </is>
      </c>
      <c r="B747" s="1" t="n">
        <v>46133.54998842593</v>
      </c>
      <c r="C747" s="1" t="n">
        <v>46174</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38294-2025</t>
        </is>
      </c>
      <c r="B748" s="1" t="n">
        <v>45883.44854166666</v>
      </c>
      <c r="C748" s="1" t="n">
        <v>46174</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13032-2026</t>
        </is>
      </c>
      <c r="B749" s="1" t="n">
        <v>46092.90436342593</v>
      </c>
      <c r="C749" s="1" t="n">
        <v>46174</v>
      </c>
      <c r="D749" t="inlineStr">
        <is>
          <t>VÄSTMANLANDS LÄN</t>
        </is>
      </c>
      <c r="E749" t="inlineStr">
        <is>
          <t>SALA</t>
        </is>
      </c>
      <c r="G749" t="n">
        <v>3.4</v>
      </c>
      <c r="H749" t="n">
        <v>0</v>
      </c>
      <c r="I749" t="n">
        <v>0</v>
      </c>
      <c r="J749" t="n">
        <v>0</v>
      </c>
      <c r="K749" t="n">
        <v>0</v>
      </c>
      <c r="L749" t="n">
        <v>0</v>
      </c>
      <c r="M749" t="n">
        <v>0</v>
      </c>
      <c r="N749" t="n">
        <v>0</v>
      </c>
      <c r="O749" t="n">
        <v>0</v>
      </c>
      <c r="P749" t="n">
        <v>0</v>
      </c>
      <c r="Q749" t="n">
        <v>0</v>
      </c>
      <c r="R749" s="2" t="inlineStr"/>
    </row>
    <row r="750" ht="15" customHeight="1">
      <c r="A750" t="inlineStr">
        <is>
          <t>A 43359-2024</t>
        </is>
      </c>
      <c r="B750" s="1" t="n">
        <v>45568.57724537037</v>
      </c>
      <c r="C750" s="1" t="n">
        <v>46174</v>
      </c>
      <c r="D750" t="inlineStr">
        <is>
          <t>VÄSTMANLANDS LÄN</t>
        </is>
      </c>
      <c r="E750" t="inlineStr">
        <is>
          <t>SALA</t>
        </is>
      </c>
      <c r="G750" t="n">
        <v>1.6</v>
      </c>
      <c r="H750" t="n">
        <v>0</v>
      </c>
      <c r="I750" t="n">
        <v>0</v>
      </c>
      <c r="J750" t="n">
        <v>0</v>
      </c>
      <c r="K750" t="n">
        <v>0</v>
      </c>
      <c r="L750" t="n">
        <v>0</v>
      </c>
      <c r="M750" t="n">
        <v>0</v>
      </c>
      <c r="N750" t="n">
        <v>0</v>
      </c>
      <c r="O750" t="n">
        <v>0</v>
      </c>
      <c r="P750" t="n">
        <v>0</v>
      </c>
      <c r="Q750" t="n">
        <v>0</v>
      </c>
      <c r="R750" s="2" t="inlineStr"/>
    </row>
    <row r="751" ht="15" customHeight="1">
      <c r="A751" t="inlineStr">
        <is>
          <t>A 29972-2025</t>
        </is>
      </c>
      <c r="B751" s="1" t="n">
        <v>45826</v>
      </c>
      <c r="C751" s="1" t="n">
        <v>46174</v>
      </c>
      <c r="D751" t="inlineStr">
        <is>
          <t>VÄSTMANLANDS LÄN</t>
        </is>
      </c>
      <c r="E751" t="inlineStr">
        <is>
          <t>SALA</t>
        </is>
      </c>
      <c r="G751" t="n">
        <v>2.7</v>
      </c>
      <c r="H751" t="n">
        <v>0</v>
      </c>
      <c r="I751" t="n">
        <v>0</v>
      </c>
      <c r="J751" t="n">
        <v>0</v>
      </c>
      <c r="K751" t="n">
        <v>0</v>
      </c>
      <c r="L751" t="n">
        <v>0</v>
      </c>
      <c r="M751" t="n">
        <v>0</v>
      </c>
      <c r="N751" t="n">
        <v>0</v>
      </c>
      <c r="O751" t="n">
        <v>0</v>
      </c>
      <c r="P751" t="n">
        <v>0</v>
      </c>
      <c r="Q751" t="n">
        <v>0</v>
      </c>
      <c r="R751" s="2" t="inlineStr"/>
    </row>
    <row r="752" ht="15" customHeight="1">
      <c r="A752" t="inlineStr">
        <is>
          <t>A 14000-2026</t>
        </is>
      </c>
      <c r="B752" s="1" t="n">
        <v>46098.64246527778</v>
      </c>
      <c r="C752" s="1" t="n">
        <v>46174</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13996-2026</t>
        </is>
      </c>
      <c r="B753" s="1" t="n">
        <v>46098.63159722222</v>
      </c>
      <c r="C753" s="1" t="n">
        <v>46174</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13639-2026</t>
        </is>
      </c>
      <c r="B754" s="1" t="n">
        <v>46097</v>
      </c>
      <c r="C754" s="1" t="n">
        <v>46174</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14481-2026</t>
        </is>
      </c>
      <c r="B755" s="1" t="n">
        <v>46100.58707175926</v>
      </c>
      <c r="C755" s="1" t="n">
        <v>46174</v>
      </c>
      <c r="D755" t="inlineStr">
        <is>
          <t>VÄSTMANLANDS LÄN</t>
        </is>
      </c>
      <c r="E755" t="inlineStr">
        <is>
          <t>SALA</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14482-2026</t>
        </is>
      </c>
      <c r="B756" s="1" t="n">
        <v>46100.588125</v>
      </c>
      <c r="C756" s="1" t="n">
        <v>46174</v>
      </c>
      <c r="D756" t="inlineStr">
        <is>
          <t>VÄSTMANLANDS LÄN</t>
        </is>
      </c>
      <c r="E756" t="inlineStr">
        <is>
          <t>SALA</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14484-2026</t>
        </is>
      </c>
      <c r="B757" s="1" t="n">
        <v>46100.5887962963</v>
      </c>
      <c r="C757" s="1" t="n">
        <v>46174</v>
      </c>
      <c r="D757" t="inlineStr">
        <is>
          <t>VÄSTMANLANDS LÄN</t>
        </is>
      </c>
      <c r="E757" t="inlineStr">
        <is>
          <t>SALA</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14490-2026</t>
        </is>
      </c>
      <c r="B758" s="1" t="n">
        <v>46100.59277777778</v>
      </c>
      <c r="C758" s="1" t="n">
        <v>46174</v>
      </c>
      <c r="D758" t="inlineStr">
        <is>
          <t>VÄSTMANLANDS LÄN</t>
        </is>
      </c>
      <c r="E758" t="inlineStr">
        <is>
          <t>SALA</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21435-2026</t>
        </is>
      </c>
      <c r="B759" s="1" t="n">
        <v>46148.40625</v>
      </c>
      <c r="C759" s="1" t="n">
        <v>46174</v>
      </c>
      <c r="D759" t="inlineStr">
        <is>
          <t>VÄSTMANLANDS LÄN</t>
        </is>
      </c>
      <c r="E759" t="inlineStr">
        <is>
          <t>SALA</t>
        </is>
      </c>
      <c r="G759" t="n">
        <v>2.3</v>
      </c>
      <c r="H759" t="n">
        <v>0</v>
      </c>
      <c r="I759" t="n">
        <v>0</v>
      </c>
      <c r="J759" t="n">
        <v>0</v>
      </c>
      <c r="K759" t="n">
        <v>0</v>
      </c>
      <c r="L759" t="n">
        <v>0</v>
      </c>
      <c r="M759" t="n">
        <v>0</v>
      </c>
      <c r="N759" t="n">
        <v>0</v>
      </c>
      <c r="O759" t="n">
        <v>0</v>
      </c>
      <c r="P759" t="n">
        <v>0</v>
      </c>
      <c r="Q759" t="n">
        <v>0</v>
      </c>
      <c r="R759" s="2" t="inlineStr"/>
    </row>
    <row r="760" ht="15" customHeight="1">
      <c r="A760" t="inlineStr">
        <is>
          <t>A 11617-2026</t>
        </is>
      </c>
      <c r="B760" s="1" t="n">
        <v>46084</v>
      </c>
      <c r="C760" s="1" t="n">
        <v>46174</v>
      </c>
      <c r="D760" t="inlineStr">
        <is>
          <t>VÄSTMANLANDS LÄN</t>
        </is>
      </c>
      <c r="E760" t="inlineStr">
        <is>
          <t>SALA</t>
        </is>
      </c>
      <c r="F760" t="inlineStr">
        <is>
          <t>Kyrkan</t>
        </is>
      </c>
      <c r="G760" t="n">
        <v>3.7</v>
      </c>
      <c r="H760" t="n">
        <v>0</v>
      </c>
      <c r="I760" t="n">
        <v>0</v>
      </c>
      <c r="J760" t="n">
        <v>0</v>
      </c>
      <c r="K760" t="n">
        <v>0</v>
      </c>
      <c r="L760" t="n">
        <v>0</v>
      </c>
      <c r="M760" t="n">
        <v>0</v>
      </c>
      <c r="N760" t="n">
        <v>0</v>
      </c>
      <c r="O760" t="n">
        <v>0</v>
      </c>
      <c r="P760" t="n">
        <v>0</v>
      </c>
      <c r="Q760" t="n">
        <v>0</v>
      </c>
      <c r="R760" s="2" t="inlineStr"/>
    </row>
    <row r="761" ht="15" customHeight="1">
      <c r="A761" t="inlineStr">
        <is>
          <t>A 15630-2026</t>
        </is>
      </c>
      <c r="B761" s="1" t="n">
        <v>46106.62283564815</v>
      </c>
      <c r="C761" s="1" t="n">
        <v>46174</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15823-2026</t>
        </is>
      </c>
      <c r="B762" s="1" t="n">
        <v>46107.54096064815</v>
      </c>
      <c r="C762" s="1" t="n">
        <v>46174</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16354-2026</t>
        </is>
      </c>
      <c r="B763" s="1" t="n">
        <v>46111.5968287037</v>
      </c>
      <c r="C763" s="1" t="n">
        <v>46174</v>
      </c>
      <c r="D763" t="inlineStr">
        <is>
          <t>VÄSTMANLANDS LÄN</t>
        </is>
      </c>
      <c r="E763" t="inlineStr">
        <is>
          <t>SALA</t>
        </is>
      </c>
      <c r="G763" t="n">
        <v>5.2</v>
      </c>
      <c r="H763" t="n">
        <v>0</v>
      </c>
      <c r="I763" t="n">
        <v>0</v>
      </c>
      <c r="J763" t="n">
        <v>0</v>
      </c>
      <c r="K763" t="n">
        <v>0</v>
      </c>
      <c r="L763" t="n">
        <v>0</v>
      </c>
      <c r="M763" t="n">
        <v>0</v>
      </c>
      <c r="N763" t="n">
        <v>0</v>
      </c>
      <c r="O763" t="n">
        <v>0</v>
      </c>
      <c r="P763" t="n">
        <v>0</v>
      </c>
      <c r="Q763" t="n">
        <v>0</v>
      </c>
      <c r="R763" s="2" t="inlineStr"/>
    </row>
    <row r="764" ht="15" customHeight="1">
      <c r="A764" t="inlineStr">
        <is>
          <t>A 16367-2026</t>
        </is>
      </c>
      <c r="B764" s="1" t="n">
        <v>46111.61380787037</v>
      </c>
      <c r="C764" s="1" t="n">
        <v>46174</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16369-2026</t>
        </is>
      </c>
      <c r="B765" s="1" t="n">
        <v>46111</v>
      </c>
      <c r="C765" s="1" t="n">
        <v>46174</v>
      </c>
      <c r="D765" t="inlineStr">
        <is>
          <t>VÄSTMANLANDS LÄN</t>
        </is>
      </c>
      <c r="E765" t="inlineStr">
        <is>
          <t>SALA</t>
        </is>
      </c>
      <c r="G765" t="n">
        <v>1.4</v>
      </c>
      <c r="H765" t="n">
        <v>0</v>
      </c>
      <c r="I765" t="n">
        <v>0</v>
      </c>
      <c r="J765" t="n">
        <v>0</v>
      </c>
      <c r="K765" t="n">
        <v>0</v>
      </c>
      <c r="L765" t="n">
        <v>0</v>
      </c>
      <c r="M765" t="n">
        <v>0</v>
      </c>
      <c r="N765" t="n">
        <v>0</v>
      </c>
      <c r="O765" t="n">
        <v>0</v>
      </c>
      <c r="P765" t="n">
        <v>0</v>
      </c>
      <c r="Q765" t="n">
        <v>0</v>
      </c>
      <c r="R765" s="2" t="inlineStr"/>
    </row>
    <row r="766" ht="15" customHeight="1">
      <c r="A766" t="inlineStr">
        <is>
          <t>A 16598-2026</t>
        </is>
      </c>
      <c r="B766" s="1" t="n">
        <v>46112.59598379629</v>
      </c>
      <c r="C766" s="1" t="n">
        <v>46174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16364-2026</t>
        </is>
      </c>
      <c r="B767" s="1" t="n">
        <v>46111.6115625</v>
      </c>
      <c r="C767" s="1" t="n">
        <v>46174</v>
      </c>
      <c r="D767" t="inlineStr">
        <is>
          <t>VÄSTMANLANDS LÄN</t>
        </is>
      </c>
      <c r="E767" t="inlineStr">
        <is>
          <t>SALA</t>
        </is>
      </c>
      <c r="G767" t="n">
        <v>4.7</v>
      </c>
      <c r="H767" t="n">
        <v>0</v>
      </c>
      <c r="I767" t="n">
        <v>0</v>
      </c>
      <c r="J767" t="n">
        <v>0</v>
      </c>
      <c r="K767" t="n">
        <v>0</v>
      </c>
      <c r="L767" t="n">
        <v>0</v>
      </c>
      <c r="M767" t="n">
        <v>0</v>
      </c>
      <c r="N767" t="n">
        <v>0</v>
      </c>
      <c r="O767" t="n">
        <v>0</v>
      </c>
      <c r="P767" t="n">
        <v>0</v>
      </c>
      <c r="Q767" t="n">
        <v>0</v>
      </c>
      <c r="R767" s="2" t="inlineStr"/>
    </row>
    <row r="768" ht="15" customHeight="1">
      <c r="A768" t="inlineStr">
        <is>
          <t>A 22869-2026</t>
        </is>
      </c>
      <c r="B768" s="1" t="n">
        <v>46160.43599537037</v>
      </c>
      <c r="C768" s="1" t="n">
        <v>46174</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c r="A769" t="inlineStr">
        <is>
          <t>A 23578-2026</t>
        </is>
      </c>
      <c r="B769" s="1" t="n">
        <v>46163.60586805556</v>
      </c>
      <c r="C769" s="1" t="n">
        <v>46174</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2026-06-01T10:51:36Z</dcterms:created>
  <dcterms:modified xmlns:dcterms="http://purl.org/dc/terms/" xmlns:xsi="http://www.w3.org/2001/XMLSchema-instance" xsi:type="dcterms:W3CDTF">2026-06-01T10:51:37Z</dcterms:modified>
</cp:coreProperties>
</file>