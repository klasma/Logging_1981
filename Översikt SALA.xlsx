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54934-2020</t>
        </is>
      </c>
      <c r="B9" s="1" t="n">
        <v>44127</v>
      </c>
      <c r="C9" s="1" t="n">
        <v>45884</v>
      </c>
      <c r="D9" t="inlineStr">
        <is>
          <t>VÄSTMANLANDS LÄN</t>
        </is>
      </c>
      <c r="E9" t="inlineStr">
        <is>
          <t>SALA</t>
        </is>
      </c>
      <c r="G9" t="n">
        <v>13</v>
      </c>
      <c r="H9" t="n">
        <v>1</v>
      </c>
      <c r="I9" t="n">
        <v>1</v>
      </c>
      <c r="J9" t="n">
        <v>2</v>
      </c>
      <c r="K9" t="n">
        <v>2</v>
      </c>
      <c r="L9" t="n">
        <v>0</v>
      </c>
      <c r="M9" t="n">
        <v>0</v>
      </c>
      <c r="N9" t="n">
        <v>0</v>
      </c>
      <c r="O9" t="n">
        <v>4</v>
      </c>
      <c r="P9" t="n">
        <v>2</v>
      </c>
      <c r="Q9" t="n">
        <v>5</v>
      </c>
      <c r="R9" s="2" t="inlineStr">
        <is>
          <t>Knärot
Rynkskinn
Ullticka
Vedtrappmossa
Vedticka</t>
        </is>
      </c>
      <c r="S9">
        <f>HYPERLINK("https://klasma.github.io/Logging_1981/artfynd/A 54934-2020 artfynd.xlsx", "A 54934-2020")</f>
        <v/>
      </c>
      <c r="T9">
        <f>HYPERLINK("https://klasma.github.io/Logging_1981/kartor/A 54934-2020 karta.png", "A 54934-2020")</f>
        <v/>
      </c>
      <c r="U9">
        <f>HYPERLINK("https://klasma.github.io/Logging_1981/knärot/A 54934-2020 karta knärot.png", "A 54934-2020")</f>
        <v/>
      </c>
      <c r="V9">
        <f>HYPERLINK("https://klasma.github.io/Logging_1981/klagomål/A 54934-2020 FSC-klagomål.docx", "A 54934-2020")</f>
        <v/>
      </c>
      <c r="W9">
        <f>HYPERLINK("https://klasma.github.io/Logging_1981/klagomålsmail/A 54934-2020 FSC-klagomål mail.docx", "A 54934-2020")</f>
        <v/>
      </c>
      <c r="X9">
        <f>HYPERLINK("https://klasma.github.io/Logging_1981/tillsyn/A 54934-2020 tillsynsbegäran.docx", "A 54934-2020")</f>
        <v/>
      </c>
      <c r="Y9">
        <f>HYPERLINK("https://klasma.github.io/Logging_1981/tillsynsmail/A 54934-2020 tillsynsbegäran mail.docx", "A 54934-2020")</f>
        <v/>
      </c>
    </row>
    <row r="10" ht="15" customHeight="1">
      <c r="A10" t="inlineStr">
        <is>
          <t>A 1182-2022</t>
        </is>
      </c>
      <c r="B10" s="1" t="n">
        <v>44572</v>
      </c>
      <c r="C10" s="1" t="n">
        <v>45884</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45884</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45884</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45884</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34752-2023</t>
        </is>
      </c>
      <c r="B14" s="1" t="n">
        <v>45141</v>
      </c>
      <c r="C14" s="1" t="n">
        <v>45884</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45884</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45884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45884</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4264-2024</t>
        </is>
      </c>
      <c r="B18" s="1" t="n">
        <v>45324</v>
      </c>
      <c r="C18" s="1" t="n">
        <v>45884</v>
      </c>
      <c r="D18" t="inlineStr">
        <is>
          <t>VÄSTMANLANDS LÄN</t>
        </is>
      </c>
      <c r="E18" t="inlineStr">
        <is>
          <t>SALA</t>
        </is>
      </c>
      <c r="G18" t="n">
        <v>2.5</v>
      </c>
      <c r="H18" t="n">
        <v>0</v>
      </c>
      <c r="I18" t="n">
        <v>1</v>
      </c>
      <c r="J18" t="n">
        <v>2</v>
      </c>
      <c r="K18" t="n">
        <v>0</v>
      </c>
      <c r="L18" t="n">
        <v>0</v>
      </c>
      <c r="M18" t="n">
        <v>0</v>
      </c>
      <c r="N18" t="n">
        <v>0</v>
      </c>
      <c r="O18" t="n">
        <v>2</v>
      </c>
      <c r="P18" t="n">
        <v>0</v>
      </c>
      <c r="Q18" t="n">
        <v>3</v>
      </c>
      <c r="R18" s="2" t="inlineStr">
        <is>
          <t>Brunpudrad nållav
Vedtrappmossa
Dvärghäxört</t>
        </is>
      </c>
      <c r="S18">
        <f>HYPERLINK("https://klasma.github.io/Logging_1981/artfynd/A 4264-2024 artfynd.xlsx", "A 4264-2024")</f>
        <v/>
      </c>
      <c r="T18">
        <f>HYPERLINK("https://klasma.github.io/Logging_1981/kartor/A 4264-2024 karta.png", "A 4264-2024")</f>
        <v/>
      </c>
      <c r="V18">
        <f>HYPERLINK("https://klasma.github.io/Logging_1981/klagomål/A 4264-2024 FSC-klagomål.docx", "A 4264-2024")</f>
        <v/>
      </c>
      <c r="W18">
        <f>HYPERLINK("https://klasma.github.io/Logging_1981/klagomålsmail/A 4264-2024 FSC-klagomål mail.docx", "A 4264-2024")</f>
        <v/>
      </c>
      <c r="X18">
        <f>HYPERLINK("https://klasma.github.io/Logging_1981/tillsyn/A 4264-2024 tillsynsbegäran.docx", "A 4264-2024")</f>
        <v/>
      </c>
      <c r="Y18">
        <f>HYPERLINK("https://klasma.github.io/Logging_1981/tillsynsmail/A 4264-2024 tillsynsbegäran mail.docx", "A 4264-2024")</f>
        <v/>
      </c>
    </row>
    <row r="19" ht="15" customHeight="1">
      <c r="A19" t="inlineStr">
        <is>
          <t>A 35461-2024</t>
        </is>
      </c>
      <c r="B19" s="1" t="n">
        <v>45531</v>
      </c>
      <c r="C19" s="1" t="n">
        <v>45884</v>
      </c>
      <c r="D19" t="inlineStr">
        <is>
          <t>VÄSTMANLANDS LÄN</t>
        </is>
      </c>
      <c r="E19" t="inlineStr">
        <is>
          <t>SALA</t>
        </is>
      </c>
      <c r="G19" t="n">
        <v>4.4</v>
      </c>
      <c r="H19" t="n">
        <v>2</v>
      </c>
      <c r="I19" t="n">
        <v>1</v>
      </c>
      <c r="J19" t="n">
        <v>2</v>
      </c>
      <c r="K19" t="n">
        <v>0</v>
      </c>
      <c r="L19" t="n">
        <v>0</v>
      </c>
      <c r="M19" t="n">
        <v>0</v>
      </c>
      <c r="N19" t="n">
        <v>0</v>
      </c>
      <c r="O19" t="n">
        <v>2</v>
      </c>
      <c r="P19" t="n">
        <v>0</v>
      </c>
      <c r="Q19" t="n">
        <v>3</v>
      </c>
      <c r="R19" s="2" t="inlineStr">
        <is>
          <t>Duvhök
Talltita
Grönpyrola</t>
        </is>
      </c>
      <c r="S19">
        <f>HYPERLINK("https://klasma.github.io/Logging_1981/artfynd/A 35461-2024 artfynd.xlsx", "A 35461-2024")</f>
        <v/>
      </c>
      <c r="T19">
        <f>HYPERLINK("https://klasma.github.io/Logging_1981/kartor/A 35461-2024 karta.png", "A 35461-2024")</f>
        <v/>
      </c>
      <c r="V19">
        <f>HYPERLINK("https://klasma.github.io/Logging_1981/klagomål/A 35461-2024 FSC-klagomål.docx", "A 35461-2024")</f>
        <v/>
      </c>
      <c r="W19">
        <f>HYPERLINK("https://klasma.github.io/Logging_1981/klagomålsmail/A 35461-2024 FSC-klagomål mail.docx", "A 35461-2024")</f>
        <v/>
      </c>
      <c r="X19">
        <f>HYPERLINK("https://klasma.github.io/Logging_1981/tillsyn/A 35461-2024 tillsynsbegäran.docx", "A 35461-2024")</f>
        <v/>
      </c>
      <c r="Y19">
        <f>HYPERLINK("https://klasma.github.io/Logging_1981/tillsynsmail/A 35461-2024 tillsynsbegäran mail.docx", "A 35461-2024")</f>
        <v/>
      </c>
      <c r="Z19">
        <f>HYPERLINK("https://klasma.github.io/Logging_1981/fåglar/A 35461-2024 prioriterade fågelarter.docx", "A 35461-2024")</f>
        <v/>
      </c>
    </row>
    <row r="20" ht="15" customHeight="1">
      <c r="A20" t="inlineStr">
        <is>
          <t>A 53019-2024</t>
        </is>
      </c>
      <c r="B20" s="1" t="n">
        <v>45610</v>
      </c>
      <c r="C20" s="1" t="n">
        <v>45884</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45884</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45884</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3567-2024</t>
        </is>
      </c>
      <c r="B23" s="1" t="n">
        <v>45320.63706018519</v>
      </c>
      <c r="C23" s="1" t="n">
        <v>45884</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34065-2025</t>
        </is>
      </c>
      <c r="B24" s="1" t="n">
        <v>45845.42806712963</v>
      </c>
      <c r="C24" s="1" t="n">
        <v>45884</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52909-2022</t>
        </is>
      </c>
      <c r="B25" s="1" t="n">
        <v>44875</v>
      </c>
      <c r="C25" s="1" t="n">
        <v>45884</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45884</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13029-2023</t>
        </is>
      </c>
      <c r="B27" s="1" t="n">
        <v>45001</v>
      </c>
      <c r="C27" s="1" t="n">
        <v>45884</v>
      </c>
      <c r="D27" t="inlineStr">
        <is>
          <t>VÄSTMANLANDS LÄN</t>
        </is>
      </c>
      <c r="E27" t="inlineStr">
        <is>
          <t>SALA</t>
        </is>
      </c>
      <c r="G27" t="n">
        <v>2</v>
      </c>
      <c r="H27" t="n">
        <v>0</v>
      </c>
      <c r="I27" t="n">
        <v>0</v>
      </c>
      <c r="J27" t="n">
        <v>2</v>
      </c>
      <c r="K27" t="n">
        <v>0</v>
      </c>
      <c r="L27" t="n">
        <v>0</v>
      </c>
      <c r="M27" t="n">
        <v>0</v>
      </c>
      <c r="N27" t="n">
        <v>0</v>
      </c>
      <c r="O27" t="n">
        <v>2</v>
      </c>
      <c r="P27" t="n">
        <v>0</v>
      </c>
      <c r="Q27" t="n">
        <v>2</v>
      </c>
      <c r="R27" s="2" t="inlineStr">
        <is>
          <t>Krusfrö
Linmåra/småsnärjmåra</t>
        </is>
      </c>
      <c r="S27">
        <f>HYPERLINK("https://klasma.github.io/Logging_1981/artfynd/A 13029-2023 artfynd.xlsx", "A 13029-2023")</f>
        <v/>
      </c>
      <c r="T27">
        <f>HYPERLINK("https://klasma.github.io/Logging_1981/kartor/A 13029-2023 karta.png", "A 13029-2023")</f>
        <v/>
      </c>
      <c r="V27">
        <f>HYPERLINK("https://klasma.github.io/Logging_1981/klagomål/A 13029-2023 FSC-klagomål.docx", "A 13029-2023")</f>
        <v/>
      </c>
      <c r="W27">
        <f>HYPERLINK("https://klasma.github.io/Logging_1981/klagomålsmail/A 13029-2023 FSC-klagomål mail.docx", "A 13029-2023")</f>
        <v/>
      </c>
      <c r="X27">
        <f>HYPERLINK("https://klasma.github.io/Logging_1981/tillsyn/A 13029-2023 tillsynsbegäran.docx", "A 13029-2023")</f>
        <v/>
      </c>
      <c r="Y27">
        <f>HYPERLINK("https://klasma.github.io/Logging_1981/tillsynsmail/A 13029-2023 tillsynsbegäran mail.docx", "A 13029-2023")</f>
        <v/>
      </c>
    </row>
    <row r="28" ht="15" customHeight="1">
      <c r="A28" t="inlineStr">
        <is>
          <t>A 1500-2022</t>
        </is>
      </c>
      <c r="B28" s="1" t="n">
        <v>44573.54357638889</v>
      </c>
      <c r="C28" s="1" t="n">
        <v>45884</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12444-2024</t>
        </is>
      </c>
      <c r="B29" s="1" t="n">
        <v>45379.46285879629</v>
      </c>
      <c r="C29" s="1" t="n">
        <v>45884</v>
      </c>
      <c r="D29" t="inlineStr">
        <is>
          <t>VÄSTMANLANDS LÄN</t>
        </is>
      </c>
      <c r="E29" t="inlineStr">
        <is>
          <t>SALA</t>
        </is>
      </c>
      <c r="G29" t="n">
        <v>5.5</v>
      </c>
      <c r="H29" t="n">
        <v>0</v>
      </c>
      <c r="I29" t="n">
        <v>1</v>
      </c>
      <c r="J29" t="n">
        <v>1</v>
      </c>
      <c r="K29" t="n">
        <v>0</v>
      </c>
      <c r="L29" t="n">
        <v>0</v>
      </c>
      <c r="M29" t="n">
        <v>0</v>
      </c>
      <c r="N29" t="n">
        <v>0</v>
      </c>
      <c r="O29" t="n">
        <v>1</v>
      </c>
      <c r="P29" t="n">
        <v>0</v>
      </c>
      <c r="Q29" t="n">
        <v>2</v>
      </c>
      <c r="R29" s="2" t="inlineStr">
        <is>
          <t>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15102-2025</t>
        </is>
      </c>
      <c r="B30" s="1" t="n">
        <v>45744.34585648148</v>
      </c>
      <c r="C30" s="1" t="n">
        <v>45884</v>
      </c>
      <c r="D30" t="inlineStr">
        <is>
          <t>VÄSTMANLANDS LÄN</t>
        </is>
      </c>
      <c r="E30" t="inlineStr">
        <is>
          <t>SALA</t>
        </is>
      </c>
      <c r="F30" t="inlineStr">
        <is>
          <t>Sveaskog</t>
        </is>
      </c>
      <c r="G30" t="n">
        <v>4.2</v>
      </c>
      <c r="H30" t="n">
        <v>2</v>
      </c>
      <c r="I30" t="n">
        <v>0</v>
      </c>
      <c r="J30" t="n">
        <v>1</v>
      </c>
      <c r="K30" t="n">
        <v>0</v>
      </c>
      <c r="L30" t="n">
        <v>0</v>
      </c>
      <c r="M30" t="n">
        <v>0</v>
      </c>
      <c r="N30" t="n">
        <v>0</v>
      </c>
      <c r="O30" t="n">
        <v>1</v>
      </c>
      <c r="P30" t="n">
        <v>0</v>
      </c>
      <c r="Q30" t="n">
        <v>2</v>
      </c>
      <c r="R30" s="2" t="inlineStr">
        <is>
          <t>Spillkråka
Grönsiska</t>
        </is>
      </c>
      <c r="S30">
        <f>HYPERLINK("https://klasma.github.io/Logging_1981/artfynd/A 15102-2025 artfynd.xlsx", "A 15102-2025")</f>
        <v/>
      </c>
      <c r="T30">
        <f>HYPERLINK("https://klasma.github.io/Logging_1981/kartor/A 15102-2025 karta.png", "A 15102-2025")</f>
        <v/>
      </c>
      <c r="V30">
        <f>HYPERLINK("https://klasma.github.io/Logging_1981/klagomål/A 15102-2025 FSC-klagomål.docx", "A 15102-2025")</f>
        <v/>
      </c>
      <c r="W30">
        <f>HYPERLINK("https://klasma.github.io/Logging_1981/klagomålsmail/A 15102-2025 FSC-klagomål mail.docx", "A 15102-2025")</f>
        <v/>
      </c>
      <c r="X30">
        <f>HYPERLINK("https://klasma.github.io/Logging_1981/tillsyn/A 15102-2025 tillsynsbegäran.docx", "A 15102-2025")</f>
        <v/>
      </c>
      <c r="Y30">
        <f>HYPERLINK("https://klasma.github.io/Logging_1981/tillsynsmail/A 15102-2025 tillsynsbegäran mail.docx", "A 15102-2025")</f>
        <v/>
      </c>
      <c r="Z30">
        <f>HYPERLINK("https://klasma.github.io/Logging_1981/fåglar/A 15102-2025 prioriterade fågelarter.docx", "A 15102-2025")</f>
        <v/>
      </c>
    </row>
    <row r="31" ht="15" customHeight="1">
      <c r="A31" t="inlineStr">
        <is>
          <t>A 24327-2025</t>
        </is>
      </c>
      <c r="B31" s="1" t="n">
        <v>45797</v>
      </c>
      <c r="C31" s="1" t="n">
        <v>45884</v>
      </c>
      <c r="D31" t="inlineStr">
        <is>
          <t>VÄSTMANLANDS LÄN</t>
        </is>
      </c>
      <c r="E31" t="inlineStr">
        <is>
          <t>SALA</t>
        </is>
      </c>
      <c r="G31" t="n">
        <v>13.1</v>
      </c>
      <c r="H31" t="n">
        <v>1</v>
      </c>
      <c r="I31" t="n">
        <v>1</v>
      </c>
      <c r="J31" t="n">
        <v>0</v>
      </c>
      <c r="K31" t="n">
        <v>0</v>
      </c>
      <c r="L31" t="n">
        <v>0</v>
      </c>
      <c r="M31" t="n">
        <v>0</v>
      </c>
      <c r="N31" t="n">
        <v>0</v>
      </c>
      <c r="O31" t="n">
        <v>0</v>
      </c>
      <c r="P31" t="n">
        <v>0</v>
      </c>
      <c r="Q31" t="n">
        <v>2</v>
      </c>
      <c r="R31" s="2" t="inlineStr">
        <is>
          <t>Blomkålssvamp
Blåsippa</t>
        </is>
      </c>
      <c r="S31">
        <f>HYPERLINK("https://klasma.github.io/Logging_1981/artfynd/A 24327-2025 artfynd.xlsx", "A 24327-2025")</f>
        <v/>
      </c>
      <c r="T31">
        <f>HYPERLINK("https://klasma.github.io/Logging_1981/kartor/A 24327-2025 karta.png", "A 24327-2025")</f>
        <v/>
      </c>
      <c r="U31">
        <f>HYPERLINK("https://klasma.github.io/Logging_1981/knärot/A 24327-2025 karta knärot.png", "A 24327-2025")</f>
        <v/>
      </c>
      <c r="V31">
        <f>HYPERLINK("https://klasma.github.io/Logging_1981/klagomål/A 24327-2025 FSC-klagomål.docx", "A 24327-2025")</f>
        <v/>
      </c>
      <c r="W31">
        <f>HYPERLINK("https://klasma.github.io/Logging_1981/klagomålsmail/A 24327-2025 FSC-klagomål mail.docx", "A 24327-2025")</f>
        <v/>
      </c>
      <c r="X31">
        <f>HYPERLINK("https://klasma.github.io/Logging_1981/tillsyn/A 24327-2025 tillsynsbegäran.docx", "A 24327-2025")</f>
        <v/>
      </c>
      <c r="Y31">
        <f>HYPERLINK("https://klasma.github.io/Logging_1981/tillsynsmail/A 24327-2025 tillsynsbegäran mail.docx", "A 24327-2025")</f>
        <v/>
      </c>
    </row>
    <row r="32" ht="15" customHeight="1">
      <c r="A32" t="inlineStr">
        <is>
          <t>A 24872-2025</t>
        </is>
      </c>
      <c r="B32" s="1" t="n">
        <v>45799.49038194444</v>
      </c>
      <c r="C32" s="1" t="n">
        <v>45884</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61454-2024</t>
        </is>
      </c>
      <c r="B33" s="1" t="n">
        <v>45646</v>
      </c>
      <c r="C33" s="1" t="n">
        <v>45884</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11846-2024</t>
        </is>
      </c>
      <c r="B34" s="1" t="n">
        <v>45376.4047337963</v>
      </c>
      <c r="C34" s="1" t="n">
        <v>45884</v>
      </c>
      <c r="D34" t="inlineStr">
        <is>
          <t>VÄSTMANLANDS LÄN</t>
        </is>
      </c>
      <c r="E34" t="inlineStr">
        <is>
          <t>SALA</t>
        </is>
      </c>
      <c r="G34" t="n">
        <v>8</v>
      </c>
      <c r="H34" t="n">
        <v>0</v>
      </c>
      <c r="I34" t="n">
        <v>2</v>
      </c>
      <c r="J34" t="n">
        <v>0</v>
      </c>
      <c r="K34" t="n">
        <v>0</v>
      </c>
      <c r="L34" t="n">
        <v>0</v>
      </c>
      <c r="M34" t="n">
        <v>0</v>
      </c>
      <c r="N34" t="n">
        <v>0</v>
      </c>
      <c r="O34" t="n">
        <v>0</v>
      </c>
      <c r="P34" t="n">
        <v>0</v>
      </c>
      <c r="Q34" t="n">
        <v>2</v>
      </c>
      <c r="R34" s="2" t="inlineStr">
        <is>
          <t>Bronshjon
Vågbandad barkbock</t>
        </is>
      </c>
      <c r="S34">
        <f>HYPERLINK("https://klasma.github.io/Logging_1981/artfynd/A 11846-2024 artfynd.xlsx", "A 11846-2024")</f>
        <v/>
      </c>
      <c r="T34">
        <f>HYPERLINK("https://klasma.github.io/Logging_1981/kartor/A 11846-2024 karta.png", "A 11846-2024")</f>
        <v/>
      </c>
      <c r="V34">
        <f>HYPERLINK("https://klasma.github.io/Logging_1981/klagomål/A 11846-2024 FSC-klagomål.docx", "A 11846-2024")</f>
        <v/>
      </c>
      <c r="W34">
        <f>HYPERLINK("https://klasma.github.io/Logging_1981/klagomålsmail/A 11846-2024 FSC-klagomål mail.docx", "A 11846-2024")</f>
        <v/>
      </c>
      <c r="X34">
        <f>HYPERLINK("https://klasma.github.io/Logging_1981/tillsyn/A 11846-2024 tillsynsbegäran.docx", "A 11846-2024")</f>
        <v/>
      </c>
      <c r="Y34">
        <f>HYPERLINK("https://klasma.github.io/Logging_1981/tillsynsmail/A 11846-2024 tillsynsbegäran mail.docx", "A 11846-2024")</f>
        <v/>
      </c>
    </row>
    <row r="35" ht="15" customHeight="1">
      <c r="A35" t="inlineStr">
        <is>
          <t>A 44970-2021</t>
        </is>
      </c>
      <c r="B35" s="1" t="n">
        <v>44438.74399305556</v>
      </c>
      <c r="C35" s="1" t="n">
        <v>45884</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45884</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29727-2023</t>
        </is>
      </c>
      <c r="B37" s="1" t="n">
        <v>45107</v>
      </c>
      <c r="C37" s="1" t="n">
        <v>45884</v>
      </c>
      <c r="D37" t="inlineStr">
        <is>
          <t>VÄSTMANLANDS LÄN</t>
        </is>
      </c>
      <c r="E37" t="inlineStr">
        <is>
          <t>SALA</t>
        </is>
      </c>
      <c r="G37" t="n">
        <v>1.9</v>
      </c>
      <c r="H37" t="n">
        <v>0</v>
      </c>
      <c r="I37" t="n">
        <v>0</v>
      </c>
      <c r="J37" t="n">
        <v>1</v>
      </c>
      <c r="K37" t="n">
        <v>0</v>
      </c>
      <c r="L37" t="n">
        <v>0</v>
      </c>
      <c r="M37" t="n">
        <v>0</v>
      </c>
      <c r="N37" t="n">
        <v>0</v>
      </c>
      <c r="O37" t="n">
        <v>1</v>
      </c>
      <c r="P37" t="n">
        <v>0</v>
      </c>
      <c r="Q37" t="n">
        <v>1</v>
      </c>
      <c r="R37" s="2" t="inlineStr">
        <is>
          <t>Vedtrappmossa</t>
        </is>
      </c>
      <c r="S37">
        <f>HYPERLINK("https://klasma.github.io/Logging_1981/artfynd/A 29727-2023 artfynd.xlsx", "A 29727-2023")</f>
        <v/>
      </c>
      <c r="T37">
        <f>HYPERLINK("https://klasma.github.io/Logging_1981/kartor/A 29727-2023 karta.png", "A 29727-2023")</f>
        <v/>
      </c>
      <c r="V37">
        <f>HYPERLINK("https://klasma.github.io/Logging_1981/klagomål/A 29727-2023 FSC-klagomål.docx", "A 29727-2023")</f>
        <v/>
      </c>
      <c r="W37">
        <f>HYPERLINK("https://klasma.github.io/Logging_1981/klagomålsmail/A 29727-2023 FSC-klagomål mail.docx", "A 29727-2023")</f>
        <v/>
      </c>
      <c r="X37">
        <f>HYPERLINK("https://klasma.github.io/Logging_1981/tillsyn/A 29727-2023 tillsynsbegäran.docx", "A 29727-2023")</f>
        <v/>
      </c>
      <c r="Y37">
        <f>HYPERLINK("https://klasma.github.io/Logging_1981/tillsynsmail/A 29727-2023 tillsynsbegäran mail.docx", "A 29727-2023")</f>
        <v/>
      </c>
    </row>
    <row r="38" ht="15" customHeight="1">
      <c r="A38" t="inlineStr">
        <is>
          <t>A 69362-2020</t>
        </is>
      </c>
      <c r="B38" s="1" t="n">
        <v>44193</v>
      </c>
      <c r="C38" s="1" t="n">
        <v>45884</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39800-2020</t>
        </is>
      </c>
      <c r="B39" s="1" t="n">
        <v>44067</v>
      </c>
      <c r="C39" s="1" t="n">
        <v>45884</v>
      </c>
      <c r="D39" t="inlineStr">
        <is>
          <t>VÄSTMANLANDS LÄN</t>
        </is>
      </c>
      <c r="E39" t="inlineStr">
        <is>
          <t>SALA</t>
        </is>
      </c>
      <c r="F39" t="inlineStr">
        <is>
          <t>Sveaskog</t>
        </is>
      </c>
      <c r="G39" t="n">
        <v>1.8</v>
      </c>
      <c r="H39" t="n">
        <v>1</v>
      </c>
      <c r="I39" t="n">
        <v>0</v>
      </c>
      <c r="J39" t="n">
        <v>0</v>
      </c>
      <c r="K39" t="n">
        <v>1</v>
      </c>
      <c r="L39" t="n">
        <v>0</v>
      </c>
      <c r="M39" t="n">
        <v>0</v>
      </c>
      <c r="N39" t="n">
        <v>0</v>
      </c>
      <c r="O39" t="n">
        <v>1</v>
      </c>
      <c r="P39" t="n">
        <v>1</v>
      </c>
      <c r="Q39" t="n">
        <v>1</v>
      </c>
      <c r="R39" s="2" t="inlineStr">
        <is>
          <t>Bombmurkla</t>
        </is>
      </c>
      <c r="S39">
        <f>HYPERLINK("https://klasma.github.io/Logging_1981/artfynd/A 39800-2020 artfynd.xlsx", "A 39800-2020")</f>
        <v/>
      </c>
      <c r="T39">
        <f>HYPERLINK("https://klasma.github.io/Logging_1981/kartor/A 39800-2020 karta.png", "A 39800-2020")</f>
        <v/>
      </c>
      <c r="V39">
        <f>HYPERLINK("https://klasma.github.io/Logging_1981/klagomål/A 39800-2020 FSC-klagomål.docx", "A 39800-2020")</f>
        <v/>
      </c>
      <c r="W39">
        <f>HYPERLINK("https://klasma.github.io/Logging_1981/klagomålsmail/A 39800-2020 FSC-klagomål mail.docx", "A 39800-2020")</f>
        <v/>
      </c>
      <c r="X39">
        <f>HYPERLINK("https://klasma.github.io/Logging_1981/tillsyn/A 39800-2020 tillsynsbegäran.docx", "A 39800-2020")</f>
        <v/>
      </c>
      <c r="Y39">
        <f>HYPERLINK("https://klasma.github.io/Logging_1981/tillsynsmail/A 39800-2020 tillsynsbegäran mail.docx", "A 39800-2020")</f>
        <v/>
      </c>
    </row>
    <row r="40" ht="15" customHeight="1">
      <c r="A40" t="inlineStr">
        <is>
          <t>A 13973-2021</t>
        </is>
      </c>
      <c r="B40" s="1" t="n">
        <v>44277</v>
      </c>
      <c r="C40" s="1" t="n">
        <v>45884</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37166-2024</t>
        </is>
      </c>
      <c r="B41" s="1" t="n">
        <v>45539</v>
      </c>
      <c r="C41" s="1" t="n">
        <v>45884</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14775-2023</t>
        </is>
      </c>
      <c r="B42" s="1" t="n">
        <v>45014</v>
      </c>
      <c r="C42" s="1" t="n">
        <v>45884</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14775-2023 artfynd.xlsx", "A 14775-2023")</f>
        <v/>
      </c>
      <c r="T42">
        <f>HYPERLINK("https://klasma.github.io/Logging_1981/kartor/A 14775-2023 karta.png", "A 14775-2023")</f>
        <v/>
      </c>
      <c r="U42">
        <f>HYPERLINK("https://klasma.github.io/Logging_1981/knärot/A 14775-2023 karta knärot.png", "A 14775-2023")</f>
        <v/>
      </c>
      <c r="V42">
        <f>HYPERLINK("https://klasma.github.io/Logging_1981/klagomål/A 14775-2023 FSC-klagomål.docx", "A 14775-2023")</f>
        <v/>
      </c>
      <c r="W42">
        <f>HYPERLINK("https://klasma.github.io/Logging_1981/klagomålsmail/A 14775-2023 FSC-klagomål mail.docx", "A 14775-2023")</f>
        <v/>
      </c>
      <c r="X42">
        <f>HYPERLINK("https://klasma.github.io/Logging_1981/tillsyn/A 14775-2023 tillsynsbegäran.docx", "A 14775-2023")</f>
        <v/>
      </c>
      <c r="Y42">
        <f>HYPERLINK("https://klasma.github.io/Logging_1981/tillsynsmail/A 14775-2023 tillsynsbegäran mail.docx", "A 14775-2023")</f>
        <v/>
      </c>
    </row>
    <row r="43" ht="15" customHeight="1">
      <c r="A43" t="inlineStr">
        <is>
          <t>A 12509-2023</t>
        </is>
      </c>
      <c r="B43" s="1" t="n">
        <v>44999.95988425926</v>
      </c>
      <c r="C43" s="1" t="n">
        <v>45884</v>
      </c>
      <c r="D43" t="inlineStr">
        <is>
          <t>VÄSTMANLANDS LÄN</t>
        </is>
      </c>
      <c r="E43" t="inlineStr">
        <is>
          <t>SALA</t>
        </is>
      </c>
      <c r="G43" t="n">
        <v>13.9</v>
      </c>
      <c r="H43" t="n">
        <v>1</v>
      </c>
      <c r="I43" t="n">
        <v>0</v>
      </c>
      <c r="J43" t="n">
        <v>0</v>
      </c>
      <c r="K43" t="n">
        <v>0</v>
      </c>
      <c r="L43" t="n">
        <v>0</v>
      </c>
      <c r="M43" t="n">
        <v>0</v>
      </c>
      <c r="N43" t="n">
        <v>0</v>
      </c>
      <c r="O43" t="n">
        <v>0</v>
      </c>
      <c r="P43" t="n">
        <v>0</v>
      </c>
      <c r="Q43" t="n">
        <v>1</v>
      </c>
      <c r="R43" s="2" t="inlineStr">
        <is>
          <t>Grönvit nattviol</t>
        </is>
      </c>
      <c r="S43">
        <f>HYPERLINK("https://klasma.github.io/Logging_1981/artfynd/A 12509-2023 artfynd.xlsx", "A 12509-2023")</f>
        <v/>
      </c>
      <c r="T43">
        <f>HYPERLINK("https://klasma.github.io/Logging_1981/kartor/A 12509-2023 karta.png", "A 12509-2023")</f>
        <v/>
      </c>
      <c r="V43">
        <f>HYPERLINK("https://klasma.github.io/Logging_1981/klagomål/A 12509-2023 FSC-klagomål.docx", "A 12509-2023")</f>
        <v/>
      </c>
      <c r="W43">
        <f>HYPERLINK("https://klasma.github.io/Logging_1981/klagomålsmail/A 12509-2023 FSC-klagomål mail.docx", "A 12509-2023")</f>
        <v/>
      </c>
      <c r="X43">
        <f>HYPERLINK("https://klasma.github.io/Logging_1981/tillsyn/A 12509-2023 tillsynsbegäran.docx", "A 12509-2023")</f>
        <v/>
      </c>
      <c r="Y43">
        <f>HYPERLINK("https://klasma.github.io/Logging_1981/tillsynsmail/A 12509-2023 tillsynsbegäran mail.docx", "A 12509-2023")</f>
        <v/>
      </c>
    </row>
    <row r="44" ht="15" customHeight="1">
      <c r="A44" t="inlineStr">
        <is>
          <t>A 42352-2020</t>
        </is>
      </c>
      <c r="B44" s="1" t="n">
        <v>44076</v>
      </c>
      <c r="C44" s="1" t="n">
        <v>45884</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45884</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43068-2024</t>
        </is>
      </c>
      <c r="B46" s="1" t="n">
        <v>45567</v>
      </c>
      <c r="C46" s="1" t="n">
        <v>45884</v>
      </c>
      <c r="D46" t="inlineStr">
        <is>
          <t>VÄSTMANLANDS LÄN</t>
        </is>
      </c>
      <c r="E46" t="inlineStr">
        <is>
          <t>SALA</t>
        </is>
      </c>
      <c r="G46" t="n">
        <v>1.1</v>
      </c>
      <c r="H46" t="n">
        <v>0</v>
      </c>
      <c r="I46" t="n">
        <v>1</v>
      </c>
      <c r="J46" t="n">
        <v>0</v>
      </c>
      <c r="K46" t="n">
        <v>0</v>
      </c>
      <c r="L46" t="n">
        <v>0</v>
      </c>
      <c r="M46" t="n">
        <v>0</v>
      </c>
      <c r="N46" t="n">
        <v>0</v>
      </c>
      <c r="O46" t="n">
        <v>0</v>
      </c>
      <c r="P46" t="n">
        <v>0</v>
      </c>
      <c r="Q46" t="n">
        <v>1</v>
      </c>
      <c r="R46" s="2" t="inlineStr">
        <is>
          <t>Vedticka</t>
        </is>
      </c>
      <c r="S46">
        <f>HYPERLINK("https://klasma.github.io/Logging_1981/artfynd/A 43068-2024 artfynd.xlsx", "A 43068-2024")</f>
        <v/>
      </c>
      <c r="T46">
        <f>HYPERLINK("https://klasma.github.io/Logging_1981/kartor/A 43068-2024 karta.png", "A 43068-2024")</f>
        <v/>
      </c>
      <c r="V46">
        <f>HYPERLINK("https://klasma.github.io/Logging_1981/klagomål/A 43068-2024 FSC-klagomål.docx", "A 43068-2024")</f>
        <v/>
      </c>
      <c r="W46">
        <f>HYPERLINK("https://klasma.github.io/Logging_1981/klagomålsmail/A 43068-2024 FSC-klagomål mail.docx", "A 43068-2024")</f>
        <v/>
      </c>
      <c r="X46">
        <f>HYPERLINK("https://klasma.github.io/Logging_1981/tillsyn/A 43068-2024 tillsynsbegäran.docx", "A 43068-2024")</f>
        <v/>
      </c>
      <c r="Y46">
        <f>HYPERLINK("https://klasma.github.io/Logging_1981/tillsynsmail/A 43068-2024 tillsynsbegäran mail.docx", "A 43068-2024")</f>
        <v/>
      </c>
    </row>
    <row r="47" ht="15" customHeight="1">
      <c r="A47" t="inlineStr">
        <is>
          <t>A 19361-2025</t>
        </is>
      </c>
      <c r="B47" s="1" t="n">
        <v>45769.63357638889</v>
      </c>
      <c r="C47" s="1" t="n">
        <v>45884</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41570-2021</t>
        </is>
      </c>
      <c r="B48" s="1" t="n">
        <v>44425</v>
      </c>
      <c r="C48" s="1" t="n">
        <v>45884</v>
      </c>
      <c r="D48" t="inlineStr">
        <is>
          <t>VÄSTMANLANDS LÄN</t>
        </is>
      </c>
      <c r="E48" t="inlineStr">
        <is>
          <t>SALA</t>
        </is>
      </c>
      <c r="G48" t="n">
        <v>1.4</v>
      </c>
      <c r="H48" t="n">
        <v>0</v>
      </c>
      <c r="I48" t="n">
        <v>0</v>
      </c>
      <c r="J48" t="n">
        <v>1</v>
      </c>
      <c r="K48" t="n">
        <v>0</v>
      </c>
      <c r="L48" t="n">
        <v>0</v>
      </c>
      <c r="M48" t="n">
        <v>0</v>
      </c>
      <c r="N48" t="n">
        <v>0</v>
      </c>
      <c r="O48" t="n">
        <v>1</v>
      </c>
      <c r="P48" t="n">
        <v>0</v>
      </c>
      <c r="Q48" t="n">
        <v>1</v>
      </c>
      <c r="R48" s="2" t="inlineStr">
        <is>
          <t>Vedtrappmossa</t>
        </is>
      </c>
      <c r="S48">
        <f>HYPERLINK("https://klasma.github.io/Logging_1981/artfynd/A 41570-2021 artfynd.xlsx", "A 41570-2021")</f>
        <v/>
      </c>
      <c r="T48">
        <f>HYPERLINK("https://klasma.github.io/Logging_1981/kartor/A 41570-2021 karta.png", "A 41570-2021")</f>
        <v/>
      </c>
      <c r="V48">
        <f>HYPERLINK("https://klasma.github.io/Logging_1981/klagomål/A 41570-2021 FSC-klagomål.docx", "A 41570-2021")</f>
        <v/>
      </c>
      <c r="W48">
        <f>HYPERLINK("https://klasma.github.io/Logging_1981/klagomålsmail/A 41570-2021 FSC-klagomål mail.docx", "A 41570-2021")</f>
        <v/>
      </c>
      <c r="X48">
        <f>HYPERLINK("https://klasma.github.io/Logging_1981/tillsyn/A 41570-2021 tillsynsbegäran.docx", "A 41570-2021")</f>
        <v/>
      </c>
      <c r="Y48">
        <f>HYPERLINK("https://klasma.github.io/Logging_1981/tillsynsmail/A 41570-2021 tillsynsbegäran mail.docx", "A 41570-2021")</f>
        <v/>
      </c>
    </row>
    <row r="49" ht="15" customHeight="1">
      <c r="A49" t="inlineStr">
        <is>
          <t>A 60852-2024</t>
        </is>
      </c>
      <c r="B49" s="1" t="n">
        <v>45644</v>
      </c>
      <c r="C49" s="1" t="n">
        <v>45884</v>
      </c>
      <c r="D49" t="inlineStr">
        <is>
          <t>VÄSTMANLANDS LÄN</t>
        </is>
      </c>
      <c r="E49" t="inlineStr">
        <is>
          <t>SALA</t>
        </is>
      </c>
      <c r="G49" t="n">
        <v>7.6</v>
      </c>
      <c r="H49" t="n">
        <v>1</v>
      </c>
      <c r="I49" t="n">
        <v>0</v>
      </c>
      <c r="J49" t="n">
        <v>0</v>
      </c>
      <c r="K49" t="n">
        <v>0</v>
      </c>
      <c r="L49" t="n">
        <v>0</v>
      </c>
      <c r="M49" t="n">
        <v>0</v>
      </c>
      <c r="N49" t="n">
        <v>0</v>
      </c>
      <c r="O49" t="n">
        <v>0</v>
      </c>
      <c r="P49" t="n">
        <v>0</v>
      </c>
      <c r="Q49" t="n">
        <v>1</v>
      </c>
      <c r="R49" s="2" t="inlineStr">
        <is>
          <t>Blåsippa</t>
        </is>
      </c>
      <c r="S49">
        <f>HYPERLINK("https://klasma.github.io/Logging_1981/artfynd/A 60852-2024 artfynd.xlsx", "A 60852-2024")</f>
        <v/>
      </c>
      <c r="T49">
        <f>HYPERLINK("https://klasma.github.io/Logging_1981/kartor/A 60852-2024 karta.png", "A 60852-2024")</f>
        <v/>
      </c>
      <c r="V49">
        <f>HYPERLINK("https://klasma.github.io/Logging_1981/klagomål/A 60852-2024 FSC-klagomål.docx", "A 60852-2024")</f>
        <v/>
      </c>
      <c r="W49">
        <f>HYPERLINK("https://klasma.github.io/Logging_1981/klagomålsmail/A 60852-2024 FSC-klagomål mail.docx", "A 60852-2024")</f>
        <v/>
      </c>
      <c r="X49">
        <f>HYPERLINK("https://klasma.github.io/Logging_1981/tillsyn/A 60852-2024 tillsynsbegäran.docx", "A 60852-2024")</f>
        <v/>
      </c>
      <c r="Y49">
        <f>HYPERLINK("https://klasma.github.io/Logging_1981/tillsynsmail/A 60852-2024 tillsynsbegäran mail.docx", "A 60852-2024")</f>
        <v/>
      </c>
    </row>
    <row r="50" ht="15" customHeight="1">
      <c r="A50" t="inlineStr">
        <is>
          <t>A 7919-2022</t>
        </is>
      </c>
      <c r="B50" s="1" t="n">
        <v>44608</v>
      </c>
      <c r="C50" s="1" t="n">
        <v>45884</v>
      </c>
      <c r="D50" t="inlineStr">
        <is>
          <t>VÄSTMANLANDS LÄN</t>
        </is>
      </c>
      <c r="E50" t="inlineStr">
        <is>
          <t>SALA</t>
        </is>
      </c>
      <c r="F50" t="inlineStr">
        <is>
          <t>Bergvik skog öst AB</t>
        </is>
      </c>
      <c r="G50" t="n">
        <v>4.5</v>
      </c>
      <c r="H50" t="n">
        <v>1</v>
      </c>
      <c r="I50" t="n">
        <v>0</v>
      </c>
      <c r="J50" t="n">
        <v>1</v>
      </c>
      <c r="K50" t="n">
        <v>0</v>
      </c>
      <c r="L50" t="n">
        <v>0</v>
      </c>
      <c r="M50" t="n">
        <v>0</v>
      </c>
      <c r="N50" t="n">
        <v>0</v>
      </c>
      <c r="O50" t="n">
        <v>1</v>
      </c>
      <c r="P50" t="n">
        <v>0</v>
      </c>
      <c r="Q50" t="n">
        <v>1</v>
      </c>
      <c r="R50" s="2" t="inlineStr">
        <is>
          <t>Ävjepilört</t>
        </is>
      </c>
      <c r="S50">
        <f>HYPERLINK("https://klasma.github.io/Logging_1981/artfynd/A 7919-2022 artfynd.xlsx", "A 7919-2022")</f>
        <v/>
      </c>
      <c r="T50">
        <f>HYPERLINK("https://klasma.github.io/Logging_1981/kartor/A 7919-2022 karta.png", "A 7919-2022")</f>
        <v/>
      </c>
      <c r="V50">
        <f>HYPERLINK("https://klasma.github.io/Logging_1981/klagomål/A 7919-2022 FSC-klagomål.docx", "A 7919-2022")</f>
        <v/>
      </c>
      <c r="W50">
        <f>HYPERLINK("https://klasma.github.io/Logging_1981/klagomålsmail/A 7919-2022 FSC-klagomål mail.docx", "A 7919-2022")</f>
        <v/>
      </c>
      <c r="X50">
        <f>HYPERLINK("https://klasma.github.io/Logging_1981/tillsyn/A 7919-2022 tillsynsbegäran.docx", "A 7919-2022")</f>
        <v/>
      </c>
      <c r="Y50">
        <f>HYPERLINK("https://klasma.github.io/Logging_1981/tillsynsmail/A 7919-2022 tillsynsbegäran mail.docx", "A 7919-2022")</f>
        <v/>
      </c>
    </row>
    <row r="51" ht="15" customHeight="1">
      <c r="A51" t="inlineStr">
        <is>
          <t>A 22350-2024</t>
        </is>
      </c>
      <c r="B51" s="1" t="n">
        <v>45446</v>
      </c>
      <c r="C51" s="1" t="n">
        <v>45884</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Blåsippa</t>
        </is>
      </c>
      <c r="S51">
        <f>HYPERLINK("https://klasma.github.io/Logging_1981/artfynd/A 22350-2024 artfynd.xlsx", "A 22350-2024")</f>
        <v/>
      </c>
      <c r="T51">
        <f>HYPERLINK("https://klasma.github.io/Logging_1981/kartor/A 22350-2024 karta.png", "A 22350-2024")</f>
        <v/>
      </c>
      <c r="V51">
        <f>HYPERLINK("https://klasma.github.io/Logging_1981/klagomål/A 22350-2024 FSC-klagomål.docx", "A 22350-2024")</f>
        <v/>
      </c>
      <c r="W51">
        <f>HYPERLINK("https://klasma.github.io/Logging_1981/klagomålsmail/A 22350-2024 FSC-klagomål mail.docx", "A 22350-2024")</f>
        <v/>
      </c>
      <c r="X51">
        <f>HYPERLINK("https://klasma.github.io/Logging_1981/tillsyn/A 22350-2024 tillsynsbegäran.docx", "A 22350-2024")</f>
        <v/>
      </c>
      <c r="Y51">
        <f>HYPERLINK("https://klasma.github.io/Logging_1981/tillsynsmail/A 22350-2024 tillsynsbegäran mail.docx", "A 22350-2024")</f>
        <v/>
      </c>
    </row>
    <row r="52" ht="15" customHeight="1">
      <c r="A52" t="inlineStr">
        <is>
          <t>A 43175-2023</t>
        </is>
      </c>
      <c r="B52" s="1" t="n">
        <v>45183</v>
      </c>
      <c r="C52" s="1" t="n">
        <v>45884</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29985-2022</t>
        </is>
      </c>
      <c r="B53" s="1" t="n">
        <v>44756</v>
      </c>
      <c r="C53" s="1" t="n">
        <v>45884</v>
      </c>
      <c r="D53" t="inlineStr">
        <is>
          <t>VÄSTMANLANDS LÄN</t>
        </is>
      </c>
      <c r="E53" t="inlineStr">
        <is>
          <t>SALA</t>
        </is>
      </c>
      <c r="F53" t="inlineStr">
        <is>
          <t>Kommuner</t>
        </is>
      </c>
      <c r="G53" t="n">
        <v>1</v>
      </c>
      <c r="H53" t="n">
        <v>1</v>
      </c>
      <c r="I53" t="n">
        <v>1</v>
      </c>
      <c r="J53" t="n">
        <v>0</v>
      </c>
      <c r="K53" t="n">
        <v>0</v>
      </c>
      <c r="L53" t="n">
        <v>0</v>
      </c>
      <c r="M53" t="n">
        <v>0</v>
      </c>
      <c r="N53" t="n">
        <v>0</v>
      </c>
      <c r="O53" t="n">
        <v>0</v>
      </c>
      <c r="P53" t="n">
        <v>0</v>
      </c>
      <c r="Q53" t="n">
        <v>1</v>
      </c>
      <c r="R53" s="2" t="inlineStr">
        <is>
          <t>Skogsknipprot</t>
        </is>
      </c>
      <c r="S53">
        <f>HYPERLINK("https://klasma.github.io/Logging_1981/artfynd/A 29985-2022 artfynd.xlsx", "A 29985-2022")</f>
        <v/>
      </c>
      <c r="T53">
        <f>HYPERLINK("https://klasma.github.io/Logging_1981/kartor/A 29985-2022 karta.png", "A 29985-2022")</f>
        <v/>
      </c>
      <c r="V53">
        <f>HYPERLINK("https://klasma.github.io/Logging_1981/klagomål/A 29985-2022 FSC-klagomål.docx", "A 29985-2022")</f>
        <v/>
      </c>
      <c r="W53">
        <f>HYPERLINK("https://klasma.github.io/Logging_1981/klagomålsmail/A 29985-2022 FSC-klagomål mail.docx", "A 29985-2022")</f>
        <v/>
      </c>
      <c r="X53">
        <f>HYPERLINK("https://klasma.github.io/Logging_1981/tillsyn/A 29985-2022 tillsynsbegäran.docx", "A 29985-2022")</f>
        <v/>
      </c>
      <c r="Y53">
        <f>HYPERLINK("https://klasma.github.io/Logging_1981/tillsynsmail/A 29985-2022 tillsynsbegäran mail.docx", "A 29985-2022")</f>
        <v/>
      </c>
    </row>
    <row r="54" ht="15" customHeight="1">
      <c r="A54" t="inlineStr">
        <is>
          <t>A 7731-2023</t>
        </is>
      </c>
      <c r="B54" s="1" t="n">
        <v>44973</v>
      </c>
      <c r="C54" s="1" t="n">
        <v>45884</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56704-2022</t>
        </is>
      </c>
      <c r="B55" s="1" t="n">
        <v>44893.78075231481</v>
      </c>
      <c r="C55" s="1" t="n">
        <v>45884</v>
      </c>
      <c r="D55" t="inlineStr">
        <is>
          <t>VÄSTMANLANDS LÄN</t>
        </is>
      </c>
      <c r="E55" t="inlineStr">
        <is>
          <t>SALA</t>
        </is>
      </c>
      <c r="G55" t="n">
        <v>3.2</v>
      </c>
      <c r="H55" t="n">
        <v>1</v>
      </c>
      <c r="I55" t="n">
        <v>0</v>
      </c>
      <c r="J55" t="n">
        <v>0</v>
      </c>
      <c r="K55" t="n">
        <v>1</v>
      </c>
      <c r="L55" t="n">
        <v>0</v>
      </c>
      <c r="M55" t="n">
        <v>0</v>
      </c>
      <c r="N55" t="n">
        <v>0</v>
      </c>
      <c r="O55" t="n">
        <v>1</v>
      </c>
      <c r="P55" t="n">
        <v>1</v>
      </c>
      <c r="Q55" t="n">
        <v>1</v>
      </c>
      <c r="R55" s="2" t="inlineStr">
        <is>
          <t>Knärot</t>
        </is>
      </c>
      <c r="S55">
        <f>HYPERLINK("https://klasma.github.io/Logging_1981/artfynd/A 56704-2022 artfynd.xlsx", "A 56704-2022")</f>
        <v/>
      </c>
      <c r="T55">
        <f>HYPERLINK("https://klasma.github.io/Logging_1981/kartor/A 56704-2022 karta.png", "A 56704-2022")</f>
        <v/>
      </c>
      <c r="U55">
        <f>HYPERLINK("https://klasma.github.io/Logging_1981/knärot/A 56704-2022 karta knärot.png", "A 56704-2022")</f>
        <v/>
      </c>
      <c r="V55">
        <f>HYPERLINK("https://klasma.github.io/Logging_1981/klagomål/A 56704-2022 FSC-klagomål.docx", "A 56704-2022")</f>
        <v/>
      </c>
      <c r="W55">
        <f>HYPERLINK("https://klasma.github.io/Logging_1981/klagomålsmail/A 56704-2022 FSC-klagomål mail.docx", "A 56704-2022")</f>
        <v/>
      </c>
      <c r="X55">
        <f>HYPERLINK("https://klasma.github.io/Logging_1981/tillsyn/A 56704-2022 tillsynsbegäran.docx", "A 56704-2022")</f>
        <v/>
      </c>
      <c r="Y55">
        <f>HYPERLINK("https://klasma.github.io/Logging_1981/tillsynsmail/A 56704-2022 tillsynsbegäran mail.docx", "A 56704-2022")</f>
        <v/>
      </c>
    </row>
    <row r="56" ht="15" customHeight="1">
      <c r="A56" t="inlineStr">
        <is>
          <t>A 55550-2023</t>
        </is>
      </c>
      <c r="B56" s="1" t="n">
        <v>45232</v>
      </c>
      <c r="C56" s="1" t="n">
        <v>45884</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22950-2025</t>
        </is>
      </c>
      <c r="B57" s="1" t="n">
        <v>45790.50728009259</v>
      </c>
      <c r="C57" s="1" t="n">
        <v>45884</v>
      </c>
      <c r="D57" t="inlineStr">
        <is>
          <t>VÄSTMANLANDS LÄN</t>
        </is>
      </c>
      <c r="E57" t="inlineStr">
        <is>
          <t>SALA</t>
        </is>
      </c>
      <c r="G57" t="n">
        <v>6.2</v>
      </c>
      <c r="H57" t="n">
        <v>1</v>
      </c>
      <c r="I57" t="n">
        <v>0</v>
      </c>
      <c r="J57" t="n">
        <v>1</v>
      </c>
      <c r="K57" t="n">
        <v>0</v>
      </c>
      <c r="L57" t="n">
        <v>0</v>
      </c>
      <c r="M57" t="n">
        <v>0</v>
      </c>
      <c r="N57" t="n">
        <v>0</v>
      </c>
      <c r="O57" t="n">
        <v>1</v>
      </c>
      <c r="P57" t="n">
        <v>0</v>
      </c>
      <c r="Q57" t="n">
        <v>1</v>
      </c>
      <c r="R57" s="2" t="inlineStr">
        <is>
          <t>Svartvit flugsnappare</t>
        </is>
      </c>
      <c r="S57">
        <f>HYPERLINK("https://klasma.github.io/Logging_1981/artfynd/A 22950-2025 artfynd.xlsx", "A 22950-2025")</f>
        <v/>
      </c>
      <c r="T57">
        <f>HYPERLINK("https://klasma.github.io/Logging_1981/kartor/A 22950-2025 karta.png", "A 22950-2025")</f>
        <v/>
      </c>
      <c r="V57">
        <f>HYPERLINK("https://klasma.github.io/Logging_1981/klagomål/A 22950-2025 FSC-klagomål.docx", "A 22950-2025")</f>
        <v/>
      </c>
      <c r="W57">
        <f>HYPERLINK("https://klasma.github.io/Logging_1981/klagomålsmail/A 22950-2025 FSC-klagomål mail.docx", "A 22950-2025")</f>
        <v/>
      </c>
      <c r="X57">
        <f>HYPERLINK("https://klasma.github.io/Logging_1981/tillsyn/A 22950-2025 tillsynsbegäran.docx", "A 22950-2025")</f>
        <v/>
      </c>
      <c r="Y57">
        <f>HYPERLINK("https://klasma.github.io/Logging_1981/tillsynsmail/A 22950-2025 tillsynsbegäran mail.docx", "A 22950-2025")</f>
        <v/>
      </c>
      <c r="Z57">
        <f>HYPERLINK("https://klasma.github.io/Logging_1981/fåglar/A 22950-2025 prioriterade fågelarter.docx", "A 22950-2025")</f>
        <v/>
      </c>
    </row>
    <row r="58" ht="15" customHeight="1">
      <c r="A58" t="inlineStr">
        <is>
          <t>A 41270-2024</t>
        </is>
      </c>
      <c r="B58" s="1" t="n">
        <v>45559</v>
      </c>
      <c r="C58" s="1" t="n">
        <v>45884</v>
      </c>
      <c r="D58" t="inlineStr">
        <is>
          <t>VÄSTMANLANDS LÄN</t>
        </is>
      </c>
      <c r="E58" t="inlineStr">
        <is>
          <t>SALA</t>
        </is>
      </c>
      <c r="G58" t="n">
        <v>15.2</v>
      </c>
      <c r="H58" t="n">
        <v>1</v>
      </c>
      <c r="I58" t="n">
        <v>0</v>
      </c>
      <c r="J58" t="n">
        <v>1</v>
      </c>
      <c r="K58" t="n">
        <v>0</v>
      </c>
      <c r="L58" t="n">
        <v>0</v>
      </c>
      <c r="M58" t="n">
        <v>0</v>
      </c>
      <c r="N58" t="n">
        <v>0</v>
      </c>
      <c r="O58" t="n">
        <v>1</v>
      </c>
      <c r="P58" t="n">
        <v>0</v>
      </c>
      <c r="Q58" t="n">
        <v>1</v>
      </c>
      <c r="R58" s="2" t="inlineStr">
        <is>
          <t>Havsörn</t>
        </is>
      </c>
      <c r="S58">
        <f>HYPERLINK("https://klasma.github.io/Logging_1981/artfynd/A 41270-2024 artfynd.xlsx", "A 41270-2024")</f>
        <v/>
      </c>
      <c r="T58">
        <f>HYPERLINK("https://klasma.github.io/Logging_1981/kartor/A 41270-2024 karta.png", "A 41270-2024")</f>
        <v/>
      </c>
      <c r="V58">
        <f>HYPERLINK("https://klasma.github.io/Logging_1981/klagomål/A 41270-2024 FSC-klagomål.docx", "A 41270-2024")</f>
        <v/>
      </c>
      <c r="W58">
        <f>HYPERLINK("https://klasma.github.io/Logging_1981/klagomålsmail/A 41270-2024 FSC-klagomål mail.docx", "A 41270-2024")</f>
        <v/>
      </c>
      <c r="X58">
        <f>HYPERLINK("https://klasma.github.io/Logging_1981/tillsyn/A 41270-2024 tillsynsbegäran.docx", "A 41270-2024")</f>
        <v/>
      </c>
      <c r="Y58">
        <f>HYPERLINK("https://klasma.github.io/Logging_1981/tillsynsmail/A 41270-2024 tillsynsbegäran mail.docx", "A 41270-2024")</f>
        <v/>
      </c>
      <c r="Z58">
        <f>HYPERLINK("https://klasma.github.io/Logging_1981/fåglar/A 41270-2024 prioriterade fågelarter.docx", "A 41270-2024")</f>
        <v/>
      </c>
    </row>
    <row r="59" ht="15" customHeight="1">
      <c r="A59" t="inlineStr">
        <is>
          <t>A 32594-2025</t>
        </is>
      </c>
      <c r="B59" s="1" t="n">
        <v>45838</v>
      </c>
      <c r="C59" s="1" t="n">
        <v>45884</v>
      </c>
      <c r="D59" t="inlineStr">
        <is>
          <t>VÄSTMANLANDS LÄN</t>
        </is>
      </c>
      <c r="E59" t="inlineStr">
        <is>
          <t>SALA</t>
        </is>
      </c>
      <c r="F59" t="inlineStr">
        <is>
          <t>Bergvik skog öst AB</t>
        </is>
      </c>
      <c r="G59" t="n">
        <v>0.9</v>
      </c>
      <c r="H59" t="n">
        <v>1</v>
      </c>
      <c r="I59" t="n">
        <v>0</v>
      </c>
      <c r="J59" t="n">
        <v>0</v>
      </c>
      <c r="K59" t="n">
        <v>0</v>
      </c>
      <c r="L59" t="n">
        <v>0</v>
      </c>
      <c r="M59" t="n">
        <v>0</v>
      </c>
      <c r="N59" t="n">
        <v>0</v>
      </c>
      <c r="O59" t="n">
        <v>0</v>
      </c>
      <c r="P59" t="n">
        <v>0</v>
      </c>
      <c r="Q59" t="n">
        <v>1</v>
      </c>
      <c r="R59" s="2" t="inlineStr">
        <is>
          <t>Blåsippa</t>
        </is>
      </c>
      <c r="S59">
        <f>HYPERLINK("https://klasma.github.io/Logging_1981/artfynd/A 32594-2025 artfynd.xlsx", "A 32594-2025")</f>
        <v/>
      </c>
      <c r="T59">
        <f>HYPERLINK("https://klasma.github.io/Logging_1981/kartor/A 32594-2025 karta.png", "A 32594-2025")</f>
        <v/>
      </c>
      <c r="V59">
        <f>HYPERLINK("https://klasma.github.io/Logging_1981/klagomål/A 32594-2025 FSC-klagomål.docx", "A 32594-2025")</f>
        <v/>
      </c>
      <c r="W59">
        <f>HYPERLINK("https://klasma.github.io/Logging_1981/klagomålsmail/A 32594-2025 FSC-klagomål mail.docx", "A 32594-2025")</f>
        <v/>
      </c>
      <c r="X59">
        <f>HYPERLINK("https://klasma.github.io/Logging_1981/tillsyn/A 32594-2025 tillsynsbegäran.docx", "A 32594-2025")</f>
        <v/>
      </c>
      <c r="Y59">
        <f>HYPERLINK("https://klasma.github.io/Logging_1981/tillsynsmail/A 32594-2025 tillsynsbegäran mail.docx", "A 32594-2025")</f>
        <v/>
      </c>
    </row>
    <row r="60" ht="15" customHeight="1">
      <c r="A60" t="inlineStr">
        <is>
          <t>A 38255-2025</t>
        </is>
      </c>
      <c r="B60" s="1" t="n">
        <v>45883.38020833334</v>
      </c>
      <c r="C60" s="1" t="n">
        <v>45884</v>
      </c>
      <c r="D60" t="inlineStr">
        <is>
          <t>VÄSTMANLANDS LÄN</t>
        </is>
      </c>
      <c r="E60" t="inlineStr">
        <is>
          <t>SALA</t>
        </is>
      </c>
      <c r="G60" t="n">
        <v>0.9</v>
      </c>
      <c r="H60" t="n">
        <v>1</v>
      </c>
      <c r="I60" t="n">
        <v>0</v>
      </c>
      <c r="J60" t="n">
        <v>0</v>
      </c>
      <c r="K60" t="n">
        <v>1</v>
      </c>
      <c r="L60" t="n">
        <v>0</v>
      </c>
      <c r="M60" t="n">
        <v>0</v>
      </c>
      <c r="N60" t="n">
        <v>0</v>
      </c>
      <c r="O60" t="n">
        <v>1</v>
      </c>
      <c r="P60" t="n">
        <v>1</v>
      </c>
      <c r="Q60" t="n">
        <v>1</v>
      </c>
      <c r="R60" s="2" t="inlineStr">
        <is>
          <t>Knärot</t>
        </is>
      </c>
      <c r="S60">
        <f>HYPERLINK("https://klasma.github.io/Logging_1981/artfynd/A 38255-2025 artfynd.xlsx", "A 38255-2025")</f>
        <v/>
      </c>
      <c r="T60">
        <f>HYPERLINK("https://klasma.github.io/Logging_1981/kartor/A 38255-2025 karta.png", "A 38255-2025")</f>
        <v/>
      </c>
      <c r="U60">
        <f>HYPERLINK("https://klasma.github.io/Logging_1981/knärot/A 38255-2025 karta knärot.png", "A 38255-2025")</f>
        <v/>
      </c>
      <c r="V60">
        <f>HYPERLINK("https://klasma.github.io/Logging_1981/klagomål/A 38255-2025 FSC-klagomål.docx", "A 38255-2025")</f>
        <v/>
      </c>
      <c r="W60">
        <f>HYPERLINK("https://klasma.github.io/Logging_1981/klagomålsmail/A 38255-2025 FSC-klagomål mail.docx", "A 38255-2025")</f>
        <v/>
      </c>
      <c r="X60">
        <f>HYPERLINK("https://klasma.github.io/Logging_1981/tillsyn/A 38255-2025 tillsynsbegäran.docx", "A 38255-2025")</f>
        <v/>
      </c>
      <c r="Y60">
        <f>HYPERLINK("https://klasma.github.io/Logging_1981/tillsynsmail/A 38255-2025 tillsynsbegäran mail.docx", "A 38255-2025")</f>
        <v/>
      </c>
    </row>
    <row r="61" ht="15" customHeight="1">
      <c r="A61" t="inlineStr">
        <is>
          <t>A 58314-2020</t>
        </is>
      </c>
      <c r="B61" s="1" t="n">
        <v>44145</v>
      </c>
      <c r="C61" s="1" t="n">
        <v>45884</v>
      </c>
      <c r="D61" t="inlineStr">
        <is>
          <t>VÄSTMANLANDS LÄN</t>
        </is>
      </c>
      <c r="E61" t="inlineStr">
        <is>
          <t>SALA</t>
        </is>
      </c>
      <c r="G61" t="n">
        <v>0.9</v>
      </c>
      <c r="H61" t="n">
        <v>0</v>
      </c>
      <c r="I61" t="n">
        <v>0</v>
      </c>
      <c r="J61" t="n">
        <v>0</v>
      </c>
      <c r="K61" t="n">
        <v>0</v>
      </c>
      <c r="L61" t="n">
        <v>0</v>
      </c>
      <c r="M61" t="n">
        <v>0</v>
      </c>
      <c r="N61" t="n">
        <v>0</v>
      </c>
      <c r="O61" t="n">
        <v>0</v>
      </c>
      <c r="P61" t="n">
        <v>0</v>
      </c>
      <c r="Q61" t="n">
        <v>0</v>
      </c>
      <c r="R61" s="2" t="inlineStr"/>
    </row>
    <row r="62" ht="15" customHeight="1">
      <c r="A62" t="inlineStr">
        <is>
          <t>A 50559-2020</t>
        </is>
      </c>
      <c r="B62" s="1" t="n">
        <v>44110</v>
      </c>
      <c r="C62" s="1" t="n">
        <v>45884</v>
      </c>
      <c r="D62" t="inlineStr">
        <is>
          <t>VÄSTMANLANDS LÄN</t>
        </is>
      </c>
      <c r="E62" t="inlineStr">
        <is>
          <t>SALA</t>
        </is>
      </c>
      <c r="G62" t="n">
        <v>1.4</v>
      </c>
      <c r="H62" t="n">
        <v>0</v>
      </c>
      <c r="I62" t="n">
        <v>0</v>
      </c>
      <c r="J62" t="n">
        <v>0</v>
      </c>
      <c r="K62" t="n">
        <v>0</v>
      </c>
      <c r="L62" t="n">
        <v>0</v>
      </c>
      <c r="M62" t="n">
        <v>0</v>
      </c>
      <c r="N62" t="n">
        <v>0</v>
      </c>
      <c r="O62" t="n">
        <v>0</v>
      </c>
      <c r="P62" t="n">
        <v>0</v>
      </c>
      <c r="Q62" t="n">
        <v>0</v>
      </c>
      <c r="R62" s="2" t="inlineStr"/>
    </row>
    <row r="63" ht="15" customHeight="1">
      <c r="A63" t="inlineStr">
        <is>
          <t>A 69194-2020</t>
        </is>
      </c>
      <c r="B63" s="1" t="n">
        <v>44191</v>
      </c>
      <c r="C63" s="1" t="n">
        <v>45884</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45884</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45884</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45884</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45884</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45884</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45884</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45884</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45884</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45884</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45884</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45884</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45884</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45884</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38579-2020</t>
        </is>
      </c>
      <c r="B77" s="1" t="n">
        <v>44061</v>
      </c>
      <c r="C77" s="1" t="n">
        <v>45884</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45884</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45884</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45884</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45884</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45884</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45884</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45884</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45884</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45884</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45884</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28215-2022</t>
        </is>
      </c>
      <c r="B88" s="1" t="n">
        <v>44746</v>
      </c>
      <c r="C88" s="1" t="n">
        <v>45884</v>
      </c>
      <c r="D88" t="inlineStr">
        <is>
          <t>VÄSTMANLANDS LÄN</t>
        </is>
      </c>
      <c r="E88" t="inlineStr">
        <is>
          <t>SALA</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45884</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45884</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45884</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70958-2021</t>
        </is>
      </c>
      <c r="B92" s="1" t="n">
        <v>44538</v>
      </c>
      <c r="C92" s="1" t="n">
        <v>45884</v>
      </c>
      <c r="D92" t="inlineStr">
        <is>
          <t>VÄSTMANLANDS LÄN</t>
        </is>
      </c>
      <c r="E92" t="inlineStr">
        <is>
          <t>SALA</t>
        </is>
      </c>
      <c r="G92" t="n">
        <v>6.5</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45884</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45884</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45884</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45884</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45884</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45884</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45884</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45884</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45884</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69195-2020</t>
        </is>
      </c>
      <c r="B102" s="1" t="n">
        <v>44191</v>
      </c>
      <c r="C102" s="1" t="n">
        <v>45884</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45884</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45884</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45884</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8513-2021</t>
        </is>
      </c>
      <c r="B106" s="1" t="n">
        <v>44244</v>
      </c>
      <c r="C106" s="1" t="n">
        <v>45884</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7955-2021</t>
        </is>
      </c>
      <c r="B107" s="1" t="n">
        <v>44243</v>
      </c>
      <c r="C107" s="1" t="n">
        <v>45884</v>
      </c>
      <c r="D107" t="inlineStr">
        <is>
          <t>VÄSTMANLANDS LÄN</t>
        </is>
      </c>
      <c r="E107" t="inlineStr">
        <is>
          <t>SALA</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28069-2022</t>
        </is>
      </c>
      <c r="B108" s="1" t="n">
        <v>44746</v>
      </c>
      <c r="C108" s="1" t="n">
        <v>45884</v>
      </c>
      <c r="D108" t="inlineStr">
        <is>
          <t>VÄSTMANLANDS LÄN</t>
        </is>
      </c>
      <c r="E108" t="inlineStr">
        <is>
          <t>SALA</t>
        </is>
      </c>
      <c r="G108" t="n">
        <v>2.8</v>
      </c>
      <c r="H108" t="n">
        <v>0</v>
      </c>
      <c r="I108" t="n">
        <v>0</v>
      </c>
      <c r="J108" t="n">
        <v>0</v>
      </c>
      <c r="K108" t="n">
        <v>0</v>
      </c>
      <c r="L108" t="n">
        <v>0</v>
      </c>
      <c r="M108" t="n">
        <v>0</v>
      </c>
      <c r="N108" t="n">
        <v>0</v>
      </c>
      <c r="O108" t="n">
        <v>0</v>
      </c>
      <c r="P108" t="n">
        <v>0</v>
      </c>
      <c r="Q108" t="n">
        <v>0</v>
      </c>
      <c r="R108" s="2" t="inlineStr"/>
    </row>
    <row r="109" ht="15" customHeight="1">
      <c r="A109" t="inlineStr">
        <is>
          <t>A 30859-2021</t>
        </is>
      </c>
      <c r="B109" s="1" t="n">
        <v>44365.57377314815</v>
      </c>
      <c r="C109" s="1" t="n">
        <v>45884</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39519-2020</t>
        </is>
      </c>
      <c r="B110" s="1" t="n">
        <v>44064.50172453704</v>
      </c>
      <c r="C110" s="1" t="n">
        <v>45884</v>
      </c>
      <c r="D110" t="inlineStr">
        <is>
          <t>VÄSTMANLANDS LÄN</t>
        </is>
      </c>
      <c r="E110" t="inlineStr">
        <is>
          <t>SALA</t>
        </is>
      </c>
      <c r="G110" t="n">
        <v>0.8</v>
      </c>
      <c r="H110" t="n">
        <v>0</v>
      </c>
      <c r="I110" t="n">
        <v>0</v>
      </c>
      <c r="J110" t="n">
        <v>0</v>
      </c>
      <c r="K110" t="n">
        <v>0</v>
      </c>
      <c r="L110" t="n">
        <v>0</v>
      </c>
      <c r="M110" t="n">
        <v>0</v>
      </c>
      <c r="N110" t="n">
        <v>0</v>
      </c>
      <c r="O110" t="n">
        <v>0</v>
      </c>
      <c r="P110" t="n">
        <v>0</v>
      </c>
      <c r="Q110" t="n">
        <v>0</v>
      </c>
      <c r="R110" s="2" t="inlineStr"/>
    </row>
    <row r="111" ht="15" customHeight="1">
      <c r="A111" t="inlineStr">
        <is>
          <t>A 4237-2022</t>
        </is>
      </c>
      <c r="B111" s="1" t="n">
        <v>44588.64377314815</v>
      </c>
      <c r="C111" s="1" t="n">
        <v>45884</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51377-2022</t>
        </is>
      </c>
      <c r="B112" s="1" t="n">
        <v>44866</v>
      </c>
      <c r="C112" s="1" t="n">
        <v>45884</v>
      </c>
      <c r="D112" t="inlineStr">
        <is>
          <t>VÄSTMANLANDS LÄN</t>
        </is>
      </c>
      <c r="E112" t="inlineStr">
        <is>
          <t>SALA</t>
        </is>
      </c>
      <c r="G112" t="n">
        <v>6.3</v>
      </c>
      <c r="H112" t="n">
        <v>0</v>
      </c>
      <c r="I112" t="n">
        <v>0</v>
      </c>
      <c r="J112" t="n">
        <v>0</v>
      </c>
      <c r="K112" t="n">
        <v>0</v>
      </c>
      <c r="L112" t="n">
        <v>0</v>
      </c>
      <c r="M112" t="n">
        <v>0</v>
      </c>
      <c r="N112" t="n">
        <v>0</v>
      </c>
      <c r="O112" t="n">
        <v>0</v>
      </c>
      <c r="P112" t="n">
        <v>0</v>
      </c>
      <c r="Q112" t="n">
        <v>0</v>
      </c>
      <c r="R112" s="2" t="inlineStr"/>
    </row>
    <row r="113" ht="15" customHeight="1">
      <c r="A113" t="inlineStr">
        <is>
          <t>A 68355-2021</t>
        </is>
      </c>
      <c r="B113" s="1" t="n">
        <v>44528</v>
      </c>
      <c r="C113" s="1" t="n">
        <v>45884</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44318-2022</t>
        </is>
      </c>
      <c r="B114" s="1" t="n">
        <v>44839.64516203704</v>
      </c>
      <c r="C114" s="1" t="n">
        <v>45884</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46965-2020</t>
        </is>
      </c>
      <c r="B115" s="1" t="n">
        <v>44096</v>
      </c>
      <c r="C115" s="1" t="n">
        <v>45884</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15850-2022</t>
        </is>
      </c>
      <c r="B116" s="1" t="n">
        <v>44664.43082175926</v>
      </c>
      <c r="C116" s="1" t="n">
        <v>45884</v>
      </c>
      <c r="D116" t="inlineStr">
        <is>
          <t>VÄSTMANLANDS LÄN</t>
        </is>
      </c>
      <c r="E116" t="inlineStr">
        <is>
          <t>SALA</t>
        </is>
      </c>
      <c r="G116" t="n">
        <v>1</v>
      </c>
      <c r="H116" t="n">
        <v>0</v>
      </c>
      <c r="I116" t="n">
        <v>0</v>
      </c>
      <c r="J116" t="n">
        <v>0</v>
      </c>
      <c r="K116" t="n">
        <v>0</v>
      </c>
      <c r="L116" t="n">
        <v>0</v>
      </c>
      <c r="M116" t="n">
        <v>0</v>
      </c>
      <c r="N116" t="n">
        <v>0</v>
      </c>
      <c r="O116" t="n">
        <v>0</v>
      </c>
      <c r="P116" t="n">
        <v>0</v>
      </c>
      <c r="Q116" t="n">
        <v>0</v>
      </c>
      <c r="R116" s="2" t="inlineStr"/>
    </row>
    <row r="117" ht="15" customHeight="1">
      <c r="A117" t="inlineStr">
        <is>
          <t>A 1043-2022</t>
        </is>
      </c>
      <c r="B117" s="1" t="n">
        <v>44571.66552083333</v>
      </c>
      <c r="C117" s="1" t="n">
        <v>45884</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18378-2021</t>
        </is>
      </c>
      <c r="B118" s="1" t="n">
        <v>44305</v>
      </c>
      <c r="C118" s="1" t="n">
        <v>45884</v>
      </c>
      <c r="D118" t="inlineStr">
        <is>
          <t>VÄSTMANLANDS LÄN</t>
        </is>
      </c>
      <c r="E118" t="inlineStr">
        <is>
          <t>SALA</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18189-2021</t>
        </is>
      </c>
      <c r="B119" s="1" t="n">
        <v>44302.67659722222</v>
      </c>
      <c r="C119" s="1" t="n">
        <v>45884</v>
      </c>
      <c r="D119" t="inlineStr">
        <is>
          <t>VÄSTMANLANDS LÄN</t>
        </is>
      </c>
      <c r="E119" t="inlineStr">
        <is>
          <t>SALA</t>
        </is>
      </c>
      <c r="G119" t="n">
        <v>0.7</v>
      </c>
      <c r="H119" t="n">
        <v>0</v>
      </c>
      <c r="I119" t="n">
        <v>0</v>
      </c>
      <c r="J119" t="n">
        <v>0</v>
      </c>
      <c r="K119" t="n">
        <v>0</v>
      </c>
      <c r="L119" t="n">
        <v>0</v>
      </c>
      <c r="M119" t="n">
        <v>0</v>
      </c>
      <c r="N119" t="n">
        <v>0</v>
      </c>
      <c r="O119" t="n">
        <v>0</v>
      </c>
      <c r="P119" t="n">
        <v>0</v>
      </c>
      <c r="Q119" t="n">
        <v>0</v>
      </c>
      <c r="R119" s="2" t="inlineStr"/>
    </row>
    <row r="120" ht="15" customHeight="1">
      <c r="A120" t="inlineStr">
        <is>
          <t>A 18951-2021</t>
        </is>
      </c>
      <c r="B120" s="1" t="n">
        <v>44308</v>
      </c>
      <c r="C120" s="1" t="n">
        <v>45884</v>
      </c>
      <c r="D120" t="inlineStr">
        <is>
          <t>VÄSTMANLANDS LÄN</t>
        </is>
      </c>
      <c r="E120" t="inlineStr">
        <is>
          <t>SALA</t>
        </is>
      </c>
      <c r="G120" t="n">
        <v>0.3</v>
      </c>
      <c r="H120" t="n">
        <v>0</v>
      </c>
      <c r="I120" t="n">
        <v>0</v>
      </c>
      <c r="J120" t="n">
        <v>0</v>
      </c>
      <c r="K120" t="n">
        <v>0</v>
      </c>
      <c r="L120" t="n">
        <v>0</v>
      </c>
      <c r="M120" t="n">
        <v>0</v>
      </c>
      <c r="N120" t="n">
        <v>0</v>
      </c>
      <c r="O120" t="n">
        <v>0</v>
      </c>
      <c r="P120" t="n">
        <v>0</v>
      </c>
      <c r="Q120" t="n">
        <v>0</v>
      </c>
      <c r="R120" s="2" t="inlineStr"/>
    </row>
    <row r="121" ht="15" customHeight="1">
      <c r="A121" t="inlineStr">
        <is>
          <t>A 18259-2021</t>
        </is>
      </c>
      <c r="B121" s="1" t="n">
        <v>44305</v>
      </c>
      <c r="C121" s="1" t="n">
        <v>45884</v>
      </c>
      <c r="D121" t="inlineStr">
        <is>
          <t>VÄSTMANLANDS LÄN</t>
        </is>
      </c>
      <c r="E121" t="inlineStr">
        <is>
          <t>SALA</t>
        </is>
      </c>
      <c r="G121" t="n">
        <v>0</v>
      </c>
      <c r="H121" t="n">
        <v>0</v>
      </c>
      <c r="I121" t="n">
        <v>0</v>
      </c>
      <c r="J121" t="n">
        <v>0</v>
      </c>
      <c r="K121" t="n">
        <v>0</v>
      </c>
      <c r="L121" t="n">
        <v>0</v>
      </c>
      <c r="M121" t="n">
        <v>0</v>
      </c>
      <c r="N121" t="n">
        <v>0</v>
      </c>
      <c r="O121" t="n">
        <v>0</v>
      </c>
      <c r="P121" t="n">
        <v>0</v>
      </c>
      <c r="Q121" t="n">
        <v>0</v>
      </c>
      <c r="R121" s="2" t="inlineStr"/>
    </row>
    <row r="122" ht="15" customHeight="1">
      <c r="A122" t="inlineStr">
        <is>
          <t>A 35921-2021</t>
        </is>
      </c>
      <c r="B122" s="1" t="n">
        <v>44388.37549768519</v>
      </c>
      <c r="C122" s="1" t="n">
        <v>45884</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38713-2020</t>
        </is>
      </c>
      <c r="B123" s="1" t="n">
        <v>44061</v>
      </c>
      <c r="C123" s="1" t="n">
        <v>45884</v>
      </c>
      <c r="D123" t="inlineStr">
        <is>
          <t>VÄSTMANLANDS LÄN</t>
        </is>
      </c>
      <c r="E123" t="inlineStr">
        <is>
          <t>SALA</t>
        </is>
      </c>
      <c r="G123" t="n">
        <v>1.4</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45884</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45884</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45884</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45884</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60951-2021</t>
        </is>
      </c>
      <c r="B128" s="1" t="n">
        <v>44497.51435185185</v>
      </c>
      <c r="C128" s="1" t="n">
        <v>45884</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53628-2022</t>
        </is>
      </c>
      <c r="B129" s="1" t="n">
        <v>44879.87171296297</v>
      </c>
      <c r="C129" s="1" t="n">
        <v>45884</v>
      </c>
      <c r="D129" t="inlineStr">
        <is>
          <t>VÄSTMANLANDS LÄN</t>
        </is>
      </c>
      <c r="E129" t="inlineStr">
        <is>
          <t>SALA</t>
        </is>
      </c>
      <c r="G129" t="n">
        <v>2.7</v>
      </c>
      <c r="H129" t="n">
        <v>0</v>
      </c>
      <c r="I129" t="n">
        <v>0</v>
      </c>
      <c r="J129" t="n">
        <v>0</v>
      </c>
      <c r="K129" t="n">
        <v>0</v>
      </c>
      <c r="L129" t="n">
        <v>0</v>
      </c>
      <c r="M129" t="n">
        <v>0</v>
      </c>
      <c r="N129" t="n">
        <v>0</v>
      </c>
      <c r="O129" t="n">
        <v>0</v>
      </c>
      <c r="P129" t="n">
        <v>0</v>
      </c>
      <c r="Q129" t="n">
        <v>0</v>
      </c>
      <c r="R129" s="2" t="inlineStr"/>
    </row>
    <row r="130" ht="15" customHeight="1">
      <c r="A130" t="inlineStr">
        <is>
          <t>A 31904-2021</t>
        </is>
      </c>
      <c r="B130" s="1" t="n">
        <v>44370.46853009259</v>
      </c>
      <c r="C130" s="1" t="n">
        <v>45884</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45884</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70218-2021</t>
        </is>
      </c>
      <c r="B132" s="1" t="n">
        <v>44535.6571412037</v>
      </c>
      <c r="C132" s="1" t="n">
        <v>45884</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45884</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61897-2021</t>
        </is>
      </c>
      <c r="B134" s="1" t="n">
        <v>44502</v>
      </c>
      <c r="C134" s="1" t="n">
        <v>45884</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3204-2022</t>
        </is>
      </c>
      <c r="B135" s="1" t="n">
        <v>44582</v>
      </c>
      <c r="C135" s="1" t="n">
        <v>45884</v>
      </c>
      <c r="D135" t="inlineStr">
        <is>
          <t>VÄSTMANLANDS LÄN</t>
        </is>
      </c>
      <c r="E135" t="inlineStr">
        <is>
          <t>SALA</t>
        </is>
      </c>
      <c r="G135" t="n">
        <v>0.7</v>
      </c>
      <c r="H135" t="n">
        <v>0</v>
      </c>
      <c r="I135" t="n">
        <v>0</v>
      </c>
      <c r="J135" t="n">
        <v>0</v>
      </c>
      <c r="K135" t="n">
        <v>0</v>
      </c>
      <c r="L135" t="n">
        <v>0</v>
      </c>
      <c r="M135" t="n">
        <v>0</v>
      </c>
      <c r="N135" t="n">
        <v>0</v>
      </c>
      <c r="O135" t="n">
        <v>0</v>
      </c>
      <c r="P135" t="n">
        <v>0</v>
      </c>
      <c r="Q135" t="n">
        <v>0</v>
      </c>
      <c r="R135" s="2" t="inlineStr"/>
    </row>
    <row r="136" ht="15" customHeight="1">
      <c r="A136" t="inlineStr">
        <is>
          <t>A 44217-2022</t>
        </is>
      </c>
      <c r="B136" s="1" t="n">
        <v>44839.49953703704</v>
      </c>
      <c r="C136" s="1" t="n">
        <v>45884</v>
      </c>
      <c r="D136" t="inlineStr">
        <is>
          <t>VÄSTMANLANDS LÄN</t>
        </is>
      </c>
      <c r="E136" t="inlineStr">
        <is>
          <t>SALA</t>
        </is>
      </c>
      <c r="G136" t="n">
        <v>0.4</v>
      </c>
      <c r="H136" t="n">
        <v>0</v>
      </c>
      <c r="I136" t="n">
        <v>0</v>
      </c>
      <c r="J136" t="n">
        <v>0</v>
      </c>
      <c r="K136" t="n">
        <v>0</v>
      </c>
      <c r="L136" t="n">
        <v>0</v>
      </c>
      <c r="M136" t="n">
        <v>0</v>
      </c>
      <c r="N136" t="n">
        <v>0</v>
      </c>
      <c r="O136" t="n">
        <v>0</v>
      </c>
      <c r="P136" t="n">
        <v>0</v>
      </c>
      <c r="Q136" t="n">
        <v>0</v>
      </c>
      <c r="R136" s="2" t="inlineStr"/>
    </row>
    <row r="137" ht="15" customHeight="1">
      <c r="A137" t="inlineStr">
        <is>
          <t>A 23181-2022</t>
        </is>
      </c>
      <c r="B137" s="1" t="n">
        <v>44719.79537037037</v>
      </c>
      <c r="C137" s="1" t="n">
        <v>45884</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65860-2021</t>
        </is>
      </c>
      <c r="B138" s="1" t="n">
        <v>44517.38163194444</v>
      </c>
      <c r="C138" s="1" t="n">
        <v>45884</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26570-2021</t>
        </is>
      </c>
      <c r="B139" s="1" t="n">
        <v>44348</v>
      </c>
      <c r="C139" s="1" t="n">
        <v>45884</v>
      </c>
      <c r="D139" t="inlineStr">
        <is>
          <t>VÄSTMANLANDS LÄN</t>
        </is>
      </c>
      <c r="E139" t="inlineStr">
        <is>
          <t>SALA</t>
        </is>
      </c>
      <c r="G139" t="n">
        <v>2.5</v>
      </c>
      <c r="H139" t="n">
        <v>0</v>
      </c>
      <c r="I139" t="n">
        <v>0</v>
      </c>
      <c r="J139" t="n">
        <v>0</v>
      </c>
      <c r="K139" t="n">
        <v>0</v>
      </c>
      <c r="L139" t="n">
        <v>0</v>
      </c>
      <c r="M139" t="n">
        <v>0</v>
      </c>
      <c r="N139" t="n">
        <v>0</v>
      </c>
      <c r="O139" t="n">
        <v>0</v>
      </c>
      <c r="P139" t="n">
        <v>0</v>
      </c>
      <c r="Q139" t="n">
        <v>0</v>
      </c>
      <c r="R139" s="2" t="inlineStr"/>
    </row>
    <row r="140" ht="15" customHeight="1">
      <c r="A140" t="inlineStr">
        <is>
          <t>A 43482-2020</t>
        </is>
      </c>
      <c r="B140" s="1" t="n">
        <v>44082</v>
      </c>
      <c r="C140" s="1" t="n">
        <v>45884</v>
      </c>
      <c r="D140" t="inlineStr">
        <is>
          <t>VÄSTMANLANDS LÄN</t>
        </is>
      </c>
      <c r="E140" t="inlineStr">
        <is>
          <t>SALA</t>
        </is>
      </c>
      <c r="G140" t="n">
        <v>4.7</v>
      </c>
      <c r="H140" t="n">
        <v>0</v>
      </c>
      <c r="I140" t="n">
        <v>0</v>
      </c>
      <c r="J140" t="n">
        <v>0</v>
      </c>
      <c r="K140" t="n">
        <v>0</v>
      </c>
      <c r="L140" t="n">
        <v>0</v>
      </c>
      <c r="M140" t="n">
        <v>0</v>
      </c>
      <c r="N140" t="n">
        <v>0</v>
      </c>
      <c r="O140" t="n">
        <v>0</v>
      </c>
      <c r="P140" t="n">
        <v>0</v>
      </c>
      <c r="Q140" t="n">
        <v>0</v>
      </c>
      <c r="R140" s="2" t="inlineStr"/>
    </row>
    <row r="141" ht="15" customHeight="1">
      <c r="A141" t="inlineStr">
        <is>
          <t>A 23847-2022</t>
        </is>
      </c>
      <c r="B141" s="1" t="n">
        <v>44722</v>
      </c>
      <c r="C141" s="1" t="n">
        <v>45884</v>
      </c>
      <c r="D141" t="inlineStr">
        <is>
          <t>VÄSTMANLANDS LÄN</t>
        </is>
      </c>
      <c r="E141" t="inlineStr">
        <is>
          <t>SALA</t>
        </is>
      </c>
      <c r="G141" t="n">
        <v>1</v>
      </c>
      <c r="H141" t="n">
        <v>0</v>
      </c>
      <c r="I141" t="n">
        <v>0</v>
      </c>
      <c r="J141" t="n">
        <v>0</v>
      </c>
      <c r="K141" t="n">
        <v>0</v>
      </c>
      <c r="L141" t="n">
        <v>0</v>
      </c>
      <c r="M141" t="n">
        <v>0</v>
      </c>
      <c r="N141" t="n">
        <v>0</v>
      </c>
      <c r="O141" t="n">
        <v>0</v>
      </c>
      <c r="P141" t="n">
        <v>0</v>
      </c>
      <c r="Q141" t="n">
        <v>0</v>
      </c>
      <c r="R141" s="2" t="inlineStr"/>
    </row>
    <row r="142" ht="15" customHeight="1">
      <c r="A142" t="inlineStr">
        <is>
          <t>A 8130-2022</t>
        </is>
      </c>
      <c r="B142" s="1" t="n">
        <v>44609.5984837963</v>
      </c>
      <c r="C142" s="1" t="n">
        <v>45884</v>
      </c>
      <c r="D142" t="inlineStr">
        <is>
          <t>VÄSTMANLANDS LÄN</t>
        </is>
      </c>
      <c r="E142" t="inlineStr">
        <is>
          <t>SALA</t>
        </is>
      </c>
      <c r="G142" t="n">
        <v>3.5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45884</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45884</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30915-2021</t>
        </is>
      </c>
      <c r="B145" s="1" t="n">
        <v>44365</v>
      </c>
      <c r="C145" s="1" t="n">
        <v>45884</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30918-2021</t>
        </is>
      </c>
      <c r="B146" s="1" t="n">
        <v>44365.60569444444</v>
      </c>
      <c r="C146" s="1" t="n">
        <v>45884</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22562-2022</t>
        </is>
      </c>
      <c r="B147" s="1" t="n">
        <v>44713</v>
      </c>
      <c r="C147" s="1" t="n">
        <v>45884</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30170-2021</t>
        </is>
      </c>
      <c r="B148" s="1" t="n">
        <v>44363</v>
      </c>
      <c r="C148" s="1" t="n">
        <v>45884</v>
      </c>
      <c r="D148" t="inlineStr">
        <is>
          <t>VÄSTMANLANDS LÄN</t>
        </is>
      </c>
      <c r="E148" t="inlineStr">
        <is>
          <t>SALA</t>
        </is>
      </c>
      <c r="G148" t="n">
        <v>7.2</v>
      </c>
      <c r="H148" t="n">
        <v>0</v>
      </c>
      <c r="I148" t="n">
        <v>0</v>
      </c>
      <c r="J148" t="n">
        <v>0</v>
      </c>
      <c r="K148" t="n">
        <v>0</v>
      </c>
      <c r="L148" t="n">
        <v>0</v>
      </c>
      <c r="M148" t="n">
        <v>0</v>
      </c>
      <c r="N148" t="n">
        <v>0</v>
      </c>
      <c r="O148" t="n">
        <v>0</v>
      </c>
      <c r="P148" t="n">
        <v>0</v>
      </c>
      <c r="Q148" t="n">
        <v>0</v>
      </c>
      <c r="R148" s="2" t="inlineStr"/>
    </row>
    <row r="149" ht="15" customHeight="1">
      <c r="A149" t="inlineStr">
        <is>
          <t>A 30904-2021</t>
        </is>
      </c>
      <c r="B149" s="1" t="n">
        <v>44365.5983449074</v>
      </c>
      <c r="C149" s="1" t="n">
        <v>45884</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65818-2021</t>
        </is>
      </c>
      <c r="B150" s="1" t="n">
        <v>44517</v>
      </c>
      <c r="C150" s="1" t="n">
        <v>45884</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44950-2020</t>
        </is>
      </c>
      <c r="B151" s="1" t="n">
        <v>44088</v>
      </c>
      <c r="C151" s="1" t="n">
        <v>45884</v>
      </c>
      <c r="D151" t="inlineStr">
        <is>
          <t>VÄSTMANLANDS LÄN</t>
        </is>
      </c>
      <c r="E151" t="inlineStr">
        <is>
          <t>SALA</t>
        </is>
      </c>
      <c r="G151" t="n">
        <v>9</v>
      </c>
      <c r="H151" t="n">
        <v>0</v>
      </c>
      <c r="I151" t="n">
        <v>0</v>
      </c>
      <c r="J151" t="n">
        <v>0</v>
      </c>
      <c r="K151" t="n">
        <v>0</v>
      </c>
      <c r="L151" t="n">
        <v>0</v>
      </c>
      <c r="M151" t="n">
        <v>0</v>
      </c>
      <c r="N151" t="n">
        <v>0</v>
      </c>
      <c r="O151" t="n">
        <v>0</v>
      </c>
      <c r="P151" t="n">
        <v>0</v>
      </c>
      <c r="Q151" t="n">
        <v>0</v>
      </c>
      <c r="R151" s="2" t="inlineStr"/>
    </row>
    <row r="152" ht="15" customHeight="1">
      <c r="A152" t="inlineStr">
        <is>
          <t>A 66830-2021</t>
        </is>
      </c>
      <c r="B152" s="1" t="n">
        <v>44522.40886574074</v>
      </c>
      <c r="C152" s="1" t="n">
        <v>45884</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55881-2020</t>
        </is>
      </c>
      <c r="B153" s="1" t="n">
        <v>44132</v>
      </c>
      <c r="C153" s="1" t="n">
        <v>45884</v>
      </c>
      <c r="D153" t="inlineStr">
        <is>
          <t>VÄSTMANLANDS LÄN</t>
        </is>
      </c>
      <c r="E153" t="inlineStr">
        <is>
          <t>SALA</t>
        </is>
      </c>
      <c r="G153" t="n">
        <v>3</v>
      </c>
      <c r="H153" t="n">
        <v>0</v>
      </c>
      <c r="I153" t="n">
        <v>0</v>
      </c>
      <c r="J153" t="n">
        <v>0</v>
      </c>
      <c r="K153" t="n">
        <v>0</v>
      </c>
      <c r="L153" t="n">
        <v>0</v>
      </c>
      <c r="M153" t="n">
        <v>0</v>
      </c>
      <c r="N153" t="n">
        <v>0</v>
      </c>
      <c r="O153" t="n">
        <v>0</v>
      </c>
      <c r="P153" t="n">
        <v>0</v>
      </c>
      <c r="Q153" t="n">
        <v>0</v>
      </c>
      <c r="R153" s="2" t="inlineStr"/>
    </row>
    <row r="154" ht="15" customHeight="1">
      <c r="A154" t="inlineStr">
        <is>
          <t>A 58912-2020</t>
        </is>
      </c>
      <c r="B154" s="1" t="n">
        <v>44146</v>
      </c>
      <c r="C154" s="1" t="n">
        <v>45884</v>
      </c>
      <c r="D154" t="inlineStr">
        <is>
          <t>VÄSTMANLANDS LÄN</t>
        </is>
      </c>
      <c r="E154" t="inlineStr">
        <is>
          <t>SALA</t>
        </is>
      </c>
      <c r="G154" t="n">
        <v>1.1</v>
      </c>
      <c r="H154" t="n">
        <v>0</v>
      </c>
      <c r="I154" t="n">
        <v>0</v>
      </c>
      <c r="J154" t="n">
        <v>0</v>
      </c>
      <c r="K154" t="n">
        <v>0</v>
      </c>
      <c r="L154" t="n">
        <v>0</v>
      </c>
      <c r="M154" t="n">
        <v>0</v>
      </c>
      <c r="N154" t="n">
        <v>0</v>
      </c>
      <c r="O154" t="n">
        <v>0</v>
      </c>
      <c r="P154" t="n">
        <v>0</v>
      </c>
      <c r="Q154" t="n">
        <v>0</v>
      </c>
      <c r="R154" s="2" t="inlineStr"/>
    </row>
    <row r="155" ht="15" customHeight="1">
      <c r="A155" t="inlineStr">
        <is>
          <t>A 28402-2022</t>
        </is>
      </c>
      <c r="B155" s="1" t="n">
        <v>44747</v>
      </c>
      <c r="C155" s="1" t="n">
        <v>45884</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73606-2021</t>
        </is>
      </c>
      <c r="B156" s="1" t="n">
        <v>44552</v>
      </c>
      <c r="C156" s="1" t="n">
        <v>45884</v>
      </c>
      <c r="D156" t="inlineStr">
        <is>
          <t>VÄSTMANLANDS LÄN</t>
        </is>
      </c>
      <c r="E156" t="inlineStr">
        <is>
          <t>SALA</t>
        </is>
      </c>
      <c r="G156" t="n">
        <v>1.5</v>
      </c>
      <c r="H156" t="n">
        <v>0</v>
      </c>
      <c r="I156" t="n">
        <v>0</v>
      </c>
      <c r="J156" t="n">
        <v>0</v>
      </c>
      <c r="K156" t="n">
        <v>0</v>
      </c>
      <c r="L156" t="n">
        <v>0</v>
      </c>
      <c r="M156" t="n">
        <v>0</v>
      </c>
      <c r="N156" t="n">
        <v>0</v>
      </c>
      <c r="O156" t="n">
        <v>0</v>
      </c>
      <c r="P156" t="n">
        <v>0</v>
      </c>
      <c r="Q156" t="n">
        <v>0</v>
      </c>
      <c r="R156" s="2" t="inlineStr"/>
    </row>
    <row r="157" ht="15" customHeight="1">
      <c r="A157" t="inlineStr">
        <is>
          <t>A 69192-2020</t>
        </is>
      </c>
      <c r="B157" s="1" t="n">
        <v>44191</v>
      </c>
      <c r="C157" s="1" t="n">
        <v>45884</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53735-2022</t>
        </is>
      </c>
      <c r="B158" s="1" t="n">
        <v>44880.42752314815</v>
      </c>
      <c r="C158" s="1" t="n">
        <v>45884</v>
      </c>
      <c r="D158" t="inlineStr">
        <is>
          <t>VÄSTMANLANDS LÄN</t>
        </is>
      </c>
      <c r="E158" t="inlineStr">
        <is>
          <t>SALA</t>
        </is>
      </c>
      <c r="F158" t="inlineStr">
        <is>
          <t>Bergvik skog öst AB</t>
        </is>
      </c>
      <c r="G158" t="n">
        <v>1.8</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45884</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9050-2022</t>
        </is>
      </c>
      <c r="B160" s="1" t="n">
        <v>44615.45451388889</v>
      </c>
      <c r="C160" s="1" t="n">
        <v>45884</v>
      </c>
      <c r="D160" t="inlineStr">
        <is>
          <t>VÄSTMANLANDS LÄN</t>
        </is>
      </c>
      <c r="E160" t="inlineStr">
        <is>
          <t>SALA</t>
        </is>
      </c>
      <c r="G160" t="n">
        <v>3.1</v>
      </c>
      <c r="H160" t="n">
        <v>0</v>
      </c>
      <c r="I160" t="n">
        <v>0</v>
      </c>
      <c r="J160" t="n">
        <v>0</v>
      </c>
      <c r="K160" t="n">
        <v>0</v>
      </c>
      <c r="L160" t="n">
        <v>0</v>
      </c>
      <c r="M160" t="n">
        <v>0</v>
      </c>
      <c r="N160" t="n">
        <v>0</v>
      </c>
      <c r="O160" t="n">
        <v>0</v>
      </c>
      <c r="P160" t="n">
        <v>0</v>
      </c>
      <c r="Q160" t="n">
        <v>0</v>
      </c>
      <c r="R160" s="2" t="inlineStr"/>
    </row>
    <row r="161" ht="15" customHeight="1">
      <c r="A161" t="inlineStr">
        <is>
          <t>A 43349-2020</t>
        </is>
      </c>
      <c r="B161" s="1" t="n">
        <v>44081</v>
      </c>
      <c r="C161" s="1" t="n">
        <v>45884</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49254-2022</t>
        </is>
      </c>
      <c r="B162" s="1" t="n">
        <v>44861</v>
      </c>
      <c r="C162" s="1" t="n">
        <v>45884</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65856-2021</t>
        </is>
      </c>
      <c r="B163" s="1" t="n">
        <v>44517</v>
      </c>
      <c r="C163" s="1" t="n">
        <v>45884</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22575-2022</t>
        </is>
      </c>
      <c r="B164" s="1" t="n">
        <v>44713</v>
      </c>
      <c r="C164" s="1" t="n">
        <v>45884</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57517-2021</t>
        </is>
      </c>
      <c r="B165" s="1" t="n">
        <v>44483</v>
      </c>
      <c r="C165" s="1" t="n">
        <v>45884</v>
      </c>
      <c r="D165" t="inlineStr">
        <is>
          <t>VÄSTMANLANDS LÄN</t>
        </is>
      </c>
      <c r="E165" t="inlineStr">
        <is>
          <t>SALA</t>
        </is>
      </c>
      <c r="G165" t="n">
        <v>1.1</v>
      </c>
      <c r="H165" t="n">
        <v>0</v>
      </c>
      <c r="I165" t="n">
        <v>0</v>
      </c>
      <c r="J165" t="n">
        <v>0</v>
      </c>
      <c r="K165" t="n">
        <v>0</v>
      </c>
      <c r="L165" t="n">
        <v>0</v>
      </c>
      <c r="M165" t="n">
        <v>0</v>
      </c>
      <c r="N165" t="n">
        <v>0</v>
      </c>
      <c r="O165" t="n">
        <v>0</v>
      </c>
      <c r="P165" t="n">
        <v>0</v>
      </c>
      <c r="Q165" t="n">
        <v>0</v>
      </c>
      <c r="R165" s="2" t="inlineStr"/>
    </row>
    <row r="166" ht="15" customHeight="1">
      <c r="A166" t="inlineStr">
        <is>
          <t>A 26575-2021</t>
        </is>
      </c>
      <c r="B166" s="1" t="n">
        <v>44348</v>
      </c>
      <c r="C166" s="1" t="n">
        <v>45884</v>
      </c>
      <c r="D166" t="inlineStr">
        <is>
          <t>VÄSTMANLANDS LÄN</t>
        </is>
      </c>
      <c r="E166" t="inlineStr">
        <is>
          <t>SALA</t>
        </is>
      </c>
      <c r="G166" t="n">
        <v>2.7</v>
      </c>
      <c r="H166" t="n">
        <v>0</v>
      </c>
      <c r="I166" t="n">
        <v>0</v>
      </c>
      <c r="J166" t="n">
        <v>0</v>
      </c>
      <c r="K166" t="n">
        <v>0</v>
      </c>
      <c r="L166" t="n">
        <v>0</v>
      </c>
      <c r="M166" t="n">
        <v>0</v>
      </c>
      <c r="N166" t="n">
        <v>0</v>
      </c>
      <c r="O166" t="n">
        <v>0</v>
      </c>
      <c r="P166" t="n">
        <v>0</v>
      </c>
      <c r="Q166" t="n">
        <v>0</v>
      </c>
      <c r="R166" s="2" t="inlineStr"/>
    </row>
    <row r="167" ht="15" customHeight="1">
      <c r="A167" t="inlineStr">
        <is>
          <t>A 47054-2020</t>
        </is>
      </c>
      <c r="B167" s="1" t="n">
        <v>44096</v>
      </c>
      <c r="C167" s="1" t="n">
        <v>45884</v>
      </c>
      <c r="D167" t="inlineStr">
        <is>
          <t>VÄSTMANLANDS LÄN</t>
        </is>
      </c>
      <c r="E167" t="inlineStr">
        <is>
          <t>SALA</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29235-2022</t>
        </is>
      </c>
      <c r="B168" s="1" t="n">
        <v>44750</v>
      </c>
      <c r="C168" s="1" t="n">
        <v>45884</v>
      </c>
      <c r="D168" t="inlineStr">
        <is>
          <t>VÄSTMANLANDS LÄN</t>
        </is>
      </c>
      <c r="E168" t="inlineStr">
        <is>
          <t>SALA</t>
        </is>
      </c>
      <c r="G168" t="n">
        <v>0.6</v>
      </c>
      <c r="H168" t="n">
        <v>0</v>
      </c>
      <c r="I168" t="n">
        <v>0</v>
      </c>
      <c r="J168" t="n">
        <v>0</v>
      </c>
      <c r="K168" t="n">
        <v>0</v>
      </c>
      <c r="L168" t="n">
        <v>0</v>
      </c>
      <c r="M168" t="n">
        <v>0</v>
      </c>
      <c r="N168" t="n">
        <v>0</v>
      </c>
      <c r="O168" t="n">
        <v>0</v>
      </c>
      <c r="P168" t="n">
        <v>0</v>
      </c>
      <c r="Q168" t="n">
        <v>0</v>
      </c>
      <c r="R168" s="2" t="inlineStr"/>
    </row>
    <row r="169" ht="15" customHeight="1">
      <c r="A169" t="inlineStr">
        <is>
          <t>A 40094-2022</t>
        </is>
      </c>
      <c r="B169" s="1" t="n">
        <v>44819</v>
      </c>
      <c r="C169" s="1" t="n">
        <v>45884</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11370-2022</t>
        </is>
      </c>
      <c r="B170" s="1" t="n">
        <v>44630</v>
      </c>
      <c r="C170" s="1" t="n">
        <v>45884</v>
      </c>
      <c r="D170" t="inlineStr">
        <is>
          <t>VÄSTMANLANDS LÄN</t>
        </is>
      </c>
      <c r="E170" t="inlineStr">
        <is>
          <t>SALA</t>
        </is>
      </c>
      <c r="G170" t="n">
        <v>4.3</v>
      </c>
      <c r="H170" t="n">
        <v>0</v>
      </c>
      <c r="I170" t="n">
        <v>0</v>
      </c>
      <c r="J170" t="n">
        <v>0</v>
      </c>
      <c r="K170" t="n">
        <v>0</v>
      </c>
      <c r="L170" t="n">
        <v>0</v>
      </c>
      <c r="M170" t="n">
        <v>0</v>
      </c>
      <c r="N170" t="n">
        <v>0</v>
      </c>
      <c r="O170" t="n">
        <v>0</v>
      </c>
      <c r="P170" t="n">
        <v>0</v>
      </c>
      <c r="Q170" t="n">
        <v>0</v>
      </c>
      <c r="R170" s="2" t="inlineStr"/>
    </row>
    <row r="171" ht="15" customHeight="1">
      <c r="A171" t="inlineStr">
        <is>
          <t>A 44224-2022</t>
        </is>
      </c>
      <c r="B171" s="1" t="n">
        <v>44839.506875</v>
      </c>
      <c r="C171" s="1" t="n">
        <v>45884</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58781-2020</t>
        </is>
      </c>
      <c r="B172" s="1" t="n">
        <v>44146</v>
      </c>
      <c r="C172" s="1" t="n">
        <v>45884</v>
      </c>
      <c r="D172" t="inlineStr">
        <is>
          <t>VÄSTMANLANDS LÄN</t>
        </is>
      </c>
      <c r="E172" t="inlineStr">
        <is>
          <t>SALA</t>
        </is>
      </c>
      <c r="G172" t="n">
        <v>1.2</v>
      </c>
      <c r="H172" t="n">
        <v>0</v>
      </c>
      <c r="I172" t="n">
        <v>0</v>
      </c>
      <c r="J172" t="n">
        <v>0</v>
      </c>
      <c r="K172" t="n">
        <v>0</v>
      </c>
      <c r="L172" t="n">
        <v>0</v>
      </c>
      <c r="M172" t="n">
        <v>0</v>
      </c>
      <c r="N172" t="n">
        <v>0</v>
      </c>
      <c r="O172" t="n">
        <v>0</v>
      </c>
      <c r="P172" t="n">
        <v>0</v>
      </c>
      <c r="Q172" t="n">
        <v>0</v>
      </c>
      <c r="R172" s="2" t="inlineStr"/>
    </row>
    <row r="173" ht="15" customHeight="1">
      <c r="A173" t="inlineStr">
        <is>
          <t>A 25603-2022</t>
        </is>
      </c>
      <c r="B173" s="1" t="n">
        <v>44732</v>
      </c>
      <c r="C173" s="1" t="n">
        <v>45884</v>
      </c>
      <c r="D173" t="inlineStr">
        <is>
          <t>VÄSTMANLANDS LÄN</t>
        </is>
      </c>
      <c r="E173" t="inlineStr">
        <is>
          <t>SALA</t>
        </is>
      </c>
      <c r="G173" t="n">
        <v>2</v>
      </c>
      <c r="H173" t="n">
        <v>0</v>
      </c>
      <c r="I173" t="n">
        <v>0</v>
      </c>
      <c r="J173" t="n">
        <v>0</v>
      </c>
      <c r="K173" t="n">
        <v>0</v>
      </c>
      <c r="L173" t="n">
        <v>0</v>
      </c>
      <c r="M173" t="n">
        <v>0</v>
      </c>
      <c r="N173" t="n">
        <v>0</v>
      </c>
      <c r="O173" t="n">
        <v>0</v>
      </c>
      <c r="P173" t="n">
        <v>0</v>
      </c>
      <c r="Q173" t="n">
        <v>0</v>
      </c>
      <c r="R173" s="2" t="inlineStr"/>
    </row>
    <row r="174" ht="15" customHeight="1">
      <c r="A174" t="inlineStr">
        <is>
          <t>A 14047-2021</t>
        </is>
      </c>
      <c r="B174" s="1" t="n">
        <v>44277</v>
      </c>
      <c r="C174" s="1" t="n">
        <v>45884</v>
      </c>
      <c r="D174" t="inlineStr">
        <is>
          <t>VÄSTMANLANDS LÄN</t>
        </is>
      </c>
      <c r="E174" t="inlineStr">
        <is>
          <t>SALA</t>
        </is>
      </c>
      <c r="F174" t="inlineStr">
        <is>
          <t>Kyrkan</t>
        </is>
      </c>
      <c r="G174" t="n">
        <v>0.7</v>
      </c>
      <c r="H174" t="n">
        <v>0</v>
      </c>
      <c r="I174" t="n">
        <v>0</v>
      </c>
      <c r="J174" t="n">
        <v>0</v>
      </c>
      <c r="K174" t="n">
        <v>0</v>
      </c>
      <c r="L174" t="n">
        <v>0</v>
      </c>
      <c r="M174" t="n">
        <v>0</v>
      </c>
      <c r="N174" t="n">
        <v>0</v>
      </c>
      <c r="O174" t="n">
        <v>0</v>
      </c>
      <c r="P174" t="n">
        <v>0</v>
      </c>
      <c r="Q174" t="n">
        <v>0</v>
      </c>
      <c r="R174" s="2" t="inlineStr"/>
    </row>
    <row r="175" ht="15" customHeight="1">
      <c r="A175" t="inlineStr">
        <is>
          <t>A 53630-2022</t>
        </is>
      </c>
      <c r="B175" s="1" t="n">
        <v>44879.87533564815</v>
      </c>
      <c r="C175" s="1" t="n">
        <v>45884</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67962-2021</t>
        </is>
      </c>
      <c r="B176" s="1" t="n">
        <v>44525</v>
      </c>
      <c r="C176" s="1" t="n">
        <v>45884</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72405-2021</t>
        </is>
      </c>
      <c r="B177" s="1" t="n">
        <v>44545</v>
      </c>
      <c r="C177" s="1" t="n">
        <v>45884</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63290-2021</t>
        </is>
      </c>
      <c r="B178" s="1" t="n">
        <v>44505</v>
      </c>
      <c r="C178" s="1" t="n">
        <v>45884</v>
      </c>
      <c r="D178" t="inlineStr">
        <is>
          <t>VÄSTMANLANDS LÄN</t>
        </is>
      </c>
      <c r="E178" t="inlineStr">
        <is>
          <t>SALA</t>
        </is>
      </c>
      <c r="G178" t="n">
        <v>0.9</v>
      </c>
      <c r="H178" t="n">
        <v>0</v>
      </c>
      <c r="I178" t="n">
        <v>0</v>
      </c>
      <c r="J178" t="n">
        <v>0</v>
      </c>
      <c r="K178" t="n">
        <v>0</v>
      </c>
      <c r="L178" t="n">
        <v>0</v>
      </c>
      <c r="M178" t="n">
        <v>0</v>
      </c>
      <c r="N178" t="n">
        <v>0</v>
      </c>
      <c r="O178" t="n">
        <v>0</v>
      </c>
      <c r="P178" t="n">
        <v>0</v>
      </c>
      <c r="Q178" t="n">
        <v>0</v>
      </c>
      <c r="R178" s="2" t="inlineStr"/>
    </row>
    <row r="179" ht="15" customHeight="1">
      <c r="A179" t="inlineStr">
        <is>
          <t>A 23757-2022</t>
        </is>
      </c>
      <c r="B179" s="1" t="n">
        <v>44722.37339120371</v>
      </c>
      <c r="C179" s="1" t="n">
        <v>45884</v>
      </c>
      <c r="D179" t="inlineStr">
        <is>
          <t>VÄSTMANLANDS LÄN</t>
        </is>
      </c>
      <c r="E179" t="inlineStr">
        <is>
          <t>SALA</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61415-2020</t>
        </is>
      </c>
      <c r="B180" s="1" t="n">
        <v>44156</v>
      </c>
      <c r="C180" s="1" t="n">
        <v>45884</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10168-2022</t>
        </is>
      </c>
      <c r="B181" s="1" t="n">
        <v>44622.37693287037</v>
      </c>
      <c r="C181" s="1" t="n">
        <v>45884</v>
      </c>
      <c r="D181" t="inlineStr">
        <is>
          <t>VÄSTMANLANDS LÄN</t>
        </is>
      </c>
      <c r="E181" t="inlineStr">
        <is>
          <t>SALA</t>
        </is>
      </c>
      <c r="G181" t="n">
        <v>2.1</v>
      </c>
      <c r="H181" t="n">
        <v>0</v>
      </c>
      <c r="I181" t="n">
        <v>0</v>
      </c>
      <c r="J181" t="n">
        <v>0</v>
      </c>
      <c r="K181" t="n">
        <v>0</v>
      </c>
      <c r="L181" t="n">
        <v>0</v>
      </c>
      <c r="M181" t="n">
        <v>0</v>
      </c>
      <c r="N181" t="n">
        <v>0</v>
      </c>
      <c r="O181" t="n">
        <v>0</v>
      </c>
      <c r="P181" t="n">
        <v>0</v>
      </c>
      <c r="Q181" t="n">
        <v>0</v>
      </c>
      <c r="R181" s="2" t="inlineStr"/>
    </row>
    <row r="182" ht="15" customHeight="1">
      <c r="A182" t="inlineStr">
        <is>
          <t>A 47208-2020</t>
        </is>
      </c>
      <c r="B182" s="1" t="n">
        <v>44097.41038194444</v>
      </c>
      <c r="C182" s="1" t="n">
        <v>45884</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24882-2022</t>
        </is>
      </c>
      <c r="B183" s="1" t="n">
        <v>44728.56488425926</v>
      </c>
      <c r="C183" s="1" t="n">
        <v>45884</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73519-2021</t>
        </is>
      </c>
      <c r="B184" s="1" t="n">
        <v>44551</v>
      </c>
      <c r="C184" s="1" t="n">
        <v>45884</v>
      </c>
      <c r="D184" t="inlineStr">
        <is>
          <t>VÄSTMANLANDS LÄN</t>
        </is>
      </c>
      <c r="E184" t="inlineStr">
        <is>
          <t>SALA</t>
        </is>
      </c>
      <c r="G184" t="n">
        <v>0.3</v>
      </c>
      <c r="H184" t="n">
        <v>0</v>
      </c>
      <c r="I184" t="n">
        <v>0</v>
      </c>
      <c r="J184" t="n">
        <v>0</v>
      </c>
      <c r="K184" t="n">
        <v>0</v>
      </c>
      <c r="L184" t="n">
        <v>0</v>
      </c>
      <c r="M184" t="n">
        <v>0</v>
      </c>
      <c r="N184" t="n">
        <v>0</v>
      </c>
      <c r="O184" t="n">
        <v>0</v>
      </c>
      <c r="P184" t="n">
        <v>0</v>
      </c>
      <c r="Q184" t="n">
        <v>0</v>
      </c>
      <c r="R184" s="2" t="inlineStr"/>
    </row>
    <row r="185" ht="15" customHeight="1">
      <c r="A185" t="inlineStr">
        <is>
          <t>A 37881-2021</t>
        </is>
      </c>
      <c r="B185" s="1" t="n">
        <v>44403</v>
      </c>
      <c r="C185" s="1" t="n">
        <v>45884</v>
      </c>
      <c r="D185" t="inlineStr">
        <is>
          <t>VÄSTMANLANDS LÄN</t>
        </is>
      </c>
      <c r="E185" t="inlineStr">
        <is>
          <t>SALA</t>
        </is>
      </c>
      <c r="G185" t="n">
        <v>4.6</v>
      </c>
      <c r="H185" t="n">
        <v>0</v>
      </c>
      <c r="I185" t="n">
        <v>0</v>
      </c>
      <c r="J185" t="n">
        <v>0</v>
      </c>
      <c r="K185" t="n">
        <v>0</v>
      </c>
      <c r="L185" t="n">
        <v>0</v>
      </c>
      <c r="M185" t="n">
        <v>0</v>
      </c>
      <c r="N185" t="n">
        <v>0</v>
      </c>
      <c r="O185" t="n">
        <v>0</v>
      </c>
      <c r="P185" t="n">
        <v>0</v>
      </c>
      <c r="Q185" t="n">
        <v>0</v>
      </c>
      <c r="R185" s="2" t="inlineStr"/>
    </row>
    <row r="186" ht="15" customHeight="1">
      <c r="A186" t="inlineStr">
        <is>
          <t>A 72805-2021</t>
        </is>
      </c>
      <c r="B186" s="1" t="n">
        <v>44546</v>
      </c>
      <c r="C186" s="1" t="n">
        <v>45884</v>
      </c>
      <c r="D186" t="inlineStr">
        <is>
          <t>VÄSTMANLANDS LÄN</t>
        </is>
      </c>
      <c r="E186" t="inlineStr">
        <is>
          <t>SALA</t>
        </is>
      </c>
      <c r="G186" t="n">
        <v>7.8</v>
      </c>
      <c r="H186" t="n">
        <v>0</v>
      </c>
      <c r="I186" t="n">
        <v>0</v>
      </c>
      <c r="J186" t="n">
        <v>0</v>
      </c>
      <c r="K186" t="n">
        <v>0</v>
      </c>
      <c r="L186" t="n">
        <v>0</v>
      </c>
      <c r="M186" t="n">
        <v>0</v>
      </c>
      <c r="N186" t="n">
        <v>0</v>
      </c>
      <c r="O186" t="n">
        <v>0</v>
      </c>
      <c r="P186" t="n">
        <v>0</v>
      </c>
      <c r="Q186" t="n">
        <v>0</v>
      </c>
      <c r="R186" s="2" t="inlineStr"/>
    </row>
    <row r="187" ht="15" customHeight="1">
      <c r="A187" t="inlineStr">
        <is>
          <t>A 72808-2021</t>
        </is>
      </c>
      <c r="B187" s="1" t="n">
        <v>44546</v>
      </c>
      <c r="C187" s="1" t="n">
        <v>45884</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51596-2022</t>
        </is>
      </c>
      <c r="B188" s="1" t="n">
        <v>44871</v>
      </c>
      <c r="C188" s="1" t="n">
        <v>45884</v>
      </c>
      <c r="D188" t="inlineStr">
        <is>
          <t>VÄSTMANLANDS LÄN</t>
        </is>
      </c>
      <c r="E188" t="inlineStr">
        <is>
          <t>SALA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66508-2021</t>
        </is>
      </c>
      <c r="B189" s="1" t="n">
        <v>44519.33401620371</v>
      </c>
      <c r="C189" s="1" t="n">
        <v>45884</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13752-2025</t>
        </is>
      </c>
      <c r="B190" s="1" t="n">
        <v>45737.41416666667</v>
      </c>
      <c r="C190" s="1" t="n">
        <v>45884</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7681-2021</t>
        </is>
      </c>
      <c r="B191" s="1" t="n">
        <v>44242</v>
      </c>
      <c r="C191" s="1" t="n">
        <v>45884</v>
      </c>
      <c r="D191" t="inlineStr">
        <is>
          <t>VÄSTMANLANDS LÄN</t>
        </is>
      </c>
      <c r="E191" t="inlineStr">
        <is>
          <t>SALA</t>
        </is>
      </c>
      <c r="F191" t="inlineStr">
        <is>
          <t>Sveaskog</t>
        </is>
      </c>
      <c r="G191" t="n">
        <v>16.1</v>
      </c>
      <c r="H191" t="n">
        <v>0</v>
      </c>
      <c r="I191" t="n">
        <v>0</v>
      </c>
      <c r="J191" t="n">
        <v>0</v>
      </c>
      <c r="K191" t="n">
        <v>0</v>
      </c>
      <c r="L191" t="n">
        <v>0</v>
      </c>
      <c r="M191" t="n">
        <v>0</v>
      </c>
      <c r="N191" t="n">
        <v>0</v>
      </c>
      <c r="O191" t="n">
        <v>0</v>
      </c>
      <c r="P191" t="n">
        <v>0</v>
      </c>
      <c r="Q191" t="n">
        <v>0</v>
      </c>
      <c r="R191" s="2" t="inlineStr"/>
    </row>
    <row r="192" ht="15" customHeight="1">
      <c r="A192" t="inlineStr">
        <is>
          <t>A 14919-2025</t>
        </is>
      </c>
      <c r="B192" s="1" t="n">
        <v>45743.54256944444</v>
      </c>
      <c r="C192" s="1" t="n">
        <v>45884</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14920-2025</t>
        </is>
      </c>
      <c r="B193" s="1" t="n">
        <v>45743</v>
      </c>
      <c r="C193" s="1" t="n">
        <v>45884</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40398-2021</t>
        </is>
      </c>
      <c r="B194" s="1" t="n">
        <v>44419</v>
      </c>
      <c r="C194" s="1" t="n">
        <v>45884</v>
      </c>
      <c r="D194" t="inlineStr">
        <is>
          <t>VÄSTMANLANDS LÄN</t>
        </is>
      </c>
      <c r="E194" t="inlineStr">
        <is>
          <t>SALA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2927-2024</t>
        </is>
      </c>
      <c r="B195" s="1" t="n">
        <v>45315.58989583333</v>
      </c>
      <c r="C195" s="1" t="n">
        <v>45884</v>
      </c>
      <c r="D195" t="inlineStr">
        <is>
          <t>VÄSTMANLANDS LÄN</t>
        </is>
      </c>
      <c r="E195" t="inlineStr">
        <is>
          <t>SALA</t>
        </is>
      </c>
      <c r="G195" t="n">
        <v>2.5</v>
      </c>
      <c r="H195" t="n">
        <v>0</v>
      </c>
      <c r="I195" t="n">
        <v>0</v>
      </c>
      <c r="J195" t="n">
        <v>0</v>
      </c>
      <c r="K195" t="n">
        <v>0</v>
      </c>
      <c r="L195" t="n">
        <v>0</v>
      </c>
      <c r="M195" t="n">
        <v>0</v>
      </c>
      <c r="N195" t="n">
        <v>0</v>
      </c>
      <c r="O195" t="n">
        <v>0</v>
      </c>
      <c r="P195" t="n">
        <v>0</v>
      </c>
      <c r="Q195" t="n">
        <v>0</v>
      </c>
      <c r="R195" s="2" t="inlineStr"/>
    </row>
    <row r="196" ht="15" customHeight="1">
      <c r="A196" t="inlineStr">
        <is>
          <t>A 56098-2020</t>
        </is>
      </c>
      <c r="B196" s="1" t="n">
        <v>44132</v>
      </c>
      <c r="C196" s="1" t="n">
        <v>45884</v>
      </c>
      <c r="D196" t="inlineStr">
        <is>
          <t>VÄSTMANLANDS LÄN</t>
        </is>
      </c>
      <c r="E196" t="inlineStr">
        <is>
          <t>SALA</t>
        </is>
      </c>
      <c r="G196" t="n">
        <v>1.9</v>
      </c>
      <c r="H196" t="n">
        <v>0</v>
      </c>
      <c r="I196" t="n">
        <v>0</v>
      </c>
      <c r="J196" t="n">
        <v>0</v>
      </c>
      <c r="K196" t="n">
        <v>0</v>
      </c>
      <c r="L196" t="n">
        <v>0</v>
      </c>
      <c r="M196" t="n">
        <v>0</v>
      </c>
      <c r="N196" t="n">
        <v>0</v>
      </c>
      <c r="O196" t="n">
        <v>0</v>
      </c>
      <c r="P196" t="n">
        <v>0</v>
      </c>
      <c r="Q196" t="n">
        <v>0</v>
      </c>
      <c r="R196" s="2" t="inlineStr"/>
    </row>
    <row r="197" ht="15" customHeight="1">
      <c r="A197" t="inlineStr">
        <is>
          <t>A 26854-2024</t>
        </is>
      </c>
      <c r="B197" s="1" t="n">
        <v>45470</v>
      </c>
      <c r="C197" s="1" t="n">
        <v>45884</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40113-2022</t>
        </is>
      </c>
      <c r="B198" s="1" t="n">
        <v>44819</v>
      </c>
      <c r="C198" s="1" t="n">
        <v>45884</v>
      </c>
      <c r="D198" t="inlineStr">
        <is>
          <t>VÄSTMANLANDS LÄN</t>
        </is>
      </c>
      <c r="E198" t="inlineStr">
        <is>
          <t>SALA</t>
        </is>
      </c>
      <c r="G198" t="n">
        <v>0.9</v>
      </c>
      <c r="H198" t="n">
        <v>0</v>
      </c>
      <c r="I198" t="n">
        <v>0</v>
      </c>
      <c r="J198" t="n">
        <v>0</v>
      </c>
      <c r="K198" t="n">
        <v>0</v>
      </c>
      <c r="L198" t="n">
        <v>0</v>
      </c>
      <c r="M198" t="n">
        <v>0</v>
      </c>
      <c r="N198" t="n">
        <v>0</v>
      </c>
      <c r="O198" t="n">
        <v>0</v>
      </c>
      <c r="P198" t="n">
        <v>0</v>
      </c>
      <c r="Q198" t="n">
        <v>0</v>
      </c>
      <c r="R198" s="2" t="inlineStr"/>
    </row>
    <row r="199" ht="15" customHeight="1">
      <c r="A199" t="inlineStr">
        <is>
          <t>A 43362-2023</t>
        </is>
      </c>
      <c r="B199" s="1" t="n">
        <v>45183</v>
      </c>
      <c r="C199" s="1" t="n">
        <v>45884</v>
      </c>
      <c r="D199" t="inlineStr">
        <is>
          <t>VÄSTMANLANDS LÄN</t>
        </is>
      </c>
      <c r="E199" t="inlineStr">
        <is>
          <t>SALA</t>
        </is>
      </c>
      <c r="G199" t="n">
        <v>2</v>
      </c>
      <c r="H199" t="n">
        <v>0</v>
      </c>
      <c r="I199" t="n">
        <v>0</v>
      </c>
      <c r="J199" t="n">
        <v>0</v>
      </c>
      <c r="K199" t="n">
        <v>0</v>
      </c>
      <c r="L199" t="n">
        <v>0</v>
      </c>
      <c r="M199" t="n">
        <v>0</v>
      </c>
      <c r="N199" t="n">
        <v>0</v>
      </c>
      <c r="O199" t="n">
        <v>0</v>
      </c>
      <c r="P199" t="n">
        <v>0</v>
      </c>
      <c r="Q199" t="n">
        <v>0</v>
      </c>
      <c r="R199" s="2" t="inlineStr"/>
    </row>
    <row r="200" ht="15" customHeight="1">
      <c r="A200" t="inlineStr">
        <is>
          <t>A 2900-2023</t>
        </is>
      </c>
      <c r="B200" s="1" t="n">
        <v>44943</v>
      </c>
      <c r="C200" s="1" t="n">
        <v>45884</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6030-2024</t>
        </is>
      </c>
      <c r="B201" s="1" t="n">
        <v>45336.62782407407</v>
      </c>
      <c r="C201" s="1" t="n">
        <v>45884</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6154-2025</t>
        </is>
      </c>
      <c r="B202" s="1" t="n">
        <v>45698.40719907408</v>
      </c>
      <c r="C202" s="1" t="n">
        <v>45884</v>
      </c>
      <c r="D202" t="inlineStr">
        <is>
          <t>VÄSTMANLANDS LÄN</t>
        </is>
      </c>
      <c r="E202" t="inlineStr">
        <is>
          <t>SALA</t>
        </is>
      </c>
      <c r="F202" t="inlineStr">
        <is>
          <t>Bergvik skog öst AB</t>
        </is>
      </c>
      <c r="G202" t="n">
        <v>3.9</v>
      </c>
      <c r="H202" t="n">
        <v>0</v>
      </c>
      <c r="I202" t="n">
        <v>0</v>
      </c>
      <c r="J202" t="n">
        <v>0</v>
      </c>
      <c r="K202" t="n">
        <v>0</v>
      </c>
      <c r="L202" t="n">
        <v>0</v>
      </c>
      <c r="M202" t="n">
        <v>0</v>
      </c>
      <c r="N202" t="n">
        <v>0</v>
      </c>
      <c r="O202" t="n">
        <v>0</v>
      </c>
      <c r="P202" t="n">
        <v>0</v>
      </c>
      <c r="Q202" t="n">
        <v>0</v>
      </c>
      <c r="R202" s="2" t="inlineStr"/>
    </row>
    <row r="203" ht="15" customHeight="1">
      <c r="A203" t="inlineStr">
        <is>
          <t>A 44652-2020</t>
        </is>
      </c>
      <c r="B203" s="1" t="n">
        <v>44085</v>
      </c>
      <c r="C203" s="1" t="n">
        <v>45884</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52630-2022</t>
        </is>
      </c>
      <c r="B204" s="1" t="n">
        <v>44874</v>
      </c>
      <c r="C204" s="1" t="n">
        <v>45884</v>
      </c>
      <c r="D204" t="inlineStr">
        <is>
          <t>VÄSTMANLANDS LÄN</t>
        </is>
      </c>
      <c r="E204" t="inlineStr">
        <is>
          <t>SALA</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57000-2021</t>
        </is>
      </c>
      <c r="B205" s="1" t="n">
        <v>44482.46760416667</v>
      </c>
      <c r="C205" s="1" t="n">
        <v>45884</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29233-2022</t>
        </is>
      </c>
      <c r="B206" s="1" t="n">
        <v>44750</v>
      </c>
      <c r="C206" s="1" t="n">
        <v>45884</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12922-2025</t>
        </is>
      </c>
      <c r="B207" s="1" t="n">
        <v>45734.28572916667</v>
      </c>
      <c r="C207" s="1" t="n">
        <v>45884</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14690-2025</t>
        </is>
      </c>
      <c r="B208" s="1" t="n">
        <v>45742.58212962963</v>
      </c>
      <c r="C208" s="1" t="n">
        <v>45884</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26579-2021</t>
        </is>
      </c>
      <c r="B209" s="1" t="n">
        <v>44348</v>
      </c>
      <c r="C209" s="1" t="n">
        <v>45884</v>
      </c>
      <c r="D209" t="inlineStr">
        <is>
          <t>VÄSTMANLANDS LÄN</t>
        </is>
      </c>
      <c r="E209" t="inlineStr">
        <is>
          <t>SALA</t>
        </is>
      </c>
      <c r="G209" t="n">
        <v>1.6</v>
      </c>
      <c r="H209" t="n">
        <v>0</v>
      </c>
      <c r="I209" t="n">
        <v>0</v>
      </c>
      <c r="J209" t="n">
        <v>0</v>
      </c>
      <c r="K209" t="n">
        <v>0</v>
      </c>
      <c r="L209" t="n">
        <v>0</v>
      </c>
      <c r="M209" t="n">
        <v>0</v>
      </c>
      <c r="N209" t="n">
        <v>0</v>
      </c>
      <c r="O209" t="n">
        <v>0</v>
      </c>
      <c r="P209" t="n">
        <v>0</v>
      </c>
      <c r="Q209" t="n">
        <v>0</v>
      </c>
      <c r="R209" s="2" t="inlineStr"/>
    </row>
    <row r="210" ht="15" customHeight="1">
      <c r="A210" t="inlineStr">
        <is>
          <t>A 48570-2024</t>
        </is>
      </c>
      <c r="B210" s="1" t="n">
        <v>45591</v>
      </c>
      <c r="C210" s="1" t="n">
        <v>45884</v>
      </c>
      <c r="D210" t="inlineStr">
        <is>
          <t>VÄSTMANLANDS LÄN</t>
        </is>
      </c>
      <c r="E210" t="inlineStr">
        <is>
          <t>SALA</t>
        </is>
      </c>
      <c r="G210" t="n">
        <v>3</v>
      </c>
      <c r="H210" t="n">
        <v>0</v>
      </c>
      <c r="I210" t="n">
        <v>0</v>
      </c>
      <c r="J210" t="n">
        <v>0</v>
      </c>
      <c r="K210" t="n">
        <v>0</v>
      </c>
      <c r="L210" t="n">
        <v>0</v>
      </c>
      <c r="M210" t="n">
        <v>0</v>
      </c>
      <c r="N210" t="n">
        <v>0</v>
      </c>
      <c r="O210" t="n">
        <v>0</v>
      </c>
      <c r="P210" t="n">
        <v>0</v>
      </c>
      <c r="Q210" t="n">
        <v>0</v>
      </c>
      <c r="R210" s="2" t="inlineStr"/>
    </row>
    <row r="211" ht="15" customHeight="1">
      <c r="A211" t="inlineStr">
        <is>
          <t>A 10812-2021</t>
        </is>
      </c>
      <c r="B211" s="1" t="n">
        <v>44259</v>
      </c>
      <c r="C211" s="1" t="n">
        <v>45884</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57883-2024</t>
        </is>
      </c>
      <c r="B212" s="1" t="n">
        <v>45630</v>
      </c>
      <c r="C212" s="1" t="n">
        <v>45884</v>
      </c>
      <c r="D212" t="inlineStr">
        <is>
          <t>VÄSTMANLANDS LÄN</t>
        </is>
      </c>
      <c r="E212" t="inlineStr">
        <is>
          <t>SALA</t>
        </is>
      </c>
      <c r="G212" t="n">
        <v>5.4</v>
      </c>
      <c r="H212" t="n">
        <v>0</v>
      </c>
      <c r="I212" t="n">
        <v>0</v>
      </c>
      <c r="J212" t="n">
        <v>0</v>
      </c>
      <c r="K212" t="n">
        <v>0</v>
      </c>
      <c r="L212" t="n">
        <v>0</v>
      </c>
      <c r="M212" t="n">
        <v>0</v>
      </c>
      <c r="N212" t="n">
        <v>0</v>
      </c>
      <c r="O212" t="n">
        <v>0</v>
      </c>
      <c r="P212" t="n">
        <v>0</v>
      </c>
      <c r="Q212" t="n">
        <v>0</v>
      </c>
      <c r="R212" s="2" t="inlineStr"/>
    </row>
    <row r="213" ht="15" customHeight="1">
      <c r="A213" t="inlineStr">
        <is>
          <t>A 2521-2025</t>
        </is>
      </c>
      <c r="B213" s="1" t="n">
        <v>45674</v>
      </c>
      <c r="C213" s="1" t="n">
        <v>45884</v>
      </c>
      <c r="D213" t="inlineStr">
        <is>
          <t>VÄSTMANLANDS LÄN</t>
        </is>
      </c>
      <c r="E213" t="inlineStr">
        <is>
          <t>SALA</t>
        </is>
      </c>
      <c r="G213" t="n">
        <v>3.5</v>
      </c>
      <c r="H213" t="n">
        <v>0</v>
      </c>
      <c r="I213" t="n">
        <v>0</v>
      </c>
      <c r="J213" t="n">
        <v>0</v>
      </c>
      <c r="K213" t="n">
        <v>0</v>
      </c>
      <c r="L213" t="n">
        <v>0</v>
      </c>
      <c r="M213" t="n">
        <v>0</v>
      </c>
      <c r="N213" t="n">
        <v>0</v>
      </c>
      <c r="O213" t="n">
        <v>0</v>
      </c>
      <c r="P213" t="n">
        <v>0</v>
      </c>
      <c r="Q213" t="n">
        <v>0</v>
      </c>
      <c r="R213" s="2" t="inlineStr"/>
    </row>
    <row r="214" ht="15" customHeight="1">
      <c r="A214" t="inlineStr">
        <is>
          <t>A 39364-2024</t>
        </is>
      </c>
      <c r="B214" s="1" t="n">
        <v>45551.46748842593</v>
      </c>
      <c r="C214" s="1" t="n">
        <v>45884</v>
      </c>
      <c r="D214" t="inlineStr">
        <is>
          <t>VÄSTMANLANDS LÄN</t>
        </is>
      </c>
      <c r="E214" t="inlineStr">
        <is>
          <t>SALA</t>
        </is>
      </c>
      <c r="G214" t="n">
        <v>2.8</v>
      </c>
      <c r="H214" t="n">
        <v>0</v>
      </c>
      <c r="I214" t="n">
        <v>0</v>
      </c>
      <c r="J214" t="n">
        <v>0</v>
      </c>
      <c r="K214" t="n">
        <v>0</v>
      </c>
      <c r="L214" t="n">
        <v>0</v>
      </c>
      <c r="M214" t="n">
        <v>0</v>
      </c>
      <c r="N214" t="n">
        <v>0</v>
      </c>
      <c r="O214" t="n">
        <v>0</v>
      </c>
      <c r="P214" t="n">
        <v>0</v>
      </c>
      <c r="Q214" t="n">
        <v>0</v>
      </c>
      <c r="R214" s="2" t="inlineStr"/>
    </row>
    <row r="215" ht="15" customHeight="1">
      <c r="A215" t="inlineStr">
        <is>
          <t>A 16769-2024</t>
        </is>
      </c>
      <c r="B215" s="1" t="n">
        <v>45411.38738425926</v>
      </c>
      <c r="C215" s="1" t="n">
        <v>45884</v>
      </c>
      <c r="D215" t="inlineStr">
        <is>
          <t>VÄSTMANLANDS LÄN</t>
        </is>
      </c>
      <c r="E215" t="inlineStr">
        <is>
          <t>SALA</t>
        </is>
      </c>
      <c r="G215" t="n">
        <v>12</v>
      </c>
      <c r="H215" t="n">
        <v>0</v>
      </c>
      <c r="I215" t="n">
        <v>0</v>
      </c>
      <c r="J215" t="n">
        <v>0</v>
      </c>
      <c r="K215" t="n">
        <v>0</v>
      </c>
      <c r="L215" t="n">
        <v>0</v>
      </c>
      <c r="M215" t="n">
        <v>0</v>
      </c>
      <c r="N215" t="n">
        <v>0</v>
      </c>
      <c r="O215" t="n">
        <v>0</v>
      </c>
      <c r="P215" t="n">
        <v>0</v>
      </c>
      <c r="Q215" t="n">
        <v>0</v>
      </c>
      <c r="R215" s="2" t="inlineStr"/>
    </row>
    <row r="216" ht="15" customHeight="1">
      <c r="A216" t="inlineStr">
        <is>
          <t>A 4736-2021</t>
        </is>
      </c>
      <c r="B216" s="1" t="n">
        <v>44225</v>
      </c>
      <c r="C216" s="1" t="n">
        <v>45884</v>
      </c>
      <c r="D216" t="inlineStr">
        <is>
          <t>VÄSTMANLANDS LÄN</t>
        </is>
      </c>
      <c r="E216" t="inlineStr">
        <is>
          <t>SALA</t>
        </is>
      </c>
      <c r="G216" t="n">
        <v>4.2</v>
      </c>
      <c r="H216" t="n">
        <v>0</v>
      </c>
      <c r="I216" t="n">
        <v>0</v>
      </c>
      <c r="J216" t="n">
        <v>0</v>
      </c>
      <c r="K216" t="n">
        <v>0</v>
      </c>
      <c r="L216" t="n">
        <v>0</v>
      </c>
      <c r="M216" t="n">
        <v>0</v>
      </c>
      <c r="N216" t="n">
        <v>0</v>
      </c>
      <c r="O216" t="n">
        <v>0</v>
      </c>
      <c r="P216" t="n">
        <v>0</v>
      </c>
      <c r="Q216" t="n">
        <v>0</v>
      </c>
      <c r="R216" s="2" t="inlineStr"/>
    </row>
    <row r="217" ht="15" customHeight="1">
      <c r="A217" t="inlineStr">
        <is>
          <t>A 18877-2023</t>
        </is>
      </c>
      <c r="B217" s="1" t="n">
        <v>45044</v>
      </c>
      <c r="C217" s="1" t="n">
        <v>45884</v>
      </c>
      <c r="D217" t="inlineStr">
        <is>
          <t>VÄSTMANLANDS LÄN</t>
        </is>
      </c>
      <c r="E217" t="inlineStr">
        <is>
          <t>SALA</t>
        </is>
      </c>
      <c r="F217" t="inlineStr">
        <is>
          <t>Kommuner</t>
        </is>
      </c>
      <c r="G217" t="n">
        <v>4.4</v>
      </c>
      <c r="H217" t="n">
        <v>0</v>
      </c>
      <c r="I217" t="n">
        <v>0</v>
      </c>
      <c r="J217" t="n">
        <v>0</v>
      </c>
      <c r="K217" t="n">
        <v>0</v>
      </c>
      <c r="L217" t="n">
        <v>0</v>
      </c>
      <c r="M217" t="n">
        <v>0</v>
      </c>
      <c r="N217" t="n">
        <v>0</v>
      </c>
      <c r="O217" t="n">
        <v>0</v>
      </c>
      <c r="P217" t="n">
        <v>0</v>
      </c>
      <c r="Q217" t="n">
        <v>0</v>
      </c>
      <c r="R217" s="2" t="inlineStr"/>
    </row>
    <row r="218" ht="15" customHeight="1">
      <c r="A218" t="inlineStr">
        <is>
          <t>A 64932-2021</t>
        </is>
      </c>
      <c r="B218" s="1" t="n">
        <v>44512</v>
      </c>
      <c r="C218" s="1" t="n">
        <v>45884</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60548-2024</t>
        </is>
      </c>
      <c r="B219" s="1" t="n">
        <v>45643.80978009259</v>
      </c>
      <c r="C219" s="1" t="n">
        <v>45884</v>
      </c>
      <c r="D219" t="inlineStr">
        <is>
          <t>VÄSTMANLANDS LÄN</t>
        </is>
      </c>
      <c r="E219" t="inlineStr">
        <is>
          <t>SALA</t>
        </is>
      </c>
      <c r="G219" t="n">
        <v>1.6</v>
      </c>
      <c r="H219" t="n">
        <v>0</v>
      </c>
      <c r="I219" t="n">
        <v>0</v>
      </c>
      <c r="J219" t="n">
        <v>0</v>
      </c>
      <c r="K219" t="n">
        <v>0</v>
      </c>
      <c r="L219" t="n">
        <v>0</v>
      </c>
      <c r="M219" t="n">
        <v>0</v>
      </c>
      <c r="N219" t="n">
        <v>0</v>
      </c>
      <c r="O219" t="n">
        <v>0</v>
      </c>
      <c r="P219" t="n">
        <v>0</v>
      </c>
      <c r="Q219" t="n">
        <v>0</v>
      </c>
      <c r="R219" s="2" t="inlineStr"/>
    </row>
    <row r="220" ht="15" customHeight="1">
      <c r="A220" t="inlineStr">
        <is>
          <t>A 44544-2024</t>
        </is>
      </c>
      <c r="B220" s="1" t="n">
        <v>45574.46119212963</v>
      </c>
      <c r="C220" s="1" t="n">
        <v>45884</v>
      </c>
      <c r="D220" t="inlineStr">
        <is>
          <t>VÄSTMANLANDS LÄN</t>
        </is>
      </c>
      <c r="E220" t="inlineStr">
        <is>
          <t>SALA</t>
        </is>
      </c>
      <c r="G220" t="n">
        <v>3.3</v>
      </c>
      <c r="H220" t="n">
        <v>0</v>
      </c>
      <c r="I220" t="n">
        <v>0</v>
      </c>
      <c r="J220" t="n">
        <v>0</v>
      </c>
      <c r="K220" t="n">
        <v>0</v>
      </c>
      <c r="L220" t="n">
        <v>0</v>
      </c>
      <c r="M220" t="n">
        <v>0</v>
      </c>
      <c r="N220" t="n">
        <v>0</v>
      </c>
      <c r="O220" t="n">
        <v>0</v>
      </c>
      <c r="P220" t="n">
        <v>0</v>
      </c>
      <c r="Q220" t="n">
        <v>0</v>
      </c>
      <c r="R220" s="2" t="inlineStr"/>
    </row>
    <row r="221" ht="15" customHeight="1">
      <c r="A221" t="inlineStr">
        <is>
          <t>A 60379-2022</t>
        </is>
      </c>
      <c r="B221" s="1" t="n">
        <v>44910</v>
      </c>
      <c r="C221" s="1" t="n">
        <v>45884</v>
      </c>
      <c r="D221" t="inlineStr">
        <is>
          <t>VÄSTMANLANDS LÄN</t>
        </is>
      </c>
      <c r="E221" t="inlineStr">
        <is>
          <t>SALA</t>
        </is>
      </c>
      <c r="F221" t="inlineStr">
        <is>
          <t>Kyrkan</t>
        </is>
      </c>
      <c r="G221" t="n">
        <v>2.5</v>
      </c>
      <c r="H221" t="n">
        <v>0</v>
      </c>
      <c r="I221" t="n">
        <v>0</v>
      </c>
      <c r="J221" t="n">
        <v>0</v>
      </c>
      <c r="K221" t="n">
        <v>0</v>
      </c>
      <c r="L221" t="n">
        <v>0</v>
      </c>
      <c r="M221" t="n">
        <v>0</v>
      </c>
      <c r="N221" t="n">
        <v>0</v>
      </c>
      <c r="O221" t="n">
        <v>0</v>
      </c>
      <c r="P221" t="n">
        <v>0</v>
      </c>
      <c r="Q221" t="n">
        <v>0</v>
      </c>
      <c r="R221" s="2" t="inlineStr"/>
    </row>
    <row r="222" ht="15" customHeight="1">
      <c r="A222" t="inlineStr">
        <is>
          <t>A 41876-2022</t>
        </is>
      </c>
      <c r="B222" s="1" t="n">
        <v>44829.97008101852</v>
      </c>
      <c r="C222" s="1" t="n">
        <v>45884</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56547-2022</t>
        </is>
      </c>
      <c r="B223" s="1" t="n">
        <v>44893.48284722222</v>
      </c>
      <c r="C223" s="1" t="n">
        <v>45884</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67958-2021</t>
        </is>
      </c>
      <c r="B224" s="1" t="n">
        <v>44525</v>
      </c>
      <c r="C224" s="1" t="n">
        <v>45884</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67965-2021</t>
        </is>
      </c>
      <c r="B225" s="1" t="n">
        <v>44525</v>
      </c>
      <c r="C225" s="1" t="n">
        <v>45884</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29542-2023</t>
        </is>
      </c>
      <c r="B226" s="1" t="n">
        <v>45098</v>
      </c>
      <c r="C226" s="1" t="n">
        <v>45884</v>
      </c>
      <c r="D226" t="inlineStr">
        <is>
          <t>VÄSTMANLANDS LÄN</t>
        </is>
      </c>
      <c r="E226" t="inlineStr">
        <is>
          <t>SALA</t>
        </is>
      </c>
      <c r="G226" t="n">
        <v>4.8</v>
      </c>
      <c r="H226" t="n">
        <v>0</v>
      </c>
      <c r="I226" t="n">
        <v>0</v>
      </c>
      <c r="J226" t="n">
        <v>0</v>
      </c>
      <c r="K226" t="n">
        <v>0</v>
      </c>
      <c r="L226" t="n">
        <v>0</v>
      </c>
      <c r="M226" t="n">
        <v>0</v>
      </c>
      <c r="N226" t="n">
        <v>0</v>
      </c>
      <c r="O226" t="n">
        <v>0</v>
      </c>
      <c r="P226" t="n">
        <v>0</v>
      </c>
      <c r="Q226" t="n">
        <v>0</v>
      </c>
      <c r="R226" s="2" t="inlineStr"/>
    </row>
    <row r="227" ht="15" customHeight="1">
      <c r="A227" t="inlineStr">
        <is>
          <t>A 26761-2023</t>
        </is>
      </c>
      <c r="B227" s="1" t="n">
        <v>45093</v>
      </c>
      <c r="C227" s="1" t="n">
        <v>45884</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45015-2022</t>
        </is>
      </c>
      <c r="B228" s="1" t="n">
        <v>44841.63766203704</v>
      </c>
      <c r="C228" s="1" t="n">
        <v>45884</v>
      </c>
      <c r="D228" t="inlineStr">
        <is>
          <t>VÄSTMANLANDS LÄN</t>
        </is>
      </c>
      <c r="E228" t="inlineStr">
        <is>
          <t>SALA</t>
        </is>
      </c>
      <c r="G228" t="n">
        <v>0.7</v>
      </c>
      <c r="H228" t="n">
        <v>0</v>
      </c>
      <c r="I228" t="n">
        <v>0</v>
      </c>
      <c r="J228" t="n">
        <v>0</v>
      </c>
      <c r="K228" t="n">
        <v>0</v>
      </c>
      <c r="L228" t="n">
        <v>0</v>
      </c>
      <c r="M228" t="n">
        <v>0</v>
      </c>
      <c r="N228" t="n">
        <v>0</v>
      </c>
      <c r="O228" t="n">
        <v>0</v>
      </c>
      <c r="P228" t="n">
        <v>0</v>
      </c>
      <c r="Q228" t="n">
        <v>0</v>
      </c>
      <c r="R228" s="2" t="inlineStr"/>
    </row>
    <row r="229" ht="15" customHeight="1">
      <c r="A229" t="inlineStr">
        <is>
          <t>A 55035-2023</t>
        </is>
      </c>
      <c r="B229" s="1" t="n">
        <v>45229</v>
      </c>
      <c r="C229" s="1" t="n">
        <v>45884</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16638-2023</t>
        </is>
      </c>
      <c r="B230" s="1" t="n">
        <v>45027</v>
      </c>
      <c r="C230" s="1" t="n">
        <v>45884</v>
      </c>
      <c r="D230" t="inlineStr">
        <is>
          <t>VÄSTMANLANDS LÄN</t>
        </is>
      </c>
      <c r="E230" t="inlineStr">
        <is>
          <t>SALA</t>
        </is>
      </c>
      <c r="G230" t="n">
        <v>14.8</v>
      </c>
      <c r="H230" t="n">
        <v>0</v>
      </c>
      <c r="I230" t="n">
        <v>0</v>
      </c>
      <c r="J230" t="n">
        <v>0</v>
      </c>
      <c r="K230" t="n">
        <v>0</v>
      </c>
      <c r="L230" t="n">
        <v>0</v>
      </c>
      <c r="M230" t="n">
        <v>0</v>
      </c>
      <c r="N230" t="n">
        <v>0</v>
      </c>
      <c r="O230" t="n">
        <v>0</v>
      </c>
      <c r="P230" t="n">
        <v>0</v>
      </c>
      <c r="Q230" t="n">
        <v>0</v>
      </c>
      <c r="R230" s="2" t="inlineStr"/>
    </row>
    <row r="231" ht="15" customHeight="1">
      <c r="A231" t="inlineStr">
        <is>
          <t>A 37190-2024</t>
        </is>
      </c>
      <c r="B231" s="1" t="n">
        <v>45539</v>
      </c>
      <c r="C231" s="1" t="n">
        <v>45884</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60249-2023</t>
        </is>
      </c>
      <c r="B232" s="1" t="n">
        <v>45258</v>
      </c>
      <c r="C232" s="1" t="n">
        <v>45884</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58107-2021</t>
        </is>
      </c>
      <c r="B233" s="1" t="n">
        <v>44487</v>
      </c>
      <c r="C233" s="1" t="n">
        <v>45884</v>
      </c>
      <c r="D233" t="inlineStr">
        <is>
          <t>VÄSTMANLANDS LÄN</t>
        </is>
      </c>
      <c r="E233" t="inlineStr">
        <is>
          <t>SALA</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25868-2024</t>
        </is>
      </c>
      <c r="B234" s="1" t="n">
        <v>45467.47506944444</v>
      </c>
      <c r="C234" s="1" t="n">
        <v>45884</v>
      </c>
      <c r="D234" t="inlineStr">
        <is>
          <t>VÄSTMANLANDS LÄN</t>
        </is>
      </c>
      <c r="E234" t="inlineStr">
        <is>
          <t>SALA</t>
        </is>
      </c>
      <c r="G234" t="n">
        <v>0.8</v>
      </c>
      <c r="H234" t="n">
        <v>0</v>
      </c>
      <c r="I234" t="n">
        <v>0</v>
      </c>
      <c r="J234" t="n">
        <v>0</v>
      </c>
      <c r="K234" t="n">
        <v>0</v>
      </c>
      <c r="L234" t="n">
        <v>0</v>
      </c>
      <c r="M234" t="n">
        <v>0</v>
      </c>
      <c r="N234" t="n">
        <v>0</v>
      </c>
      <c r="O234" t="n">
        <v>0</v>
      </c>
      <c r="P234" t="n">
        <v>0</v>
      </c>
      <c r="Q234" t="n">
        <v>0</v>
      </c>
      <c r="R234" s="2" t="inlineStr"/>
    </row>
    <row r="235" ht="15" customHeight="1">
      <c r="A235" t="inlineStr">
        <is>
          <t>A 35462-2024</t>
        </is>
      </c>
      <c r="B235" s="1" t="n">
        <v>45531</v>
      </c>
      <c r="C235" s="1" t="n">
        <v>45884</v>
      </c>
      <c r="D235" t="inlineStr">
        <is>
          <t>VÄSTMANLANDS LÄN</t>
        </is>
      </c>
      <c r="E235" t="inlineStr">
        <is>
          <t>SALA</t>
        </is>
      </c>
      <c r="G235" t="n">
        <v>0.6</v>
      </c>
      <c r="H235" t="n">
        <v>0</v>
      </c>
      <c r="I235" t="n">
        <v>0</v>
      </c>
      <c r="J235" t="n">
        <v>0</v>
      </c>
      <c r="K235" t="n">
        <v>0</v>
      </c>
      <c r="L235" t="n">
        <v>0</v>
      </c>
      <c r="M235" t="n">
        <v>0</v>
      </c>
      <c r="N235" t="n">
        <v>0</v>
      </c>
      <c r="O235" t="n">
        <v>0</v>
      </c>
      <c r="P235" t="n">
        <v>0</v>
      </c>
      <c r="Q235" t="n">
        <v>0</v>
      </c>
      <c r="R235" s="2" t="inlineStr"/>
    </row>
    <row r="236" ht="15" customHeight="1">
      <c r="A236" t="inlineStr">
        <is>
          <t>A 14024-2025</t>
        </is>
      </c>
      <c r="B236" s="1" t="n">
        <v>45740.34650462963</v>
      </c>
      <c r="C236" s="1" t="n">
        <v>45884</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23222-2023</t>
        </is>
      </c>
      <c r="B237" s="1" t="n">
        <v>45075</v>
      </c>
      <c r="C237" s="1" t="n">
        <v>45884</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23224-2023</t>
        </is>
      </c>
      <c r="B238" s="1" t="n">
        <v>45075.65040509259</v>
      </c>
      <c r="C238" s="1" t="n">
        <v>45884</v>
      </c>
      <c r="D238" t="inlineStr">
        <is>
          <t>VÄSTMANLANDS LÄN</t>
        </is>
      </c>
      <c r="E238" t="inlineStr">
        <is>
          <t>SALA</t>
        </is>
      </c>
      <c r="G238" t="n">
        <v>0.8</v>
      </c>
      <c r="H238" t="n">
        <v>0</v>
      </c>
      <c r="I238" t="n">
        <v>0</v>
      </c>
      <c r="J238" t="n">
        <v>0</v>
      </c>
      <c r="K238" t="n">
        <v>0</v>
      </c>
      <c r="L238" t="n">
        <v>0</v>
      </c>
      <c r="M238" t="n">
        <v>0</v>
      </c>
      <c r="N238" t="n">
        <v>0</v>
      </c>
      <c r="O238" t="n">
        <v>0</v>
      </c>
      <c r="P238" t="n">
        <v>0</v>
      </c>
      <c r="Q238" t="n">
        <v>0</v>
      </c>
      <c r="R238" s="2" t="inlineStr"/>
    </row>
    <row r="239" ht="15" customHeight="1">
      <c r="A239" t="inlineStr">
        <is>
          <t>A 26692-2023</t>
        </is>
      </c>
      <c r="B239" s="1" t="n">
        <v>45093.360625</v>
      </c>
      <c r="C239" s="1" t="n">
        <v>45884</v>
      </c>
      <c r="D239" t="inlineStr">
        <is>
          <t>VÄSTMANLANDS LÄN</t>
        </is>
      </c>
      <c r="E239" t="inlineStr">
        <is>
          <t>SALA</t>
        </is>
      </c>
      <c r="G239" t="n">
        <v>1.8</v>
      </c>
      <c r="H239" t="n">
        <v>0</v>
      </c>
      <c r="I239" t="n">
        <v>0</v>
      </c>
      <c r="J239" t="n">
        <v>0</v>
      </c>
      <c r="K239" t="n">
        <v>0</v>
      </c>
      <c r="L239" t="n">
        <v>0</v>
      </c>
      <c r="M239" t="n">
        <v>0</v>
      </c>
      <c r="N239" t="n">
        <v>0</v>
      </c>
      <c r="O239" t="n">
        <v>0</v>
      </c>
      <c r="P239" t="n">
        <v>0</v>
      </c>
      <c r="Q239" t="n">
        <v>0</v>
      </c>
      <c r="R239" s="2" t="inlineStr"/>
    </row>
    <row r="240" ht="15" customHeight="1">
      <c r="A240" t="inlineStr">
        <is>
          <t>A 54910-2023</t>
        </is>
      </c>
      <c r="B240" s="1" t="n">
        <v>45229</v>
      </c>
      <c r="C240" s="1" t="n">
        <v>45884</v>
      </c>
      <c r="D240" t="inlineStr">
        <is>
          <t>VÄSTMANLANDS LÄN</t>
        </is>
      </c>
      <c r="E240" t="inlineStr">
        <is>
          <t>SALA</t>
        </is>
      </c>
      <c r="G240" t="n">
        <v>2.4</v>
      </c>
      <c r="H240" t="n">
        <v>0</v>
      </c>
      <c r="I240" t="n">
        <v>0</v>
      </c>
      <c r="J240" t="n">
        <v>0</v>
      </c>
      <c r="K240" t="n">
        <v>0</v>
      </c>
      <c r="L240" t="n">
        <v>0</v>
      </c>
      <c r="M240" t="n">
        <v>0</v>
      </c>
      <c r="N240" t="n">
        <v>0</v>
      </c>
      <c r="O240" t="n">
        <v>0</v>
      </c>
      <c r="P240" t="n">
        <v>0</v>
      </c>
      <c r="Q240" t="n">
        <v>0</v>
      </c>
      <c r="R240" s="2" t="inlineStr"/>
    </row>
    <row r="241" ht="15" customHeight="1">
      <c r="A241" t="inlineStr">
        <is>
          <t>A 62449-2023</t>
        </is>
      </c>
      <c r="B241" s="1" t="n">
        <v>45268.49008101852</v>
      </c>
      <c r="C241" s="1" t="n">
        <v>45884</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17458-2024</t>
        </is>
      </c>
      <c r="B242" s="1" t="n">
        <v>45415</v>
      </c>
      <c r="C242" s="1" t="n">
        <v>45884</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31597-2024</t>
        </is>
      </c>
      <c r="B243" s="1" t="n">
        <v>45506</v>
      </c>
      <c r="C243" s="1" t="n">
        <v>45884</v>
      </c>
      <c r="D243" t="inlineStr">
        <is>
          <t>VÄSTMANLANDS LÄN</t>
        </is>
      </c>
      <c r="E243" t="inlineStr">
        <is>
          <t>SALA</t>
        </is>
      </c>
      <c r="G243" t="n">
        <v>2.4</v>
      </c>
      <c r="H243" t="n">
        <v>0</v>
      </c>
      <c r="I243" t="n">
        <v>0</v>
      </c>
      <c r="J243" t="n">
        <v>0</v>
      </c>
      <c r="K243" t="n">
        <v>0</v>
      </c>
      <c r="L243" t="n">
        <v>0</v>
      </c>
      <c r="M243" t="n">
        <v>0</v>
      </c>
      <c r="N243" t="n">
        <v>0</v>
      </c>
      <c r="O243" t="n">
        <v>0</v>
      </c>
      <c r="P243" t="n">
        <v>0</v>
      </c>
      <c r="Q243" t="n">
        <v>0</v>
      </c>
      <c r="R243" s="2" t="inlineStr"/>
    </row>
    <row r="244" ht="15" customHeight="1">
      <c r="A244" t="inlineStr">
        <is>
          <t>A 31599-2024</t>
        </is>
      </c>
      <c r="B244" s="1" t="n">
        <v>45506</v>
      </c>
      <c r="C244" s="1" t="n">
        <v>45884</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31601-2024</t>
        </is>
      </c>
      <c r="B245" s="1" t="n">
        <v>45506</v>
      </c>
      <c r="C245" s="1" t="n">
        <v>45884</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31608-2024</t>
        </is>
      </c>
      <c r="B246" s="1" t="n">
        <v>45506</v>
      </c>
      <c r="C246" s="1" t="n">
        <v>45884</v>
      </c>
      <c r="D246" t="inlineStr">
        <is>
          <t>VÄSTMANLANDS LÄN</t>
        </is>
      </c>
      <c r="E246" t="inlineStr">
        <is>
          <t>SALA</t>
        </is>
      </c>
      <c r="G246" t="n">
        <v>1.7</v>
      </c>
      <c r="H246" t="n">
        <v>0</v>
      </c>
      <c r="I246" t="n">
        <v>0</v>
      </c>
      <c r="J246" t="n">
        <v>0</v>
      </c>
      <c r="K246" t="n">
        <v>0</v>
      </c>
      <c r="L246" t="n">
        <v>0</v>
      </c>
      <c r="M246" t="n">
        <v>0</v>
      </c>
      <c r="N246" t="n">
        <v>0</v>
      </c>
      <c r="O246" t="n">
        <v>0</v>
      </c>
      <c r="P246" t="n">
        <v>0</v>
      </c>
      <c r="Q246" t="n">
        <v>0</v>
      </c>
      <c r="R246" s="2" t="inlineStr"/>
    </row>
    <row r="247" ht="15" customHeight="1">
      <c r="A247" t="inlineStr">
        <is>
          <t>A 31612-2024</t>
        </is>
      </c>
      <c r="B247" s="1" t="n">
        <v>45506</v>
      </c>
      <c r="C247" s="1" t="n">
        <v>45884</v>
      </c>
      <c r="D247" t="inlineStr">
        <is>
          <t>VÄSTMANLANDS LÄN</t>
        </is>
      </c>
      <c r="E247" t="inlineStr">
        <is>
          <t>SALA</t>
        </is>
      </c>
      <c r="G247" t="n">
        <v>3.2</v>
      </c>
      <c r="H247" t="n">
        <v>0</v>
      </c>
      <c r="I247" t="n">
        <v>0</v>
      </c>
      <c r="J247" t="n">
        <v>0</v>
      </c>
      <c r="K247" t="n">
        <v>0</v>
      </c>
      <c r="L247" t="n">
        <v>0</v>
      </c>
      <c r="M247" t="n">
        <v>0</v>
      </c>
      <c r="N247" t="n">
        <v>0</v>
      </c>
      <c r="O247" t="n">
        <v>0</v>
      </c>
      <c r="P247" t="n">
        <v>0</v>
      </c>
      <c r="Q247" t="n">
        <v>0</v>
      </c>
      <c r="R247" s="2" t="inlineStr"/>
    </row>
    <row r="248" ht="15" customHeight="1">
      <c r="A248" t="inlineStr">
        <is>
          <t>A 22026-2021</t>
        </is>
      </c>
      <c r="B248" s="1" t="n">
        <v>44323</v>
      </c>
      <c r="C248" s="1" t="n">
        <v>45884</v>
      </c>
      <c r="D248" t="inlineStr">
        <is>
          <t>VÄSTMANLANDS LÄN</t>
        </is>
      </c>
      <c r="E248" t="inlineStr">
        <is>
          <t>SALA</t>
        </is>
      </c>
      <c r="G248" t="n">
        <v>2.9</v>
      </c>
      <c r="H248" t="n">
        <v>0</v>
      </c>
      <c r="I248" t="n">
        <v>0</v>
      </c>
      <c r="J248" t="n">
        <v>0</v>
      </c>
      <c r="K248" t="n">
        <v>0</v>
      </c>
      <c r="L248" t="n">
        <v>0</v>
      </c>
      <c r="M248" t="n">
        <v>0</v>
      </c>
      <c r="N248" t="n">
        <v>0</v>
      </c>
      <c r="O248" t="n">
        <v>0</v>
      </c>
      <c r="P248" t="n">
        <v>0</v>
      </c>
      <c r="Q248" t="n">
        <v>0</v>
      </c>
      <c r="R248" s="2" t="inlineStr"/>
    </row>
    <row r="249" ht="15" customHeight="1">
      <c r="A249" t="inlineStr">
        <is>
          <t>A 52500-2024</t>
        </is>
      </c>
      <c r="B249" s="1" t="n">
        <v>45609</v>
      </c>
      <c r="C249" s="1" t="n">
        <v>45884</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56543-2024</t>
        </is>
      </c>
      <c r="B250" s="1" t="n">
        <v>45625</v>
      </c>
      <c r="C250" s="1" t="n">
        <v>45884</v>
      </c>
      <c r="D250" t="inlineStr">
        <is>
          <t>VÄSTMANLANDS LÄN</t>
        </is>
      </c>
      <c r="E250" t="inlineStr">
        <is>
          <t>SALA</t>
        </is>
      </c>
      <c r="G250" t="n">
        <v>0.7</v>
      </c>
      <c r="H250" t="n">
        <v>0</v>
      </c>
      <c r="I250" t="n">
        <v>0</v>
      </c>
      <c r="J250" t="n">
        <v>0</v>
      </c>
      <c r="K250" t="n">
        <v>0</v>
      </c>
      <c r="L250" t="n">
        <v>0</v>
      </c>
      <c r="M250" t="n">
        <v>0</v>
      </c>
      <c r="N250" t="n">
        <v>0</v>
      </c>
      <c r="O250" t="n">
        <v>0</v>
      </c>
      <c r="P250" t="n">
        <v>0</v>
      </c>
      <c r="Q250" t="n">
        <v>0</v>
      </c>
      <c r="R250" s="2" t="inlineStr"/>
    </row>
    <row r="251" ht="15" customHeight="1">
      <c r="A251" t="inlineStr">
        <is>
          <t>A 31950-2023</t>
        </is>
      </c>
      <c r="B251" s="1" t="n">
        <v>45107</v>
      </c>
      <c r="C251" s="1" t="n">
        <v>45884</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56949-2023</t>
        </is>
      </c>
      <c r="B252" s="1" t="n">
        <v>45244.61589120371</v>
      </c>
      <c r="C252" s="1" t="n">
        <v>45884</v>
      </c>
      <c r="D252" t="inlineStr">
        <is>
          <t>VÄSTMANLANDS LÄN</t>
        </is>
      </c>
      <c r="E252" t="inlineStr">
        <is>
          <t>SALA</t>
        </is>
      </c>
      <c r="G252" t="n">
        <v>4.7</v>
      </c>
      <c r="H252" t="n">
        <v>0</v>
      </c>
      <c r="I252" t="n">
        <v>0</v>
      </c>
      <c r="J252" t="n">
        <v>0</v>
      </c>
      <c r="K252" t="n">
        <v>0</v>
      </c>
      <c r="L252" t="n">
        <v>0</v>
      </c>
      <c r="M252" t="n">
        <v>0</v>
      </c>
      <c r="N252" t="n">
        <v>0</v>
      </c>
      <c r="O252" t="n">
        <v>0</v>
      </c>
      <c r="P252" t="n">
        <v>0</v>
      </c>
      <c r="Q252" t="n">
        <v>0</v>
      </c>
      <c r="R252" s="2" t="inlineStr"/>
    </row>
    <row r="253" ht="15" customHeight="1">
      <c r="A253" t="inlineStr">
        <is>
          <t>A 68864-2021</t>
        </is>
      </c>
      <c r="B253" s="1" t="n">
        <v>44530</v>
      </c>
      <c r="C253" s="1" t="n">
        <v>45884</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43359-2024</t>
        </is>
      </c>
      <c r="B254" s="1" t="n">
        <v>45568.57724537037</v>
      </c>
      <c r="C254" s="1" t="n">
        <v>45884</v>
      </c>
      <c r="D254" t="inlineStr">
        <is>
          <t>VÄSTMANLANDS LÄN</t>
        </is>
      </c>
      <c r="E254" t="inlineStr">
        <is>
          <t>SALA</t>
        </is>
      </c>
      <c r="G254" t="n">
        <v>1.6</v>
      </c>
      <c r="H254" t="n">
        <v>0</v>
      </c>
      <c r="I254" t="n">
        <v>0</v>
      </c>
      <c r="J254" t="n">
        <v>0</v>
      </c>
      <c r="K254" t="n">
        <v>0</v>
      </c>
      <c r="L254" t="n">
        <v>0</v>
      </c>
      <c r="M254" t="n">
        <v>0</v>
      </c>
      <c r="N254" t="n">
        <v>0</v>
      </c>
      <c r="O254" t="n">
        <v>0</v>
      </c>
      <c r="P254" t="n">
        <v>0</v>
      </c>
      <c r="Q254" t="n">
        <v>0</v>
      </c>
      <c r="R254" s="2" t="inlineStr"/>
    </row>
    <row r="255" ht="15" customHeight="1">
      <c r="A255" t="inlineStr">
        <is>
          <t>A 16767-2024</t>
        </is>
      </c>
      <c r="B255" s="1" t="n">
        <v>45411.38171296296</v>
      </c>
      <c r="C255" s="1" t="n">
        <v>45884</v>
      </c>
      <c r="D255" t="inlineStr">
        <is>
          <t>VÄSTMANLANDS LÄN</t>
        </is>
      </c>
      <c r="E255" t="inlineStr">
        <is>
          <t>SALA</t>
        </is>
      </c>
      <c r="G255" t="n">
        <v>2.5</v>
      </c>
      <c r="H255" t="n">
        <v>0</v>
      </c>
      <c r="I255" t="n">
        <v>0</v>
      </c>
      <c r="J255" t="n">
        <v>0</v>
      </c>
      <c r="K255" t="n">
        <v>0</v>
      </c>
      <c r="L255" t="n">
        <v>0</v>
      </c>
      <c r="M255" t="n">
        <v>0</v>
      </c>
      <c r="N255" t="n">
        <v>0</v>
      </c>
      <c r="O255" t="n">
        <v>0</v>
      </c>
      <c r="P255" t="n">
        <v>0</v>
      </c>
      <c r="Q255" t="n">
        <v>0</v>
      </c>
      <c r="R255" s="2" t="inlineStr"/>
    </row>
    <row r="256" ht="15" customHeight="1">
      <c r="A256" t="inlineStr">
        <is>
          <t>A 53164-2024</t>
        </is>
      </c>
      <c r="B256" s="1" t="n">
        <v>45611.64887731482</v>
      </c>
      <c r="C256" s="1" t="n">
        <v>45884</v>
      </c>
      <c r="D256" t="inlineStr">
        <is>
          <t>VÄSTMANLANDS LÄN</t>
        </is>
      </c>
      <c r="E256" t="inlineStr">
        <is>
          <t>SALA</t>
        </is>
      </c>
      <c r="G256" t="n">
        <v>2.6</v>
      </c>
      <c r="H256" t="n">
        <v>0</v>
      </c>
      <c r="I256" t="n">
        <v>0</v>
      </c>
      <c r="J256" t="n">
        <v>0</v>
      </c>
      <c r="K256" t="n">
        <v>0</v>
      </c>
      <c r="L256" t="n">
        <v>0</v>
      </c>
      <c r="M256" t="n">
        <v>0</v>
      </c>
      <c r="N256" t="n">
        <v>0</v>
      </c>
      <c r="O256" t="n">
        <v>0</v>
      </c>
      <c r="P256" t="n">
        <v>0</v>
      </c>
      <c r="Q256" t="n">
        <v>0</v>
      </c>
      <c r="R256" s="2" t="inlineStr"/>
    </row>
    <row r="257" ht="15" customHeight="1">
      <c r="A257" t="inlineStr">
        <is>
          <t>A 52498-2022</t>
        </is>
      </c>
      <c r="B257" s="1" t="n">
        <v>44874.50152777778</v>
      </c>
      <c r="C257" s="1" t="n">
        <v>45884</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19065-2022</t>
        </is>
      </c>
      <c r="B258" s="1" t="n">
        <v>44691.44309027777</v>
      </c>
      <c r="C258" s="1" t="n">
        <v>45884</v>
      </c>
      <c r="D258" t="inlineStr">
        <is>
          <t>VÄSTMANLANDS LÄN</t>
        </is>
      </c>
      <c r="E258" t="inlineStr">
        <is>
          <t>SALA</t>
        </is>
      </c>
      <c r="G258" t="n">
        <v>3.4</v>
      </c>
      <c r="H258" t="n">
        <v>0</v>
      </c>
      <c r="I258" t="n">
        <v>0</v>
      </c>
      <c r="J258" t="n">
        <v>0</v>
      </c>
      <c r="K258" t="n">
        <v>0</v>
      </c>
      <c r="L258" t="n">
        <v>0</v>
      </c>
      <c r="M258" t="n">
        <v>0</v>
      </c>
      <c r="N258" t="n">
        <v>0</v>
      </c>
      <c r="O258" t="n">
        <v>0</v>
      </c>
      <c r="P258" t="n">
        <v>0</v>
      </c>
      <c r="Q258" t="n">
        <v>0</v>
      </c>
      <c r="R258" s="2" t="inlineStr"/>
    </row>
    <row r="259" ht="15" customHeight="1">
      <c r="A259" t="inlineStr">
        <is>
          <t>A 6097-2022</t>
        </is>
      </c>
      <c r="B259" s="1" t="n">
        <v>44599</v>
      </c>
      <c r="C259" s="1" t="n">
        <v>45884</v>
      </c>
      <c r="D259" t="inlineStr">
        <is>
          <t>VÄSTMANLANDS LÄN</t>
        </is>
      </c>
      <c r="E259" t="inlineStr">
        <is>
          <t>SALA</t>
        </is>
      </c>
      <c r="G259" t="n">
        <v>0.6</v>
      </c>
      <c r="H259" t="n">
        <v>0</v>
      </c>
      <c r="I259" t="n">
        <v>0</v>
      </c>
      <c r="J259" t="n">
        <v>0</v>
      </c>
      <c r="K259" t="n">
        <v>0</v>
      </c>
      <c r="L259" t="n">
        <v>0</v>
      </c>
      <c r="M259" t="n">
        <v>0</v>
      </c>
      <c r="N259" t="n">
        <v>0</v>
      </c>
      <c r="O259" t="n">
        <v>0</v>
      </c>
      <c r="P259" t="n">
        <v>0</v>
      </c>
      <c r="Q259" t="n">
        <v>0</v>
      </c>
      <c r="R259" s="2" t="inlineStr"/>
    </row>
    <row r="260" ht="15" customHeight="1">
      <c r="A260" t="inlineStr">
        <is>
          <t>A 96-2024</t>
        </is>
      </c>
      <c r="B260" s="1" t="n">
        <v>45293.85872685185</v>
      </c>
      <c r="C260" s="1" t="n">
        <v>45884</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54118-2023</t>
        </is>
      </c>
      <c r="B261" s="1" t="n">
        <v>45232</v>
      </c>
      <c r="C261" s="1" t="n">
        <v>45884</v>
      </c>
      <c r="D261" t="inlineStr">
        <is>
          <t>VÄSTMANLANDS LÄN</t>
        </is>
      </c>
      <c r="E261" t="inlineStr">
        <is>
          <t>SALA</t>
        </is>
      </c>
      <c r="G261" t="n">
        <v>1.1</v>
      </c>
      <c r="H261" t="n">
        <v>0</v>
      </c>
      <c r="I261" t="n">
        <v>0</v>
      </c>
      <c r="J261" t="n">
        <v>0</v>
      </c>
      <c r="K261" t="n">
        <v>0</v>
      </c>
      <c r="L261" t="n">
        <v>0</v>
      </c>
      <c r="M261" t="n">
        <v>0</v>
      </c>
      <c r="N261" t="n">
        <v>0</v>
      </c>
      <c r="O261" t="n">
        <v>0</v>
      </c>
      <c r="P261" t="n">
        <v>0</v>
      </c>
      <c r="Q261" t="n">
        <v>0</v>
      </c>
      <c r="R261" s="2" t="inlineStr"/>
    </row>
    <row r="262" ht="15" customHeight="1">
      <c r="A262" t="inlineStr">
        <is>
          <t>A 37612-2024</t>
        </is>
      </c>
      <c r="B262" s="1" t="n">
        <v>45541</v>
      </c>
      <c r="C262" s="1" t="n">
        <v>45884</v>
      </c>
      <c r="D262" t="inlineStr">
        <is>
          <t>VÄSTMANLANDS LÄN</t>
        </is>
      </c>
      <c r="E262" t="inlineStr">
        <is>
          <t>SALA</t>
        </is>
      </c>
      <c r="G262" t="n">
        <v>2.2</v>
      </c>
      <c r="H262" t="n">
        <v>0</v>
      </c>
      <c r="I262" t="n">
        <v>0</v>
      </c>
      <c r="J262" t="n">
        <v>0</v>
      </c>
      <c r="K262" t="n">
        <v>0</v>
      </c>
      <c r="L262" t="n">
        <v>0</v>
      </c>
      <c r="M262" t="n">
        <v>0</v>
      </c>
      <c r="N262" t="n">
        <v>0</v>
      </c>
      <c r="O262" t="n">
        <v>0</v>
      </c>
      <c r="P262" t="n">
        <v>0</v>
      </c>
      <c r="Q262" t="n">
        <v>0</v>
      </c>
      <c r="R262" s="2" t="inlineStr"/>
    </row>
    <row r="263" ht="15" customHeight="1">
      <c r="A263" t="inlineStr">
        <is>
          <t>A 37615-2024</t>
        </is>
      </c>
      <c r="B263" s="1" t="n">
        <v>45541.50673611111</v>
      </c>
      <c r="C263" s="1" t="n">
        <v>45884</v>
      </c>
      <c r="D263" t="inlineStr">
        <is>
          <t>VÄSTMANLANDS LÄN</t>
        </is>
      </c>
      <c r="E263" t="inlineStr">
        <is>
          <t>SALA</t>
        </is>
      </c>
      <c r="G263" t="n">
        <v>1.1</v>
      </c>
      <c r="H263" t="n">
        <v>0</v>
      </c>
      <c r="I263" t="n">
        <v>0</v>
      </c>
      <c r="J263" t="n">
        <v>0</v>
      </c>
      <c r="K263" t="n">
        <v>0</v>
      </c>
      <c r="L263" t="n">
        <v>0</v>
      </c>
      <c r="M263" t="n">
        <v>0</v>
      </c>
      <c r="N263" t="n">
        <v>0</v>
      </c>
      <c r="O263" t="n">
        <v>0</v>
      </c>
      <c r="P263" t="n">
        <v>0</v>
      </c>
      <c r="Q263" t="n">
        <v>0</v>
      </c>
      <c r="R263" s="2" t="inlineStr"/>
    </row>
    <row r="264" ht="15" customHeight="1">
      <c r="A264" t="inlineStr">
        <is>
          <t>A 34814-2021</t>
        </is>
      </c>
      <c r="B264" s="1" t="n">
        <v>44383</v>
      </c>
      <c r="C264" s="1" t="n">
        <v>45884</v>
      </c>
      <c r="D264" t="inlineStr">
        <is>
          <t>VÄSTMANLANDS LÄN</t>
        </is>
      </c>
      <c r="E264" t="inlineStr">
        <is>
          <t>SALA</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13022-2023</t>
        </is>
      </c>
      <c r="B265" s="1" t="n">
        <v>45002.33291666667</v>
      </c>
      <c r="C265" s="1" t="n">
        <v>45884</v>
      </c>
      <c r="D265" t="inlineStr">
        <is>
          <t>VÄSTMANLANDS LÄN</t>
        </is>
      </c>
      <c r="E265" t="inlineStr">
        <is>
          <t>SALA</t>
        </is>
      </c>
      <c r="G265" t="n">
        <v>1.5</v>
      </c>
      <c r="H265" t="n">
        <v>0</v>
      </c>
      <c r="I265" t="n">
        <v>0</v>
      </c>
      <c r="J265" t="n">
        <v>0</v>
      </c>
      <c r="K265" t="n">
        <v>0</v>
      </c>
      <c r="L265" t="n">
        <v>0</v>
      </c>
      <c r="M265" t="n">
        <v>0</v>
      </c>
      <c r="N265" t="n">
        <v>0</v>
      </c>
      <c r="O265" t="n">
        <v>0</v>
      </c>
      <c r="P265" t="n">
        <v>0</v>
      </c>
      <c r="Q265" t="n">
        <v>0</v>
      </c>
      <c r="R265" s="2" t="inlineStr"/>
    </row>
    <row r="266" ht="15" customHeight="1">
      <c r="A266" t="inlineStr">
        <is>
          <t>A 18158-2025</t>
        </is>
      </c>
      <c r="B266" s="1" t="n">
        <v>45761</v>
      </c>
      <c r="C266" s="1" t="n">
        <v>45884</v>
      </c>
      <c r="D266" t="inlineStr">
        <is>
          <t>VÄSTMANLANDS LÄN</t>
        </is>
      </c>
      <c r="E266" t="inlineStr">
        <is>
          <t>SALA</t>
        </is>
      </c>
      <c r="F266" t="inlineStr">
        <is>
          <t>Bergvik skog öst AB</t>
        </is>
      </c>
      <c r="G266" t="n">
        <v>1.6</v>
      </c>
      <c r="H266" t="n">
        <v>0</v>
      </c>
      <c r="I266" t="n">
        <v>0</v>
      </c>
      <c r="J266" t="n">
        <v>0</v>
      </c>
      <c r="K266" t="n">
        <v>0</v>
      </c>
      <c r="L266" t="n">
        <v>0</v>
      </c>
      <c r="M266" t="n">
        <v>0</v>
      </c>
      <c r="N266" t="n">
        <v>0</v>
      </c>
      <c r="O266" t="n">
        <v>0</v>
      </c>
      <c r="P266" t="n">
        <v>0</v>
      </c>
      <c r="Q266" t="n">
        <v>0</v>
      </c>
      <c r="R266" s="2" t="inlineStr"/>
    </row>
    <row r="267" ht="15" customHeight="1">
      <c r="A267" t="inlineStr">
        <is>
          <t>A 25748-2022</t>
        </is>
      </c>
      <c r="B267" s="1" t="n">
        <v>44732</v>
      </c>
      <c r="C267" s="1" t="n">
        <v>45884</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4853-2023</t>
        </is>
      </c>
      <c r="B268" s="1" t="n">
        <v>44957.73234953704</v>
      </c>
      <c r="C268" s="1" t="n">
        <v>45884</v>
      </c>
      <c r="D268" t="inlineStr">
        <is>
          <t>VÄSTMANLANDS LÄN</t>
        </is>
      </c>
      <c r="E268" t="inlineStr">
        <is>
          <t>SALA</t>
        </is>
      </c>
      <c r="G268" t="n">
        <v>2.7</v>
      </c>
      <c r="H268" t="n">
        <v>0</v>
      </c>
      <c r="I268" t="n">
        <v>0</v>
      </c>
      <c r="J268" t="n">
        <v>0</v>
      </c>
      <c r="K268" t="n">
        <v>0</v>
      </c>
      <c r="L268" t="n">
        <v>0</v>
      </c>
      <c r="M268" t="n">
        <v>0</v>
      </c>
      <c r="N268" t="n">
        <v>0</v>
      </c>
      <c r="O268" t="n">
        <v>0</v>
      </c>
      <c r="P268" t="n">
        <v>0</v>
      </c>
      <c r="Q268" t="n">
        <v>0</v>
      </c>
      <c r="R268" s="2" t="inlineStr"/>
    </row>
    <row r="269" ht="15" customHeight="1">
      <c r="A269" t="inlineStr">
        <is>
          <t>A 21968-2024</t>
        </is>
      </c>
      <c r="B269" s="1" t="n">
        <v>45443</v>
      </c>
      <c r="C269" s="1" t="n">
        <v>45884</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9962-2025</t>
        </is>
      </c>
      <c r="B270" s="1" t="n">
        <v>45719.37072916667</v>
      </c>
      <c r="C270" s="1" t="n">
        <v>45884</v>
      </c>
      <c r="D270" t="inlineStr">
        <is>
          <t>VÄSTMANLANDS LÄN</t>
        </is>
      </c>
      <c r="E270" t="inlineStr">
        <is>
          <t>SALA</t>
        </is>
      </c>
      <c r="G270" t="n">
        <v>4.5</v>
      </c>
      <c r="H270" t="n">
        <v>0</v>
      </c>
      <c r="I270" t="n">
        <v>0</v>
      </c>
      <c r="J270" t="n">
        <v>0</v>
      </c>
      <c r="K270" t="n">
        <v>0</v>
      </c>
      <c r="L270" t="n">
        <v>0</v>
      </c>
      <c r="M270" t="n">
        <v>0</v>
      </c>
      <c r="N270" t="n">
        <v>0</v>
      </c>
      <c r="O270" t="n">
        <v>0</v>
      </c>
      <c r="P270" t="n">
        <v>0</v>
      </c>
      <c r="Q270" t="n">
        <v>0</v>
      </c>
      <c r="R270" s="2" t="inlineStr"/>
    </row>
    <row r="271" ht="15" customHeight="1">
      <c r="A271" t="inlineStr">
        <is>
          <t>A 3733-2023</t>
        </is>
      </c>
      <c r="B271" s="1" t="n">
        <v>44951.42501157407</v>
      </c>
      <c r="C271" s="1" t="n">
        <v>45884</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6136-2025</t>
        </is>
      </c>
      <c r="B272" s="1" t="n">
        <v>45698.37601851852</v>
      </c>
      <c r="C272" s="1" t="n">
        <v>45884</v>
      </c>
      <c r="D272" t="inlineStr">
        <is>
          <t>VÄSTMANLANDS LÄN</t>
        </is>
      </c>
      <c r="E272" t="inlineStr">
        <is>
          <t>SALA</t>
        </is>
      </c>
      <c r="F272" t="inlineStr">
        <is>
          <t>Bergvik skog öst AB</t>
        </is>
      </c>
      <c r="G272" t="n">
        <v>2.2</v>
      </c>
      <c r="H272" t="n">
        <v>0</v>
      </c>
      <c r="I272" t="n">
        <v>0</v>
      </c>
      <c r="J272" t="n">
        <v>0</v>
      </c>
      <c r="K272" t="n">
        <v>0</v>
      </c>
      <c r="L272" t="n">
        <v>0</v>
      </c>
      <c r="M272" t="n">
        <v>0</v>
      </c>
      <c r="N272" t="n">
        <v>0</v>
      </c>
      <c r="O272" t="n">
        <v>0</v>
      </c>
      <c r="P272" t="n">
        <v>0</v>
      </c>
      <c r="Q272" t="n">
        <v>0</v>
      </c>
      <c r="R272" s="2" t="inlineStr"/>
    </row>
    <row r="273" ht="15" customHeight="1">
      <c r="A273" t="inlineStr">
        <is>
          <t>A 6190-2025</t>
        </is>
      </c>
      <c r="B273" s="1" t="n">
        <v>45698</v>
      </c>
      <c r="C273" s="1" t="n">
        <v>45884</v>
      </c>
      <c r="D273" t="inlineStr">
        <is>
          <t>VÄSTMANLANDS LÄN</t>
        </is>
      </c>
      <c r="E273" t="inlineStr">
        <is>
          <t>SALA</t>
        </is>
      </c>
      <c r="F273" t="inlineStr">
        <is>
          <t>Bergvik skog öst AB</t>
        </is>
      </c>
      <c r="G273" t="n">
        <v>4.6</v>
      </c>
      <c r="H273" t="n">
        <v>0</v>
      </c>
      <c r="I273" t="n">
        <v>0</v>
      </c>
      <c r="J273" t="n">
        <v>0</v>
      </c>
      <c r="K273" t="n">
        <v>0</v>
      </c>
      <c r="L273" t="n">
        <v>0</v>
      </c>
      <c r="M273" t="n">
        <v>0</v>
      </c>
      <c r="N273" t="n">
        <v>0</v>
      </c>
      <c r="O273" t="n">
        <v>0</v>
      </c>
      <c r="P273" t="n">
        <v>0</v>
      </c>
      <c r="Q273" t="n">
        <v>0</v>
      </c>
      <c r="R273" s="2" t="inlineStr"/>
    </row>
    <row r="274" ht="15" customHeight="1">
      <c r="A274" t="inlineStr">
        <is>
          <t>A 37602-2024</t>
        </is>
      </c>
      <c r="B274" s="1" t="n">
        <v>45541</v>
      </c>
      <c r="C274" s="1" t="n">
        <v>45884</v>
      </c>
      <c r="D274" t="inlineStr">
        <is>
          <t>VÄSTMANLANDS LÄN</t>
        </is>
      </c>
      <c r="E274" t="inlineStr">
        <is>
          <t>SALA</t>
        </is>
      </c>
      <c r="G274" t="n">
        <v>1.5</v>
      </c>
      <c r="H274" t="n">
        <v>0</v>
      </c>
      <c r="I274" t="n">
        <v>0</v>
      </c>
      <c r="J274" t="n">
        <v>0</v>
      </c>
      <c r="K274" t="n">
        <v>0</v>
      </c>
      <c r="L274" t="n">
        <v>0</v>
      </c>
      <c r="M274" t="n">
        <v>0</v>
      </c>
      <c r="N274" t="n">
        <v>0</v>
      </c>
      <c r="O274" t="n">
        <v>0</v>
      </c>
      <c r="P274" t="n">
        <v>0</v>
      </c>
      <c r="Q274" t="n">
        <v>0</v>
      </c>
      <c r="R274" s="2" t="inlineStr"/>
    </row>
    <row r="275" ht="15" customHeight="1">
      <c r="A275" t="inlineStr">
        <is>
          <t>A 16760-2024</t>
        </is>
      </c>
      <c r="B275" s="1" t="n">
        <v>45411</v>
      </c>
      <c r="C275" s="1" t="n">
        <v>45884</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18762-2024</t>
        </is>
      </c>
      <c r="B276" s="1" t="n">
        <v>45426.55240740741</v>
      </c>
      <c r="C276" s="1" t="n">
        <v>45884</v>
      </c>
      <c r="D276" t="inlineStr">
        <is>
          <t>VÄSTMANLANDS LÄN</t>
        </is>
      </c>
      <c r="E276" t="inlineStr">
        <is>
          <t>SALA</t>
        </is>
      </c>
      <c r="G276" t="n">
        <v>6.2</v>
      </c>
      <c r="H276" t="n">
        <v>0</v>
      </c>
      <c r="I276" t="n">
        <v>0</v>
      </c>
      <c r="J276" t="n">
        <v>0</v>
      </c>
      <c r="K276" t="n">
        <v>0</v>
      </c>
      <c r="L276" t="n">
        <v>0</v>
      </c>
      <c r="M276" t="n">
        <v>0</v>
      </c>
      <c r="N276" t="n">
        <v>0</v>
      </c>
      <c r="O276" t="n">
        <v>0</v>
      </c>
      <c r="P276" t="n">
        <v>0</v>
      </c>
      <c r="Q276" t="n">
        <v>0</v>
      </c>
      <c r="R276" s="2" t="inlineStr"/>
    </row>
    <row r="277" ht="15" customHeight="1">
      <c r="A277" t="inlineStr">
        <is>
          <t>A 12246-2023</t>
        </is>
      </c>
      <c r="B277" s="1" t="n">
        <v>44995</v>
      </c>
      <c r="C277" s="1" t="n">
        <v>45884</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39011-2023</t>
        </is>
      </c>
      <c r="B278" s="1" t="n">
        <v>45162</v>
      </c>
      <c r="C278" s="1" t="n">
        <v>45884</v>
      </c>
      <c r="D278" t="inlineStr">
        <is>
          <t>VÄSTMANLANDS LÄN</t>
        </is>
      </c>
      <c r="E278" t="inlineStr">
        <is>
          <t>SALA</t>
        </is>
      </c>
      <c r="G278" t="n">
        <v>1.6</v>
      </c>
      <c r="H278" t="n">
        <v>0</v>
      </c>
      <c r="I278" t="n">
        <v>0</v>
      </c>
      <c r="J278" t="n">
        <v>0</v>
      </c>
      <c r="K278" t="n">
        <v>0</v>
      </c>
      <c r="L278" t="n">
        <v>0</v>
      </c>
      <c r="M278" t="n">
        <v>0</v>
      </c>
      <c r="N278" t="n">
        <v>0</v>
      </c>
      <c r="O278" t="n">
        <v>0</v>
      </c>
      <c r="P278" t="n">
        <v>0</v>
      </c>
      <c r="Q278" t="n">
        <v>0</v>
      </c>
      <c r="R278" s="2" t="inlineStr"/>
    </row>
    <row r="279" ht="15" customHeight="1">
      <c r="A279" t="inlineStr">
        <is>
          <t>A 42447-2022</t>
        </is>
      </c>
      <c r="B279" s="1" t="n">
        <v>44831</v>
      </c>
      <c r="C279" s="1" t="n">
        <v>45884</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46352-2023</t>
        </is>
      </c>
      <c r="B280" s="1" t="n">
        <v>45192</v>
      </c>
      <c r="C280" s="1" t="n">
        <v>45884</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33732-2023</t>
        </is>
      </c>
      <c r="B281" s="1" t="n">
        <v>45133.32409722222</v>
      </c>
      <c r="C281" s="1" t="n">
        <v>45884</v>
      </c>
      <c r="D281" t="inlineStr">
        <is>
          <t>VÄSTMANLANDS LÄN</t>
        </is>
      </c>
      <c r="E281" t="inlineStr">
        <is>
          <t>SALA</t>
        </is>
      </c>
      <c r="G281" t="n">
        <v>2</v>
      </c>
      <c r="H281" t="n">
        <v>0</v>
      </c>
      <c r="I281" t="n">
        <v>0</v>
      </c>
      <c r="J281" t="n">
        <v>0</v>
      </c>
      <c r="K281" t="n">
        <v>0</v>
      </c>
      <c r="L281" t="n">
        <v>0</v>
      </c>
      <c r="M281" t="n">
        <v>0</v>
      </c>
      <c r="N281" t="n">
        <v>0</v>
      </c>
      <c r="O281" t="n">
        <v>0</v>
      </c>
      <c r="P281" t="n">
        <v>0</v>
      </c>
      <c r="Q281" t="n">
        <v>0</v>
      </c>
      <c r="R281" s="2" t="inlineStr"/>
    </row>
    <row r="282" ht="15" customHeight="1">
      <c r="A282" t="inlineStr">
        <is>
          <t>A 43751-2021</t>
        </is>
      </c>
      <c r="B282" s="1" t="n">
        <v>44433</v>
      </c>
      <c r="C282" s="1" t="n">
        <v>45884</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59909-2024</t>
        </is>
      </c>
      <c r="B283" s="1" t="n">
        <v>45641</v>
      </c>
      <c r="C283" s="1" t="n">
        <v>45884</v>
      </c>
      <c r="D283" t="inlineStr">
        <is>
          <t>VÄSTMANLANDS LÄN</t>
        </is>
      </c>
      <c r="E283" t="inlineStr">
        <is>
          <t>SALA</t>
        </is>
      </c>
      <c r="G283" t="n">
        <v>2.1</v>
      </c>
      <c r="H283" t="n">
        <v>0</v>
      </c>
      <c r="I283" t="n">
        <v>0</v>
      </c>
      <c r="J283" t="n">
        <v>0</v>
      </c>
      <c r="K283" t="n">
        <v>0</v>
      </c>
      <c r="L283" t="n">
        <v>0</v>
      </c>
      <c r="M283" t="n">
        <v>0</v>
      </c>
      <c r="N283" t="n">
        <v>0</v>
      </c>
      <c r="O283" t="n">
        <v>0</v>
      </c>
      <c r="P283" t="n">
        <v>0</v>
      </c>
      <c r="Q283" t="n">
        <v>0</v>
      </c>
      <c r="R283" s="2" t="inlineStr"/>
    </row>
    <row r="284" ht="15" customHeight="1">
      <c r="A284" t="inlineStr">
        <is>
          <t>A 1128-2025</t>
        </is>
      </c>
      <c r="B284" s="1" t="n">
        <v>45666.68469907407</v>
      </c>
      <c r="C284" s="1" t="n">
        <v>45884</v>
      </c>
      <c r="D284" t="inlineStr">
        <is>
          <t>VÄSTMANLANDS LÄN</t>
        </is>
      </c>
      <c r="E284" t="inlineStr">
        <is>
          <t>SALA</t>
        </is>
      </c>
      <c r="G284" t="n">
        <v>2.5</v>
      </c>
      <c r="H284" t="n">
        <v>0</v>
      </c>
      <c r="I284" t="n">
        <v>0</v>
      </c>
      <c r="J284" t="n">
        <v>0</v>
      </c>
      <c r="K284" t="n">
        <v>0</v>
      </c>
      <c r="L284" t="n">
        <v>0</v>
      </c>
      <c r="M284" t="n">
        <v>0</v>
      </c>
      <c r="N284" t="n">
        <v>0</v>
      </c>
      <c r="O284" t="n">
        <v>0</v>
      </c>
      <c r="P284" t="n">
        <v>0</v>
      </c>
      <c r="Q284" t="n">
        <v>0</v>
      </c>
      <c r="R284" s="2" t="inlineStr"/>
    </row>
    <row r="285" ht="15" customHeight="1">
      <c r="A285" t="inlineStr">
        <is>
          <t>A 41292-2021</t>
        </is>
      </c>
      <c r="B285" s="1" t="n">
        <v>44424</v>
      </c>
      <c r="C285" s="1" t="n">
        <v>45884</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6127-2025</t>
        </is>
      </c>
      <c r="B286" s="1" t="n">
        <v>45698</v>
      </c>
      <c r="C286" s="1" t="n">
        <v>45884</v>
      </c>
      <c r="D286" t="inlineStr">
        <is>
          <t>VÄSTMANLANDS LÄN</t>
        </is>
      </c>
      <c r="E286" t="inlineStr">
        <is>
          <t>SALA</t>
        </is>
      </c>
      <c r="F286" t="inlineStr">
        <is>
          <t>Bergvik skog öst AB</t>
        </is>
      </c>
      <c r="G286" t="n">
        <v>4.3</v>
      </c>
      <c r="H286" t="n">
        <v>0</v>
      </c>
      <c r="I286" t="n">
        <v>0</v>
      </c>
      <c r="J286" t="n">
        <v>0</v>
      </c>
      <c r="K286" t="n">
        <v>0</v>
      </c>
      <c r="L286" t="n">
        <v>0</v>
      </c>
      <c r="M286" t="n">
        <v>0</v>
      </c>
      <c r="N286" t="n">
        <v>0</v>
      </c>
      <c r="O286" t="n">
        <v>0</v>
      </c>
      <c r="P286" t="n">
        <v>0</v>
      </c>
      <c r="Q286" t="n">
        <v>0</v>
      </c>
      <c r="R286" s="2" t="inlineStr"/>
    </row>
    <row r="287" ht="15" customHeight="1">
      <c r="A287" t="inlineStr">
        <is>
          <t>A 988-2025</t>
        </is>
      </c>
      <c r="B287" s="1" t="n">
        <v>45666.44038194444</v>
      </c>
      <c r="C287" s="1" t="n">
        <v>45884</v>
      </c>
      <c r="D287" t="inlineStr">
        <is>
          <t>VÄSTMANLANDS LÄN</t>
        </is>
      </c>
      <c r="E287" t="inlineStr">
        <is>
          <t>SALA</t>
        </is>
      </c>
      <c r="G287" t="n">
        <v>1.3</v>
      </c>
      <c r="H287" t="n">
        <v>0</v>
      </c>
      <c r="I287" t="n">
        <v>0</v>
      </c>
      <c r="J287" t="n">
        <v>0</v>
      </c>
      <c r="K287" t="n">
        <v>0</v>
      </c>
      <c r="L287" t="n">
        <v>0</v>
      </c>
      <c r="M287" t="n">
        <v>0</v>
      </c>
      <c r="N287" t="n">
        <v>0</v>
      </c>
      <c r="O287" t="n">
        <v>0</v>
      </c>
      <c r="P287" t="n">
        <v>0</v>
      </c>
      <c r="Q287" t="n">
        <v>0</v>
      </c>
      <c r="R287" s="2" t="inlineStr"/>
    </row>
    <row r="288" ht="15" customHeight="1">
      <c r="A288" t="inlineStr">
        <is>
          <t>A 60328-2024</t>
        </is>
      </c>
      <c r="B288" s="1" t="n">
        <v>45643.38416666666</v>
      </c>
      <c r="C288" s="1" t="n">
        <v>45884</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31950-2023</t>
        </is>
      </c>
      <c r="B289" s="1" t="n">
        <v>45107</v>
      </c>
      <c r="C289" s="1" t="n">
        <v>45884</v>
      </c>
      <c r="D289" t="inlineStr">
        <is>
          <t>VÄSTMANLANDS LÄN</t>
        </is>
      </c>
      <c r="E289" t="inlineStr">
        <is>
          <t>SALA</t>
        </is>
      </c>
      <c r="G289" t="n">
        <v>0.1</v>
      </c>
      <c r="H289" t="n">
        <v>0</v>
      </c>
      <c r="I289" t="n">
        <v>0</v>
      </c>
      <c r="J289" t="n">
        <v>0</v>
      </c>
      <c r="K289" t="n">
        <v>0</v>
      </c>
      <c r="L289" t="n">
        <v>0</v>
      </c>
      <c r="M289" t="n">
        <v>0</v>
      </c>
      <c r="N289" t="n">
        <v>0</v>
      </c>
      <c r="O289" t="n">
        <v>0</v>
      </c>
      <c r="P289" t="n">
        <v>0</v>
      </c>
      <c r="Q289" t="n">
        <v>0</v>
      </c>
      <c r="R289" s="2" t="inlineStr"/>
    </row>
    <row r="290" ht="15" customHeight="1">
      <c r="A290" t="inlineStr">
        <is>
          <t>A 51464-2024</t>
        </is>
      </c>
      <c r="B290" s="1" t="n">
        <v>45604.49768518518</v>
      </c>
      <c r="C290" s="1" t="n">
        <v>45884</v>
      </c>
      <c r="D290" t="inlineStr">
        <is>
          <t>VÄSTMANLANDS LÄN</t>
        </is>
      </c>
      <c r="E290" t="inlineStr">
        <is>
          <t>SALA</t>
        </is>
      </c>
      <c r="G290" t="n">
        <v>3.9</v>
      </c>
      <c r="H290" t="n">
        <v>0</v>
      </c>
      <c r="I290" t="n">
        <v>0</v>
      </c>
      <c r="J290" t="n">
        <v>0</v>
      </c>
      <c r="K290" t="n">
        <v>0</v>
      </c>
      <c r="L290" t="n">
        <v>0</v>
      </c>
      <c r="M290" t="n">
        <v>0</v>
      </c>
      <c r="N290" t="n">
        <v>0</v>
      </c>
      <c r="O290" t="n">
        <v>0</v>
      </c>
      <c r="P290" t="n">
        <v>0</v>
      </c>
      <c r="Q290" t="n">
        <v>0</v>
      </c>
      <c r="R290" s="2" t="inlineStr"/>
    </row>
    <row r="291" ht="15" customHeight="1">
      <c r="A291" t="inlineStr">
        <is>
          <t>A 35016-2024</t>
        </is>
      </c>
      <c r="B291" s="1" t="n">
        <v>45527.59115740741</v>
      </c>
      <c r="C291" s="1" t="n">
        <v>45884</v>
      </c>
      <c r="D291" t="inlineStr">
        <is>
          <t>VÄSTMANLANDS LÄN</t>
        </is>
      </c>
      <c r="E291" t="inlineStr">
        <is>
          <t>SALA</t>
        </is>
      </c>
      <c r="G291" t="n">
        <v>0.4</v>
      </c>
      <c r="H291" t="n">
        <v>0</v>
      </c>
      <c r="I291" t="n">
        <v>0</v>
      </c>
      <c r="J291" t="n">
        <v>0</v>
      </c>
      <c r="K291" t="n">
        <v>0</v>
      </c>
      <c r="L291" t="n">
        <v>0</v>
      </c>
      <c r="M291" t="n">
        <v>0</v>
      </c>
      <c r="N291" t="n">
        <v>0</v>
      </c>
      <c r="O291" t="n">
        <v>0</v>
      </c>
      <c r="P291" t="n">
        <v>0</v>
      </c>
      <c r="Q291" t="n">
        <v>0</v>
      </c>
      <c r="R291" s="2" t="inlineStr"/>
    </row>
    <row r="292" ht="15" customHeight="1">
      <c r="A292" t="inlineStr">
        <is>
          <t>A 54603-2024</t>
        </is>
      </c>
      <c r="B292" s="1" t="n">
        <v>45617.68224537037</v>
      </c>
      <c r="C292" s="1" t="n">
        <v>45884</v>
      </c>
      <c r="D292" t="inlineStr">
        <is>
          <t>VÄSTMANLANDS LÄN</t>
        </is>
      </c>
      <c r="E292" t="inlineStr">
        <is>
          <t>SALA</t>
        </is>
      </c>
      <c r="G292" t="n">
        <v>1</v>
      </c>
      <c r="H292" t="n">
        <v>0</v>
      </c>
      <c r="I292" t="n">
        <v>0</v>
      </c>
      <c r="J292" t="n">
        <v>0</v>
      </c>
      <c r="K292" t="n">
        <v>0</v>
      </c>
      <c r="L292" t="n">
        <v>0</v>
      </c>
      <c r="M292" t="n">
        <v>0</v>
      </c>
      <c r="N292" t="n">
        <v>0</v>
      </c>
      <c r="O292" t="n">
        <v>0</v>
      </c>
      <c r="P292" t="n">
        <v>0</v>
      </c>
      <c r="Q292" t="n">
        <v>0</v>
      </c>
      <c r="R292" s="2" t="inlineStr"/>
    </row>
    <row r="293" ht="15" customHeight="1">
      <c r="A293" t="inlineStr">
        <is>
          <t>A 25897-2024</t>
        </is>
      </c>
      <c r="B293" s="1" t="n">
        <v>45467.54435185185</v>
      </c>
      <c r="C293" s="1" t="n">
        <v>45884</v>
      </c>
      <c r="D293" t="inlineStr">
        <is>
          <t>VÄSTMANLANDS LÄN</t>
        </is>
      </c>
      <c r="E293" t="inlineStr">
        <is>
          <t>SALA</t>
        </is>
      </c>
      <c r="G293" t="n">
        <v>9.9</v>
      </c>
      <c r="H293" t="n">
        <v>0</v>
      </c>
      <c r="I293" t="n">
        <v>0</v>
      </c>
      <c r="J293" t="n">
        <v>0</v>
      </c>
      <c r="K293" t="n">
        <v>0</v>
      </c>
      <c r="L293" t="n">
        <v>0</v>
      </c>
      <c r="M293" t="n">
        <v>0</v>
      </c>
      <c r="N293" t="n">
        <v>0</v>
      </c>
      <c r="O293" t="n">
        <v>0</v>
      </c>
      <c r="P293" t="n">
        <v>0</v>
      </c>
      <c r="Q293" t="n">
        <v>0</v>
      </c>
      <c r="R293" s="2" t="inlineStr"/>
    </row>
    <row r="294" ht="15" customHeight="1">
      <c r="A294" t="inlineStr">
        <is>
          <t>A 69232-2021</t>
        </is>
      </c>
      <c r="B294" s="1" t="n">
        <v>44531.39696759259</v>
      </c>
      <c r="C294" s="1" t="n">
        <v>45884</v>
      </c>
      <c r="D294" t="inlineStr">
        <is>
          <t>VÄSTMANLANDS LÄN</t>
        </is>
      </c>
      <c r="E294" t="inlineStr">
        <is>
          <t>SALA</t>
        </is>
      </c>
      <c r="G294" t="n">
        <v>2.3</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45884</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56540-2024</t>
        </is>
      </c>
      <c r="B296" s="1" t="n">
        <v>45625</v>
      </c>
      <c r="C296" s="1" t="n">
        <v>45884</v>
      </c>
      <c r="D296" t="inlineStr">
        <is>
          <t>VÄSTMANLANDS LÄN</t>
        </is>
      </c>
      <c r="E296" t="inlineStr">
        <is>
          <t>SALA</t>
        </is>
      </c>
      <c r="G296" t="n">
        <v>1.8</v>
      </c>
      <c r="H296" t="n">
        <v>0</v>
      </c>
      <c r="I296" t="n">
        <v>0</v>
      </c>
      <c r="J296" t="n">
        <v>0</v>
      </c>
      <c r="K296" t="n">
        <v>0</v>
      </c>
      <c r="L296" t="n">
        <v>0</v>
      </c>
      <c r="M296" t="n">
        <v>0</v>
      </c>
      <c r="N296" t="n">
        <v>0</v>
      </c>
      <c r="O296" t="n">
        <v>0</v>
      </c>
      <c r="P296" t="n">
        <v>0</v>
      </c>
      <c r="Q296" t="n">
        <v>0</v>
      </c>
      <c r="R296" s="2" t="inlineStr"/>
    </row>
    <row r="297" ht="15" customHeight="1">
      <c r="A297" t="inlineStr">
        <is>
          <t>A 17320-2025</t>
        </is>
      </c>
      <c r="B297" s="1" t="n">
        <v>45756</v>
      </c>
      <c r="C297" s="1" t="n">
        <v>45884</v>
      </c>
      <c r="D297" t="inlineStr">
        <is>
          <t>VÄSTMANLANDS LÄN</t>
        </is>
      </c>
      <c r="E297" t="inlineStr">
        <is>
          <t>SALA</t>
        </is>
      </c>
      <c r="F297" t="inlineStr">
        <is>
          <t>Kommuner</t>
        </is>
      </c>
      <c r="G297" t="n">
        <v>2.8</v>
      </c>
      <c r="H297" t="n">
        <v>0</v>
      </c>
      <c r="I297" t="n">
        <v>0</v>
      </c>
      <c r="J297" t="n">
        <v>0</v>
      </c>
      <c r="K297" t="n">
        <v>0</v>
      </c>
      <c r="L297" t="n">
        <v>0</v>
      </c>
      <c r="M297" t="n">
        <v>0</v>
      </c>
      <c r="N297" t="n">
        <v>0</v>
      </c>
      <c r="O297" t="n">
        <v>0</v>
      </c>
      <c r="P297" t="n">
        <v>0</v>
      </c>
      <c r="Q297" t="n">
        <v>0</v>
      </c>
      <c r="R297" s="2" t="inlineStr"/>
    </row>
    <row r="298" ht="15" customHeight="1">
      <c r="A298" t="inlineStr">
        <is>
          <t>A 6116-2023</t>
        </is>
      </c>
      <c r="B298" s="1" t="n">
        <v>44964</v>
      </c>
      <c r="C298" s="1" t="n">
        <v>45884</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19398-2025</t>
        </is>
      </c>
      <c r="B299" s="1" t="n">
        <v>45769</v>
      </c>
      <c r="C299" s="1" t="n">
        <v>45884</v>
      </c>
      <c r="D299" t="inlineStr">
        <is>
          <t>VÄSTMANLANDS LÄN</t>
        </is>
      </c>
      <c r="E299" t="inlineStr">
        <is>
          <t>SALA</t>
        </is>
      </c>
      <c r="G299" t="n">
        <v>0.4</v>
      </c>
      <c r="H299" t="n">
        <v>0</v>
      </c>
      <c r="I299" t="n">
        <v>0</v>
      </c>
      <c r="J299" t="n">
        <v>0</v>
      </c>
      <c r="K299" t="n">
        <v>0</v>
      </c>
      <c r="L299" t="n">
        <v>0</v>
      </c>
      <c r="M299" t="n">
        <v>0</v>
      </c>
      <c r="N299" t="n">
        <v>0</v>
      </c>
      <c r="O299" t="n">
        <v>0</v>
      </c>
      <c r="P299" t="n">
        <v>0</v>
      </c>
      <c r="Q299" t="n">
        <v>0</v>
      </c>
      <c r="R299" s="2" t="inlineStr"/>
    </row>
    <row r="300" ht="15" customHeight="1">
      <c r="A300" t="inlineStr">
        <is>
          <t>A 57371-2022</t>
        </is>
      </c>
      <c r="B300" s="1" t="n">
        <v>44896.43832175926</v>
      </c>
      <c r="C300" s="1" t="n">
        <v>45884</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25860-2024</t>
        </is>
      </c>
      <c r="B301" s="1" t="n">
        <v>45467.46278935186</v>
      </c>
      <c r="C301" s="1" t="n">
        <v>45884</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10154-2021</t>
        </is>
      </c>
      <c r="B302" s="1" t="n">
        <v>44256</v>
      </c>
      <c r="C302" s="1" t="n">
        <v>45884</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22019-2021</t>
        </is>
      </c>
      <c r="B303" s="1" t="n">
        <v>44323</v>
      </c>
      <c r="C303" s="1" t="n">
        <v>45884</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56916-2022</t>
        </is>
      </c>
      <c r="B304" s="1" t="n">
        <v>44888</v>
      </c>
      <c r="C304" s="1" t="n">
        <v>45884</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4797-2023</t>
        </is>
      </c>
      <c r="B305" s="1" t="n">
        <v>44957</v>
      </c>
      <c r="C305" s="1" t="n">
        <v>45884</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55784-2024</t>
        </is>
      </c>
      <c r="B306" s="1" t="n">
        <v>45623</v>
      </c>
      <c r="C306" s="1" t="n">
        <v>45884</v>
      </c>
      <c r="D306" t="inlineStr">
        <is>
          <t>VÄSTMANLANDS LÄN</t>
        </is>
      </c>
      <c r="E306" t="inlineStr">
        <is>
          <t>SALA</t>
        </is>
      </c>
      <c r="F306" t="inlineStr">
        <is>
          <t>Bergvik skog öst AB</t>
        </is>
      </c>
      <c r="G306" t="n">
        <v>28.4</v>
      </c>
      <c r="H306" t="n">
        <v>0</v>
      </c>
      <c r="I306" t="n">
        <v>0</v>
      </c>
      <c r="J306" t="n">
        <v>0</v>
      </c>
      <c r="K306" t="n">
        <v>0</v>
      </c>
      <c r="L306" t="n">
        <v>0</v>
      </c>
      <c r="M306" t="n">
        <v>0</v>
      </c>
      <c r="N306" t="n">
        <v>0</v>
      </c>
      <c r="O306" t="n">
        <v>0</v>
      </c>
      <c r="P306" t="n">
        <v>0</v>
      </c>
      <c r="Q306" t="n">
        <v>0</v>
      </c>
      <c r="R306" s="2" t="inlineStr"/>
    </row>
    <row r="307" ht="15" customHeight="1">
      <c r="A307" t="inlineStr">
        <is>
          <t>A 16651-2021</t>
        </is>
      </c>
      <c r="B307" s="1" t="n">
        <v>44294.50096064815</v>
      </c>
      <c r="C307" s="1" t="n">
        <v>45884</v>
      </c>
      <c r="D307" t="inlineStr">
        <is>
          <t>VÄSTMANLANDS LÄN</t>
        </is>
      </c>
      <c r="E307" t="inlineStr">
        <is>
          <t>SALA</t>
        </is>
      </c>
      <c r="G307" t="n">
        <v>7.7</v>
      </c>
      <c r="H307" t="n">
        <v>0</v>
      </c>
      <c r="I307" t="n">
        <v>0</v>
      </c>
      <c r="J307" t="n">
        <v>0</v>
      </c>
      <c r="K307" t="n">
        <v>0</v>
      </c>
      <c r="L307" t="n">
        <v>0</v>
      </c>
      <c r="M307" t="n">
        <v>0</v>
      </c>
      <c r="N307" t="n">
        <v>0</v>
      </c>
      <c r="O307" t="n">
        <v>0</v>
      </c>
      <c r="P307" t="n">
        <v>0</v>
      </c>
      <c r="Q307" t="n">
        <v>0</v>
      </c>
      <c r="R307" s="2" t="inlineStr"/>
    </row>
    <row r="308" ht="15" customHeight="1">
      <c r="A308" t="inlineStr">
        <is>
          <t>A 61517-2024</t>
        </is>
      </c>
      <c r="B308" s="1" t="n">
        <v>45645</v>
      </c>
      <c r="C308" s="1" t="n">
        <v>45884</v>
      </c>
      <c r="D308" t="inlineStr">
        <is>
          <t>VÄSTMANLANDS LÄN</t>
        </is>
      </c>
      <c r="E308" t="inlineStr">
        <is>
          <t>SALA</t>
        </is>
      </c>
      <c r="G308" t="n">
        <v>0.6</v>
      </c>
      <c r="H308" t="n">
        <v>0</v>
      </c>
      <c r="I308" t="n">
        <v>0</v>
      </c>
      <c r="J308" t="n">
        <v>0</v>
      </c>
      <c r="K308" t="n">
        <v>0</v>
      </c>
      <c r="L308" t="n">
        <v>0</v>
      </c>
      <c r="M308" t="n">
        <v>0</v>
      </c>
      <c r="N308" t="n">
        <v>0</v>
      </c>
      <c r="O308" t="n">
        <v>0</v>
      </c>
      <c r="P308" t="n">
        <v>0</v>
      </c>
      <c r="Q308" t="n">
        <v>0</v>
      </c>
      <c r="R308" s="2" t="inlineStr"/>
    </row>
    <row r="309" ht="15" customHeight="1">
      <c r="A309" t="inlineStr">
        <is>
          <t>A 19803-2024</t>
        </is>
      </c>
      <c r="B309" s="1" t="n">
        <v>45432</v>
      </c>
      <c r="C309" s="1" t="n">
        <v>45884</v>
      </c>
      <c r="D309" t="inlineStr">
        <is>
          <t>VÄSTMANLANDS LÄN</t>
        </is>
      </c>
      <c r="E309" t="inlineStr">
        <is>
          <t>SALA</t>
        </is>
      </c>
      <c r="G309" t="n">
        <v>3.1</v>
      </c>
      <c r="H309" t="n">
        <v>0</v>
      </c>
      <c r="I309" t="n">
        <v>0</v>
      </c>
      <c r="J309" t="n">
        <v>0</v>
      </c>
      <c r="K309" t="n">
        <v>0</v>
      </c>
      <c r="L309" t="n">
        <v>0</v>
      </c>
      <c r="M309" t="n">
        <v>0</v>
      </c>
      <c r="N309" t="n">
        <v>0</v>
      </c>
      <c r="O309" t="n">
        <v>0</v>
      </c>
      <c r="P309" t="n">
        <v>0</v>
      </c>
      <c r="Q309" t="n">
        <v>0</v>
      </c>
      <c r="R309" s="2" t="inlineStr"/>
    </row>
    <row r="310" ht="15" customHeight="1">
      <c r="A310" t="inlineStr">
        <is>
          <t>A 39604-2023</t>
        </is>
      </c>
      <c r="B310" s="1" t="n">
        <v>45163</v>
      </c>
      <c r="C310" s="1" t="n">
        <v>45884</v>
      </c>
      <c r="D310" t="inlineStr">
        <is>
          <t>VÄSTMANLANDS LÄN</t>
        </is>
      </c>
      <c r="E310" t="inlineStr">
        <is>
          <t>SALA</t>
        </is>
      </c>
      <c r="G310" t="n">
        <v>2.7</v>
      </c>
      <c r="H310" t="n">
        <v>0</v>
      </c>
      <c r="I310" t="n">
        <v>0</v>
      </c>
      <c r="J310" t="n">
        <v>0</v>
      </c>
      <c r="K310" t="n">
        <v>0</v>
      </c>
      <c r="L310" t="n">
        <v>0</v>
      </c>
      <c r="M310" t="n">
        <v>0</v>
      </c>
      <c r="N310" t="n">
        <v>0</v>
      </c>
      <c r="O310" t="n">
        <v>0</v>
      </c>
      <c r="P310" t="n">
        <v>0</v>
      </c>
      <c r="Q310" t="n">
        <v>0</v>
      </c>
      <c r="R310" s="2" t="inlineStr"/>
    </row>
    <row r="311" ht="15" customHeight="1">
      <c r="A311" t="inlineStr">
        <is>
          <t>A 1638-2023</t>
        </is>
      </c>
      <c r="B311" s="1" t="n">
        <v>44937</v>
      </c>
      <c r="C311" s="1" t="n">
        <v>45884</v>
      </c>
      <c r="D311" t="inlineStr">
        <is>
          <t>VÄSTMANLANDS LÄN</t>
        </is>
      </c>
      <c r="E311" t="inlineStr">
        <is>
          <t>SALA</t>
        </is>
      </c>
      <c r="G311" t="n">
        <v>3.1</v>
      </c>
      <c r="H311" t="n">
        <v>0</v>
      </c>
      <c r="I311" t="n">
        <v>0</v>
      </c>
      <c r="J311" t="n">
        <v>0</v>
      </c>
      <c r="K311" t="n">
        <v>0</v>
      </c>
      <c r="L311" t="n">
        <v>0</v>
      </c>
      <c r="M311" t="n">
        <v>0</v>
      </c>
      <c r="N311" t="n">
        <v>0</v>
      </c>
      <c r="O311" t="n">
        <v>0</v>
      </c>
      <c r="P311" t="n">
        <v>0</v>
      </c>
      <c r="Q311" t="n">
        <v>0</v>
      </c>
      <c r="R311" s="2" t="inlineStr"/>
    </row>
    <row r="312" ht="15" customHeight="1">
      <c r="A312" t="inlineStr">
        <is>
          <t>A 15972-2024</t>
        </is>
      </c>
      <c r="B312" s="1" t="n">
        <v>45405.56498842593</v>
      </c>
      <c r="C312" s="1" t="n">
        <v>45884</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7196-2025</t>
        </is>
      </c>
      <c r="B313" s="1" t="n">
        <v>45702</v>
      </c>
      <c r="C313" s="1" t="n">
        <v>45884</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71471-2021</t>
        </is>
      </c>
      <c r="B314" s="1" t="n">
        <v>44540.53421296296</v>
      </c>
      <c r="C314" s="1" t="n">
        <v>45884</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40597-2022</t>
        </is>
      </c>
      <c r="B315" s="1" t="n">
        <v>44823.84862268518</v>
      </c>
      <c r="C315" s="1" t="n">
        <v>45884</v>
      </c>
      <c r="D315" t="inlineStr">
        <is>
          <t>VÄSTMANLANDS LÄN</t>
        </is>
      </c>
      <c r="E315" t="inlineStr">
        <is>
          <t>SALA</t>
        </is>
      </c>
      <c r="G315" t="n">
        <v>3.5</v>
      </c>
      <c r="H315" t="n">
        <v>0</v>
      </c>
      <c r="I315" t="n">
        <v>0</v>
      </c>
      <c r="J315" t="n">
        <v>0</v>
      </c>
      <c r="K315" t="n">
        <v>0</v>
      </c>
      <c r="L315" t="n">
        <v>0</v>
      </c>
      <c r="M315" t="n">
        <v>0</v>
      </c>
      <c r="N315" t="n">
        <v>0</v>
      </c>
      <c r="O315" t="n">
        <v>0</v>
      </c>
      <c r="P315" t="n">
        <v>0</v>
      </c>
      <c r="Q315" t="n">
        <v>0</v>
      </c>
      <c r="R315" s="2" t="inlineStr"/>
    </row>
    <row r="316" ht="15" customHeight="1">
      <c r="A316" t="inlineStr">
        <is>
          <t>A 13987-2023</t>
        </is>
      </c>
      <c r="B316" s="1" t="n">
        <v>45007</v>
      </c>
      <c r="C316" s="1" t="n">
        <v>45884</v>
      </c>
      <c r="D316" t="inlineStr">
        <is>
          <t>VÄSTMANLANDS LÄN</t>
        </is>
      </c>
      <c r="E316" t="inlineStr">
        <is>
          <t>SALA</t>
        </is>
      </c>
      <c r="G316" t="n">
        <v>3.2</v>
      </c>
      <c r="H316" t="n">
        <v>0</v>
      </c>
      <c r="I316" t="n">
        <v>0</v>
      </c>
      <c r="J316" t="n">
        <v>0</v>
      </c>
      <c r="K316" t="n">
        <v>0</v>
      </c>
      <c r="L316" t="n">
        <v>0</v>
      </c>
      <c r="M316" t="n">
        <v>0</v>
      </c>
      <c r="N316" t="n">
        <v>0</v>
      </c>
      <c r="O316" t="n">
        <v>0</v>
      </c>
      <c r="P316" t="n">
        <v>0</v>
      </c>
      <c r="Q316" t="n">
        <v>0</v>
      </c>
      <c r="R316" s="2" t="inlineStr"/>
    </row>
    <row r="317" ht="15" customHeight="1">
      <c r="A317" t="inlineStr">
        <is>
          <t>A 13990-2023</t>
        </is>
      </c>
      <c r="B317" s="1" t="n">
        <v>45007</v>
      </c>
      <c r="C317" s="1" t="n">
        <v>45884</v>
      </c>
      <c r="D317" t="inlineStr">
        <is>
          <t>VÄSTMANLANDS LÄN</t>
        </is>
      </c>
      <c r="E317" t="inlineStr">
        <is>
          <t>SALA</t>
        </is>
      </c>
      <c r="G317" t="n">
        <v>2.6</v>
      </c>
      <c r="H317" t="n">
        <v>0</v>
      </c>
      <c r="I317" t="n">
        <v>0</v>
      </c>
      <c r="J317" t="n">
        <v>0</v>
      </c>
      <c r="K317" t="n">
        <v>0</v>
      </c>
      <c r="L317" t="n">
        <v>0</v>
      </c>
      <c r="M317" t="n">
        <v>0</v>
      </c>
      <c r="N317" t="n">
        <v>0</v>
      </c>
      <c r="O317" t="n">
        <v>0</v>
      </c>
      <c r="P317" t="n">
        <v>0</v>
      </c>
      <c r="Q317" t="n">
        <v>0</v>
      </c>
      <c r="R317" s="2" t="inlineStr"/>
    </row>
    <row r="318" ht="15" customHeight="1">
      <c r="A318" t="inlineStr">
        <is>
          <t>A 37958-2024</t>
        </is>
      </c>
      <c r="B318" s="1" t="n">
        <v>45544</v>
      </c>
      <c r="C318" s="1" t="n">
        <v>45884</v>
      </c>
      <c r="D318" t="inlineStr">
        <is>
          <t>VÄSTMANLANDS LÄN</t>
        </is>
      </c>
      <c r="E318" t="inlineStr">
        <is>
          <t>SALA</t>
        </is>
      </c>
      <c r="G318" t="n">
        <v>5.6</v>
      </c>
      <c r="H318" t="n">
        <v>0</v>
      </c>
      <c r="I318" t="n">
        <v>0</v>
      </c>
      <c r="J318" t="n">
        <v>0</v>
      </c>
      <c r="K318" t="n">
        <v>0</v>
      </c>
      <c r="L318" t="n">
        <v>0</v>
      </c>
      <c r="M318" t="n">
        <v>0</v>
      </c>
      <c r="N318" t="n">
        <v>0</v>
      </c>
      <c r="O318" t="n">
        <v>0</v>
      </c>
      <c r="P318" t="n">
        <v>0</v>
      </c>
      <c r="Q318" t="n">
        <v>0</v>
      </c>
      <c r="R318" s="2" t="inlineStr"/>
    </row>
    <row r="319" ht="15" customHeight="1">
      <c r="A319" t="inlineStr">
        <is>
          <t>A 1993-2022</t>
        </is>
      </c>
      <c r="B319" s="1" t="n">
        <v>44575</v>
      </c>
      <c r="C319" s="1" t="n">
        <v>45884</v>
      </c>
      <c r="D319" t="inlineStr">
        <is>
          <t>VÄSTMANLANDS LÄN</t>
        </is>
      </c>
      <c r="E319" t="inlineStr">
        <is>
          <t>SALA</t>
        </is>
      </c>
      <c r="G319" t="n">
        <v>1.6</v>
      </c>
      <c r="H319" t="n">
        <v>0</v>
      </c>
      <c r="I319" t="n">
        <v>0</v>
      </c>
      <c r="J319" t="n">
        <v>0</v>
      </c>
      <c r="K319" t="n">
        <v>0</v>
      </c>
      <c r="L319" t="n">
        <v>0</v>
      </c>
      <c r="M319" t="n">
        <v>0</v>
      </c>
      <c r="N319" t="n">
        <v>0</v>
      </c>
      <c r="O319" t="n">
        <v>0</v>
      </c>
      <c r="P319" t="n">
        <v>0</v>
      </c>
      <c r="Q319" t="n">
        <v>0</v>
      </c>
      <c r="R319" s="2" t="inlineStr"/>
    </row>
    <row r="320" ht="15" customHeight="1">
      <c r="A320" t="inlineStr">
        <is>
          <t>A 17051-2025</t>
        </is>
      </c>
      <c r="B320" s="1" t="n">
        <v>45755</v>
      </c>
      <c r="C320" s="1" t="n">
        <v>45884</v>
      </c>
      <c r="D320" t="inlineStr">
        <is>
          <t>VÄSTMANLANDS LÄN</t>
        </is>
      </c>
      <c r="E320" t="inlineStr">
        <is>
          <t>SALA</t>
        </is>
      </c>
      <c r="G320" t="n">
        <v>2.9</v>
      </c>
      <c r="H320" t="n">
        <v>0</v>
      </c>
      <c r="I320" t="n">
        <v>0</v>
      </c>
      <c r="J320" t="n">
        <v>0</v>
      </c>
      <c r="K320" t="n">
        <v>0</v>
      </c>
      <c r="L320" t="n">
        <v>0</v>
      </c>
      <c r="M320" t="n">
        <v>0</v>
      </c>
      <c r="N320" t="n">
        <v>0</v>
      </c>
      <c r="O320" t="n">
        <v>0</v>
      </c>
      <c r="P320" t="n">
        <v>0</v>
      </c>
      <c r="Q320" t="n">
        <v>0</v>
      </c>
      <c r="R320" s="2" t="inlineStr"/>
    </row>
    <row r="321" ht="15" customHeight="1">
      <c r="A321" t="inlineStr">
        <is>
          <t>A 43509-2021</t>
        </is>
      </c>
      <c r="B321" s="1" t="n">
        <v>44433</v>
      </c>
      <c r="C321" s="1" t="n">
        <v>45884</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64925-2023</t>
        </is>
      </c>
      <c r="B322" s="1" t="n">
        <v>45282</v>
      </c>
      <c r="C322" s="1" t="n">
        <v>45884</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54959-2024</t>
        </is>
      </c>
      <c r="B323" s="1" t="n">
        <v>45619</v>
      </c>
      <c r="C323" s="1" t="n">
        <v>45884</v>
      </c>
      <c r="D323" t="inlineStr">
        <is>
          <t>VÄSTMANLANDS LÄN</t>
        </is>
      </c>
      <c r="E323" t="inlineStr">
        <is>
          <t>SALA</t>
        </is>
      </c>
      <c r="G323" t="n">
        <v>1.3</v>
      </c>
      <c r="H323" t="n">
        <v>0</v>
      </c>
      <c r="I323" t="n">
        <v>0</v>
      </c>
      <c r="J323" t="n">
        <v>0</v>
      </c>
      <c r="K323" t="n">
        <v>0</v>
      </c>
      <c r="L323" t="n">
        <v>0</v>
      </c>
      <c r="M323" t="n">
        <v>0</v>
      </c>
      <c r="N323" t="n">
        <v>0</v>
      </c>
      <c r="O323" t="n">
        <v>0</v>
      </c>
      <c r="P323" t="n">
        <v>0</v>
      </c>
      <c r="Q323" t="n">
        <v>0</v>
      </c>
      <c r="R323" s="2" t="inlineStr"/>
    </row>
    <row r="324" ht="15" customHeight="1">
      <c r="A324" t="inlineStr">
        <is>
          <t>A 56964-2023</t>
        </is>
      </c>
      <c r="B324" s="1" t="n">
        <v>45244.63140046296</v>
      </c>
      <c r="C324" s="1" t="n">
        <v>45884</v>
      </c>
      <c r="D324" t="inlineStr">
        <is>
          <t>VÄSTMANLANDS LÄN</t>
        </is>
      </c>
      <c r="E324" t="inlineStr">
        <is>
          <t>SALA</t>
        </is>
      </c>
      <c r="G324" t="n">
        <v>4.6</v>
      </c>
      <c r="H324" t="n">
        <v>0</v>
      </c>
      <c r="I324" t="n">
        <v>0</v>
      </c>
      <c r="J324" t="n">
        <v>0</v>
      </c>
      <c r="K324" t="n">
        <v>0</v>
      </c>
      <c r="L324" t="n">
        <v>0</v>
      </c>
      <c r="M324" t="n">
        <v>0</v>
      </c>
      <c r="N324" t="n">
        <v>0</v>
      </c>
      <c r="O324" t="n">
        <v>0</v>
      </c>
      <c r="P324" t="n">
        <v>0</v>
      </c>
      <c r="Q324" t="n">
        <v>0</v>
      </c>
      <c r="R324" s="2" t="inlineStr"/>
    </row>
    <row r="325" ht="15" customHeight="1">
      <c r="A325" t="inlineStr">
        <is>
          <t>A 37337-2024</t>
        </is>
      </c>
      <c r="B325" s="1" t="n">
        <v>45540</v>
      </c>
      <c r="C325" s="1" t="n">
        <v>45884</v>
      </c>
      <c r="D325" t="inlineStr">
        <is>
          <t>VÄSTMANLANDS LÄN</t>
        </is>
      </c>
      <c r="E325" t="inlineStr">
        <is>
          <t>SALA</t>
        </is>
      </c>
      <c r="G325" t="n">
        <v>6.5</v>
      </c>
      <c r="H325" t="n">
        <v>0</v>
      </c>
      <c r="I325" t="n">
        <v>0</v>
      </c>
      <c r="J325" t="n">
        <v>0</v>
      </c>
      <c r="K325" t="n">
        <v>0</v>
      </c>
      <c r="L325" t="n">
        <v>0</v>
      </c>
      <c r="M325" t="n">
        <v>0</v>
      </c>
      <c r="N325" t="n">
        <v>0</v>
      </c>
      <c r="O325" t="n">
        <v>0</v>
      </c>
      <c r="P325" t="n">
        <v>0</v>
      </c>
      <c r="Q325" t="n">
        <v>0</v>
      </c>
      <c r="R325" s="2" t="inlineStr"/>
    </row>
    <row r="326" ht="15" customHeight="1">
      <c r="A326" t="inlineStr">
        <is>
          <t>A 17120-2023</t>
        </is>
      </c>
      <c r="B326" s="1" t="n">
        <v>45034</v>
      </c>
      <c r="C326" s="1" t="n">
        <v>45884</v>
      </c>
      <c r="D326" t="inlineStr">
        <is>
          <t>VÄSTMANLANDS LÄN</t>
        </is>
      </c>
      <c r="E326" t="inlineStr">
        <is>
          <t>SALA</t>
        </is>
      </c>
      <c r="G326" t="n">
        <v>0.1</v>
      </c>
      <c r="H326" t="n">
        <v>0</v>
      </c>
      <c r="I326" t="n">
        <v>0</v>
      </c>
      <c r="J326" t="n">
        <v>0</v>
      </c>
      <c r="K326" t="n">
        <v>0</v>
      </c>
      <c r="L326" t="n">
        <v>0</v>
      </c>
      <c r="M326" t="n">
        <v>0</v>
      </c>
      <c r="N326" t="n">
        <v>0</v>
      </c>
      <c r="O326" t="n">
        <v>0</v>
      </c>
      <c r="P326" t="n">
        <v>0</v>
      </c>
      <c r="Q326" t="n">
        <v>0</v>
      </c>
      <c r="R326" s="2" t="inlineStr"/>
    </row>
    <row r="327" ht="15" customHeight="1">
      <c r="A327" t="inlineStr">
        <is>
          <t>A 1555-2024</t>
        </is>
      </c>
      <c r="B327" s="1" t="n">
        <v>45306</v>
      </c>
      <c r="C327" s="1" t="n">
        <v>45884</v>
      </c>
      <c r="D327" t="inlineStr">
        <is>
          <t>VÄSTMANLANDS LÄN</t>
        </is>
      </c>
      <c r="E327" t="inlineStr">
        <is>
          <t>SALA</t>
        </is>
      </c>
      <c r="G327" t="n">
        <v>1.3</v>
      </c>
      <c r="H327" t="n">
        <v>0</v>
      </c>
      <c r="I327" t="n">
        <v>0</v>
      </c>
      <c r="J327" t="n">
        <v>0</v>
      </c>
      <c r="K327" t="n">
        <v>0</v>
      </c>
      <c r="L327" t="n">
        <v>0</v>
      </c>
      <c r="M327" t="n">
        <v>0</v>
      </c>
      <c r="N327" t="n">
        <v>0</v>
      </c>
      <c r="O327" t="n">
        <v>0</v>
      </c>
      <c r="P327" t="n">
        <v>0</v>
      </c>
      <c r="Q327" t="n">
        <v>0</v>
      </c>
      <c r="R327" s="2" t="inlineStr"/>
    </row>
    <row r="328" ht="15" customHeight="1">
      <c r="A328" t="inlineStr">
        <is>
          <t>A 34494-2023</t>
        </is>
      </c>
      <c r="B328" s="1" t="n">
        <v>45133</v>
      </c>
      <c r="C328" s="1" t="n">
        <v>45884</v>
      </c>
      <c r="D328" t="inlineStr">
        <is>
          <t>VÄSTMANLANDS LÄN</t>
        </is>
      </c>
      <c r="E328" t="inlineStr">
        <is>
          <t>SALA</t>
        </is>
      </c>
      <c r="G328" t="n">
        <v>0.8</v>
      </c>
      <c r="H328" t="n">
        <v>0</v>
      </c>
      <c r="I328" t="n">
        <v>0</v>
      </c>
      <c r="J328" t="n">
        <v>0</v>
      </c>
      <c r="K328" t="n">
        <v>0</v>
      </c>
      <c r="L328" t="n">
        <v>0</v>
      </c>
      <c r="M328" t="n">
        <v>0</v>
      </c>
      <c r="N328" t="n">
        <v>0</v>
      </c>
      <c r="O328" t="n">
        <v>0</v>
      </c>
      <c r="P328" t="n">
        <v>0</v>
      </c>
      <c r="Q328" t="n">
        <v>0</v>
      </c>
      <c r="R328" s="2" t="inlineStr"/>
    </row>
    <row r="329" ht="15" customHeight="1">
      <c r="A329" t="inlineStr">
        <is>
          <t>A 23406-2024</t>
        </is>
      </c>
      <c r="B329" s="1" t="n">
        <v>45453.58296296297</v>
      </c>
      <c r="C329" s="1" t="n">
        <v>45884</v>
      </c>
      <c r="D329" t="inlineStr">
        <is>
          <t>VÄSTMANLANDS LÄN</t>
        </is>
      </c>
      <c r="E329" t="inlineStr">
        <is>
          <t>SALA</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16133-2025</t>
        </is>
      </c>
      <c r="B330" s="1" t="n">
        <v>45750</v>
      </c>
      <c r="C330" s="1" t="n">
        <v>45884</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15099-2025</t>
        </is>
      </c>
      <c r="B331" s="1" t="n">
        <v>45744.3434837963</v>
      </c>
      <c r="C331" s="1" t="n">
        <v>45884</v>
      </c>
      <c r="D331" t="inlineStr">
        <is>
          <t>VÄSTMANLANDS LÄN</t>
        </is>
      </c>
      <c r="E331" t="inlineStr">
        <is>
          <t>SALA</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50801-2020</t>
        </is>
      </c>
      <c r="B332" s="1" t="n">
        <v>44111</v>
      </c>
      <c r="C332" s="1" t="n">
        <v>45884</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60036-2024</t>
        </is>
      </c>
      <c r="B333" s="1" t="n">
        <v>45642.46434027778</v>
      </c>
      <c r="C333" s="1" t="n">
        <v>45884</v>
      </c>
      <c r="D333" t="inlineStr">
        <is>
          <t>VÄSTMANLANDS LÄN</t>
        </is>
      </c>
      <c r="E333" t="inlineStr">
        <is>
          <t>SALA</t>
        </is>
      </c>
      <c r="G333" t="n">
        <v>2.5</v>
      </c>
      <c r="H333" t="n">
        <v>0</v>
      </c>
      <c r="I333" t="n">
        <v>0</v>
      </c>
      <c r="J333" t="n">
        <v>0</v>
      </c>
      <c r="K333" t="n">
        <v>0</v>
      </c>
      <c r="L333" t="n">
        <v>0</v>
      </c>
      <c r="M333" t="n">
        <v>0</v>
      </c>
      <c r="N333" t="n">
        <v>0</v>
      </c>
      <c r="O333" t="n">
        <v>0</v>
      </c>
      <c r="P333" t="n">
        <v>0</v>
      </c>
      <c r="Q333" t="n">
        <v>0</v>
      </c>
      <c r="R333" s="2" t="inlineStr"/>
    </row>
    <row r="334" ht="15" customHeight="1">
      <c r="A334" t="inlineStr">
        <is>
          <t>A 52827-2024</t>
        </is>
      </c>
      <c r="B334" s="1" t="n">
        <v>45610</v>
      </c>
      <c r="C334" s="1" t="n">
        <v>45884</v>
      </c>
      <c r="D334" t="inlineStr">
        <is>
          <t>VÄSTMANLANDS LÄN</t>
        </is>
      </c>
      <c r="E334" t="inlineStr">
        <is>
          <t>SALA</t>
        </is>
      </c>
      <c r="G334" t="n">
        <v>0.2</v>
      </c>
      <c r="H334" t="n">
        <v>0</v>
      </c>
      <c r="I334" t="n">
        <v>0</v>
      </c>
      <c r="J334" t="n">
        <v>0</v>
      </c>
      <c r="K334" t="n">
        <v>0</v>
      </c>
      <c r="L334" t="n">
        <v>0</v>
      </c>
      <c r="M334" t="n">
        <v>0</v>
      </c>
      <c r="N334" t="n">
        <v>0</v>
      </c>
      <c r="O334" t="n">
        <v>0</v>
      </c>
      <c r="P334" t="n">
        <v>0</v>
      </c>
      <c r="Q334" t="n">
        <v>0</v>
      </c>
      <c r="R334" s="2" t="inlineStr"/>
    </row>
    <row r="335" ht="15" customHeight="1">
      <c r="A335" t="inlineStr">
        <is>
          <t>A 10579-2022</t>
        </is>
      </c>
      <c r="B335" s="1" t="n">
        <v>44624</v>
      </c>
      <c r="C335" s="1" t="n">
        <v>45884</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57800-2020</t>
        </is>
      </c>
      <c r="B336" s="1" t="n">
        <v>44141</v>
      </c>
      <c r="C336" s="1" t="n">
        <v>45884</v>
      </c>
      <c r="D336" t="inlineStr">
        <is>
          <t>VÄSTMANLANDS LÄN</t>
        </is>
      </c>
      <c r="E336" t="inlineStr">
        <is>
          <t>SALA</t>
        </is>
      </c>
      <c r="F336" t="inlineStr">
        <is>
          <t>Sveaskog</t>
        </is>
      </c>
      <c r="G336" t="n">
        <v>2.1</v>
      </c>
      <c r="H336" t="n">
        <v>0</v>
      </c>
      <c r="I336" t="n">
        <v>0</v>
      </c>
      <c r="J336" t="n">
        <v>0</v>
      </c>
      <c r="K336" t="n">
        <v>0</v>
      </c>
      <c r="L336" t="n">
        <v>0</v>
      </c>
      <c r="M336" t="n">
        <v>0</v>
      </c>
      <c r="N336" t="n">
        <v>0</v>
      </c>
      <c r="O336" t="n">
        <v>0</v>
      </c>
      <c r="P336" t="n">
        <v>0</v>
      </c>
      <c r="Q336" t="n">
        <v>0</v>
      </c>
      <c r="R336" s="2" t="inlineStr"/>
    </row>
    <row r="337" ht="15" customHeight="1">
      <c r="A337" t="inlineStr">
        <is>
          <t>A 9335-2022</t>
        </is>
      </c>
      <c r="B337" s="1" t="n">
        <v>44616.56579861111</v>
      </c>
      <c r="C337" s="1" t="n">
        <v>45884</v>
      </c>
      <c r="D337" t="inlineStr">
        <is>
          <t>VÄSTMANLANDS LÄN</t>
        </is>
      </c>
      <c r="E337" t="inlineStr">
        <is>
          <t>SALA</t>
        </is>
      </c>
      <c r="G337" t="n">
        <v>1.5</v>
      </c>
      <c r="H337" t="n">
        <v>0</v>
      </c>
      <c r="I337" t="n">
        <v>0</v>
      </c>
      <c r="J337" t="n">
        <v>0</v>
      </c>
      <c r="K337" t="n">
        <v>0</v>
      </c>
      <c r="L337" t="n">
        <v>0</v>
      </c>
      <c r="M337" t="n">
        <v>0</v>
      </c>
      <c r="N337" t="n">
        <v>0</v>
      </c>
      <c r="O337" t="n">
        <v>0</v>
      </c>
      <c r="P337" t="n">
        <v>0</v>
      </c>
      <c r="Q337" t="n">
        <v>0</v>
      </c>
      <c r="R337" s="2" t="inlineStr"/>
    </row>
    <row r="338" ht="15" customHeight="1">
      <c r="A338" t="inlineStr">
        <is>
          <t>A 45313-2024</t>
        </is>
      </c>
      <c r="B338" s="1" t="n">
        <v>45576</v>
      </c>
      <c r="C338" s="1" t="n">
        <v>45884</v>
      </c>
      <c r="D338" t="inlineStr">
        <is>
          <t>VÄSTMANLANDS LÄN</t>
        </is>
      </c>
      <c r="E338" t="inlineStr">
        <is>
          <t>SALA</t>
        </is>
      </c>
      <c r="G338" t="n">
        <v>0.7</v>
      </c>
      <c r="H338" t="n">
        <v>0</v>
      </c>
      <c r="I338" t="n">
        <v>0</v>
      </c>
      <c r="J338" t="n">
        <v>0</v>
      </c>
      <c r="K338" t="n">
        <v>0</v>
      </c>
      <c r="L338" t="n">
        <v>0</v>
      </c>
      <c r="M338" t="n">
        <v>0</v>
      </c>
      <c r="N338" t="n">
        <v>0</v>
      </c>
      <c r="O338" t="n">
        <v>0</v>
      </c>
      <c r="P338" t="n">
        <v>0</v>
      </c>
      <c r="Q338" t="n">
        <v>0</v>
      </c>
      <c r="R338" s="2" t="inlineStr"/>
    </row>
    <row r="339" ht="15" customHeight="1">
      <c r="A339" t="inlineStr">
        <is>
          <t>A 25891-2024</t>
        </is>
      </c>
      <c r="B339" s="1" t="n">
        <v>45467.53137731482</v>
      </c>
      <c r="C339" s="1" t="n">
        <v>45884</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16328-2025</t>
        </is>
      </c>
      <c r="B340" s="1" t="n">
        <v>45751</v>
      </c>
      <c r="C340" s="1" t="n">
        <v>45884</v>
      </c>
      <c r="D340" t="inlineStr">
        <is>
          <t>VÄSTMANLANDS LÄN</t>
        </is>
      </c>
      <c r="E340" t="inlineStr">
        <is>
          <t>SALA</t>
        </is>
      </c>
      <c r="G340" t="n">
        <v>2.9</v>
      </c>
      <c r="H340" t="n">
        <v>0</v>
      </c>
      <c r="I340" t="n">
        <v>0</v>
      </c>
      <c r="J340" t="n">
        <v>0</v>
      </c>
      <c r="K340" t="n">
        <v>0</v>
      </c>
      <c r="L340" t="n">
        <v>0</v>
      </c>
      <c r="M340" t="n">
        <v>0</v>
      </c>
      <c r="N340" t="n">
        <v>0</v>
      </c>
      <c r="O340" t="n">
        <v>0</v>
      </c>
      <c r="P340" t="n">
        <v>0</v>
      </c>
      <c r="Q340" t="n">
        <v>0</v>
      </c>
      <c r="R340" s="2" t="inlineStr"/>
    </row>
    <row r="341" ht="15" customHeight="1">
      <c r="A341" t="inlineStr">
        <is>
          <t>A 15756-2025</t>
        </is>
      </c>
      <c r="B341" s="1" t="n">
        <v>45748.56810185185</v>
      </c>
      <c r="C341" s="1" t="n">
        <v>45884</v>
      </c>
      <c r="D341" t="inlineStr">
        <is>
          <t>VÄSTMANLANDS LÄN</t>
        </is>
      </c>
      <c r="E341" t="inlineStr">
        <is>
          <t>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23119-2022</t>
        </is>
      </c>
      <c r="B342" s="1" t="n">
        <v>44719.56697916667</v>
      </c>
      <c r="C342" s="1" t="n">
        <v>45884</v>
      </c>
      <c r="D342" t="inlineStr">
        <is>
          <t>VÄSTMANLANDS LÄN</t>
        </is>
      </c>
      <c r="E342" t="inlineStr">
        <is>
          <t>SALA</t>
        </is>
      </c>
      <c r="G342" t="n">
        <v>7</v>
      </c>
      <c r="H342" t="n">
        <v>0</v>
      </c>
      <c r="I342" t="n">
        <v>0</v>
      </c>
      <c r="J342" t="n">
        <v>0</v>
      </c>
      <c r="K342" t="n">
        <v>0</v>
      </c>
      <c r="L342" t="n">
        <v>0</v>
      </c>
      <c r="M342" t="n">
        <v>0</v>
      </c>
      <c r="N342" t="n">
        <v>0</v>
      </c>
      <c r="O342" t="n">
        <v>0</v>
      </c>
      <c r="P342" t="n">
        <v>0</v>
      </c>
      <c r="Q342" t="n">
        <v>0</v>
      </c>
      <c r="R342" s="2" t="inlineStr"/>
    </row>
    <row r="343" ht="15" customHeight="1">
      <c r="A343" t="inlineStr">
        <is>
          <t>A 31000-2022</t>
        </is>
      </c>
      <c r="B343" s="1" t="n">
        <v>44768</v>
      </c>
      <c r="C343" s="1" t="n">
        <v>45884</v>
      </c>
      <c r="D343" t="inlineStr">
        <is>
          <t>VÄSTMANLANDS LÄN</t>
        </is>
      </c>
      <c r="E343" t="inlineStr">
        <is>
          <t>SALA</t>
        </is>
      </c>
      <c r="G343" t="n">
        <v>5.7</v>
      </c>
      <c r="H343" t="n">
        <v>0</v>
      </c>
      <c r="I343" t="n">
        <v>0</v>
      </c>
      <c r="J343" t="n">
        <v>0</v>
      </c>
      <c r="K343" t="n">
        <v>0</v>
      </c>
      <c r="L343" t="n">
        <v>0</v>
      </c>
      <c r="M343" t="n">
        <v>0</v>
      </c>
      <c r="N343" t="n">
        <v>0</v>
      </c>
      <c r="O343" t="n">
        <v>0</v>
      </c>
      <c r="P343" t="n">
        <v>0</v>
      </c>
      <c r="Q343" t="n">
        <v>0</v>
      </c>
      <c r="R343" s="2" t="inlineStr"/>
    </row>
    <row r="344" ht="15" customHeight="1">
      <c r="A344" t="inlineStr">
        <is>
          <t>A 1196-2023</t>
        </is>
      </c>
      <c r="B344" s="1" t="n">
        <v>44935.82290509259</v>
      </c>
      <c r="C344" s="1" t="n">
        <v>45884</v>
      </c>
      <c r="D344" t="inlineStr">
        <is>
          <t>VÄSTMANLANDS LÄN</t>
        </is>
      </c>
      <c r="E344" t="inlineStr">
        <is>
          <t>SALA</t>
        </is>
      </c>
      <c r="G344" t="n">
        <v>4.1</v>
      </c>
      <c r="H344" t="n">
        <v>0</v>
      </c>
      <c r="I344" t="n">
        <v>0</v>
      </c>
      <c r="J344" t="n">
        <v>0</v>
      </c>
      <c r="K344" t="n">
        <v>0</v>
      </c>
      <c r="L344" t="n">
        <v>0</v>
      </c>
      <c r="M344" t="n">
        <v>0</v>
      </c>
      <c r="N344" t="n">
        <v>0</v>
      </c>
      <c r="O344" t="n">
        <v>0</v>
      </c>
      <c r="P344" t="n">
        <v>0</v>
      </c>
      <c r="Q344" t="n">
        <v>0</v>
      </c>
      <c r="R344" s="2" t="inlineStr"/>
    </row>
    <row r="345" ht="15" customHeight="1">
      <c r="A345" t="inlineStr">
        <is>
          <t>A 37183-2024</t>
        </is>
      </c>
      <c r="B345" s="1" t="n">
        <v>45539</v>
      </c>
      <c r="C345" s="1" t="n">
        <v>45884</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27229-2022</t>
        </is>
      </c>
      <c r="B346" s="1" t="n">
        <v>44741</v>
      </c>
      <c r="C346" s="1" t="n">
        <v>45884</v>
      </c>
      <c r="D346" t="inlineStr">
        <is>
          <t>VÄSTMANLANDS LÄN</t>
        </is>
      </c>
      <c r="E346" t="inlineStr">
        <is>
          <t>SALA</t>
        </is>
      </c>
      <c r="F346" t="inlineStr">
        <is>
          <t>Kommuner</t>
        </is>
      </c>
      <c r="G346" t="n">
        <v>1.4</v>
      </c>
      <c r="H346" t="n">
        <v>0</v>
      </c>
      <c r="I346" t="n">
        <v>0</v>
      </c>
      <c r="J346" t="n">
        <v>0</v>
      </c>
      <c r="K346" t="n">
        <v>0</v>
      </c>
      <c r="L346" t="n">
        <v>0</v>
      </c>
      <c r="M346" t="n">
        <v>0</v>
      </c>
      <c r="N346" t="n">
        <v>0</v>
      </c>
      <c r="O346" t="n">
        <v>0</v>
      </c>
      <c r="P346" t="n">
        <v>0</v>
      </c>
      <c r="Q346" t="n">
        <v>0</v>
      </c>
      <c r="R346" s="2" t="inlineStr"/>
    </row>
    <row r="347" ht="15" customHeight="1">
      <c r="A347" t="inlineStr">
        <is>
          <t>A 66908-2021</t>
        </is>
      </c>
      <c r="B347" s="1" t="n">
        <v>44522</v>
      </c>
      <c r="C347" s="1" t="n">
        <v>45884</v>
      </c>
      <c r="D347" t="inlineStr">
        <is>
          <t>VÄSTMANLANDS LÄN</t>
        </is>
      </c>
      <c r="E347" t="inlineStr">
        <is>
          <t>SALA</t>
        </is>
      </c>
      <c r="G347" t="n">
        <v>2.6</v>
      </c>
      <c r="H347" t="n">
        <v>0</v>
      </c>
      <c r="I347" t="n">
        <v>0</v>
      </c>
      <c r="J347" t="n">
        <v>0</v>
      </c>
      <c r="K347" t="n">
        <v>0</v>
      </c>
      <c r="L347" t="n">
        <v>0</v>
      </c>
      <c r="M347" t="n">
        <v>0</v>
      </c>
      <c r="N347" t="n">
        <v>0</v>
      </c>
      <c r="O347" t="n">
        <v>0</v>
      </c>
      <c r="P347" t="n">
        <v>0</v>
      </c>
      <c r="Q347" t="n">
        <v>0</v>
      </c>
      <c r="R347" s="2" t="inlineStr"/>
    </row>
    <row r="348" ht="15" customHeight="1">
      <c r="A348" t="inlineStr">
        <is>
          <t>A 73835-2021</t>
        </is>
      </c>
      <c r="B348" s="1" t="n">
        <v>44552.92112268518</v>
      </c>
      <c r="C348" s="1" t="n">
        <v>45884</v>
      </c>
      <c r="D348" t="inlineStr">
        <is>
          <t>VÄSTMANLANDS LÄN</t>
        </is>
      </c>
      <c r="E348" t="inlineStr">
        <is>
          <t>SALA</t>
        </is>
      </c>
      <c r="G348" t="n">
        <v>2</v>
      </c>
      <c r="H348" t="n">
        <v>0</v>
      </c>
      <c r="I348" t="n">
        <v>0</v>
      </c>
      <c r="J348" t="n">
        <v>0</v>
      </c>
      <c r="K348" t="n">
        <v>0</v>
      </c>
      <c r="L348" t="n">
        <v>0</v>
      </c>
      <c r="M348" t="n">
        <v>0</v>
      </c>
      <c r="N348" t="n">
        <v>0</v>
      </c>
      <c r="O348" t="n">
        <v>0</v>
      </c>
      <c r="P348" t="n">
        <v>0</v>
      </c>
      <c r="Q348" t="n">
        <v>0</v>
      </c>
      <c r="R348" s="2" t="inlineStr"/>
    </row>
    <row r="349" ht="15" customHeight="1">
      <c r="A349" t="inlineStr">
        <is>
          <t>A 52503-2024</t>
        </is>
      </c>
      <c r="B349" s="1" t="n">
        <v>45609.58806712963</v>
      </c>
      <c r="C349" s="1" t="n">
        <v>45884</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46279-2021</t>
        </is>
      </c>
      <c r="B350" s="1" t="n">
        <v>44442.57797453704</v>
      </c>
      <c r="C350" s="1" t="n">
        <v>45884</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3810-2023</t>
        </is>
      </c>
      <c r="B351" s="1" t="n">
        <v>44951.60454861111</v>
      </c>
      <c r="C351" s="1" t="n">
        <v>45884</v>
      </c>
      <c r="D351" t="inlineStr">
        <is>
          <t>VÄSTMANLANDS LÄN</t>
        </is>
      </c>
      <c r="E351" t="inlineStr">
        <is>
          <t>SALA</t>
        </is>
      </c>
      <c r="G351" t="n">
        <v>4.2</v>
      </c>
      <c r="H351" t="n">
        <v>0</v>
      </c>
      <c r="I351" t="n">
        <v>0</v>
      </c>
      <c r="J351" t="n">
        <v>0</v>
      </c>
      <c r="K351" t="n">
        <v>0</v>
      </c>
      <c r="L351" t="n">
        <v>0</v>
      </c>
      <c r="M351" t="n">
        <v>0</v>
      </c>
      <c r="N351" t="n">
        <v>0</v>
      </c>
      <c r="O351" t="n">
        <v>0</v>
      </c>
      <c r="P351" t="n">
        <v>0</v>
      </c>
      <c r="Q351" t="n">
        <v>0</v>
      </c>
      <c r="R351" s="2" t="inlineStr"/>
    </row>
    <row r="352" ht="15" customHeight="1">
      <c r="A352" t="inlineStr">
        <is>
          <t>A 1793-2023</t>
        </is>
      </c>
      <c r="B352" s="1" t="n">
        <v>44937</v>
      </c>
      <c r="C352" s="1" t="n">
        <v>45884</v>
      </c>
      <c r="D352" t="inlineStr">
        <is>
          <t>VÄSTMANLANDS LÄN</t>
        </is>
      </c>
      <c r="E352" t="inlineStr">
        <is>
          <t>SALA</t>
        </is>
      </c>
      <c r="G352" t="n">
        <v>2.6</v>
      </c>
      <c r="H352" t="n">
        <v>0</v>
      </c>
      <c r="I352" t="n">
        <v>0</v>
      </c>
      <c r="J352" t="n">
        <v>0</v>
      </c>
      <c r="K352" t="n">
        <v>0</v>
      </c>
      <c r="L352" t="n">
        <v>0</v>
      </c>
      <c r="M352" t="n">
        <v>0</v>
      </c>
      <c r="N352" t="n">
        <v>0</v>
      </c>
      <c r="O352" t="n">
        <v>0</v>
      </c>
      <c r="P352" t="n">
        <v>0</v>
      </c>
      <c r="Q352" t="n">
        <v>0</v>
      </c>
      <c r="R352" s="2" t="inlineStr"/>
    </row>
    <row r="353" ht="15" customHeight="1">
      <c r="A353" t="inlineStr">
        <is>
          <t>A 29248-2022</t>
        </is>
      </c>
      <c r="B353" s="1" t="n">
        <v>44750</v>
      </c>
      <c r="C353" s="1" t="n">
        <v>45884</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22397-2022</t>
        </is>
      </c>
      <c r="B354" s="1" t="n">
        <v>44713</v>
      </c>
      <c r="C354" s="1" t="n">
        <v>45884</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28863-2022</t>
        </is>
      </c>
      <c r="B355" s="1" t="n">
        <v>44749.50649305555</v>
      </c>
      <c r="C355" s="1" t="n">
        <v>45884</v>
      </c>
      <c r="D355" t="inlineStr">
        <is>
          <t>VÄSTMANLANDS LÄN</t>
        </is>
      </c>
      <c r="E355" t="inlineStr">
        <is>
          <t>SALA</t>
        </is>
      </c>
      <c r="G355" t="n">
        <v>1.6</v>
      </c>
      <c r="H355" t="n">
        <v>0</v>
      </c>
      <c r="I355" t="n">
        <v>0</v>
      </c>
      <c r="J355" t="n">
        <v>0</v>
      </c>
      <c r="K355" t="n">
        <v>0</v>
      </c>
      <c r="L355" t="n">
        <v>0</v>
      </c>
      <c r="M355" t="n">
        <v>0</v>
      </c>
      <c r="N355" t="n">
        <v>0</v>
      </c>
      <c r="O355" t="n">
        <v>0</v>
      </c>
      <c r="P355" t="n">
        <v>0</v>
      </c>
      <c r="Q355" t="n">
        <v>0</v>
      </c>
      <c r="R355" s="2" t="inlineStr"/>
    </row>
    <row r="356" ht="15" customHeight="1">
      <c r="A356" t="inlineStr">
        <is>
          <t>A 7953-2024</t>
        </is>
      </c>
      <c r="B356" s="1" t="n">
        <v>45350</v>
      </c>
      <c r="C356" s="1" t="n">
        <v>45884</v>
      </c>
      <c r="D356" t="inlineStr">
        <is>
          <t>VÄSTMANLANDS LÄN</t>
        </is>
      </c>
      <c r="E356" t="inlineStr">
        <is>
          <t>SALA</t>
        </is>
      </c>
      <c r="G356" t="n">
        <v>2.6</v>
      </c>
      <c r="H356" t="n">
        <v>0</v>
      </c>
      <c r="I356" t="n">
        <v>0</v>
      </c>
      <c r="J356" t="n">
        <v>0</v>
      </c>
      <c r="K356" t="n">
        <v>0</v>
      </c>
      <c r="L356" t="n">
        <v>0</v>
      </c>
      <c r="M356" t="n">
        <v>0</v>
      </c>
      <c r="N356" t="n">
        <v>0</v>
      </c>
      <c r="O356" t="n">
        <v>0</v>
      </c>
      <c r="P356" t="n">
        <v>0</v>
      </c>
      <c r="Q356" t="n">
        <v>0</v>
      </c>
      <c r="R356" s="2" t="inlineStr"/>
    </row>
    <row r="357" ht="15" customHeight="1">
      <c r="A357" t="inlineStr">
        <is>
          <t>A 12252-2023</t>
        </is>
      </c>
      <c r="B357" s="1" t="n">
        <v>44995</v>
      </c>
      <c r="C357" s="1" t="n">
        <v>45884</v>
      </c>
      <c r="D357" t="inlineStr">
        <is>
          <t>VÄSTMANLANDS LÄN</t>
        </is>
      </c>
      <c r="E357" t="inlineStr">
        <is>
          <t>SALA</t>
        </is>
      </c>
      <c r="G357" t="n">
        <v>2.6</v>
      </c>
      <c r="H357" t="n">
        <v>0</v>
      </c>
      <c r="I357" t="n">
        <v>0</v>
      </c>
      <c r="J357" t="n">
        <v>0</v>
      </c>
      <c r="K357" t="n">
        <v>0</v>
      </c>
      <c r="L357" t="n">
        <v>0</v>
      </c>
      <c r="M357" t="n">
        <v>0</v>
      </c>
      <c r="N357" t="n">
        <v>0</v>
      </c>
      <c r="O357" t="n">
        <v>0</v>
      </c>
      <c r="P357" t="n">
        <v>0</v>
      </c>
      <c r="Q357" t="n">
        <v>0</v>
      </c>
      <c r="R357" s="2" t="inlineStr"/>
    </row>
    <row r="358" ht="15" customHeight="1">
      <c r="A358" t="inlineStr">
        <is>
          <t>A 30028-2024</t>
        </is>
      </c>
      <c r="B358" s="1" t="n">
        <v>45485</v>
      </c>
      <c r="C358" s="1" t="n">
        <v>45884</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7950-2025</t>
        </is>
      </c>
      <c r="B359" s="1" t="n">
        <v>45707.41799768519</v>
      </c>
      <c r="C359" s="1" t="n">
        <v>45884</v>
      </c>
      <c r="D359" t="inlineStr">
        <is>
          <t>VÄSTMANLANDS LÄN</t>
        </is>
      </c>
      <c r="E359" t="inlineStr">
        <is>
          <t>SALA</t>
        </is>
      </c>
      <c r="G359" t="n">
        <v>3.2</v>
      </c>
      <c r="H359" t="n">
        <v>0</v>
      </c>
      <c r="I359" t="n">
        <v>0</v>
      </c>
      <c r="J359" t="n">
        <v>0</v>
      </c>
      <c r="K359" t="n">
        <v>0</v>
      </c>
      <c r="L359" t="n">
        <v>0</v>
      </c>
      <c r="M359" t="n">
        <v>0</v>
      </c>
      <c r="N359" t="n">
        <v>0</v>
      </c>
      <c r="O359" t="n">
        <v>0</v>
      </c>
      <c r="P359" t="n">
        <v>0</v>
      </c>
      <c r="Q359" t="n">
        <v>0</v>
      </c>
      <c r="R359" s="2" t="inlineStr"/>
    </row>
    <row r="360" ht="15" customHeight="1">
      <c r="A360" t="inlineStr">
        <is>
          <t>A 27657-2023</t>
        </is>
      </c>
      <c r="B360" s="1" t="n">
        <v>45097.76631944445</v>
      </c>
      <c r="C360" s="1" t="n">
        <v>45884</v>
      </c>
      <c r="D360" t="inlineStr">
        <is>
          <t>VÄSTMANLANDS LÄN</t>
        </is>
      </c>
      <c r="E360" t="inlineStr">
        <is>
          <t>SALA</t>
        </is>
      </c>
      <c r="G360" t="n">
        <v>0.1</v>
      </c>
      <c r="H360" t="n">
        <v>0</v>
      </c>
      <c r="I360" t="n">
        <v>0</v>
      </c>
      <c r="J360" t="n">
        <v>0</v>
      </c>
      <c r="K360" t="n">
        <v>0</v>
      </c>
      <c r="L360" t="n">
        <v>0</v>
      </c>
      <c r="M360" t="n">
        <v>0</v>
      </c>
      <c r="N360" t="n">
        <v>0</v>
      </c>
      <c r="O360" t="n">
        <v>0</v>
      </c>
      <c r="P360" t="n">
        <v>0</v>
      </c>
      <c r="Q360" t="n">
        <v>0</v>
      </c>
      <c r="R360" s="2" t="inlineStr"/>
    </row>
    <row r="361" ht="15" customHeight="1">
      <c r="A361" t="inlineStr">
        <is>
          <t>A 13855-2023</t>
        </is>
      </c>
      <c r="B361" s="1" t="n">
        <v>45007</v>
      </c>
      <c r="C361" s="1" t="n">
        <v>45884</v>
      </c>
      <c r="D361" t="inlineStr">
        <is>
          <t>VÄSTMANLANDS LÄN</t>
        </is>
      </c>
      <c r="E361" t="inlineStr">
        <is>
          <t>SALA</t>
        </is>
      </c>
      <c r="G361" t="n">
        <v>2.9</v>
      </c>
      <c r="H361" t="n">
        <v>0</v>
      </c>
      <c r="I361" t="n">
        <v>0</v>
      </c>
      <c r="J361" t="n">
        <v>0</v>
      </c>
      <c r="K361" t="n">
        <v>0</v>
      </c>
      <c r="L361" t="n">
        <v>0</v>
      </c>
      <c r="M361" t="n">
        <v>0</v>
      </c>
      <c r="N361" t="n">
        <v>0</v>
      </c>
      <c r="O361" t="n">
        <v>0</v>
      </c>
      <c r="P361" t="n">
        <v>0</v>
      </c>
      <c r="Q361" t="n">
        <v>0</v>
      </c>
      <c r="R361" s="2" t="inlineStr"/>
    </row>
    <row r="362" ht="15" customHeight="1">
      <c r="A362" t="inlineStr">
        <is>
          <t>A 33309-2022</t>
        </is>
      </c>
      <c r="B362" s="1" t="n">
        <v>44788.40986111111</v>
      </c>
      <c r="C362" s="1" t="n">
        <v>45884</v>
      </c>
      <c r="D362" t="inlineStr">
        <is>
          <t>VÄSTMANLANDS LÄN</t>
        </is>
      </c>
      <c r="E362" t="inlineStr">
        <is>
          <t>SALA</t>
        </is>
      </c>
      <c r="G362" t="n">
        <v>2.6</v>
      </c>
      <c r="H362" t="n">
        <v>0</v>
      </c>
      <c r="I362" t="n">
        <v>0</v>
      </c>
      <c r="J362" t="n">
        <v>0</v>
      </c>
      <c r="K362" t="n">
        <v>0</v>
      </c>
      <c r="L362" t="n">
        <v>0</v>
      </c>
      <c r="M362" t="n">
        <v>0</v>
      </c>
      <c r="N362" t="n">
        <v>0</v>
      </c>
      <c r="O362" t="n">
        <v>0</v>
      </c>
      <c r="P362" t="n">
        <v>0</v>
      </c>
      <c r="Q362" t="n">
        <v>0</v>
      </c>
      <c r="R362" s="2" t="inlineStr"/>
    </row>
    <row r="363" ht="15" customHeight="1">
      <c r="A363" t="inlineStr">
        <is>
          <t>A 47909-2022</t>
        </is>
      </c>
      <c r="B363" s="1" t="n">
        <v>44855</v>
      </c>
      <c r="C363" s="1" t="n">
        <v>45884</v>
      </c>
      <c r="D363" t="inlineStr">
        <is>
          <t>VÄSTMANLANDS LÄN</t>
        </is>
      </c>
      <c r="E363" t="inlineStr">
        <is>
          <t>SALA</t>
        </is>
      </c>
      <c r="F363" t="inlineStr">
        <is>
          <t>Bergvik skog öst AB</t>
        </is>
      </c>
      <c r="G363" t="n">
        <v>2</v>
      </c>
      <c r="H363" t="n">
        <v>0</v>
      </c>
      <c r="I363" t="n">
        <v>0</v>
      </c>
      <c r="J363" t="n">
        <v>0</v>
      </c>
      <c r="K363" t="n">
        <v>0</v>
      </c>
      <c r="L363" t="n">
        <v>0</v>
      </c>
      <c r="M363" t="n">
        <v>0</v>
      </c>
      <c r="N363" t="n">
        <v>0</v>
      </c>
      <c r="O363" t="n">
        <v>0</v>
      </c>
      <c r="P363" t="n">
        <v>0</v>
      </c>
      <c r="Q363" t="n">
        <v>0</v>
      </c>
      <c r="R363" s="2" t="inlineStr"/>
    </row>
    <row r="364" ht="15" customHeight="1">
      <c r="A364" t="inlineStr">
        <is>
          <t>A 3546-2025</t>
        </is>
      </c>
      <c r="B364" s="1" t="n">
        <v>45680</v>
      </c>
      <c r="C364" s="1" t="n">
        <v>45884</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25260-2023</t>
        </is>
      </c>
      <c r="B365" s="1" t="n">
        <v>45086</v>
      </c>
      <c r="C365" s="1" t="n">
        <v>45884</v>
      </c>
      <c r="D365" t="inlineStr">
        <is>
          <t>VÄSTMANLANDS LÄN</t>
        </is>
      </c>
      <c r="E365" t="inlineStr">
        <is>
          <t>SALA</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57404-2024</t>
        </is>
      </c>
      <c r="B366" s="1" t="n">
        <v>45629.71967592592</v>
      </c>
      <c r="C366" s="1" t="n">
        <v>45884</v>
      </c>
      <c r="D366" t="inlineStr">
        <is>
          <t>VÄSTMANLANDS LÄN</t>
        </is>
      </c>
      <c r="E366" t="inlineStr">
        <is>
          <t>SALA</t>
        </is>
      </c>
      <c r="G366" t="n">
        <v>0.3</v>
      </c>
      <c r="H366" t="n">
        <v>0</v>
      </c>
      <c r="I366" t="n">
        <v>0</v>
      </c>
      <c r="J366" t="n">
        <v>0</v>
      </c>
      <c r="K366" t="n">
        <v>0</v>
      </c>
      <c r="L366" t="n">
        <v>0</v>
      </c>
      <c r="M366" t="n">
        <v>0</v>
      </c>
      <c r="N366" t="n">
        <v>0</v>
      </c>
      <c r="O366" t="n">
        <v>0</v>
      </c>
      <c r="P366" t="n">
        <v>0</v>
      </c>
      <c r="Q366" t="n">
        <v>0</v>
      </c>
      <c r="R366" s="2" t="inlineStr"/>
    </row>
    <row r="367" ht="15" customHeight="1">
      <c r="A367" t="inlineStr">
        <is>
          <t>A 7664-2023</t>
        </is>
      </c>
      <c r="B367" s="1" t="n">
        <v>44972</v>
      </c>
      <c r="C367" s="1" t="n">
        <v>45884</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15272-2025</t>
        </is>
      </c>
      <c r="B368" s="1" t="n">
        <v>45744</v>
      </c>
      <c r="C368" s="1" t="n">
        <v>45884</v>
      </c>
      <c r="D368" t="inlineStr">
        <is>
          <t>VÄSTMANLANDS LÄN</t>
        </is>
      </c>
      <c r="E368" t="inlineStr">
        <is>
          <t>SALA</t>
        </is>
      </c>
      <c r="G368" t="n">
        <v>0.7</v>
      </c>
      <c r="H368" t="n">
        <v>0</v>
      </c>
      <c r="I368" t="n">
        <v>0</v>
      </c>
      <c r="J368" t="n">
        <v>0</v>
      </c>
      <c r="K368" t="n">
        <v>0</v>
      </c>
      <c r="L368" t="n">
        <v>0</v>
      </c>
      <c r="M368" t="n">
        <v>0</v>
      </c>
      <c r="N368" t="n">
        <v>0</v>
      </c>
      <c r="O368" t="n">
        <v>0</v>
      </c>
      <c r="P368" t="n">
        <v>0</v>
      </c>
      <c r="Q368" t="n">
        <v>0</v>
      </c>
      <c r="R368" s="2" t="inlineStr"/>
    </row>
    <row r="369" ht="15" customHeight="1">
      <c r="A369" t="inlineStr">
        <is>
          <t>A 13128-2023</t>
        </is>
      </c>
      <c r="B369" s="1" t="n">
        <v>45002</v>
      </c>
      <c r="C369" s="1" t="n">
        <v>45884</v>
      </c>
      <c r="D369" t="inlineStr">
        <is>
          <t>VÄSTMANLANDS LÄN</t>
        </is>
      </c>
      <c r="E369" t="inlineStr">
        <is>
          <t>SALA</t>
        </is>
      </c>
      <c r="G369" t="n">
        <v>7.9</v>
      </c>
      <c r="H369" t="n">
        <v>0</v>
      </c>
      <c r="I369" t="n">
        <v>0</v>
      </c>
      <c r="J369" t="n">
        <v>0</v>
      </c>
      <c r="K369" t="n">
        <v>0</v>
      </c>
      <c r="L369" t="n">
        <v>0</v>
      </c>
      <c r="M369" t="n">
        <v>0</v>
      </c>
      <c r="N369" t="n">
        <v>0</v>
      </c>
      <c r="O369" t="n">
        <v>0</v>
      </c>
      <c r="P369" t="n">
        <v>0</v>
      </c>
      <c r="Q369" t="n">
        <v>0</v>
      </c>
      <c r="R369" s="2" t="inlineStr"/>
    </row>
    <row r="370" ht="15" customHeight="1">
      <c r="A370" t="inlineStr">
        <is>
          <t>A 11183-2023</t>
        </is>
      </c>
      <c r="B370" s="1" t="n">
        <v>44992.57782407408</v>
      </c>
      <c r="C370" s="1" t="n">
        <v>45884</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11190-2023</t>
        </is>
      </c>
      <c r="B371" s="1" t="n">
        <v>44992</v>
      </c>
      <c r="C371" s="1" t="n">
        <v>45884</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53838-2022</t>
        </is>
      </c>
      <c r="B372" s="1" t="n">
        <v>44880.59363425926</v>
      </c>
      <c r="C372" s="1" t="n">
        <v>45884</v>
      </c>
      <c r="D372" t="inlineStr">
        <is>
          <t>VÄSTMANLANDS LÄN</t>
        </is>
      </c>
      <c r="E372" t="inlineStr">
        <is>
          <t>SALA</t>
        </is>
      </c>
      <c r="G372" t="n">
        <v>3.9</v>
      </c>
      <c r="H372" t="n">
        <v>0</v>
      </c>
      <c r="I372" t="n">
        <v>0</v>
      </c>
      <c r="J372" t="n">
        <v>0</v>
      </c>
      <c r="K372" t="n">
        <v>0</v>
      </c>
      <c r="L372" t="n">
        <v>0</v>
      </c>
      <c r="M372" t="n">
        <v>0</v>
      </c>
      <c r="N372" t="n">
        <v>0</v>
      </c>
      <c r="O372" t="n">
        <v>0</v>
      </c>
      <c r="P372" t="n">
        <v>0</v>
      </c>
      <c r="Q372" t="n">
        <v>0</v>
      </c>
      <c r="R372" s="2" t="inlineStr"/>
    </row>
    <row r="373" ht="15" customHeight="1">
      <c r="A373" t="inlineStr">
        <is>
          <t>A 6088-2021</t>
        </is>
      </c>
      <c r="B373" s="1" t="n">
        <v>44232</v>
      </c>
      <c r="C373" s="1" t="n">
        <v>45884</v>
      </c>
      <c r="D373" t="inlineStr">
        <is>
          <t>VÄSTMANLANDS LÄN</t>
        </is>
      </c>
      <c r="E373" t="inlineStr">
        <is>
          <t>SALA</t>
        </is>
      </c>
      <c r="G373" t="n">
        <v>0.2</v>
      </c>
      <c r="H373" t="n">
        <v>0</v>
      </c>
      <c r="I373" t="n">
        <v>0</v>
      </c>
      <c r="J373" t="n">
        <v>0</v>
      </c>
      <c r="K373" t="n">
        <v>0</v>
      </c>
      <c r="L373" t="n">
        <v>0</v>
      </c>
      <c r="M373" t="n">
        <v>0</v>
      </c>
      <c r="N373" t="n">
        <v>0</v>
      </c>
      <c r="O373" t="n">
        <v>0</v>
      </c>
      <c r="P373" t="n">
        <v>0</v>
      </c>
      <c r="Q373" t="n">
        <v>0</v>
      </c>
      <c r="R373" s="2" t="inlineStr"/>
    </row>
    <row r="374" ht="15" customHeight="1">
      <c r="A374" t="inlineStr">
        <is>
          <t>A 53166-2024</t>
        </is>
      </c>
      <c r="B374" s="1" t="n">
        <v>45611</v>
      </c>
      <c r="C374" s="1" t="n">
        <v>45884</v>
      </c>
      <c r="D374" t="inlineStr">
        <is>
          <t>VÄSTMANLANDS LÄN</t>
        </is>
      </c>
      <c r="E374" t="inlineStr">
        <is>
          <t>SALA</t>
        </is>
      </c>
      <c r="G374" t="n">
        <v>1.5</v>
      </c>
      <c r="H374" t="n">
        <v>0</v>
      </c>
      <c r="I374" t="n">
        <v>0</v>
      </c>
      <c r="J374" t="n">
        <v>0</v>
      </c>
      <c r="K374" t="n">
        <v>0</v>
      </c>
      <c r="L374" t="n">
        <v>0</v>
      </c>
      <c r="M374" t="n">
        <v>0</v>
      </c>
      <c r="N374" t="n">
        <v>0</v>
      </c>
      <c r="O374" t="n">
        <v>0</v>
      </c>
      <c r="P374" t="n">
        <v>0</v>
      </c>
      <c r="Q374" t="n">
        <v>0</v>
      </c>
      <c r="R374" s="2" t="inlineStr"/>
    </row>
    <row r="375" ht="15" customHeight="1">
      <c r="A375" t="inlineStr">
        <is>
          <t>A 28827-2022</t>
        </is>
      </c>
      <c r="B375" s="1" t="n">
        <v>44749.45561342593</v>
      </c>
      <c r="C375" s="1" t="n">
        <v>45884</v>
      </c>
      <c r="D375" t="inlineStr">
        <is>
          <t>VÄSTMANLANDS LÄN</t>
        </is>
      </c>
      <c r="E375" t="inlineStr">
        <is>
          <t>SALA</t>
        </is>
      </c>
      <c r="F375" t="inlineStr">
        <is>
          <t>Kommuner</t>
        </is>
      </c>
      <c r="G375" t="n">
        <v>11.9</v>
      </c>
      <c r="H375" t="n">
        <v>0</v>
      </c>
      <c r="I375" t="n">
        <v>0</v>
      </c>
      <c r="J375" t="n">
        <v>0</v>
      </c>
      <c r="K375" t="n">
        <v>0</v>
      </c>
      <c r="L375" t="n">
        <v>0</v>
      </c>
      <c r="M375" t="n">
        <v>0</v>
      </c>
      <c r="N375" t="n">
        <v>0</v>
      </c>
      <c r="O375" t="n">
        <v>0</v>
      </c>
      <c r="P375" t="n">
        <v>0</v>
      </c>
      <c r="Q375" t="n">
        <v>0</v>
      </c>
      <c r="R375" s="2" t="inlineStr"/>
    </row>
    <row r="376" ht="15" customHeight="1">
      <c r="A376" t="inlineStr">
        <is>
          <t>A 17866-2025</t>
        </is>
      </c>
      <c r="B376" s="1" t="n">
        <v>45758</v>
      </c>
      <c r="C376" s="1" t="n">
        <v>45884</v>
      </c>
      <c r="D376" t="inlineStr">
        <is>
          <t>VÄSTMANLANDS LÄN</t>
        </is>
      </c>
      <c r="E376" t="inlineStr">
        <is>
          <t>SALA</t>
        </is>
      </c>
      <c r="F376" t="inlineStr">
        <is>
          <t>Bergvik skog öst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24864-2024</t>
        </is>
      </c>
      <c r="B377" s="1" t="n">
        <v>45461.48888888889</v>
      </c>
      <c r="C377" s="1" t="n">
        <v>45884</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54836-2024</t>
        </is>
      </c>
      <c r="B378" s="1" t="n">
        <v>45618</v>
      </c>
      <c r="C378" s="1" t="n">
        <v>45884</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64729-2023</t>
        </is>
      </c>
      <c r="B379" s="1" t="n">
        <v>45281</v>
      </c>
      <c r="C379" s="1" t="n">
        <v>45884</v>
      </c>
      <c r="D379" t="inlineStr">
        <is>
          <t>VÄSTMANLANDS LÄN</t>
        </is>
      </c>
      <c r="E379" t="inlineStr">
        <is>
          <t>SALA</t>
        </is>
      </c>
      <c r="G379" t="n">
        <v>1.8</v>
      </c>
      <c r="H379" t="n">
        <v>0</v>
      </c>
      <c r="I379" t="n">
        <v>0</v>
      </c>
      <c r="J379" t="n">
        <v>0</v>
      </c>
      <c r="K379" t="n">
        <v>0</v>
      </c>
      <c r="L379" t="n">
        <v>0</v>
      </c>
      <c r="M379" t="n">
        <v>0</v>
      </c>
      <c r="N379" t="n">
        <v>0</v>
      </c>
      <c r="O379" t="n">
        <v>0</v>
      </c>
      <c r="P379" t="n">
        <v>0</v>
      </c>
      <c r="Q379" t="n">
        <v>0</v>
      </c>
      <c r="R379" s="2" t="inlineStr"/>
    </row>
    <row r="380" ht="15" customHeight="1">
      <c r="A380" t="inlineStr">
        <is>
          <t>A 10585-2022</t>
        </is>
      </c>
      <c r="B380" s="1" t="n">
        <v>44624</v>
      </c>
      <c r="C380" s="1" t="n">
        <v>45884</v>
      </c>
      <c r="D380" t="inlineStr">
        <is>
          <t>VÄSTMANLANDS LÄN</t>
        </is>
      </c>
      <c r="E380" t="inlineStr">
        <is>
          <t>SALA</t>
        </is>
      </c>
      <c r="G380" t="n">
        <v>2</v>
      </c>
      <c r="H380" t="n">
        <v>0</v>
      </c>
      <c r="I380" t="n">
        <v>0</v>
      </c>
      <c r="J380" t="n">
        <v>0</v>
      </c>
      <c r="K380" t="n">
        <v>0</v>
      </c>
      <c r="L380" t="n">
        <v>0</v>
      </c>
      <c r="M380" t="n">
        <v>0</v>
      </c>
      <c r="N380" t="n">
        <v>0</v>
      </c>
      <c r="O380" t="n">
        <v>0</v>
      </c>
      <c r="P380" t="n">
        <v>0</v>
      </c>
      <c r="Q380" t="n">
        <v>0</v>
      </c>
      <c r="R380" s="2" t="inlineStr"/>
    </row>
    <row r="381" ht="15" customHeight="1">
      <c r="A381" t="inlineStr">
        <is>
          <t>A 42344-2020</t>
        </is>
      </c>
      <c r="B381" s="1" t="n">
        <v>44076</v>
      </c>
      <c r="C381" s="1" t="n">
        <v>45884</v>
      </c>
      <c r="D381" t="inlineStr">
        <is>
          <t>VÄSTMANLANDS LÄN</t>
        </is>
      </c>
      <c r="E381" t="inlineStr">
        <is>
          <t>SALA</t>
        </is>
      </c>
      <c r="G381" t="n">
        <v>5.1</v>
      </c>
      <c r="H381" t="n">
        <v>0</v>
      </c>
      <c r="I381" t="n">
        <v>0</v>
      </c>
      <c r="J381" t="n">
        <v>0</v>
      </c>
      <c r="K381" t="n">
        <v>0</v>
      </c>
      <c r="L381" t="n">
        <v>0</v>
      </c>
      <c r="M381" t="n">
        <v>0</v>
      </c>
      <c r="N381" t="n">
        <v>0</v>
      </c>
      <c r="O381" t="n">
        <v>0</v>
      </c>
      <c r="P381" t="n">
        <v>0</v>
      </c>
      <c r="Q381" t="n">
        <v>0</v>
      </c>
      <c r="R381" s="2" t="inlineStr"/>
    </row>
    <row r="382" ht="15" customHeight="1">
      <c r="A382" t="inlineStr">
        <is>
          <t>A 42346-2020</t>
        </is>
      </c>
      <c r="B382" s="1" t="n">
        <v>44076</v>
      </c>
      <c r="C382" s="1" t="n">
        <v>45884</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22523-2023</t>
        </is>
      </c>
      <c r="B383" s="1" t="n">
        <v>45069</v>
      </c>
      <c r="C383" s="1" t="n">
        <v>45884</v>
      </c>
      <c r="D383" t="inlineStr">
        <is>
          <t>VÄSTMANLANDS LÄN</t>
        </is>
      </c>
      <c r="E383" t="inlineStr">
        <is>
          <t>SALA</t>
        </is>
      </c>
      <c r="G383" t="n">
        <v>2.4</v>
      </c>
      <c r="H383" t="n">
        <v>0</v>
      </c>
      <c r="I383" t="n">
        <v>0</v>
      </c>
      <c r="J383" t="n">
        <v>0</v>
      </c>
      <c r="K383" t="n">
        <v>0</v>
      </c>
      <c r="L383" t="n">
        <v>0</v>
      </c>
      <c r="M383" t="n">
        <v>0</v>
      </c>
      <c r="N383" t="n">
        <v>0</v>
      </c>
      <c r="O383" t="n">
        <v>0</v>
      </c>
      <c r="P383" t="n">
        <v>0</v>
      </c>
      <c r="Q383" t="n">
        <v>0</v>
      </c>
      <c r="R383" s="2" t="inlineStr"/>
    </row>
    <row r="384" ht="15" customHeight="1">
      <c r="A384" t="inlineStr">
        <is>
          <t>A 31609-2024</t>
        </is>
      </c>
      <c r="B384" s="1" t="n">
        <v>45506</v>
      </c>
      <c r="C384" s="1" t="n">
        <v>45884</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24755-2021</t>
        </is>
      </c>
      <c r="B385" s="1" t="n">
        <v>44340</v>
      </c>
      <c r="C385" s="1" t="n">
        <v>45884</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56057-2023</t>
        </is>
      </c>
      <c r="B386" s="1" t="n">
        <v>45233</v>
      </c>
      <c r="C386" s="1" t="n">
        <v>45884</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61717-2024</t>
        </is>
      </c>
      <c r="B387" s="1" t="n">
        <v>45648</v>
      </c>
      <c r="C387" s="1" t="n">
        <v>45884</v>
      </c>
      <c r="D387" t="inlineStr">
        <is>
          <t>VÄSTMANLANDS LÄN</t>
        </is>
      </c>
      <c r="E387" t="inlineStr">
        <is>
          <t>SALA</t>
        </is>
      </c>
      <c r="G387" t="n">
        <v>3.7</v>
      </c>
      <c r="H387" t="n">
        <v>0</v>
      </c>
      <c r="I387" t="n">
        <v>0</v>
      </c>
      <c r="J387" t="n">
        <v>0</v>
      </c>
      <c r="K387" t="n">
        <v>0</v>
      </c>
      <c r="L387" t="n">
        <v>0</v>
      </c>
      <c r="M387" t="n">
        <v>0</v>
      </c>
      <c r="N387" t="n">
        <v>0</v>
      </c>
      <c r="O387" t="n">
        <v>0</v>
      </c>
      <c r="P387" t="n">
        <v>0</v>
      </c>
      <c r="Q387" t="n">
        <v>0</v>
      </c>
      <c r="R387" s="2" t="inlineStr"/>
    </row>
    <row r="388" ht="15" customHeight="1">
      <c r="A388" t="inlineStr">
        <is>
          <t>A 17495-2024</t>
        </is>
      </c>
      <c r="B388" s="1" t="n">
        <v>45415</v>
      </c>
      <c r="C388" s="1" t="n">
        <v>45884</v>
      </c>
      <c r="D388" t="inlineStr">
        <is>
          <t>VÄSTMANLANDS LÄN</t>
        </is>
      </c>
      <c r="E388" t="inlineStr">
        <is>
          <t>SALA</t>
        </is>
      </c>
      <c r="G388" t="n">
        <v>3.1</v>
      </c>
      <c r="H388" t="n">
        <v>0</v>
      </c>
      <c r="I388" t="n">
        <v>0</v>
      </c>
      <c r="J388" t="n">
        <v>0</v>
      </c>
      <c r="K388" t="n">
        <v>0</v>
      </c>
      <c r="L388" t="n">
        <v>0</v>
      </c>
      <c r="M388" t="n">
        <v>0</v>
      </c>
      <c r="N388" t="n">
        <v>0</v>
      </c>
      <c r="O388" t="n">
        <v>0</v>
      </c>
      <c r="P388" t="n">
        <v>0</v>
      </c>
      <c r="Q388" t="n">
        <v>0</v>
      </c>
      <c r="R388" s="2" t="inlineStr"/>
    </row>
    <row r="389" ht="15" customHeight="1">
      <c r="A389" t="inlineStr">
        <is>
          <t>A 62635-2022</t>
        </is>
      </c>
      <c r="B389" s="1" t="n">
        <v>44917</v>
      </c>
      <c r="C389" s="1" t="n">
        <v>45884</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4852-2023</t>
        </is>
      </c>
      <c r="B390" s="1" t="n">
        <v>44957.72496527778</v>
      </c>
      <c r="C390" s="1" t="n">
        <v>45884</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39714-2023</t>
        </is>
      </c>
      <c r="B391" s="1" t="n">
        <v>45167.62133101852</v>
      </c>
      <c r="C391" s="1" t="n">
        <v>45884</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42984-2023</t>
        </is>
      </c>
      <c r="B392" s="1" t="n">
        <v>45179</v>
      </c>
      <c r="C392" s="1" t="n">
        <v>45884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28696-2023</t>
        </is>
      </c>
      <c r="B393" s="1" t="n">
        <v>45103.71759259259</v>
      </c>
      <c r="C393" s="1" t="n">
        <v>45884</v>
      </c>
      <c r="D393" t="inlineStr">
        <is>
          <t>VÄSTMANLANDS LÄN</t>
        </is>
      </c>
      <c r="E393" t="inlineStr">
        <is>
          <t>SALA</t>
        </is>
      </c>
      <c r="F393" t="inlineStr">
        <is>
          <t>Kommuner</t>
        </is>
      </c>
      <c r="G393" t="n">
        <v>5.9</v>
      </c>
      <c r="H393" t="n">
        <v>0</v>
      </c>
      <c r="I393" t="n">
        <v>0</v>
      </c>
      <c r="J393" t="n">
        <v>0</v>
      </c>
      <c r="K393" t="n">
        <v>0</v>
      </c>
      <c r="L393" t="n">
        <v>0</v>
      </c>
      <c r="M393" t="n">
        <v>0</v>
      </c>
      <c r="N393" t="n">
        <v>0</v>
      </c>
      <c r="O393" t="n">
        <v>0</v>
      </c>
      <c r="P393" t="n">
        <v>0</v>
      </c>
      <c r="Q393" t="n">
        <v>0</v>
      </c>
      <c r="R393" s="2" t="inlineStr"/>
    </row>
    <row r="394" ht="15" customHeight="1">
      <c r="A394" t="inlineStr">
        <is>
          <t>A 38636-2024</t>
        </is>
      </c>
      <c r="B394" s="1" t="n">
        <v>45546</v>
      </c>
      <c r="C394" s="1" t="n">
        <v>45884</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6691-2025</t>
        </is>
      </c>
      <c r="B395" s="1" t="n">
        <v>45700.50625</v>
      </c>
      <c r="C395" s="1" t="n">
        <v>45884</v>
      </c>
      <c r="D395" t="inlineStr">
        <is>
          <t>VÄSTMANLANDS LÄN</t>
        </is>
      </c>
      <c r="E395" t="inlineStr">
        <is>
          <t>SALA</t>
        </is>
      </c>
      <c r="G395" t="n">
        <v>2.1</v>
      </c>
      <c r="H395" t="n">
        <v>0</v>
      </c>
      <c r="I395" t="n">
        <v>0</v>
      </c>
      <c r="J395" t="n">
        <v>0</v>
      </c>
      <c r="K395" t="n">
        <v>0</v>
      </c>
      <c r="L395" t="n">
        <v>0</v>
      </c>
      <c r="M395" t="n">
        <v>0</v>
      </c>
      <c r="N395" t="n">
        <v>0</v>
      </c>
      <c r="O395" t="n">
        <v>0</v>
      </c>
      <c r="P395" t="n">
        <v>0</v>
      </c>
      <c r="Q395" t="n">
        <v>0</v>
      </c>
      <c r="R395" s="2" t="inlineStr"/>
    </row>
    <row r="396" ht="15" customHeight="1">
      <c r="A396" t="inlineStr">
        <is>
          <t>A 1934-2023</t>
        </is>
      </c>
      <c r="B396" s="1" t="n">
        <v>44939.43024305555</v>
      </c>
      <c r="C396" s="1" t="n">
        <v>45884</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35519-2024</t>
        </is>
      </c>
      <c r="B397" s="1" t="n">
        <v>45531</v>
      </c>
      <c r="C397" s="1" t="n">
        <v>45884</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56535-2022</t>
        </is>
      </c>
      <c r="B398" s="1" t="n">
        <v>44893.47173611111</v>
      </c>
      <c r="C398" s="1" t="n">
        <v>45884</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50241-2023</t>
        </is>
      </c>
      <c r="B399" s="1" t="n">
        <v>45216</v>
      </c>
      <c r="C399" s="1" t="n">
        <v>45884</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30971-2022</t>
        </is>
      </c>
      <c r="B400" s="1" t="n">
        <v>44768.46725694444</v>
      </c>
      <c r="C400" s="1" t="n">
        <v>45884</v>
      </c>
      <c r="D400" t="inlineStr">
        <is>
          <t>VÄSTMANLANDS LÄN</t>
        </is>
      </c>
      <c r="E400" t="inlineStr">
        <is>
          <t>SALA</t>
        </is>
      </c>
      <c r="G400" t="n">
        <v>2.4</v>
      </c>
      <c r="H400" t="n">
        <v>0</v>
      </c>
      <c r="I400" t="n">
        <v>0</v>
      </c>
      <c r="J400" t="n">
        <v>0</v>
      </c>
      <c r="K400" t="n">
        <v>0</v>
      </c>
      <c r="L400" t="n">
        <v>0</v>
      </c>
      <c r="M400" t="n">
        <v>0</v>
      </c>
      <c r="N400" t="n">
        <v>0</v>
      </c>
      <c r="O400" t="n">
        <v>0</v>
      </c>
      <c r="P400" t="n">
        <v>0</v>
      </c>
      <c r="Q400" t="n">
        <v>0</v>
      </c>
      <c r="R400" s="2" t="inlineStr"/>
    </row>
    <row r="401" ht="15" customHeight="1">
      <c r="A401" t="inlineStr">
        <is>
          <t>A 35637-2022</t>
        </is>
      </c>
      <c r="B401" s="1" t="n">
        <v>44799.55194444444</v>
      </c>
      <c r="C401" s="1" t="n">
        <v>45884</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19304-2025</t>
        </is>
      </c>
      <c r="B402" s="1" t="n">
        <v>45769</v>
      </c>
      <c r="C402" s="1" t="n">
        <v>45884</v>
      </c>
      <c r="D402" t="inlineStr">
        <is>
          <t>VÄSTMANLANDS LÄN</t>
        </is>
      </c>
      <c r="E402" t="inlineStr">
        <is>
          <t>SALA</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27038-2023</t>
        </is>
      </c>
      <c r="B403" s="1" t="n">
        <v>45095</v>
      </c>
      <c r="C403" s="1" t="n">
        <v>45884</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60550-2024</t>
        </is>
      </c>
      <c r="B404" s="1" t="n">
        <v>45643</v>
      </c>
      <c r="C404" s="1" t="n">
        <v>45884</v>
      </c>
      <c r="D404" t="inlineStr">
        <is>
          <t>VÄSTMANLANDS LÄN</t>
        </is>
      </c>
      <c r="E404" t="inlineStr">
        <is>
          <t>SALA</t>
        </is>
      </c>
      <c r="G404" t="n">
        <v>0.6</v>
      </c>
      <c r="H404" t="n">
        <v>0</v>
      </c>
      <c r="I404" t="n">
        <v>0</v>
      </c>
      <c r="J404" t="n">
        <v>0</v>
      </c>
      <c r="K404" t="n">
        <v>0</v>
      </c>
      <c r="L404" t="n">
        <v>0</v>
      </c>
      <c r="M404" t="n">
        <v>0</v>
      </c>
      <c r="N404" t="n">
        <v>0</v>
      </c>
      <c r="O404" t="n">
        <v>0</v>
      </c>
      <c r="P404" t="n">
        <v>0</v>
      </c>
      <c r="Q404" t="n">
        <v>0</v>
      </c>
      <c r="R404" s="2" t="inlineStr"/>
    </row>
    <row r="405" ht="15" customHeight="1">
      <c r="A405" t="inlineStr">
        <is>
          <t>A 23182-2022</t>
        </is>
      </c>
      <c r="B405" s="1" t="n">
        <v>44719.79707175926</v>
      </c>
      <c r="C405" s="1" t="n">
        <v>45884</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13746-2025</t>
        </is>
      </c>
      <c r="B406" s="1" t="n">
        <v>45737.40944444444</v>
      </c>
      <c r="C406" s="1" t="n">
        <v>45884</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39818-2020</t>
        </is>
      </c>
      <c r="B407" s="1" t="n">
        <v>44067</v>
      </c>
      <c r="C407" s="1" t="n">
        <v>45884</v>
      </c>
      <c r="D407" t="inlineStr">
        <is>
          <t>VÄSTMANLANDS LÄN</t>
        </is>
      </c>
      <c r="E407" t="inlineStr">
        <is>
          <t>SALA</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29230-2022</t>
        </is>
      </c>
      <c r="B408" s="1" t="n">
        <v>44750</v>
      </c>
      <c r="C408" s="1" t="n">
        <v>45884</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59175-2022</t>
        </is>
      </c>
      <c r="B409" s="1" t="n">
        <v>44904.48502314815</v>
      </c>
      <c r="C409" s="1" t="n">
        <v>45884</v>
      </c>
      <c r="D409" t="inlineStr">
        <is>
          <t>VÄSTMANLANDS LÄN</t>
        </is>
      </c>
      <c r="E409" t="inlineStr">
        <is>
          <t>SALA</t>
        </is>
      </c>
      <c r="G409" t="n">
        <v>2.1</v>
      </c>
      <c r="H409" t="n">
        <v>0</v>
      </c>
      <c r="I409" t="n">
        <v>0</v>
      </c>
      <c r="J409" t="n">
        <v>0</v>
      </c>
      <c r="K409" t="n">
        <v>0</v>
      </c>
      <c r="L409" t="n">
        <v>0</v>
      </c>
      <c r="M409" t="n">
        <v>0</v>
      </c>
      <c r="N409" t="n">
        <v>0</v>
      </c>
      <c r="O409" t="n">
        <v>0</v>
      </c>
      <c r="P409" t="n">
        <v>0</v>
      </c>
      <c r="Q409" t="n">
        <v>0</v>
      </c>
      <c r="R409" s="2" t="inlineStr"/>
    </row>
    <row r="410" ht="15" customHeight="1">
      <c r="A410" t="inlineStr">
        <is>
          <t>A 19381-2025</t>
        </is>
      </c>
      <c r="B410" s="1" t="n">
        <v>45769</v>
      </c>
      <c r="C410" s="1" t="n">
        <v>45884</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42938-2023</t>
        </is>
      </c>
      <c r="B411" s="1" t="n">
        <v>45179</v>
      </c>
      <c r="C411" s="1" t="n">
        <v>45884</v>
      </c>
      <c r="D411" t="inlineStr">
        <is>
          <t>VÄSTMANLANDS LÄN</t>
        </is>
      </c>
      <c r="E411" t="inlineStr">
        <is>
          <t>SALA</t>
        </is>
      </c>
      <c r="G411" t="n">
        <v>10.9</v>
      </c>
      <c r="H411" t="n">
        <v>0</v>
      </c>
      <c r="I411" t="n">
        <v>0</v>
      </c>
      <c r="J411" t="n">
        <v>0</v>
      </c>
      <c r="K411" t="n">
        <v>0</v>
      </c>
      <c r="L411" t="n">
        <v>0</v>
      </c>
      <c r="M411" t="n">
        <v>0</v>
      </c>
      <c r="N411" t="n">
        <v>0</v>
      </c>
      <c r="O411" t="n">
        <v>0</v>
      </c>
      <c r="P411" t="n">
        <v>0</v>
      </c>
      <c r="Q411" t="n">
        <v>0</v>
      </c>
      <c r="R411" s="2" t="inlineStr"/>
    </row>
    <row r="412" ht="15" customHeight="1">
      <c r="A412" t="inlineStr">
        <is>
          <t>A 19222-2025</t>
        </is>
      </c>
      <c r="B412" s="1" t="n">
        <v>45769</v>
      </c>
      <c r="C412" s="1" t="n">
        <v>45884</v>
      </c>
      <c r="D412" t="inlineStr">
        <is>
          <t>VÄSTMANLANDS LÄN</t>
        </is>
      </c>
      <c r="E412" t="inlineStr">
        <is>
          <t>SALA</t>
        </is>
      </c>
      <c r="G412" t="n">
        <v>1.8</v>
      </c>
      <c r="H412" t="n">
        <v>0</v>
      </c>
      <c r="I412" t="n">
        <v>0</v>
      </c>
      <c r="J412" t="n">
        <v>0</v>
      </c>
      <c r="K412" t="n">
        <v>0</v>
      </c>
      <c r="L412" t="n">
        <v>0</v>
      </c>
      <c r="M412" t="n">
        <v>0</v>
      </c>
      <c r="N412" t="n">
        <v>0</v>
      </c>
      <c r="O412" t="n">
        <v>0</v>
      </c>
      <c r="P412" t="n">
        <v>0</v>
      </c>
      <c r="Q412" t="n">
        <v>0</v>
      </c>
      <c r="R412" s="2" t="inlineStr"/>
    </row>
    <row r="413" ht="15" customHeight="1">
      <c r="A413" t="inlineStr">
        <is>
          <t>A 19241-2025</t>
        </is>
      </c>
      <c r="B413" s="1" t="n">
        <v>45769</v>
      </c>
      <c r="C413" s="1" t="n">
        <v>45884</v>
      </c>
      <c r="D413" t="inlineStr">
        <is>
          <t>VÄSTMANLANDS LÄN</t>
        </is>
      </c>
      <c r="E413" t="inlineStr">
        <is>
          <t>SALA</t>
        </is>
      </c>
      <c r="G413" t="n">
        <v>3.6</v>
      </c>
      <c r="H413" t="n">
        <v>0</v>
      </c>
      <c r="I413" t="n">
        <v>0</v>
      </c>
      <c r="J413" t="n">
        <v>0</v>
      </c>
      <c r="K413" t="n">
        <v>0</v>
      </c>
      <c r="L413" t="n">
        <v>0</v>
      </c>
      <c r="M413" t="n">
        <v>0</v>
      </c>
      <c r="N413" t="n">
        <v>0</v>
      </c>
      <c r="O413" t="n">
        <v>0</v>
      </c>
      <c r="P413" t="n">
        <v>0</v>
      </c>
      <c r="Q413" t="n">
        <v>0</v>
      </c>
      <c r="R413" s="2" t="inlineStr"/>
    </row>
    <row r="414" ht="15" customHeight="1">
      <c r="A414" t="inlineStr">
        <is>
          <t>A 31859-2023</t>
        </is>
      </c>
      <c r="B414" s="1" t="n">
        <v>45118</v>
      </c>
      <c r="C414" s="1" t="n">
        <v>45884</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c r="U414">
        <f>HYPERLINK("https://klasma.github.io/Logging_1981/knärot/A 31859-2023 karta knärot.png", "A 31859-2023")</f>
        <v/>
      </c>
      <c r="V414">
        <f>HYPERLINK("https://klasma.github.io/Logging_1981/klagomål/A 31859-2023 FSC-klagomål.docx", "A 31859-2023")</f>
        <v/>
      </c>
      <c r="W414">
        <f>HYPERLINK("https://klasma.github.io/Logging_1981/klagomålsmail/A 31859-2023 FSC-klagomål mail.docx", "A 31859-2023")</f>
        <v/>
      </c>
      <c r="X414">
        <f>HYPERLINK("https://klasma.github.io/Logging_1981/tillsyn/A 31859-2023 tillsynsbegäran.docx", "A 31859-2023")</f>
        <v/>
      </c>
      <c r="Y414">
        <f>HYPERLINK("https://klasma.github.io/Logging_1981/tillsynsmail/A 31859-2023 tillsynsbegäran mail.docx", "A 31859-2023")</f>
        <v/>
      </c>
    </row>
    <row r="415" ht="15" customHeight="1">
      <c r="A415" t="inlineStr">
        <is>
          <t>A 7469-2025</t>
        </is>
      </c>
      <c r="B415" s="1" t="n">
        <v>45705</v>
      </c>
      <c r="C415" s="1" t="n">
        <v>45884</v>
      </c>
      <c r="D415" t="inlineStr">
        <is>
          <t>VÄSTMANLANDS LÄN</t>
        </is>
      </c>
      <c r="E415" t="inlineStr">
        <is>
          <t>SALA</t>
        </is>
      </c>
      <c r="G415" t="n">
        <v>2.1</v>
      </c>
      <c r="H415" t="n">
        <v>0</v>
      </c>
      <c r="I415" t="n">
        <v>0</v>
      </c>
      <c r="J415" t="n">
        <v>0</v>
      </c>
      <c r="K415" t="n">
        <v>0</v>
      </c>
      <c r="L415" t="n">
        <v>0</v>
      </c>
      <c r="M415" t="n">
        <v>0</v>
      </c>
      <c r="N415" t="n">
        <v>0</v>
      </c>
      <c r="O415" t="n">
        <v>0</v>
      </c>
      <c r="P415" t="n">
        <v>0</v>
      </c>
      <c r="Q415" t="n">
        <v>0</v>
      </c>
      <c r="R415" s="2" t="inlineStr"/>
    </row>
    <row r="416" ht="15" customHeight="1">
      <c r="A416" t="inlineStr">
        <is>
          <t>A 60823-2024</t>
        </is>
      </c>
      <c r="B416" s="1" t="n">
        <v>45644</v>
      </c>
      <c r="C416" s="1" t="n">
        <v>45884</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60034-2024</t>
        </is>
      </c>
      <c r="B417" s="1" t="n">
        <v>45642.46261574074</v>
      </c>
      <c r="C417" s="1" t="n">
        <v>45884</v>
      </c>
      <c r="D417" t="inlineStr">
        <is>
          <t>VÄSTMANLANDS LÄN</t>
        </is>
      </c>
      <c r="E417" t="inlineStr">
        <is>
          <t>SALA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61681-2024</t>
        </is>
      </c>
      <c r="B418" s="1" t="n">
        <v>45647</v>
      </c>
      <c r="C418" s="1" t="n">
        <v>45884</v>
      </c>
      <c r="D418" t="inlineStr">
        <is>
          <t>VÄSTMANLANDS LÄN</t>
        </is>
      </c>
      <c r="E418" t="inlineStr">
        <is>
          <t>SALA</t>
        </is>
      </c>
      <c r="F418" t="inlineStr">
        <is>
          <t>Kommuner</t>
        </is>
      </c>
      <c r="G418" t="n">
        <v>1</v>
      </c>
      <c r="H418" t="n">
        <v>0</v>
      </c>
      <c r="I418" t="n">
        <v>0</v>
      </c>
      <c r="J418" t="n">
        <v>0</v>
      </c>
      <c r="K418" t="n">
        <v>0</v>
      </c>
      <c r="L418" t="n">
        <v>0</v>
      </c>
      <c r="M418" t="n">
        <v>0</v>
      </c>
      <c r="N418" t="n">
        <v>0</v>
      </c>
      <c r="O418" t="n">
        <v>0</v>
      </c>
      <c r="P418" t="n">
        <v>0</v>
      </c>
      <c r="Q418" t="n">
        <v>0</v>
      </c>
      <c r="R418" s="2" t="inlineStr"/>
    </row>
    <row r="419" ht="15" customHeight="1">
      <c r="A419" t="inlineStr">
        <is>
          <t>A 34867-2023</t>
        </is>
      </c>
      <c r="B419" s="1" t="n">
        <v>45142.33481481481</v>
      </c>
      <c r="C419" s="1" t="n">
        <v>45884</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11631-2023</t>
        </is>
      </c>
      <c r="B420" s="1" t="n">
        <v>44994.44001157407</v>
      </c>
      <c r="C420" s="1" t="n">
        <v>45884</v>
      </c>
      <c r="D420" t="inlineStr">
        <is>
          <t>VÄSTMANLANDS LÄN</t>
        </is>
      </c>
      <c r="E420" t="inlineStr">
        <is>
          <t>SALA</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8775-2024</t>
        </is>
      </c>
      <c r="B421" s="1" t="n">
        <v>45356</v>
      </c>
      <c r="C421" s="1" t="n">
        <v>45884</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49661-2024</t>
        </is>
      </c>
      <c r="B422" s="1" t="n">
        <v>45596</v>
      </c>
      <c r="C422" s="1" t="n">
        <v>45884</v>
      </c>
      <c r="D422" t="inlineStr">
        <is>
          <t>VÄSTMANLANDS LÄN</t>
        </is>
      </c>
      <c r="E422" t="inlineStr">
        <is>
          <t>SALA</t>
        </is>
      </c>
      <c r="G422" t="n">
        <v>6.7</v>
      </c>
      <c r="H422" t="n">
        <v>0</v>
      </c>
      <c r="I422" t="n">
        <v>0</v>
      </c>
      <c r="J422" t="n">
        <v>0</v>
      </c>
      <c r="K422" t="n">
        <v>0</v>
      </c>
      <c r="L422" t="n">
        <v>0</v>
      </c>
      <c r="M422" t="n">
        <v>0</v>
      </c>
      <c r="N422" t="n">
        <v>0</v>
      </c>
      <c r="O422" t="n">
        <v>0</v>
      </c>
      <c r="P422" t="n">
        <v>0</v>
      </c>
      <c r="Q422" t="n">
        <v>0</v>
      </c>
      <c r="R422" s="2" t="inlineStr"/>
    </row>
    <row r="423" ht="15" customHeight="1">
      <c r="A423" t="inlineStr">
        <is>
          <t>A 48710-2024</t>
        </is>
      </c>
      <c r="B423" s="1" t="n">
        <v>45593.53636574074</v>
      </c>
      <c r="C423" s="1" t="n">
        <v>45884</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59297-2023</t>
        </is>
      </c>
      <c r="B424" s="1" t="n">
        <v>45253</v>
      </c>
      <c r="C424" s="1" t="n">
        <v>45884</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16404-2022</t>
        </is>
      </c>
      <c r="B425" s="1" t="n">
        <v>44671</v>
      </c>
      <c r="C425" s="1" t="n">
        <v>45884</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15965-2024</t>
        </is>
      </c>
      <c r="B426" s="1" t="n">
        <v>45405.55740740741</v>
      </c>
      <c r="C426" s="1" t="n">
        <v>45884</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50818-2020</t>
        </is>
      </c>
      <c r="B427" s="1" t="n">
        <v>44111</v>
      </c>
      <c r="C427" s="1" t="n">
        <v>45884</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24248-2023</t>
        </is>
      </c>
      <c r="B428" s="1" t="n">
        <v>45079</v>
      </c>
      <c r="C428" s="1" t="n">
        <v>45884</v>
      </c>
      <c r="D428" t="inlineStr">
        <is>
          <t>VÄSTMANLANDS LÄN</t>
        </is>
      </c>
      <c r="E428" t="inlineStr">
        <is>
          <t>SALA</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55107-2024</t>
        </is>
      </c>
      <c r="B429" s="1" t="n">
        <v>45618</v>
      </c>
      <c r="C429" s="1" t="n">
        <v>45884</v>
      </c>
      <c r="D429" t="inlineStr">
        <is>
          <t>VÄSTMANLANDS LÄN</t>
        </is>
      </c>
      <c r="E429" t="inlineStr">
        <is>
          <t>SALA</t>
        </is>
      </c>
      <c r="G429" t="n">
        <v>5.9</v>
      </c>
      <c r="H429" t="n">
        <v>0</v>
      </c>
      <c r="I429" t="n">
        <v>0</v>
      </c>
      <c r="J429" t="n">
        <v>0</v>
      </c>
      <c r="K429" t="n">
        <v>0</v>
      </c>
      <c r="L429" t="n">
        <v>0</v>
      </c>
      <c r="M429" t="n">
        <v>0</v>
      </c>
      <c r="N429" t="n">
        <v>0</v>
      </c>
      <c r="O429" t="n">
        <v>0</v>
      </c>
      <c r="P429" t="n">
        <v>0</v>
      </c>
      <c r="Q429" t="n">
        <v>0</v>
      </c>
      <c r="R429" s="2" t="inlineStr"/>
    </row>
    <row r="430" ht="15" customHeight="1">
      <c r="A430" t="inlineStr">
        <is>
          <t>A 10559-2024</t>
        </is>
      </c>
      <c r="B430" s="1" t="n">
        <v>45366</v>
      </c>
      <c r="C430" s="1" t="n">
        <v>45884</v>
      </c>
      <c r="D430" t="inlineStr">
        <is>
          <t>VÄSTMANLANDS LÄN</t>
        </is>
      </c>
      <c r="E430" t="inlineStr">
        <is>
          <t>SALA</t>
        </is>
      </c>
      <c r="G430" t="n">
        <v>0.3</v>
      </c>
      <c r="H430" t="n">
        <v>0</v>
      </c>
      <c r="I430" t="n">
        <v>0</v>
      </c>
      <c r="J430" t="n">
        <v>0</v>
      </c>
      <c r="K430" t="n">
        <v>0</v>
      </c>
      <c r="L430" t="n">
        <v>0</v>
      </c>
      <c r="M430" t="n">
        <v>0</v>
      </c>
      <c r="N430" t="n">
        <v>0</v>
      </c>
      <c r="O430" t="n">
        <v>0</v>
      </c>
      <c r="P430" t="n">
        <v>0</v>
      </c>
      <c r="Q430" t="n">
        <v>0</v>
      </c>
      <c r="R430" s="2" t="inlineStr"/>
    </row>
    <row r="431" ht="15" customHeight="1">
      <c r="A431" t="inlineStr">
        <is>
          <t>A 40214-2023</t>
        </is>
      </c>
      <c r="B431" s="1" t="n">
        <v>45169.45173611111</v>
      </c>
      <c r="C431" s="1" t="n">
        <v>45884</v>
      </c>
      <c r="D431" t="inlineStr">
        <is>
          <t>VÄSTMANLANDS LÄN</t>
        </is>
      </c>
      <c r="E431" t="inlineStr">
        <is>
          <t>SALA</t>
        </is>
      </c>
      <c r="G431" t="n">
        <v>5.5</v>
      </c>
      <c r="H431" t="n">
        <v>0</v>
      </c>
      <c r="I431" t="n">
        <v>0</v>
      </c>
      <c r="J431" t="n">
        <v>0</v>
      </c>
      <c r="K431" t="n">
        <v>0</v>
      </c>
      <c r="L431" t="n">
        <v>0</v>
      </c>
      <c r="M431" t="n">
        <v>0</v>
      </c>
      <c r="N431" t="n">
        <v>0</v>
      </c>
      <c r="O431" t="n">
        <v>0</v>
      </c>
      <c r="P431" t="n">
        <v>0</v>
      </c>
      <c r="Q431" t="n">
        <v>0</v>
      </c>
      <c r="R431" s="2" t="inlineStr"/>
    </row>
    <row r="432" ht="15" customHeight="1">
      <c r="A432" t="inlineStr">
        <is>
          <t>A 9856-2022</t>
        </is>
      </c>
      <c r="B432" s="1" t="n">
        <v>44620</v>
      </c>
      <c r="C432" s="1" t="n">
        <v>45884</v>
      </c>
      <c r="D432" t="inlineStr">
        <is>
          <t>VÄSTMANLANDS LÄN</t>
        </is>
      </c>
      <c r="E432" t="inlineStr">
        <is>
          <t>SALA</t>
        </is>
      </c>
      <c r="G432" t="n">
        <v>2.4</v>
      </c>
      <c r="H432" t="n">
        <v>0</v>
      </c>
      <c r="I432" t="n">
        <v>0</v>
      </c>
      <c r="J432" t="n">
        <v>0</v>
      </c>
      <c r="K432" t="n">
        <v>0</v>
      </c>
      <c r="L432" t="n">
        <v>0</v>
      </c>
      <c r="M432" t="n">
        <v>0</v>
      </c>
      <c r="N432" t="n">
        <v>0</v>
      </c>
      <c r="O432" t="n">
        <v>0</v>
      </c>
      <c r="P432" t="n">
        <v>0</v>
      </c>
      <c r="Q432" t="n">
        <v>0</v>
      </c>
      <c r="R432" s="2" t="inlineStr"/>
    </row>
    <row r="433" ht="15" customHeight="1">
      <c r="A433" t="inlineStr">
        <is>
          <t>A 23180-2022</t>
        </is>
      </c>
      <c r="B433" s="1" t="n">
        <v>44719.79344907407</v>
      </c>
      <c r="C433" s="1" t="n">
        <v>45884</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41485-2020</t>
        </is>
      </c>
      <c r="B434" s="1" t="n">
        <v>44074</v>
      </c>
      <c r="C434" s="1" t="n">
        <v>45884</v>
      </c>
      <c r="D434" t="inlineStr">
        <is>
          <t>VÄSTMANLANDS LÄN</t>
        </is>
      </c>
      <c r="E434" t="inlineStr">
        <is>
          <t>SALA</t>
        </is>
      </c>
      <c r="G434" t="n">
        <v>4.7</v>
      </c>
      <c r="H434" t="n">
        <v>0</v>
      </c>
      <c r="I434" t="n">
        <v>0</v>
      </c>
      <c r="J434" t="n">
        <v>0</v>
      </c>
      <c r="K434" t="n">
        <v>0</v>
      </c>
      <c r="L434" t="n">
        <v>0</v>
      </c>
      <c r="M434" t="n">
        <v>0</v>
      </c>
      <c r="N434" t="n">
        <v>0</v>
      </c>
      <c r="O434" t="n">
        <v>0</v>
      </c>
      <c r="P434" t="n">
        <v>0</v>
      </c>
      <c r="Q434" t="n">
        <v>0</v>
      </c>
      <c r="R434" s="2" t="inlineStr"/>
    </row>
    <row r="435" ht="15" customHeight="1">
      <c r="A435" t="inlineStr">
        <is>
          <t>A 18100-2023</t>
        </is>
      </c>
      <c r="B435" s="1" t="n">
        <v>45040</v>
      </c>
      <c r="C435" s="1" t="n">
        <v>45884</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21455-2023</t>
        </is>
      </c>
      <c r="B436" s="1" t="n">
        <v>45058</v>
      </c>
      <c r="C436" s="1" t="n">
        <v>45884</v>
      </c>
      <c r="D436" t="inlineStr">
        <is>
          <t>VÄSTMANLANDS LÄN</t>
        </is>
      </c>
      <c r="E436" t="inlineStr">
        <is>
          <t>SALA</t>
        </is>
      </c>
      <c r="G436" t="n">
        <v>6.4</v>
      </c>
      <c r="H436" t="n">
        <v>0</v>
      </c>
      <c r="I436" t="n">
        <v>0</v>
      </c>
      <c r="J436" t="n">
        <v>0</v>
      </c>
      <c r="K436" t="n">
        <v>0</v>
      </c>
      <c r="L436" t="n">
        <v>0</v>
      </c>
      <c r="M436" t="n">
        <v>0</v>
      </c>
      <c r="N436" t="n">
        <v>0</v>
      </c>
      <c r="O436" t="n">
        <v>0</v>
      </c>
      <c r="P436" t="n">
        <v>0</v>
      </c>
      <c r="Q436" t="n">
        <v>0</v>
      </c>
      <c r="R436" s="2" t="inlineStr"/>
    </row>
    <row r="437" ht="15" customHeight="1">
      <c r="A437" t="inlineStr">
        <is>
          <t>A 41493-2020</t>
        </is>
      </c>
      <c r="B437" s="1" t="n">
        <v>44074</v>
      </c>
      <c r="C437" s="1" t="n">
        <v>45884</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19396-2025</t>
        </is>
      </c>
      <c r="B438" s="1" t="n">
        <v>45769</v>
      </c>
      <c r="C438" s="1" t="n">
        <v>45884</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23374-2023</t>
        </is>
      </c>
      <c r="B439" s="1" t="n">
        <v>45076.4399537037</v>
      </c>
      <c r="C439" s="1" t="n">
        <v>45884</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6134-2024</t>
        </is>
      </c>
      <c r="B440" s="1" t="n">
        <v>45337</v>
      </c>
      <c r="C440" s="1" t="n">
        <v>45884</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48117-2024</t>
        </is>
      </c>
      <c r="B441" s="1" t="n">
        <v>45589</v>
      </c>
      <c r="C441" s="1" t="n">
        <v>45884</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31082-2021</t>
        </is>
      </c>
      <c r="B442" s="1" t="n">
        <v>44368</v>
      </c>
      <c r="C442" s="1" t="n">
        <v>45884</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21053-2022</t>
        </is>
      </c>
      <c r="B443" s="1" t="n">
        <v>44704</v>
      </c>
      <c r="C443" s="1" t="n">
        <v>45884</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11927-2025</t>
        </is>
      </c>
      <c r="B444" s="1" t="n">
        <v>45728.5137962963</v>
      </c>
      <c r="C444" s="1" t="n">
        <v>45884</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31470-2021</t>
        </is>
      </c>
      <c r="B445" s="1" t="n">
        <v>44369</v>
      </c>
      <c r="C445" s="1" t="n">
        <v>45884</v>
      </c>
      <c r="D445" t="inlineStr">
        <is>
          <t>VÄSTMANLANDS LÄN</t>
        </is>
      </c>
      <c r="E445" t="inlineStr">
        <is>
          <t>SALA</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24175-2024</t>
        </is>
      </c>
      <c r="B446" s="1" t="n">
        <v>45456</v>
      </c>
      <c r="C446" s="1" t="n">
        <v>45884</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28328-2023</t>
        </is>
      </c>
      <c r="B447" s="1" t="n">
        <v>45099.71063657408</v>
      </c>
      <c r="C447" s="1" t="n">
        <v>45884</v>
      </c>
      <c r="D447" t="inlineStr">
        <is>
          <t>VÄSTMANLANDS LÄN</t>
        </is>
      </c>
      <c r="E447" t="inlineStr">
        <is>
          <t>SALA</t>
        </is>
      </c>
      <c r="G447" t="n">
        <v>1.8</v>
      </c>
      <c r="H447" t="n">
        <v>0</v>
      </c>
      <c r="I447" t="n">
        <v>0</v>
      </c>
      <c r="J447" t="n">
        <v>0</v>
      </c>
      <c r="K447" t="n">
        <v>0</v>
      </c>
      <c r="L447" t="n">
        <v>0</v>
      </c>
      <c r="M447" t="n">
        <v>0</v>
      </c>
      <c r="N447" t="n">
        <v>0</v>
      </c>
      <c r="O447" t="n">
        <v>0</v>
      </c>
      <c r="P447" t="n">
        <v>0</v>
      </c>
      <c r="Q447" t="n">
        <v>0</v>
      </c>
      <c r="R447" s="2" t="inlineStr"/>
    </row>
    <row r="448" ht="15" customHeight="1">
      <c r="A448" t="inlineStr">
        <is>
          <t>A 922-2025</t>
        </is>
      </c>
      <c r="B448" s="1" t="n">
        <v>45665.80069444444</v>
      </c>
      <c r="C448" s="1" t="n">
        <v>45884</v>
      </c>
      <c r="D448" t="inlineStr">
        <is>
          <t>VÄSTMANLANDS LÄN</t>
        </is>
      </c>
      <c r="E448" t="inlineStr">
        <is>
          <t>SALA</t>
        </is>
      </c>
      <c r="G448" t="n">
        <v>6.2</v>
      </c>
      <c r="H448" t="n">
        <v>0</v>
      </c>
      <c r="I448" t="n">
        <v>0</v>
      </c>
      <c r="J448" t="n">
        <v>0</v>
      </c>
      <c r="K448" t="n">
        <v>0</v>
      </c>
      <c r="L448" t="n">
        <v>0</v>
      </c>
      <c r="M448" t="n">
        <v>0</v>
      </c>
      <c r="N448" t="n">
        <v>0</v>
      </c>
      <c r="O448" t="n">
        <v>0</v>
      </c>
      <c r="P448" t="n">
        <v>0</v>
      </c>
      <c r="Q448" t="n">
        <v>0</v>
      </c>
      <c r="R448" s="2" t="inlineStr"/>
    </row>
    <row r="449" ht="15" customHeight="1">
      <c r="A449" t="inlineStr">
        <is>
          <t>A 50876-2023</t>
        </is>
      </c>
      <c r="B449" s="1" t="n">
        <v>45211</v>
      </c>
      <c r="C449" s="1" t="n">
        <v>45884</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61715-2024</t>
        </is>
      </c>
      <c r="B450" s="1" t="n">
        <v>45648.89519675926</v>
      </c>
      <c r="C450" s="1" t="n">
        <v>45884</v>
      </c>
      <c r="D450" t="inlineStr">
        <is>
          <t>VÄSTMANLANDS LÄN</t>
        </is>
      </c>
      <c r="E450" t="inlineStr">
        <is>
          <t>SALA</t>
        </is>
      </c>
      <c r="G450" t="n">
        <v>2.5</v>
      </c>
      <c r="H450" t="n">
        <v>0</v>
      </c>
      <c r="I450" t="n">
        <v>0</v>
      </c>
      <c r="J450" t="n">
        <v>0</v>
      </c>
      <c r="K450" t="n">
        <v>0</v>
      </c>
      <c r="L450" t="n">
        <v>0</v>
      </c>
      <c r="M450" t="n">
        <v>0</v>
      </c>
      <c r="N450" t="n">
        <v>0</v>
      </c>
      <c r="O450" t="n">
        <v>0</v>
      </c>
      <c r="P450" t="n">
        <v>0</v>
      </c>
      <c r="Q450" t="n">
        <v>0</v>
      </c>
      <c r="R450" s="2" t="inlineStr"/>
    </row>
    <row r="451" ht="15" customHeight="1">
      <c r="A451" t="inlineStr">
        <is>
          <t>A 10255-2024</t>
        </is>
      </c>
      <c r="B451" s="1" t="n">
        <v>45365</v>
      </c>
      <c r="C451" s="1" t="n">
        <v>45884</v>
      </c>
      <c r="D451" t="inlineStr">
        <is>
          <t>VÄSTMANLANDS LÄN</t>
        </is>
      </c>
      <c r="E451" t="inlineStr">
        <is>
          <t>SALA</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62648-2022</t>
        </is>
      </c>
      <c r="B452" s="1" t="n">
        <v>44917</v>
      </c>
      <c r="C452" s="1" t="n">
        <v>45884</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38195-2021</t>
        </is>
      </c>
      <c r="B453" s="1" t="n">
        <v>44405</v>
      </c>
      <c r="C453" s="1" t="n">
        <v>45884</v>
      </c>
      <c r="D453" t="inlineStr">
        <is>
          <t>VÄSTMANLANDS LÄN</t>
        </is>
      </c>
      <c r="E453" t="inlineStr">
        <is>
          <t>SALA</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6132-2025</t>
        </is>
      </c>
      <c r="B454" s="1" t="n">
        <v>45698</v>
      </c>
      <c r="C454" s="1" t="n">
        <v>45884</v>
      </c>
      <c r="D454" t="inlineStr">
        <is>
          <t>VÄSTMANLANDS LÄN</t>
        </is>
      </c>
      <c r="E454" t="inlineStr">
        <is>
          <t>SALA</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21777-2022</t>
        </is>
      </c>
      <c r="B455" s="1" t="n">
        <v>44708.48194444444</v>
      </c>
      <c r="C455" s="1" t="n">
        <v>45884</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56548-2024</t>
        </is>
      </c>
      <c r="B456" s="1" t="n">
        <v>45625</v>
      </c>
      <c r="C456" s="1" t="n">
        <v>45884</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11389-2024</t>
        </is>
      </c>
      <c r="B457" s="1" t="n">
        <v>45372.45016203704</v>
      </c>
      <c r="C457" s="1" t="n">
        <v>45884</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5477-2024</t>
        </is>
      </c>
      <c r="B458" s="1" t="n">
        <v>45333.67833333334</v>
      </c>
      <c r="C458" s="1" t="n">
        <v>45884</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39451-2022</t>
        </is>
      </c>
      <c r="B459" s="1" t="n">
        <v>44818.36606481481</v>
      </c>
      <c r="C459" s="1" t="n">
        <v>45884</v>
      </c>
      <c r="D459" t="inlineStr">
        <is>
          <t>VÄSTMANLANDS LÄN</t>
        </is>
      </c>
      <c r="E459" t="inlineStr">
        <is>
          <t>SALA</t>
        </is>
      </c>
      <c r="G459" t="n">
        <v>9.4</v>
      </c>
      <c r="H459" t="n">
        <v>0</v>
      </c>
      <c r="I459" t="n">
        <v>0</v>
      </c>
      <c r="J459" t="n">
        <v>0</v>
      </c>
      <c r="K459" t="n">
        <v>0</v>
      </c>
      <c r="L459" t="n">
        <v>0</v>
      </c>
      <c r="M459" t="n">
        <v>0</v>
      </c>
      <c r="N459" t="n">
        <v>0</v>
      </c>
      <c r="O459" t="n">
        <v>0</v>
      </c>
      <c r="P459" t="n">
        <v>0</v>
      </c>
      <c r="Q459" t="n">
        <v>0</v>
      </c>
      <c r="R459" s="2" t="inlineStr"/>
    </row>
    <row r="460" ht="15" customHeight="1">
      <c r="A460" t="inlineStr">
        <is>
          <t>A 54923-2020</t>
        </is>
      </c>
      <c r="B460" s="1" t="n">
        <v>44127</v>
      </c>
      <c r="C460" s="1" t="n">
        <v>45884</v>
      </c>
      <c r="D460" t="inlineStr">
        <is>
          <t>VÄSTMANLANDS LÄN</t>
        </is>
      </c>
      <c r="E460" t="inlineStr">
        <is>
          <t>SALA</t>
        </is>
      </c>
      <c r="G460" t="n">
        <v>4.9</v>
      </c>
      <c r="H460" t="n">
        <v>0</v>
      </c>
      <c r="I460" t="n">
        <v>0</v>
      </c>
      <c r="J460" t="n">
        <v>0</v>
      </c>
      <c r="K460" t="n">
        <v>0</v>
      </c>
      <c r="L460" t="n">
        <v>0</v>
      </c>
      <c r="M460" t="n">
        <v>0</v>
      </c>
      <c r="N460" t="n">
        <v>0</v>
      </c>
      <c r="O460" t="n">
        <v>0</v>
      </c>
      <c r="P460" t="n">
        <v>0</v>
      </c>
      <c r="Q460" t="n">
        <v>0</v>
      </c>
      <c r="R460" s="2" t="inlineStr"/>
    </row>
    <row r="461" ht="15" customHeight="1">
      <c r="A461" t="inlineStr">
        <is>
          <t>A 2925-2024</t>
        </is>
      </c>
      <c r="B461" s="1" t="n">
        <v>45315.58909722222</v>
      </c>
      <c r="C461" s="1" t="n">
        <v>45884</v>
      </c>
      <c r="D461" t="inlineStr">
        <is>
          <t>VÄSTMANLANDS LÄN</t>
        </is>
      </c>
      <c r="E461" t="inlineStr">
        <is>
          <t>SALA</t>
        </is>
      </c>
      <c r="G461" t="n">
        <v>1.3</v>
      </c>
      <c r="H461" t="n">
        <v>0</v>
      </c>
      <c r="I461" t="n">
        <v>0</v>
      </c>
      <c r="J461" t="n">
        <v>0</v>
      </c>
      <c r="K461" t="n">
        <v>0</v>
      </c>
      <c r="L461" t="n">
        <v>0</v>
      </c>
      <c r="M461" t="n">
        <v>0</v>
      </c>
      <c r="N461" t="n">
        <v>0</v>
      </c>
      <c r="O461" t="n">
        <v>0</v>
      </c>
      <c r="P461" t="n">
        <v>0</v>
      </c>
      <c r="Q461" t="n">
        <v>0</v>
      </c>
      <c r="R461" s="2" t="inlineStr"/>
    </row>
    <row r="462" ht="15" customHeight="1">
      <c r="A462" t="inlineStr">
        <is>
          <t>A 7772-2023</t>
        </is>
      </c>
      <c r="B462" s="1" t="n">
        <v>44973.40076388889</v>
      </c>
      <c r="C462" s="1" t="n">
        <v>45884</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39439-2021</t>
        </is>
      </c>
      <c r="B463" s="1" t="n">
        <v>44414</v>
      </c>
      <c r="C463" s="1" t="n">
        <v>45884</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54771-2024</t>
        </is>
      </c>
      <c r="B464" s="1" t="n">
        <v>45618</v>
      </c>
      <c r="C464" s="1" t="n">
        <v>45884</v>
      </c>
      <c r="D464" t="inlineStr">
        <is>
          <t>VÄSTMANLANDS LÄN</t>
        </is>
      </c>
      <c r="E464" t="inlineStr">
        <is>
          <t>SALA</t>
        </is>
      </c>
      <c r="G464" t="n">
        <v>2.8</v>
      </c>
      <c r="H464" t="n">
        <v>0</v>
      </c>
      <c r="I464" t="n">
        <v>0</v>
      </c>
      <c r="J464" t="n">
        <v>0</v>
      </c>
      <c r="K464" t="n">
        <v>0</v>
      </c>
      <c r="L464" t="n">
        <v>0</v>
      </c>
      <c r="M464" t="n">
        <v>0</v>
      </c>
      <c r="N464" t="n">
        <v>0</v>
      </c>
      <c r="O464" t="n">
        <v>0</v>
      </c>
      <c r="P464" t="n">
        <v>0</v>
      </c>
      <c r="Q464" t="n">
        <v>0</v>
      </c>
      <c r="R464" s="2" t="inlineStr"/>
    </row>
    <row r="465" ht="15" customHeight="1">
      <c r="A465" t="inlineStr">
        <is>
          <t>A 3332-2024</t>
        </is>
      </c>
      <c r="B465" s="1" t="n">
        <v>45317</v>
      </c>
      <c r="C465" s="1" t="n">
        <v>45884</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19751-2022</t>
        </is>
      </c>
      <c r="B466" s="1" t="n">
        <v>44694</v>
      </c>
      <c r="C466" s="1" t="n">
        <v>45884</v>
      </c>
      <c r="D466" t="inlineStr">
        <is>
          <t>VÄSTMANLANDS LÄN</t>
        </is>
      </c>
      <c r="E466" t="inlineStr">
        <is>
          <t>SALA</t>
        </is>
      </c>
      <c r="G466" t="n">
        <v>2.7</v>
      </c>
      <c r="H466" t="n">
        <v>0</v>
      </c>
      <c r="I466" t="n">
        <v>0</v>
      </c>
      <c r="J466" t="n">
        <v>0</v>
      </c>
      <c r="K466" t="n">
        <v>0</v>
      </c>
      <c r="L466" t="n">
        <v>0</v>
      </c>
      <c r="M466" t="n">
        <v>0</v>
      </c>
      <c r="N466" t="n">
        <v>0</v>
      </c>
      <c r="O466" t="n">
        <v>0</v>
      </c>
      <c r="P466" t="n">
        <v>0</v>
      </c>
      <c r="Q466" t="n">
        <v>0</v>
      </c>
      <c r="R466" s="2" t="inlineStr"/>
    </row>
    <row r="467" ht="15" customHeight="1">
      <c r="A467" t="inlineStr">
        <is>
          <t>A 44713-2023</t>
        </is>
      </c>
      <c r="B467" s="1" t="n">
        <v>45184</v>
      </c>
      <c r="C467" s="1" t="n">
        <v>45884</v>
      </c>
      <c r="D467" t="inlineStr">
        <is>
          <t>VÄSTMANLANDS LÄN</t>
        </is>
      </c>
      <c r="E467" t="inlineStr">
        <is>
          <t>SALA</t>
        </is>
      </c>
      <c r="F467" t="inlineStr">
        <is>
          <t>Kyrkan</t>
        </is>
      </c>
      <c r="G467" t="n">
        <v>7.6</v>
      </c>
      <c r="H467" t="n">
        <v>0</v>
      </c>
      <c r="I467" t="n">
        <v>0</v>
      </c>
      <c r="J467" t="n">
        <v>0</v>
      </c>
      <c r="K467" t="n">
        <v>0</v>
      </c>
      <c r="L467" t="n">
        <v>0</v>
      </c>
      <c r="M467" t="n">
        <v>0</v>
      </c>
      <c r="N467" t="n">
        <v>0</v>
      </c>
      <c r="O467" t="n">
        <v>0</v>
      </c>
      <c r="P467" t="n">
        <v>0</v>
      </c>
      <c r="Q467" t="n">
        <v>0</v>
      </c>
      <c r="R467" s="2" t="inlineStr"/>
    </row>
    <row r="468" ht="15" customHeight="1">
      <c r="A468" t="inlineStr">
        <is>
          <t>A 2529-2022</t>
        </is>
      </c>
      <c r="B468" s="1" t="n">
        <v>44579.86452546297</v>
      </c>
      <c r="C468" s="1" t="n">
        <v>45884</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18713-2025</t>
        </is>
      </c>
      <c r="B469" s="1" t="n">
        <v>45763</v>
      </c>
      <c r="C469" s="1" t="n">
        <v>45884</v>
      </c>
      <c r="D469" t="inlineStr">
        <is>
          <t>VÄSTMANLANDS LÄN</t>
        </is>
      </c>
      <c r="E469" t="inlineStr">
        <is>
          <t>SALA</t>
        </is>
      </c>
      <c r="F469" t="inlineStr">
        <is>
          <t>Bergvik skog öst AB</t>
        </is>
      </c>
      <c r="G469" t="n">
        <v>11.6</v>
      </c>
      <c r="H469" t="n">
        <v>0</v>
      </c>
      <c r="I469" t="n">
        <v>0</v>
      </c>
      <c r="J469" t="n">
        <v>0</v>
      </c>
      <c r="K469" t="n">
        <v>0</v>
      </c>
      <c r="L469" t="n">
        <v>0</v>
      </c>
      <c r="M469" t="n">
        <v>0</v>
      </c>
      <c r="N469" t="n">
        <v>0</v>
      </c>
      <c r="O469" t="n">
        <v>0</v>
      </c>
      <c r="P469" t="n">
        <v>0</v>
      </c>
      <c r="Q469" t="n">
        <v>0</v>
      </c>
      <c r="R469" s="2" t="inlineStr"/>
    </row>
    <row r="470" ht="15" customHeight="1">
      <c r="A470" t="inlineStr">
        <is>
          <t>A 47479-2024</t>
        </is>
      </c>
      <c r="B470" s="1" t="n">
        <v>45587</v>
      </c>
      <c r="C470" s="1" t="n">
        <v>45884</v>
      </c>
      <c r="D470" t="inlineStr">
        <is>
          <t>VÄSTMANLANDS LÄN</t>
        </is>
      </c>
      <c r="E470" t="inlineStr">
        <is>
          <t>SALA</t>
        </is>
      </c>
      <c r="F470" t="inlineStr">
        <is>
          <t>Kommuner</t>
        </is>
      </c>
      <c r="G470" t="n">
        <v>0.8</v>
      </c>
      <c r="H470" t="n">
        <v>0</v>
      </c>
      <c r="I470" t="n">
        <v>0</v>
      </c>
      <c r="J470" t="n">
        <v>0</v>
      </c>
      <c r="K470" t="n">
        <v>0</v>
      </c>
      <c r="L470" t="n">
        <v>0</v>
      </c>
      <c r="M470" t="n">
        <v>0</v>
      </c>
      <c r="N470" t="n">
        <v>0</v>
      </c>
      <c r="O470" t="n">
        <v>0</v>
      </c>
      <c r="P470" t="n">
        <v>0</v>
      </c>
      <c r="Q470" t="n">
        <v>0</v>
      </c>
      <c r="R470" s="2" t="inlineStr"/>
    </row>
    <row r="471" ht="15" customHeight="1">
      <c r="A471" t="inlineStr">
        <is>
          <t>A 13471-2025</t>
        </is>
      </c>
      <c r="B471" s="1" t="n">
        <v>45736.40579861111</v>
      </c>
      <c r="C471" s="1" t="n">
        <v>45884</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69236-2021</t>
        </is>
      </c>
      <c r="B472" s="1" t="n">
        <v>44531.4047337963</v>
      </c>
      <c r="C472" s="1" t="n">
        <v>45884</v>
      </c>
      <c r="D472" t="inlineStr">
        <is>
          <t>VÄSTMANLANDS LÄN</t>
        </is>
      </c>
      <c r="E472" t="inlineStr">
        <is>
          <t>SALA</t>
        </is>
      </c>
      <c r="G472" t="n">
        <v>2.8</v>
      </c>
      <c r="H472" t="n">
        <v>0</v>
      </c>
      <c r="I472" t="n">
        <v>0</v>
      </c>
      <c r="J472" t="n">
        <v>0</v>
      </c>
      <c r="K472" t="n">
        <v>0</v>
      </c>
      <c r="L472" t="n">
        <v>0</v>
      </c>
      <c r="M472" t="n">
        <v>0</v>
      </c>
      <c r="N472" t="n">
        <v>0</v>
      </c>
      <c r="O472" t="n">
        <v>0</v>
      </c>
      <c r="P472" t="n">
        <v>0</v>
      </c>
      <c r="Q472" t="n">
        <v>0</v>
      </c>
      <c r="R472" s="2" t="inlineStr"/>
    </row>
    <row r="473" ht="15" customHeight="1">
      <c r="A473" t="inlineStr">
        <is>
          <t>A 15681-2025</t>
        </is>
      </c>
      <c r="B473" s="1" t="n">
        <v>45748.45454861111</v>
      </c>
      <c r="C473" s="1" t="n">
        <v>45884</v>
      </c>
      <c r="D473" t="inlineStr">
        <is>
          <t>VÄSTMANLANDS LÄN</t>
        </is>
      </c>
      <c r="E473" t="inlineStr">
        <is>
          <t>SALA</t>
        </is>
      </c>
      <c r="F473" t="inlineStr">
        <is>
          <t>Bergvik skog öst AB</t>
        </is>
      </c>
      <c r="G473" t="n">
        <v>4.3</v>
      </c>
      <c r="H473" t="n">
        <v>0</v>
      </c>
      <c r="I473" t="n">
        <v>0</v>
      </c>
      <c r="J473" t="n">
        <v>0</v>
      </c>
      <c r="K473" t="n">
        <v>0</v>
      </c>
      <c r="L473" t="n">
        <v>0</v>
      </c>
      <c r="M473" t="n">
        <v>0</v>
      </c>
      <c r="N473" t="n">
        <v>0</v>
      </c>
      <c r="O473" t="n">
        <v>0</v>
      </c>
      <c r="P473" t="n">
        <v>0</v>
      </c>
      <c r="Q473" t="n">
        <v>0</v>
      </c>
      <c r="R473" s="2" t="inlineStr"/>
    </row>
    <row r="474" ht="15" customHeight="1">
      <c r="A474" t="inlineStr">
        <is>
          <t>A 25541-2024</t>
        </is>
      </c>
      <c r="B474" s="1" t="n">
        <v>45463.56337962963</v>
      </c>
      <c r="C474" s="1" t="n">
        <v>45884</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18431-2023</t>
        </is>
      </c>
      <c r="B475" s="1" t="n">
        <v>45042</v>
      </c>
      <c r="C475" s="1" t="n">
        <v>45884</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27424-2023</t>
        </is>
      </c>
      <c r="B476" s="1" t="n">
        <v>45097.37690972222</v>
      </c>
      <c r="C476" s="1" t="n">
        <v>45884</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58701-2021</t>
        </is>
      </c>
      <c r="B477" s="1" t="n">
        <v>44489.46454861111</v>
      </c>
      <c r="C477" s="1" t="n">
        <v>45884</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42345-2020</t>
        </is>
      </c>
      <c r="B478" s="1" t="n">
        <v>44076</v>
      </c>
      <c r="C478" s="1" t="n">
        <v>45884</v>
      </c>
      <c r="D478" t="inlineStr">
        <is>
          <t>VÄSTMANLANDS LÄN</t>
        </is>
      </c>
      <c r="E478" t="inlineStr">
        <is>
          <t>SALA</t>
        </is>
      </c>
      <c r="G478" t="n">
        <v>1.3</v>
      </c>
      <c r="H478" t="n">
        <v>0</v>
      </c>
      <c r="I478" t="n">
        <v>0</v>
      </c>
      <c r="J478" t="n">
        <v>0</v>
      </c>
      <c r="K478" t="n">
        <v>0</v>
      </c>
      <c r="L478" t="n">
        <v>0</v>
      </c>
      <c r="M478" t="n">
        <v>0</v>
      </c>
      <c r="N478" t="n">
        <v>0</v>
      </c>
      <c r="O478" t="n">
        <v>0</v>
      </c>
      <c r="P478" t="n">
        <v>0</v>
      </c>
      <c r="Q478" t="n">
        <v>0</v>
      </c>
      <c r="R478" s="2" t="inlineStr"/>
    </row>
    <row r="479" ht="15" customHeight="1">
      <c r="A479" t="inlineStr">
        <is>
          <t>A 11244-2024</t>
        </is>
      </c>
      <c r="B479" s="1" t="n">
        <v>45371</v>
      </c>
      <c r="C479" s="1" t="n">
        <v>45884</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12225-2023</t>
        </is>
      </c>
      <c r="B480" s="1" t="n">
        <v>44995</v>
      </c>
      <c r="C480" s="1" t="n">
        <v>45884</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61874-2021</t>
        </is>
      </c>
      <c r="B481" s="1" t="n">
        <v>44502</v>
      </c>
      <c r="C481" s="1" t="n">
        <v>45884</v>
      </c>
      <c r="D481" t="inlineStr">
        <is>
          <t>VÄSTMANLANDS LÄN</t>
        </is>
      </c>
      <c r="E481" t="inlineStr">
        <is>
          <t>SALA</t>
        </is>
      </c>
      <c r="F481" t="inlineStr">
        <is>
          <t>Kyrkan</t>
        </is>
      </c>
      <c r="G481" t="n">
        <v>1.3</v>
      </c>
      <c r="H481" t="n">
        <v>0</v>
      </c>
      <c r="I481" t="n">
        <v>0</v>
      </c>
      <c r="J481" t="n">
        <v>0</v>
      </c>
      <c r="K481" t="n">
        <v>0</v>
      </c>
      <c r="L481" t="n">
        <v>0</v>
      </c>
      <c r="M481" t="n">
        <v>0</v>
      </c>
      <c r="N481" t="n">
        <v>0</v>
      </c>
      <c r="O481" t="n">
        <v>0</v>
      </c>
      <c r="P481" t="n">
        <v>0</v>
      </c>
      <c r="Q481" t="n">
        <v>0</v>
      </c>
      <c r="R481" s="2" t="inlineStr"/>
    </row>
    <row r="482" ht="15" customHeight="1">
      <c r="A482" t="inlineStr">
        <is>
          <t>A 17719-2025</t>
        </is>
      </c>
      <c r="B482" s="1" t="n">
        <v>45758.45111111111</v>
      </c>
      <c r="C482" s="1" t="n">
        <v>45884</v>
      </c>
      <c r="D482" t="inlineStr">
        <is>
          <t>VÄSTMANLANDS LÄN</t>
        </is>
      </c>
      <c r="E482" t="inlineStr">
        <is>
          <t>SALA</t>
        </is>
      </c>
      <c r="G482" t="n">
        <v>0.9</v>
      </c>
      <c r="H482" t="n">
        <v>0</v>
      </c>
      <c r="I482" t="n">
        <v>0</v>
      </c>
      <c r="J482" t="n">
        <v>0</v>
      </c>
      <c r="K482" t="n">
        <v>0</v>
      </c>
      <c r="L482" t="n">
        <v>0</v>
      </c>
      <c r="M482" t="n">
        <v>0</v>
      </c>
      <c r="N482" t="n">
        <v>0</v>
      </c>
      <c r="O482" t="n">
        <v>0</v>
      </c>
      <c r="P482" t="n">
        <v>0</v>
      </c>
      <c r="Q482" t="n">
        <v>0</v>
      </c>
      <c r="R482" s="2" t="inlineStr"/>
    </row>
    <row r="483" ht="15" customHeight="1">
      <c r="A483" t="inlineStr">
        <is>
          <t>A 62651-2022</t>
        </is>
      </c>
      <c r="B483" s="1" t="n">
        <v>44917</v>
      </c>
      <c r="C483" s="1" t="n">
        <v>45884</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5728-2022</t>
        </is>
      </c>
      <c r="B484" s="1" t="n">
        <v>44596.42082175926</v>
      </c>
      <c r="C484" s="1" t="n">
        <v>45884</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15968-2024</t>
        </is>
      </c>
      <c r="B485" s="1" t="n">
        <v>45405.56021990741</v>
      </c>
      <c r="C485" s="1" t="n">
        <v>45884</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60730-2023</t>
        </is>
      </c>
      <c r="B486" s="1" t="n">
        <v>45260</v>
      </c>
      <c r="C486" s="1" t="n">
        <v>45884</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60731-2023</t>
        </is>
      </c>
      <c r="B487" s="1" t="n">
        <v>45260</v>
      </c>
      <c r="C487" s="1" t="n">
        <v>45884</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10250-2025</t>
        </is>
      </c>
      <c r="B488" s="1" t="n">
        <v>45720.36165509259</v>
      </c>
      <c r="C488" s="1" t="n">
        <v>45884</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49512-2024</t>
        </is>
      </c>
      <c r="B489" s="1" t="n">
        <v>45591</v>
      </c>
      <c r="C489" s="1" t="n">
        <v>45884</v>
      </c>
      <c r="D489" t="inlineStr">
        <is>
          <t>VÄSTMANLANDS LÄN</t>
        </is>
      </c>
      <c r="E489" t="inlineStr">
        <is>
          <t>SALA</t>
        </is>
      </c>
      <c r="G489" t="n">
        <v>8.1</v>
      </c>
      <c r="H489" t="n">
        <v>0</v>
      </c>
      <c r="I489" t="n">
        <v>0</v>
      </c>
      <c r="J489" t="n">
        <v>0</v>
      </c>
      <c r="K489" t="n">
        <v>0</v>
      </c>
      <c r="L489" t="n">
        <v>0</v>
      </c>
      <c r="M489" t="n">
        <v>0</v>
      </c>
      <c r="N489" t="n">
        <v>0</v>
      </c>
      <c r="O489" t="n">
        <v>0</v>
      </c>
      <c r="P489" t="n">
        <v>0</v>
      </c>
      <c r="Q489" t="n">
        <v>0</v>
      </c>
      <c r="R489" s="2" t="inlineStr"/>
    </row>
    <row r="490" ht="15" customHeight="1">
      <c r="A490" t="inlineStr">
        <is>
          <t>A 18461-2024</t>
        </is>
      </c>
      <c r="B490" s="1" t="n">
        <v>45425.47435185185</v>
      </c>
      <c r="C490" s="1" t="n">
        <v>45884</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4663-2022</t>
        </is>
      </c>
      <c r="B491" s="1" t="n">
        <v>44592.45429398148</v>
      </c>
      <c r="C491" s="1" t="n">
        <v>45884</v>
      </c>
      <c r="D491" t="inlineStr">
        <is>
          <t>VÄSTMANLANDS LÄN</t>
        </is>
      </c>
      <c r="E491" t="inlineStr">
        <is>
          <t>SALA</t>
        </is>
      </c>
      <c r="G491" t="n">
        <v>2.5</v>
      </c>
      <c r="H491" t="n">
        <v>0</v>
      </c>
      <c r="I491" t="n">
        <v>0</v>
      </c>
      <c r="J491" t="n">
        <v>0</v>
      </c>
      <c r="K491" t="n">
        <v>0</v>
      </c>
      <c r="L491" t="n">
        <v>0</v>
      </c>
      <c r="M491" t="n">
        <v>0</v>
      </c>
      <c r="N491" t="n">
        <v>0</v>
      </c>
      <c r="O491" t="n">
        <v>0</v>
      </c>
      <c r="P491" t="n">
        <v>0</v>
      </c>
      <c r="Q491" t="n">
        <v>0</v>
      </c>
      <c r="R491" s="2" t="inlineStr"/>
    </row>
    <row r="492" ht="15" customHeight="1">
      <c r="A492" t="inlineStr">
        <is>
          <t>A 42416-2022</t>
        </is>
      </c>
      <c r="B492" s="1" t="n">
        <v>44831</v>
      </c>
      <c r="C492" s="1" t="n">
        <v>45884</v>
      </c>
      <c r="D492" t="inlineStr">
        <is>
          <t>VÄSTMANLANDS LÄN</t>
        </is>
      </c>
      <c r="E492" t="inlineStr">
        <is>
          <t>SALA</t>
        </is>
      </c>
      <c r="G492" t="n">
        <v>2.2</v>
      </c>
      <c r="H492" t="n">
        <v>0</v>
      </c>
      <c r="I492" t="n">
        <v>0</v>
      </c>
      <c r="J492" t="n">
        <v>0</v>
      </c>
      <c r="K492" t="n">
        <v>0</v>
      </c>
      <c r="L492" t="n">
        <v>0</v>
      </c>
      <c r="M492" t="n">
        <v>0</v>
      </c>
      <c r="N492" t="n">
        <v>0</v>
      </c>
      <c r="O492" t="n">
        <v>0</v>
      </c>
      <c r="P492" t="n">
        <v>0</v>
      </c>
      <c r="Q492" t="n">
        <v>0</v>
      </c>
      <c r="R492" s="2" t="inlineStr"/>
    </row>
    <row r="493" ht="15" customHeight="1">
      <c r="A493" t="inlineStr">
        <is>
          <t>A 6135-2023</t>
        </is>
      </c>
      <c r="B493" s="1" t="n">
        <v>44964.62628472222</v>
      </c>
      <c r="C493" s="1" t="n">
        <v>45884</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6032-2025</t>
        </is>
      </c>
      <c r="B494" s="1" t="n">
        <v>45695.6371875</v>
      </c>
      <c r="C494" s="1" t="n">
        <v>45884</v>
      </c>
      <c r="D494" t="inlineStr">
        <is>
          <t>VÄSTMANLANDS LÄN</t>
        </is>
      </c>
      <c r="E494" t="inlineStr">
        <is>
          <t>SALA</t>
        </is>
      </c>
      <c r="F494" t="inlineStr">
        <is>
          <t>Bergvik skog öst AB</t>
        </is>
      </c>
      <c r="G494" t="n">
        <v>8.1</v>
      </c>
      <c r="H494" t="n">
        <v>0</v>
      </c>
      <c r="I494" t="n">
        <v>0</v>
      </c>
      <c r="J494" t="n">
        <v>0</v>
      </c>
      <c r="K494" t="n">
        <v>0</v>
      </c>
      <c r="L494" t="n">
        <v>0</v>
      </c>
      <c r="M494" t="n">
        <v>0</v>
      </c>
      <c r="N494" t="n">
        <v>0</v>
      </c>
      <c r="O494" t="n">
        <v>0</v>
      </c>
      <c r="P494" t="n">
        <v>0</v>
      </c>
      <c r="Q494" t="n">
        <v>0</v>
      </c>
      <c r="R494" s="2" t="inlineStr"/>
    </row>
    <row r="495" ht="15" customHeight="1">
      <c r="A495" t="inlineStr">
        <is>
          <t>A 16693-2023</t>
        </is>
      </c>
      <c r="B495" s="1" t="n">
        <v>45028</v>
      </c>
      <c r="C495" s="1" t="n">
        <v>45884</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8285-2025</t>
        </is>
      </c>
      <c r="B496" s="1" t="n">
        <v>45708</v>
      </c>
      <c r="C496" s="1" t="n">
        <v>45884</v>
      </c>
      <c r="D496" t="inlineStr">
        <is>
          <t>VÄSTMANLANDS LÄN</t>
        </is>
      </c>
      <c r="E496" t="inlineStr">
        <is>
          <t>SALA</t>
        </is>
      </c>
      <c r="G496" t="n">
        <v>5.7</v>
      </c>
      <c r="H496" t="n">
        <v>0</v>
      </c>
      <c r="I496" t="n">
        <v>0</v>
      </c>
      <c r="J496" t="n">
        <v>0</v>
      </c>
      <c r="K496" t="n">
        <v>0</v>
      </c>
      <c r="L496" t="n">
        <v>0</v>
      </c>
      <c r="M496" t="n">
        <v>0</v>
      </c>
      <c r="N496" t="n">
        <v>0</v>
      </c>
      <c r="O496" t="n">
        <v>0</v>
      </c>
      <c r="P496" t="n">
        <v>0</v>
      </c>
      <c r="Q496" t="n">
        <v>0</v>
      </c>
      <c r="R496" s="2" t="inlineStr"/>
    </row>
    <row r="497" ht="15" customHeight="1">
      <c r="A497" t="inlineStr">
        <is>
          <t>A 17766-2025</t>
        </is>
      </c>
      <c r="B497" s="1" t="n">
        <v>45758</v>
      </c>
      <c r="C497" s="1" t="n">
        <v>45884</v>
      </c>
      <c r="D497" t="inlineStr">
        <is>
          <t>VÄSTMANLANDS LÄN</t>
        </is>
      </c>
      <c r="E497" t="inlineStr">
        <is>
          <t>SALA</t>
        </is>
      </c>
      <c r="G497" t="n">
        <v>16.5</v>
      </c>
      <c r="H497" t="n">
        <v>0</v>
      </c>
      <c r="I497" t="n">
        <v>0</v>
      </c>
      <c r="J497" t="n">
        <v>0</v>
      </c>
      <c r="K497" t="n">
        <v>0</v>
      </c>
      <c r="L497" t="n">
        <v>0</v>
      </c>
      <c r="M497" t="n">
        <v>0</v>
      </c>
      <c r="N497" t="n">
        <v>0</v>
      </c>
      <c r="O497" t="n">
        <v>0</v>
      </c>
      <c r="P497" t="n">
        <v>0</v>
      </c>
      <c r="Q497" t="n">
        <v>0</v>
      </c>
      <c r="R497" s="2" t="inlineStr"/>
    </row>
    <row r="498" ht="15" customHeight="1">
      <c r="A498" t="inlineStr">
        <is>
          <t>A 15584-2021</t>
        </is>
      </c>
      <c r="B498" s="1" t="n">
        <v>44285</v>
      </c>
      <c r="C498" s="1" t="n">
        <v>45884</v>
      </c>
      <c r="D498" t="inlineStr">
        <is>
          <t>VÄSTMANLANDS LÄN</t>
        </is>
      </c>
      <c r="E498" t="inlineStr">
        <is>
          <t>SALA</t>
        </is>
      </c>
      <c r="G498" t="n">
        <v>3.4</v>
      </c>
      <c r="H498" t="n">
        <v>0</v>
      </c>
      <c r="I498" t="n">
        <v>0</v>
      </c>
      <c r="J498" t="n">
        <v>0</v>
      </c>
      <c r="K498" t="n">
        <v>0</v>
      </c>
      <c r="L498" t="n">
        <v>0</v>
      </c>
      <c r="M498" t="n">
        <v>0</v>
      </c>
      <c r="N498" t="n">
        <v>0</v>
      </c>
      <c r="O498" t="n">
        <v>0</v>
      </c>
      <c r="P498" t="n">
        <v>0</v>
      </c>
      <c r="Q498" t="n">
        <v>0</v>
      </c>
      <c r="R498" s="2" t="inlineStr"/>
    </row>
    <row r="499" ht="15" customHeight="1">
      <c r="A499" t="inlineStr">
        <is>
          <t>A 2766-2024</t>
        </is>
      </c>
      <c r="B499" s="1" t="n">
        <v>45314.60950231482</v>
      </c>
      <c r="C499" s="1" t="n">
        <v>45884</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15650-2025</t>
        </is>
      </c>
      <c r="B500" s="1" t="n">
        <v>45748.40172453703</v>
      </c>
      <c r="C500" s="1" t="n">
        <v>45884</v>
      </c>
      <c r="D500" t="inlineStr">
        <is>
          <t>VÄSTMANLANDS LÄN</t>
        </is>
      </c>
      <c r="E500" t="inlineStr">
        <is>
          <t>SALA</t>
        </is>
      </c>
      <c r="F500" t="inlineStr">
        <is>
          <t>Bergvik skog öst AB</t>
        </is>
      </c>
      <c r="G500" t="n">
        <v>3</v>
      </c>
      <c r="H500" t="n">
        <v>0</v>
      </c>
      <c r="I500" t="n">
        <v>0</v>
      </c>
      <c r="J500" t="n">
        <v>0</v>
      </c>
      <c r="K500" t="n">
        <v>0</v>
      </c>
      <c r="L500" t="n">
        <v>0</v>
      </c>
      <c r="M500" t="n">
        <v>0</v>
      </c>
      <c r="N500" t="n">
        <v>0</v>
      </c>
      <c r="O500" t="n">
        <v>0</v>
      </c>
      <c r="P500" t="n">
        <v>0</v>
      </c>
      <c r="Q500" t="n">
        <v>0</v>
      </c>
      <c r="R500" s="2" t="inlineStr"/>
    </row>
    <row r="501" ht="15" customHeight="1">
      <c r="A501" t="inlineStr">
        <is>
          <t>A 6351-2023</t>
        </is>
      </c>
      <c r="B501" s="1" t="n">
        <v>44965</v>
      </c>
      <c r="C501" s="1" t="n">
        <v>45884</v>
      </c>
      <c r="D501" t="inlineStr">
        <is>
          <t>VÄSTMANLANDS LÄN</t>
        </is>
      </c>
      <c r="E501" t="inlineStr">
        <is>
          <t>SALA</t>
        </is>
      </c>
      <c r="F501" t="inlineStr">
        <is>
          <t>Kommuner</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45187-2024</t>
        </is>
      </c>
      <c r="B502" s="1" t="n">
        <v>45575</v>
      </c>
      <c r="C502" s="1" t="n">
        <v>45884</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18340-2025</t>
        </is>
      </c>
      <c r="B503" s="1" t="n">
        <v>45762</v>
      </c>
      <c r="C503" s="1" t="n">
        <v>45884</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56706-2022</t>
        </is>
      </c>
      <c r="B504" s="1" t="n">
        <v>44893.78893518518</v>
      </c>
      <c r="C504" s="1" t="n">
        <v>45884</v>
      </c>
      <c r="D504" t="inlineStr">
        <is>
          <t>VÄSTMANLANDS LÄN</t>
        </is>
      </c>
      <c r="E504" t="inlineStr">
        <is>
          <t>SALA</t>
        </is>
      </c>
      <c r="G504" t="n">
        <v>4.5</v>
      </c>
      <c r="H504" t="n">
        <v>0</v>
      </c>
      <c r="I504" t="n">
        <v>0</v>
      </c>
      <c r="J504" t="n">
        <v>0</v>
      </c>
      <c r="K504" t="n">
        <v>0</v>
      </c>
      <c r="L504" t="n">
        <v>0</v>
      </c>
      <c r="M504" t="n">
        <v>0</v>
      </c>
      <c r="N504" t="n">
        <v>0</v>
      </c>
      <c r="O504" t="n">
        <v>0</v>
      </c>
      <c r="P504" t="n">
        <v>0</v>
      </c>
      <c r="Q504" t="n">
        <v>0</v>
      </c>
      <c r="R504" s="2" t="inlineStr"/>
    </row>
    <row r="505" ht="15" customHeight="1">
      <c r="A505" t="inlineStr">
        <is>
          <t>A 56707-2022</t>
        </is>
      </c>
      <c r="B505" s="1" t="n">
        <v>44893.79412037037</v>
      </c>
      <c r="C505" s="1" t="n">
        <v>45884</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33527-2023</t>
        </is>
      </c>
      <c r="B506" s="1" t="n">
        <v>45131</v>
      </c>
      <c r="C506" s="1" t="n">
        <v>45884</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7377-2023</t>
        </is>
      </c>
      <c r="B507" s="1" t="n">
        <v>44971</v>
      </c>
      <c r="C507" s="1" t="n">
        <v>45884</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6308-2021</t>
        </is>
      </c>
      <c r="B508" s="1" t="n">
        <v>44235</v>
      </c>
      <c r="C508" s="1" t="n">
        <v>45884</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21159-2022</t>
        </is>
      </c>
      <c r="B509" s="1" t="n">
        <v>44704</v>
      </c>
      <c r="C509" s="1" t="n">
        <v>45884</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13128-2025</t>
        </is>
      </c>
      <c r="B510" s="1" t="n">
        <v>45734.9083912037</v>
      </c>
      <c r="C510" s="1" t="n">
        <v>45884</v>
      </c>
      <c r="D510" t="inlineStr">
        <is>
          <t>VÄSTMANLANDS LÄN</t>
        </is>
      </c>
      <c r="E510" t="inlineStr">
        <is>
          <t>SALA</t>
        </is>
      </c>
      <c r="G510" t="n">
        <v>2.5</v>
      </c>
      <c r="H510" t="n">
        <v>0</v>
      </c>
      <c r="I510" t="n">
        <v>0</v>
      </c>
      <c r="J510" t="n">
        <v>0</v>
      </c>
      <c r="K510" t="n">
        <v>0</v>
      </c>
      <c r="L510" t="n">
        <v>0</v>
      </c>
      <c r="M510" t="n">
        <v>0</v>
      </c>
      <c r="N510" t="n">
        <v>0</v>
      </c>
      <c r="O510" t="n">
        <v>0</v>
      </c>
      <c r="P510" t="n">
        <v>0</v>
      </c>
      <c r="Q510" t="n">
        <v>0</v>
      </c>
      <c r="R510" s="2" t="inlineStr"/>
    </row>
    <row r="511" ht="15" customHeight="1">
      <c r="A511" t="inlineStr">
        <is>
          <t>A 56688-2024</t>
        </is>
      </c>
      <c r="B511" s="1" t="n">
        <v>45627.66478009259</v>
      </c>
      <c r="C511" s="1" t="n">
        <v>45884</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48571-2024</t>
        </is>
      </c>
      <c r="B512" s="1" t="n">
        <v>45591</v>
      </c>
      <c r="C512" s="1" t="n">
        <v>45884</v>
      </c>
      <c r="D512" t="inlineStr">
        <is>
          <t>VÄSTMANLANDS LÄN</t>
        </is>
      </c>
      <c r="E512" t="inlineStr">
        <is>
          <t>SALA</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13188-2025</t>
        </is>
      </c>
      <c r="B513" s="1" t="n">
        <v>45735.39246527778</v>
      </c>
      <c r="C513" s="1" t="n">
        <v>45884</v>
      </c>
      <c r="D513" t="inlineStr">
        <is>
          <t>VÄSTMANLANDS LÄN</t>
        </is>
      </c>
      <c r="E513" t="inlineStr">
        <is>
          <t>SALA</t>
        </is>
      </c>
      <c r="F513" t="inlineStr">
        <is>
          <t>Naturvårdsverket</t>
        </is>
      </c>
      <c r="G513" t="n">
        <v>18.4</v>
      </c>
      <c r="H513" t="n">
        <v>0</v>
      </c>
      <c r="I513" t="n">
        <v>0</v>
      </c>
      <c r="J513" t="n">
        <v>0</v>
      </c>
      <c r="K513" t="n">
        <v>0</v>
      </c>
      <c r="L513" t="n">
        <v>0</v>
      </c>
      <c r="M513" t="n">
        <v>0</v>
      </c>
      <c r="N513" t="n">
        <v>0</v>
      </c>
      <c r="O513" t="n">
        <v>0</v>
      </c>
      <c r="P513" t="n">
        <v>0</v>
      </c>
      <c r="Q513" t="n">
        <v>0</v>
      </c>
      <c r="R513" s="2" t="inlineStr"/>
    </row>
    <row r="514" ht="15" customHeight="1">
      <c r="A514" t="inlineStr">
        <is>
          <t>A 16159-2024</t>
        </is>
      </c>
      <c r="B514" s="1" t="n">
        <v>45406</v>
      </c>
      <c r="C514" s="1" t="n">
        <v>45884</v>
      </c>
      <c r="D514" t="inlineStr">
        <is>
          <t>VÄSTMANLANDS LÄN</t>
        </is>
      </c>
      <c r="E514" t="inlineStr">
        <is>
          <t>SALA</t>
        </is>
      </c>
      <c r="G514" t="n">
        <v>0.4</v>
      </c>
      <c r="H514" t="n">
        <v>0</v>
      </c>
      <c r="I514" t="n">
        <v>0</v>
      </c>
      <c r="J514" t="n">
        <v>0</v>
      </c>
      <c r="K514" t="n">
        <v>0</v>
      </c>
      <c r="L514" t="n">
        <v>0</v>
      </c>
      <c r="M514" t="n">
        <v>0</v>
      </c>
      <c r="N514" t="n">
        <v>0</v>
      </c>
      <c r="O514" t="n">
        <v>0</v>
      </c>
      <c r="P514" t="n">
        <v>0</v>
      </c>
      <c r="Q514" t="n">
        <v>0</v>
      </c>
      <c r="R514" s="2" t="inlineStr"/>
    </row>
    <row r="515" ht="15" customHeight="1">
      <c r="A515" t="inlineStr">
        <is>
          <t>A 66307-2021</t>
        </is>
      </c>
      <c r="B515" s="1" t="n">
        <v>44518.48670138889</v>
      </c>
      <c r="C515" s="1" t="n">
        <v>45884</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23431-2024</t>
        </is>
      </c>
      <c r="B516" s="1" t="n">
        <v>45453</v>
      </c>
      <c r="C516" s="1" t="n">
        <v>45884</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27262-2024</t>
        </is>
      </c>
      <c r="B517" s="1" t="n">
        <v>45471</v>
      </c>
      <c r="C517" s="1" t="n">
        <v>45884</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10913-2025</t>
        </is>
      </c>
      <c r="B518" s="1" t="n">
        <v>45722.73423611111</v>
      </c>
      <c r="C518" s="1" t="n">
        <v>45884</v>
      </c>
      <c r="D518" t="inlineStr">
        <is>
          <t>VÄSTMANLANDS LÄN</t>
        </is>
      </c>
      <c r="E518" t="inlineStr">
        <is>
          <t>SALA</t>
        </is>
      </c>
      <c r="G518" t="n">
        <v>7.6</v>
      </c>
      <c r="H518" t="n">
        <v>0</v>
      </c>
      <c r="I518" t="n">
        <v>0</v>
      </c>
      <c r="J518" t="n">
        <v>0</v>
      </c>
      <c r="K518" t="n">
        <v>0</v>
      </c>
      <c r="L518" t="n">
        <v>0</v>
      </c>
      <c r="M518" t="n">
        <v>0</v>
      </c>
      <c r="N518" t="n">
        <v>0</v>
      </c>
      <c r="O518" t="n">
        <v>0</v>
      </c>
      <c r="P518" t="n">
        <v>0</v>
      </c>
      <c r="Q518" t="n">
        <v>0</v>
      </c>
      <c r="R518" s="2" t="inlineStr"/>
    </row>
    <row r="519" ht="15" customHeight="1">
      <c r="A519" t="inlineStr">
        <is>
          <t>A 21168-2025</t>
        </is>
      </c>
      <c r="B519" s="1" t="n">
        <v>45777</v>
      </c>
      <c r="C519" s="1" t="n">
        <v>45884</v>
      </c>
      <c r="D519" t="inlineStr">
        <is>
          <t>VÄSTMANLANDS LÄN</t>
        </is>
      </c>
      <c r="E519" t="inlineStr">
        <is>
          <t>SALA</t>
        </is>
      </c>
      <c r="G519" t="n">
        <v>4.5</v>
      </c>
      <c r="H519" t="n">
        <v>0</v>
      </c>
      <c r="I519" t="n">
        <v>0</v>
      </c>
      <c r="J519" t="n">
        <v>0</v>
      </c>
      <c r="K519" t="n">
        <v>0</v>
      </c>
      <c r="L519" t="n">
        <v>0</v>
      </c>
      <c r="M519" t="n">
        <v>0</v>
      </c>
      <c r="N519" t="n">
        <v>0</v>
      </c>
      <c r="O519" t="n">
        <v>0</v>
      </c>
      <c r="P519" t="n">
        <v>0</v>
      </c>
      <c r="Q519" t="n">
        <v>0</v>
      </c>
      <c r="R519" s="2" t="inlineStr"/>
    </row>
    <row r="520" ht="15" customHeight="1">
      <c r="A520" t="inlineStr">
        <is>
          <t>A 35410-2022</t>
        </is>
      </c>
      <c r="B520" s="1" t="n">
        <v>44798.62576388889</v>
      </c>
      <c r="C520" s="1" t="n">
        <v>45884</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21738-2025</t>
        </is>
      </c>
      <c r="B521" s="1" t="n">
        <v>45783.59173611111</v>
      </c>
      <c r="C521" s="1" t="n">
        <v>45884</v>
      </c>
      <c r="D521" t="inlineStr">
        <is>
          <t>VÄSTMANLANDS LÄN</t>
        </is>
      </c>
      <c r="E521" t="inlineStr">
        <is>
          <t>SALA</t>
        </is>
      </c>
      <c r="G521" t="n">
        <v>2.1</v>
      </c>
      <c r="H521" t="n">
        <v>0</v>
      </c>
      <c r="I521" t="n">
        <v>0</v>
      </c>
      <c r="J521" t="n">
        <v>0</v>
      </c>
      <c r="K521" t="n">
        <v>0</v>
      </c>
      <c r="L521" t="n">
        <v>0</v>
      </c>
      <c r="M521" t="n">
        <v>0</v>
      </c>
      <c r="N521" t="n">
        <v>0</v>
      </c>
      <c r="O521" t="n">
        <v>0</v>
      </c>
      <c r="P521" t="n">
        <v>0</v>
      </c>
      <c r="Q521" t="n">
        <v>0</v>
      </c>
      <c r="R521" s="2" t="inlineStr"/>
    </row>
    <row r="522" ht="15" customHeight="1">
      <c r="A522" t="inlineStr">
        <is>
          <t>A 1118-2024</t>
        </is>
      </c>
      <c r="B522" s="1" t="n">
        <v>45302</v>
      </c>
      <c r="C522" s="1" t="n">
        <v>45884</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21721-2025</t>
        </is>
      </c>
      <c r="B523" s="1" t="n">
        <v>45783</v>
      </c>
      <c r="C523" s="1" t="n">
        <v>45884</v>
      </c>
      <c r="D523" t="inlineStr">
        <is>
          <t>VÄSTMANLANDS LÄN</t>
        </is>
      </c>
      <c r="E523" t="inlineStr">
        <is>
          <t>SALA</t>
        </is>
      </c>
      <c r="G523" t="n">
        <v>6.1</v>
      </c>
      <c r="H523" t="n">
        <v>0</v>
      </c>
      <c r="I523" t="n">
        <v>0</v>
      </c>
      <c r="J523" t="n">
        <v>0</v>
      </c>
      <c r="K523" t="n">
        <v>0</v>
      </c>
      <c r="L523" t="n">
        <v>0</v>
      </c>
      <c r="M523" t="n">
        <v>0</v>
      </c>
      <c r="N523" t="n">
        <v>0</v>
      </c>
      <c r="O523" t="n">
        <v>0</v>
      </c>
      <c r="P523" t="n">
        <v>0</v>
      </c>
      <c r="Q523" t="n">
        <v>0</v>
      </c>
      <c r="R523" s="2" t="inlineStr"/>
    </row>
    <row r="524" ht="15" customHeight="1">
      <c r="A524" t="inlineStr">
        <is>
          <t>A 21754-2025</t>
        </is>
      </c>
      <c r="B524" s="1" t="n">
        <v>45783.61837962963</v>
      </c>
      <c r="C524" s="1" t="n">
        <v>45884</v>
      </c>
      <c r="D524" t="inlineStr">
        <is>
          <t>VÄSTMANLANDS LÄN</t>
        </is>
      </c>
      <c r="E524" t="inlineStr">
        <is>
          <t>SALA</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21751-2025</t>
        </is>
      </c>
      <c r="B525" s="1" t="n">
        <v>45783.61372685185</v>
      </c>
      <c r="C525" s="1" t="n">
        <v>45884</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19033-2025</t>
        </is>
      </c>
      <c r="B526" s="1" t="n">
        <v>45764.65796296296</v>
      </c>
      <c r="C526" s="1" t="n">
        <v>45884</v>
      </c>
      <c r="D526" t="inlineStr">
        <is>
          <t>VÄSTMANLANDS LÄN</t>
        </is>
      </c>
      <c r="E526" t="inlineStr">
        <is>
          <t>SALA</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53864-2022</t>
        </is>
      </c>
      <c r="B527" s="1" t="n">
        <v>44880.64016203704</v>
      </c>
      <c r="C527" s="1" t="n">
        <v>45884</v>
      </c>
      <c r="D527" t="inlineStr">
        <is>
          <t>VÄSTMANLANDS LÄN</t>
        </is>
      </c>
      <c r="E527" t="inlineStr">
        <is>
          <t>SALA</t>
        </is>
      </c>
      <c r="G527" t="n">
        <v>5.9</v>
      </c>
      <c r="H527" t="n">
        <v>0</v>
      </c>
      <c r="I527" t="n">
        <v>0</v>
      </c>
      <c r="J527" t="n">
        <v>0</v>
      </c>
      <c r="K527" t="n">
        <v>0</v>
      </c>
      <c r="L527" t="n">
        <v>0</v>
      </c>
      <c r="M527" t="n">
        <v>0</v>
      </c>
      <c r="N527" t="n">
        <v>0</v>
      </c>
      <c r="O527" t="n">
        <v>0</v>
      </c>
      <c r="P527" t="n">
        <v>0</v>
      </c>
      <c r="Q527" t="n">
        <v>0</v>
      </c>
      <c r="R527" s="2" t="inlineStr"/>
    </row>
    <row r="528" ht="15" customHeight="1">
      <c r="A528" t="inlineStr">
        <is>
          <t>A 40085-2024</t>
        </is>
      </c>
      <c r="B528" s="1" t="n">
        <v>45554</v>
      </c>
      <c r="C528" s="1" t="n">
        <v>45884</v>
      </c>
      <c r="D528" t="inlineStr">
        <is>
          <t>VÄSTMANLANDS LÄN</t>
        </is>
      </c>
      <c r="E528" t="inlineStr">
        <is>
          <t>SALA</t>
        </is>
      </c>
      <c r="G528" t="n">
        <v>2.8</v>
      </c>
      <c r="H528" t="n">
        <v>0</v>
      </c>
      <c r="I528" t="n">
        <v>0</v>
      </c>
      <c r="J528" t="n">
        <v>0</v>
      </c>
      <c r="K528" t="n">
        <v>0</v>
      </c>
      <c r="L528" t="n">
        <v>0</v>
      </c>
      <c r="M528" t="n">
        <v>0</v>
      </c>
      <c r="N528" t="n">
        <v>0</v>
      </c>
      <c r="O528" t="n">
        <v>0</v>
      </c>
      <c r="P528" t="n">
        <v>0</v>
      </c>
      <c r="Q528" t="n">
        <v>0</v>
      </c>
      <c r="R528" s="2" t="inlineStr"/>
    </row>
    <row r="529" ht="15" customHeight="1">
      <c r="A529" t="inlineStr">
        <is>
          <t>A 3551-2024</t>
        </is>
      </c>
      <c r="B529" s="1" t="n">
        <v>45320.61099537037</v>
      </c>
      <c r="C529" s="1" t="n">
        <v>45884</v>
      </c>
      <c r="D529" t="inlineStr">
        <is>
          <t>VÄSTMANLANDS LÄN</t>
        </is>
      </c>
      <c r="E529" t="inlineStr">
        <is>
          <t>SALA</t>
        </is>
      </c>
      <c r="F529" t="inlineStr">
        <is>
          <t>Kommuner</t>
        </is>
      </c>
      <c r="G529" t="n">
        <v>6</v>
      </c>
      <c r="H529" t="n">
        <v>0</v>
      </c>
      <c r="I529" t="n">
        <v>0</v>
      </c>
      <c r="J529" t="n">
        <v>0</v>
      </c>
      <c r="K529" t="n">
        <v>0</v>
      </c>
      <c r="L529" t="n">
        <v>0</v>
      </c>
      <c r="M529" t="n">
        <v>0</v>
      </c>
      <c r="N529" t="n">
        <v>0</v>
      </c>
      <c r="O529" t="n">
        <v>0</v>
      </c>
      <c r="P529" t="n">
        <v>0</v>
      </c>
      <c r="Q529" t="n">
        <v>0</v>
      </c>
      <c r="R529" s="2" t="inlineStr"/>
    </row>
    <row r="530" ht="15" customHeight="1">
      <c r="A530" t="inlineStr">
        <is>
          <t>A 37587-2024</t>
        </is>
      </c>
      <c r="B530" s="1" t="n">
        <v>45541</v>
      </c>
      <c r="C530" s="1" t="n">
        <v>45884</v>
      </c>
      <c r="D530" t="inlineStr">
        <is>
          <t>VÄSTMANLANDS LÄN</t>
        </is>
      </c>
      <c r="E530" t="inlineStr">
        <is>
          <t>SALA</t>
        </is>
      </c>
      <c r="G530" t="n">
        <v>1.2</v>
      </c>
      <c r="H530" t="n">
        <v>0</v>
      </c>
      <c r="I530" t="n">
        <v>0</v>
      </c>
      <c r="J530" t="n">
        <v>0</v>
      </c>
      <c r="K530" t="n">
        <v>0</v>
      </c>
      <c r="L530" t="n">
        <v>0</v>
      </c>
      <c r="M530" t="n">
        <v>0</v>
      </c>
      <c r="N530" t="n">
        <v>0</v>
      </c>
      <c r="O530" t="n">
        <v>0</v>
      </c>
      <c r="P530" t="n">
        <v>0</v>
      </c>
      <c r="Q530" t="n">
        <v>0</v>
      </c>
      <c r="R530" s="2" t="inlineStr"/>
    </row>
    <row r="531" ht="15" customHeight="1">
      <c r="A531" t="inlineStr">
        <is>
          <t>A 64724-2023</t>
        </is>
      </c>
      <c r="B531" s="1" t="n">
        <v>45281.7602662037</v>
      </c>
      <c r="C531" s="1" t="n">
        <v>45884</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22961-2023</t>
        </is>
      </c>
      <c r="B532" s="1" t="n">
        <v>45072</v>
      </c>
      <c r="C532" s="1" t="n">
        <v>45884</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22963-2023</t>
        </is>
      </c>
      <c r="B533" s="1" t="n">
        <v>45072</v>
      </c>
      <c r="C533" s="1" t="n">
        <v>45884</v>
      </c>
      <c r="D533" t="inlineStr">
        <is>
          <t>VÄSTMANLANDS LÄN</t>
        </is>
      </c>
      <c r="E533" t="inlineStr">
        <is>
          <t>SALA</t>
        </is>
      </c>
      <c r="G533" t="n">
        <v>1.2</v>
      </c>
      <c r="H533" t="n">
        <v>0</v>
      </c>
      <c r="I533" t="n">
        <v>0</v>
      </c>
      <c r="J533" t="n">
        <v>0</v>
      </c>
      <c r="K533" t="n">
        <v>0</v>
      </c>
      <c r="L533" t="n">
        <v>0</v>
      </c>
      <c r="M533" t="n">
        <v>0</v>
      </c>
      <c r="N533" t="n">
        <v>0</v>
      </c>
      <c r="O533" t="n">
        <v>0</v>
      </c>
      <c r="P533" t="n">
        <v>0</v>
      </c>
      <c r="Q533" t="n">
        <v>0</v>
      </c>
      <c r="R533" s="2" t="inlineStr"/>
    </row>
    <row r="534" ht="15" customHeight="1">
      <c r="A534" t="inlineStr">
        <is>
          <t>A 7176-2023</t>
        </is>
      </c>
      <c r="B534" s="1" t="n">
        <v>44970</v>
      </c>
      <c r="C534" s="1" t="n">
        <v>45884</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54960-2024</t>
        </is>
      </c>
      <c r="B535" s="1" t="n">
        <v>45619.85208333333</v>
      </c>
      <c r="C535" s="1" t="n">
        <v>45884</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17985-2025</t>
        </is>
      </c>
      <c r="B536" s="1" t="n">
        <v>45761</v>
      </c>
      <c r="C536" s="1" t="n">
        <v>45884</v>
      </c>
      <c r="D536" t="inlineStr">
        <is>
          <t>VÄSTMANLANDS LÄN</t>
        </is>
      </c>
      <c r="E536" t="inlineStr">
        <is>
          <t>SALA</t>
        </is>
      </c>
      <c r="G536" t="n">
        <v>12.5</v>
      </c>
      <c r="H536" t="n">
        <v>0</v>
      </c>
      <c r="I536" t="n">
        <v>0</v>
      </c>
      <c r="J536" t="n">
        <v>0</v>
      </c>
      <c r="K536" t="n">
        <v>0</v>
      </c>
      <c r="L536" t="n">
        <v>0</v>
      </c>
      <c r="M536" t="n">
        <v>0</v>
      </c>
      <c r="N536" t="n">
        <v>0</v>
      </c>
      <c r="O536" t="n">
        <v>0</v>
      </c>
      <c r="P536" t="n">
        <v>0</v>
      </c>
      <c r="Q536" t="n">
        <v>0</v>
      </c>
      <c r="R536" s="2" t="inlineStr"/>
    </row>
    <row r="537" ht="15" customHeight="1">
      <c r="A537" t="inlineStr">
        <is>
          <t>A 27228-2023</t>
        </is>
      </c>
      <c r="B537" s="1" t="n">
        <v>45096.59189814814</v>
      </c>
      <c r="C537" s="1" t="n">
        <v>45884</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26507-2023</t>
        </is>
      </c>
      <c r="B538" s="1" t="n">
        <v>45092</v>
      </c>
      <c r="C538" s="1" t="n">
        <v>45884</v>
      </c>
      <c r="D538" t="inlineStr">
        <is>
          <t>VÄSTMANLANDS LÄN</t>
        </is>
      </c>
      <c r="E538" t="inlineStr">
        <is>
          <t>SALA</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6183-2025</t>
        </is>
      </c>
      <c r="B539" s="1" t="n">
        <v>45698</v>
      </c>
      <c r="C539" s="1" t="n">
        <v>45884</v>
      </c>
      <c r="D539" t="inlineStr">
        <is>
          <t>VÄSTMANLANDS LÄN</t>
        </is>
      </c>
      <c r="E539" t="inlineStr">
        <is>
          <t>SALA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16543-2023</t>
        </is>
      </c>
      <c r="B540" s="1" t="n">
        <v>45029</v>
      </c>
      <c r="C540" s="1" t="n">
        <v>45884</v>
      </c>
      <c r="D540" t="inlineStr">
        <is>
          <t>VÄSTMANLANDS LÄN</t>
        </is>
      </c>
      <c r="E540" t="inlineStr">
        <is>
          <t>SALA</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43600-2024</t>
        </is>
      </c>
      <c r="B541" s="1" t="n">
        <v>45569</v>
      </c>
      <c r="C541" s="1" t="n">
        <v>45884</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31405-2024</t>
        </is>
      </c>
      <c r="B542" s="1" t="n">
        <v>45505.5490625</v>
      </c>
      <c r="C542" s="1" t="n">
        <v>45884</v>
      </c>
      <c r="D542" t="inlineStr">
        <is>
          <t>VÄSTMANLANDS LÄN</t>
        </is>
      </c>
      <c r="E542" t="inlineStr">
        <is>
          <t>SALA</t>
        </is>
      </c>
      <c r="G542" t="n">
        <v>5.2</v>
      </c>
      <c r="H542" t="n">
        <v>0</v>
      </c>
      <c r="I542" t="n">
        <v>0</v>
      </c>
      <c r="J542" t="n">
        <v>0</v>
      </c>
      <c r="K542" t="n">
        <v>0</v>
      </c>
      <c r="L542" t="n">
        <v>0</v>
      </c>
      <c r="M542" t="n">
        <v>0</v>
      </c>
      <c r="N542" t="n">
        <v>0</v>
      </c>
      <c r="O542" t="n">
        <v>0</v>
      </c>
      <c r="P542" t="n">
        <v>0</v>
      </c>
      <c r="Q542" t="n">
        <v>0</v>
      </c>
      <c r="R542" s="2" t="inlineStr"/>
    </row>
    <row r="543" ht="15" customHeight="1">
      <c r="A543" t="inlineStr">
        <is>
          <t>A 43176-2023</t>
        </is>
      </c>
      <c r="B543" s="1" t="n">
        <v>45183</v>
      </c>
      <c r="C543" s="1" t="n">
        <v>45884</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37624-2024</t>
        </is>
      </c>
      <c r="B544" s="1" t="n">
        <v>45541</v>
      </c>
      <c r="C544" s="1" t="n">
        <v>45884</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57895-2024</t>
        </is>
      </c>
      <c r="B545" s="1" t="n">
        <v>45631</v>
      </c>
      <c r="C545" s="1" t="n">
        <v>45884</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45884</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22616-2025</t>
        </is>
      </c>
      <c r="B547" s="1" t="n">
        <v>45789.42752314815</v>
      </c>
      <c r="C547" s="1" t="n">
        <v>45884</v>
      </c>
      <c r="D547" t="inlineStr">
        <is>
          <t>VÄSTMANLANDS LÄN</t>
        </is>
      </c>
      <c r="E547" t="inlineStr">
        <is>
          <t>SALA</t>
        </is>
      </c>
      <c r="G547" t="n">
        <v>0.8</v>
      </c>
      <c r="H547" t="n">
        <v>0</v>
      </c>
      <c r="I547" t="n">
        <v>0</v>
      </c>
      <c r="J547" t="n">
        <v>0</v>
      </c>
      <c r="K547" t="n">
        <v>0</v>
      </c>
      <c r="L547" t="n">
        <v>0</v>
      </c>
      <c r="M547" t="n">
        <v>0</v>
      </c>
      <c r="N547" t="n">
        <v>0</v>
      </c>
      <c r="O547" t="n">
        <v>0</v>
      </c>
      <c r="P547" t="n">
        <v>0</v>
      </c>
      <c r="Q547" t="n">
        <v>0</v>
      </c>
      <c r="R547" s="2" t="inlineStr"/>
    </row>
    <row r="548" ht="15" customHeight="1">
      <c r="A548" t="inlineStr">
        <is>
          <t>A 22353-2025</t>
        </is>
      </c>
      <c r="B548" s="1" t="n">
        <v>45786</v>
      </c>
      <c r="C548" s="1" t="n">
        <v>45884</v>
      </c>
      <c r="D548" t="inlineStr">
        <is>
          <t>VÄSTMANLANDS LÄN</t>
        </is>
      </c>
      <c r="E548" t="inlineStr">
        <is>
          <t>SALA</t>
        </is>
      </c>
      <c r="G548" t="n">
        <v>2.5</v>
      </c>
      <c r="H548" t="n">
        <v>0</v>
      </c>
      <c r="I548" t="n">
        <v>0</v>
      </c>
      <c r="J548" t="n">
        <v>0</v>
      </c>
      <c r="K548" t="n">
        <v>0</v>
      </c>
      <c r="L548" t="n">
        <v>0</v>
      </c>
      <c r="M548" t="n">
        <v>0</v>
      </c>
      <c r="N548" t="n">
        <v>0</v>
      </c>
      <c r="O548" t="n">
        <v>0</v>
      </c>
      <c r="P548" t="n">
        <v>0</v>
      </c>
      <c r="Q548" t="n">
        <v>0</v>
      </c>
      <c r="R548" s="2" t="inlineStr"/>
    </row>
    <row r="549" ht="15" customHeight="1">
      <c r="A549" t="inlineStr">
        <is>
          <t>A 14010-2021</t>
        </is>
      </c>
      <c r="B549" s="1" t="n">
        <v>44277.63396990741</v>
      </c>
      <c r="C549" s="1" t="n">
        <v>45884</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54768-2024</t>
        </is>
      </c>
      <c r="B550" s="1" t="n">
        <v>45618</v>
      </c>
      <c r="C550" s="1" t="n">
        <v>45884</v>
      </c>
      <c r="D550" t="inlineStr">
        <is>
          <t>VÄSTMANLANDS LÄN</t>
        </is>
      </c>
      <c r="E550" t="inlineStr">
        <is>
          <t>SALA</t>
        </is>
      </c>
      <c r="G550" t="n">
        <v>2.4</v>
      </c>
      <c r="H550" t="n">
        <v>0</v>
      </c>
      <c r="I550" t="n">
        <v>0</v>
      </c>
      <c r="J550" t="n">
        <v>0</v>
      </c>
      <c r="K550" t="n">
        <v>0</v>
      </c>
      <c r="L550" t="n">
        <v>0</v>
      </c>
      <c r="M550" t="n">
        <v>0</v>
      </c>
      <c r="N550" t="n">
        <v>0</v>
      </c>
      <c r="O550" t="n">
        <v>0</v>
      </c>
      <c r="P550" t="n">
        <v>0</v>
      </c>
      <c r="Q550" t="n">
        <v>0</v>
      </c>
      <c r="R550" s="2" t="inlineStr"/>
    </row>
    <row r="551" ht="15" customHeight="1">
      <c r="A551" t="inlineStr">
        <is>
          <t>A 22383-2025</t>
        </is>
      </c>
      <c r="B551" s="1" t="n">
        <v>45786</v>
      </c>
      <c r="C551" s="1" t="n">
        <v>45884</v>
      </c>
      <c r="D551" t="inlineStr">
        <is>
          <t>VÄSTMANLANDS LÄN</t>
        </is>
      </c>
      <c r="E551" t="inlineStr">
        <is>
          <t>SALA</t>
        </is>
      </c>
      <c r="G551" t="n">
        <v>2.2</v>
      </c>
      <c r="H551" t="n">
        <v>0</v>
      </c>
      <c r="I551" t="n">
        <v>0</v>
      </c>
      <c r="J551" t="n">
        <v>0</v>
      </c>
      <c r="K551" t="n">
        <v>0</v>
      </c>
      <c r="L551" t="n">
        <v>0</v>
      </c>
      <c r="M551" t="n">
        <v>0</v>
      </c>
      <c r="N551" t="n">
        <v>0</v>
      </c>
      <c r="O551" t="n">
        <v>0</v>
      </c>
      <c r="P551" t="n">
        <v>0</v>
      </c>
      <c r="Q551" t="n">
        <v>0</v>
      </c>
      <c r="R551" s="2" t="inlineStr"/>
    </row>
    <row r="552" ht="15" customHeight="1">
      <c r="A552" t="inlineStr">
        <is>
          <t>A 22624-2025</t>
        </is>
      </c>
      <c r="B552" s="1" t="n">
        <v>45789.43327546296</v>
      </c>
      <c r="C552" s="1" t="n">
        <v>45884</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56687-2024</t>
        </is>
      </c>
      <c r="B553" s="1" t="n">
        <v>45627.63271990741</v>
      </c>
      <c r="C553" s="1" t="n">
        <v>45884</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54347-2024</t>
        </is>
      </c>
      <c r="B554" s="1" t="n">
        <v>45617.39325231482</v>
      </c>
      <c r="C554" s="1" t="n">
        <v>45884</v>
      </c>
      <c r="D554" t="inlineStr">
        <is>
          <t>VÄSTMANLANDS LÄN</t>
        </is>
      </c>
      <c r="E554" t="inlineStr">
        <is>
          <t>SALA</t>
        </is>
      </c>
      <c r="G554" t="n">
        <v>2</v>
      </c>
      <c r="H554" t="n">
        <v>0</v>
      </c>
      <c r="I554" t="n">
        <v>0</v>
      </c>
      <c r="J554" t="n">
        <v>0</v>
      </c>
      <c r="K554" t="n">
        <v>0</v>
      </c>
      <c r="L554" t="n">
        <v>0</v>
      </c>
      <c r="M554" t="n">
        <v>0</v>
      </c>
      <c r="N554" t="n">
        <v>0</v>
      </c>
      <c r="O554" t="n">
        <v>0</v>
      </c>
      <c r="P554" t="n">
        <v>0</v>
      </c>
      <c r="Q554" t="n">
        <v>0</v>
      </c>
      <c r="R554" s="2" t="inlineStr"/>
    </row>
    <row r="555" ht="15" customHeight="1">
      <c r="A555" t="inlineStr">
        <is>
          <t>A 22370-2025</t>
        </is>
      </c>
      <c r="B555" s="1" t="n">
        <v>45786</v>
      </c>
      <c r="C555" s="1" t="n">
        <v>45884</v>
      </c>
      <c r="D555" t="inlineStr">
        <is>
          <t>VÄSTMANLANDS LÄN</t>
        </is>
      </c>
      <c r="E555" t="inlineStr">
        <is>
          <t>SALA</t>
        </is>
      </c>
      <c r="G555" t="n">
        <v>3.2</v>
      </c>
      <c r="H555" t="n">
        <v>0</v>
      </c>
      <c r="I555" t="n">
        <v>0</v>
      </c>
      <c r="J555" t="n">
        <v>0</v>
      </c>
      <c r="K555" t="n">
        <v>0</v>
      </c>
      <c r="L555" t="n">
        <v>0</v>
      </c>
      <c r="M555" t="n">
        <v>0</v>
      </c>
      <c r="N555" t="n">
        <v>0</v>
      </c>
      <c r="O555" t="n">
        <v>0</v>
      </c>
      <c r="P555" t="n">
        <v>0</v>
      </c>
      <c r="Q555" t="n">
        <v>0</v>
      </c>
      <c r="R555" s="2" t="inlineStr"/>
    </row>
    <row r="556" ht="15" customHeight="1">
      <c r="A556" t="inlineStr">
        <is>
          <t>A 64693-2023</t>
        </is>
      </c>
      <c r="B556" s="1" t="n">
        <v>45281.63850694444</v>
      </c>
      <c r="C556" s="1" t="n">
        <v>45884</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64695-2023</t>
        </is>
      </c>
      <c r="B557" s="1" t="n">
        <v>45281.64099537037</v>
      </c>
      <c r="C557" s="1" t="n">
        <v>45884</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27486-2022</t>
        </is>
      </c>
      <c r="B558" s="1" t="n">
        <v>44742.60846064815</v>
      </c>
      <c r="C558" s="1" t="n">
        <v>45884</v>
      </c>
      <c r="D558" t="inlineStr">
        <is>
          <t>VÄSTMANLANDS LÄN</t>
        </is>
      </c>
      <c r="E558" t="inlineStr">
        <is>
          <t>SALA</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35003-2024</t>
        </is>
      </c>
      <c r="B559" s="1" t="n">
        <v>45527.56790509259</v>
      </c>
      <c r="C559" s="1" t="n">
        <v>45884</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13130-2025</t>
        </is>
      </c>
      <c r="B560" s="1" t="n">
        <v>45734</v>
      </c>
      <c r="C560" s="1" t="n">
        <v>45884</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48688-2024</t>
        </is>
      </c>
      <c r="B561" s="1" t="n">
        <v>45593.50541666667</v>
      </c>
      <c r="C561" s="1" t="n">
        <v>45884</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15354-2021</t>
        </is>
      </c>
      <c r="B562" s="1" t="n">
        <v>44284</v>
      </c>
      <c r="C562" s="1" t="n">
        <v>45884</v>
      </c>
      <c r="D562" t="inlineStr">
        <is>
          <t>VÄSTMANLANDS LÄN</t>
        </is>
      </c>
      <c r="E562" t="inlineStr">
        <is>
          <t>SALA</t>
        </is>
      </c>
      <c r="F562" t="inlineStr">
        <is>
          <t>Kyrkan</t>
        </is>
      </c>
      <c r="G562" t="n">
        <v>8.5</v>
      </c>
      <c r="H562" t="n">
        <v>0</v>
      </c>
      <c r="I562" t="n">
        <v>0</v>
      </c>
      <c r="J562" t="n">
        <v>0</v>
      </c>
      <c r="K562" t="n">
        <v>0</v>
      </c>
      <c r="L562" t="n">
        <v>0</v>
      </c>
      <c r="M562" t="n">
        <v>0</v>
      </c>
      <c r="N562" t="n">
        <v>0</v>
      </c>
      <c r="O562" t="n">
        <v>0</v>
      </c>
      <c r="P562" t="n">
        <v>0</v>
      </c>
      <c r="Q562" t="n">
        <v>0</v>
      </c>
      <c r="R562" s="2" t="inlineStr"/>
    </row>
    <row r="563" ht="15" customHeight="1">
      <c r="A563" t="inlineStr">
        <is>
          <t>A 63933-2023</t>
        </is>
      </c>
      <c r="B563" s="1" t="n">
        <v>45278</v>
      </c>
      <c r="C563" s="1" t="n">
        <v>45884</v>
      </c>
      <c r="D563" t="inlineStr">
        <is>
          <t>VÄSTMANLANDS LÄN</t>
        </is>
      </c>
      <c r="E563" t="inlineStr">
        <is>
          <t>SALA</t>
        </is>
      </c>
      <c r="G563" t="n">
        <v>1.4</v>
      </c>
      <c r="H563" t="n">
        <v>0</v>
      </c>
      <c r="I563" t="n">
        <v>0</v>
      </c>
      <c r="J563" t="n">
        <v>0</v>
      </c>
      <c r="K563" t="n">
        <v>0</v>
      </c>
      <c r="L563" t="n">
        <v>0</v>
      </c>
      <c r="M563" t="n">
        <v>0</v>
      </c>
      <c r="N563" t="n">
        <v>0</v>
      </c>
      <c r="O563" t="n">
        <v>0</v>
      </c>
      <c r="P563" t="n">
        <v>0</v>
      </c>
      <c r="Q563" t="n">
        <v>0</v>
      </c>
      <c r="R563" s="2" t="inlineStr"/>
    </row>
    <row r="564" ht="15" customHeight="1">
      <c r="A564" t="inlineStr">
        <is>
          <t>A 44746-2024</t>
        </is>
      </c>
      <c r="B564" s="1" t="n">
        <v>45574.59813657407</v>
      </c>
      <c r="C564" s="1" t="n">
        <v>45884</v>
      </c>
      <c r="D564" t="inlineStr">
        <is>
          <t>VÄSTMANLANDS LÄN</t>
        </is>
      </c>
      <c r="E564" t="inlineStr">
        <is>
          <t>SALA</t>
        </is>
      </c>
      <c r="G564" t="n">
        <v>6.7</v>
      </c>
      <c r="H564" t="n">
        <v>0</v>
      </c>
      <c r="I564" t="n">
        <v>0</v>
      </c>
      <c r="J564" t="n">
        <v>0</v>
      </c>
      <c r="K564" t="n">
        <v>0</v>
      </c>
      <c r="L564" t="n">
        <v>0</v>
      </c>
      <c r="M564" t="n">
        <v>0</v>
      </c>
      <c r="N564" t="n">
        <v>0</v>
      </c>
      <c r="O564" t="n">
        <v>0</v>
      </c>
      <c r="P564" t="n">
        <v>0</v>
      </c>
      <c r="Q564" t="n">
        <v>0</v>
      </c>
      <c r="R564" s="2" t="inlineStr"/>
    </row>
    <row r="565" ht="15" customHeight="1">
      <c r="A565" t="inlineStr">
        <is>
          <t>A 33273-2023</t>
        </is>
      </c>
      <c r="B565" s="1" t="n">
        <v>45127</v>
      </c>
      <c r="C565" s="1" t="n">
        <v>45884</v>
      </c>
      <c r="D565" t="inlineStr">
        <is>
          <t>VÄSTMANLANDS LÄN</t>
        </is>
      </c>
      <c r="E565" t="inlineStr">
        <is>
          <t>SALA</t>
        </is>
      </c>
      <c r="G565" t="n">
        <v>2.6</v>
      </c>
      <c r="H565" t="n">
        <v>0</v>
      </c>
      <c r="I565" t="n">
        <v>0</v>
      </c>
      <c r="J565" t="n">
        <v>0</v>
      </c>
      <c r="K565" t="n">
        <v>0</v>
      </c>
      <c r="L565" t="n">
        <v>0</v>
      </c>
      <c r="M565" t="n">
        <v>0</v>
      </c>
      <c r="N565" t="n">
        <v>0</v>
      </c>
      <c r="O565" t="n">
        <v>0</v>
      </c>
      <c r="P565" t="n">
        <v>0</v>
      </c>
      <c r="Q565" t="n">
        <v>0</v>
      </c>
      <c r="R565" s="2" t="inlineStr"/>
    </row>
    <row r="566" ht="15" customHeight="1">
      <c r="A566" t="inlineStr">
        <is>
          <t>A 11696-2025</t>
        </is>
      </c>
      <c r="B566" s="1" t="n">
        <v>45727</v>
      </c>
      <c r="C566" s="1" t="n">
        <v>45884</v>
      </c>
      <c r="D566" t="inlineStr">
        <is>
          <t>VÄSTMANLANDS LÄN</t>
        </is>
      </c>
      <c r="E566" t="inlineStr">
        <is>
          <t>SALA</t>
        </is>
      </c>
      <c r="F566" t="inlineStr">
        <is>
          <t>Bergvik skog öst AB</t>
        </is>
      </c>
      <c r="G566" t="n">
        <v>1.6</v>
      </c>
      <c r="H566" t="n">
        <v>0</v>
      </c>
      <c r="I566" t="n">
        <v>0</v>
      </c>
      <c r="J566" t="n">
        <v>0</v>
      </c>
      <c r="K566" t="n">
        <v>0</v>
      </c>
      <c r="L566" t="n">
        <v>0</v>
      </c>
      <c r="M566" t="n">
        <v>0</v>
      </c>
      <c r="N566" t="n">
        <v>0</v>
      </c>
      <c r="O566" t="n">
        <v>0</v>
      </c>
      <c r="P566" t="n">
        <v>0</v>
      </c>
      <c r="Q566" t="n">
        <v>0</v>
      </c>
      <c r="R566" s="2" t="inlineStr"/>
    </row>
    <row r="567" ht="15" customHeight="1">
      <c r="A567" t="inlineStr">
        <is>
          <t>A 23804-2025</t>
        </is>
      </c>
      <c r="B567" s="1" t="n">
        <v>45793.55995370371</v>
      </c>
      <c r="C567" s="1" t="n">
        <v>45884</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22126-2025</t>
        </is>
      </c>
      <c r="B568" s="1" t="n">
        <v>45785</v>
      </c>
      <c r="C568" s="1" t="n">
        <v>45884</v>
      </c>
      <c r="D568" t="inlineStr">
        <is>
          <t>VÄSTMANLANDS LÄN</t>
        </is>
      </c>
      <c r="E568" t="inlineStr">
        <is>
          <t>SALA</t>
        </is>
      </c>
      <c r="G568" t="n">
        <v>10.6</v>
      </c>
      <c r="H568" t="n">
        <v>0</v>
      </c>
      <c r="I568" t="n">
        <v>0</v>
      </c>
      <c r="J568" t="n">
        <v>0</v>
      </c>
      <c r="K568" t="n">
        <v>0</v>
      </c>
      <c r="L568" t="n">
        <v>0</v>
      </c>
      <c r="M568" t="n">
        <v>0</v>
      </c>
      <c r="N568" t="n">
        <v>0</v>
      </c>
      <c r="O568" t="n">
        <v>0</v>
      </c>
      <c r="P568" t="n">
        <v>0</v>
      </c>
      <c r="Q568" t="n">
        <v>0</v>
      </c>
      <c r="R568" s="2" t="inlineStr"/>
    </row>
    <row r="569" ht="15" customHeight="1">
      <c r="A569" t="inlineStr">
        <is>
          <t>A 19297-2025</t>
        </is>
      </c>
      <c r="B569" s="1" t="n">
        <v>45769.56261574074</v>
      </c>
      <c r="C569" s="1" t="n">
        <v>45884</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23810-2025</t>
        </is>
      </c>
      <c r="B570" s="1" t="n">
        <v>45793.56989583333</v>
      </c>
      <c r="C570" s="1" t="n">
        <v>45884</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24169-2025</t>
        </is>
      </c>
      <c r="B571" s="1" t="n">
        <v>45796</v>
      </c>
      <c r="C571" s="1" t="n">
        <v>45884</v>
      </c>
      <c r="D571" t="inlineStr">
        <is>
          <t>VÄSTMANLANDS LÄN</t>
        </is>
      </c>
      <c r="E571" t="inlineStr">
        <is>
          <t>SALA</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11210-2025</t>
        </is>
      </c>
      <c r="B572" s="1" t="n">
        <v>45726</v>
      </c>
      <c r="C572" s="1" t="n">
        <v>45884</v>
      </c>
      <c r="D572" t="inlineStr">
        <is>
          <t>VÄSTMANLANDS LÄN</t>
        </is>
      </c>
      <c r="E572" t="inlineStr">
        <is>
          <t>SALA</t>
        </is>
      </c>
      <c r="G572" t="n">
        <v>4.1</v>
      </c>
      <c r="H572" t="n">
        <v>0</v>
      </c>
      <c r="I572" t="n">
        <v>0</v>
      </c>
      <c r="J572" t="n">
        <v>0</v>
      </c>
      <c r="K572" t="n">
        <v>0</v>
      </c>
      <c r="L572" t="n">
        <v>0</v>
      </c>
      <c r="M572" t="n">
        <v>0</v>
      </c>
      <c r="N572" t="n">
        <v>0</v>
      </c>
      <c r="O572" t="n">
        <v>0</v>
      </c>
      <c r="P572" t="n">
        <v>0</v>
      </c>
      <c r="Q572" t="n">
        <v>0</v>
      </c>
      <c r="R572" s="2" t="inlineStr"/>
    </row>
    <row r="573" ht="15" customHeight="1">
      <c r="A573" t="inlineStr">
        <is>
          <t>A 60545-2024</t>
        </is>
      </c>
      <c r="B573" s="1" t="n">
        <v>45643</v>
      </c>
      <c r="C573" s="1" t="n">
        <v>45884</v>
      </c>
      <c r="D573" t="inlineStr">
        <is>
          <t>VÄSTMANLANDS LÄN</t>
        </is>
      </c>
      <c r="E573" t="inlineStr">
        <is>
          <t>SALA</t>
        </is>
      </c>
      <c r="G573" t="n">
        <v>3.3</v>
      </c>
      <c r="H573" t="n">
        <v>0</v>
      </c>
      <c r="I573" t="n">
        <v>0</v>
      </c>
      <c r="J573" t="n">
        <v>0</v>
      </c>
      <c r="K573" t="n">
        <v>0</v>
      </c>
      <c r="L573" t="n">
        <v>0</v>
      </c>
      <c r="M573" t="n">
        <v>0</v>
      </c>
      <c r="N573" t="n">
        <v>0</v>
      </c>
      <c r="O573" t="n">
        <v>0</v>
      </c>
      <c r="P573" t="n">
        <v>0</v>
      </c>
      <c r="Q573" t="n">
        <v>0</v>
      </c>
      <c r="R573" s="2" t="inlineStr"/>
    </row>
    <row r="574" ht="15" customHeight="1">
      <c r="A574" t="inlineStr">
        <is>
          <t>A 60547-2024</t>
        </is>
      </c>
      <c r="B574" s="1" t="n">
        <v>45643</v>
      </c>
      <c r="C574" s="1" t="n">
        <v>45884</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1985-2022</t>
        </is>
      </c>
      <c r="B575" s="1" t="n">
        <v>44575</v>
      </c>
      <c r="C575" s="1" t="n">
        <v>45884</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24944-2023</t>
        </is>
      </c>
      <c r="B576" s="1" t="n">
        <v>45085</v>
      </c>
      <c r="C576" s="1" t="n">
        <v>45884</v>
      </c>
      <c r="D576" t="inlineStr">
        <is>
          <t>VÄSTMANLANDS LÄN</t>
        </is>
      </c>
      <c r="E576" t="inlineStr">
        <is>
          <t>SALA</t>
        </is>
      </c>
      <c r="G576" t="n">
        <v>3.8</v>
      </c>
      <c r="H576" t="n">
        <v>0</v>
      </c>
      <c r="I576" t="n">
        <v>0</v>
      </c>
      <c r="J576" t="n">
        <v>0</v>
      </c>
      <c r="K576" t="n">
        <v>0</v>
      </c>
      <c r="L576" t="n">
        <v>0</v>
      </c>
      <c r="M576" t="n">
        <v>0</v>
      </c>
      <c r="N576" t="n">
        <v>0</v>
      </c>
      <c r="O576" t="n">
        <v>0</v>
      </c>
      <c r="P576" t="n">
        <v>0</v>
      </c>
      <c r="Q576" t="n">
        <v>0</v>
      </c>
      <c r="R576" s="2" t="inlineStr"/>
    </row>
    <row r="577" ht="15" customHeight="1">
      <c r="A577" t="inlineStr">
        <is>
          <t>A 27261-2024</t>
        </is>
      </c>
      <c r="B577" s="1" t="n">
        <v>45471</v>
      </c>
      <c r="C577" s="1" t="n">
        <v>45884</v>
      </c>
      <c r="D577" t="inlineStr">
        <is>
          <t>VÄSTMANLANDS LÄN</t>
        </is>
      </c>
      <c r="E577" t="inlineStr">
        <is>
          <t>SALA</t>
        </is>
      </c>
      <c r="G577" t="n">
        <v>6.1</v>
      </c>
      <c r="H577" t="n">
        <v>0</v>
      </c>
      <c r="I577" t="n">
        <v>0</v>
      </c>
      <c r="J577" t="n">
        <v>0</v>
      </c>
      <c r="K577" t="n">
        <v>0</v>
      </c>
      <c r="L577" t="n">
        <v>0</v>
      </c>
      <c r="M577" t="n">
        <v>0</v>
      </c>
      <c r="N577" t="n">
        <v>0</v>
      </c>
      <c r="O577" t="n">
        <v>0</v>
      </c>
      <c r="P577" t="n">
        <v>0</v>
      </c>
      <c r="Q577" t="n">
        <v>0</v>
      </c>
      <c r="R577" s="2" t="inlineStr"/>
    </row>
    <row r="578" ht="15" customHeight="1">
      <c r="A578" t="inlineStr">
        <is>
          <t>A 35976-2024</t>
        </is>
      </c>
      <c r="B578" s="1" t="n">
        <v>45533.49555555556</v>
      </c>
      <c r="C578" s="1" t="n">
        <v>45884</v>
      </c>
      <c r="D578" t="inlineStr">
        <is>
          <t>VÄSTMANLANDS LÄN</t>
        </is>
      </c>
      <c r="E578" t="inlineStr">
        <is>
          <t>SALA</t>
        </is>
      </c>
      <c r="G578" t="n">
        <v>2.3</v>
      </c>
      <c r="H578" t="n">
        <v>0</v>
      </c>
      <c r="I578" t="n">
        <v>0</v>
      </c>
      <c r="J578" t="n">
        <v>0</v>
      </c>
      <c r="K578" t="n">
        <v>0</v>
      </c>
      <c r="L578" t="n">
        <v>0</v>
      </c>
      <c r="M578" t="n">
        <v>0</v>
      </c>
      <c r="N578" t="n">
        <v>0</v>
      </c>
      <c r="O578" t="n">
        <v>0</v>
      </c>
      <c r="P578" t="n">
        <v>0</v>
      </c>
      <c r="Q578" t="n">
        <v>0</v>
      </c>
      <c r="R578" s="2" t="inlineStr"/>
    </row>
    <row r="579" ht="15" customHeight="1">
      <c r="A579" t="inlineStr">
        <is>
          <t>A 55556-2023</t>
        </is>
      </c>
      <c r="B579" s="1" t="n">
        <v>45232</v>
      </c>
      <c r="C579" s="1" t="n">
        <v>45884</v>
      </c>
      <c r="D579" t="inlineStr">
        <is>
          <t>VÄSTMANLANDS LÄN</t>
        </is>
      </c>
      <c r="E579" t="inlineStr">
        <is>
          <t>SALA</t>
        </is>
      </c>
      <c r="G579" t="n">
        <v>1.3</v>
      </c>
      <c r="H579" t="n">
        <v>0</v>
      </c>
      <c r="I579" t="n">
        <v>0</v>
      </c>
      <c r="J579" t="n">
        <v>0</v>
      </c>
      <c r="K579" t="n">
        <v>0</v>
      </c>
      <c r="L579" t="n">
        <v>0</v>
      </c>
      <c r="M579" t="n">
        <v>0</v>
      </c>
      <c r="N579" t="n">
        <v>0</v>
      </c>
      <c r="O579" t="n">
        <v>0</v>
      </c>
      <c r="P579" t="n">
        <v>0</v>
      </c>
      <c r="Q579" t="n">
        <v>0</v>
      </c>
      <c r="R579" s="2" t="inlineStr"/>
    </row>
    <row r="580" ht="15" customHeight="1">
      <c r="A580" t="inlineStr">
        <is>
          <t>A 57650-2024</t>
        </is>
      </c>
      <c r="B580" s="1" t="n">
        <v>45630</v>
      </c>
      <c r="C580" s="1" t="n">
        <v>45884</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50479-2022</t>
        </is>
      </c>
      <c r="B581" s="1" t="n">
        <v>44861</v>
      </c>
      <c r="C581" s="1" t="n">
        <v>45884</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45790-2023</t>
        </is>
      </c>
      <c r="B582" s="1" t="n">
        <v>45195.45958333334</v>
      </c>
      <c r="C582" s="1" t="n">
        <v>45884</v>
      </c>
      <c r="D582" t="inlineStr">
        <is>
          <t>VÄSTMANLANDS LÄN</t>
        </is>
      </c>
      <c r="E582" t="inlineStr">
        <is>
          <t>SALA</t>
        </is>
      </c>
      <c r="G582" t="n">
        <v>5.7</v>
      </c>
      <c r="H582" t="n">
        <v>0</v>
      </c>
      <c r="I582" t="n">
        <v>0</v>
      </c>
      <c r="J582" t="n">
        <v>0</v>
      </c>
      <c r="K582" t="n">
        <v>0</v>
      </c>
      <c r="L582" t="n">
        <v>0</v>
      </c>
      <c r="M582" t="n">
        <v>0</v>
      </c>
      <c r="N582" t="n">
        <v>0</v>
      </c>
      <c r="O582" t="n">
        <v>0</v>
      </c>
      <c r="P582" t="n">
        <v>0</v>
      </c>
      <c r="Q582" t="n">
        <v>0</v>
      </c>
      <c r="R582" s="2" t="inlineStr"/>
    </row>
    <row r="583" ht="15" customHeight="1">
      <c r="A583" t="inlineStr">
        <is>
          <t>A 24460-2025</t>
        </is>
      </c>
      <c r="B583" s="1" t="n">
        <v>45798</v>
      </c>
      <c r="C583" s="1" t="n">
        <v>45884</v>
      </c>
      <c r="D583" t="inlineStr">
        <is>
          <t>VÄSTMANLANDS LÄN</t>
        </is>
      </c>
      <c r="E583" t="inlineStr">
        <is>
          <t>SALA</t>
        </is>
      </c>
      <c r="F583" t="inlineStr">
        <is>
          <t>Bergvik skog öst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24463-2025</t>
        </is>
      </c>
      <c r="B584" s="1" t="n">
        <v>45798</v>
      </c>
      <c r="C584" s="1" t="n">
        <v>45884</v>
      </c>
      <c r="D584" t="inlineStr">
        <is>
          <t>VÄSTMANLANDS LÄN</t>
        </is>
      </c>
      <c r="E584" t="inlineStr">
        <is>
          <t>SALA</t>
        </is>
      </c>
      <c r="F584" t="inlineStr">
        <is>
          <t>Bergvik skog öst AB</t>
        </is>
      </c>
      <c r="G584" t="n">
        <v>1.5</v>
      </c>
      <c r="H584" t="n">
        <v>0</v>
      </c>
      <c r="I584" t="n">
        <v>0</v>
      </c>
      <c r="J584" t="n">
        <v>0</v>
      </c>
      <c r="K584" t="n">
        <v>0</v>
      </c>
      <c r="L584" t="n">
        <v>0</v>
      </c>
      <c r="M584" t="n">
        <v>0</v>
      </c>
      <c r="N584" t="n">
        <v>0</v>
      </c>
      <c r="O584" t="n">
        <v>0</v>
      </c>
      <c r="P584" t="n">
        <v>0</v>
      </c>
      <c r="Q584" t="n">
        <v>0</v>
      </c>
      <c r="R584" s="2" t="inlineStr"/>
    </row>
    <row r="585" ht="15" customHeight="1">
      <c r="A585" t="inlineStr">
        <is>
          <t>A 55065-2024</t>
        </is>
      </c>
      <c r="B585" s="1" t="n">
        <v>45618</v>
      </c>
      <c r="C585" s="1" t="n">
        <v>45884</v>
      </c>
      <c r="D585" t="inlineStr">
        <is>
          <t>VÄSTMANLANDS LÄN</t>
        </is>
      </c>
      <c r="E585" t="inlineStr">
        <is>
          <t>SALA</t>
        </is>
      </c>
      <c r="G585" t="n">
        <v>3.5</v>
      </c>
      <c r="H585" t="n">
        <v>0</v>
      </c>
      <c r="I585" t="n">
        <v>0</v>
      </c>
      <c r="J585" t="n">
        <v>0</v>
      </c>
      <c r="K585" t="n">
        <v>0</v>
      </c>
      <c r="L585" t="n">
        <v>0</v>
      </c>
      <c r="M585" t="n">
        <v>0</v>
      </c>
      <c r="N585" t="n">
        <v>0</v>
      </c>
      <c r="O585" t="n">
        <v>0</v>
      </c>
      <c r="P585" t="n">
        <v>0</v>
      </c>
      <c r="Q585" t="n">
        <v>0</v>
      </c>
      <c r="R585" s="2" t="inlineStr"/>
    </row>
    <row r="586" ht="15" customHeight="1">
      <c r="A586" t="inlineStr">
        <is>
          <t>A 24907-2025</t>
        </is>
      </c>
      <c r="B586" s="1" t="n">
        <v>45799</v>
      </c>
      <c r="C586" s="1" t="n">
        <v>45884</v>
      </c>
      <c r="D586" t="inlineStr">
        <is>
          <t>VÄSTMANLANDS LÄN</t>
        </is>
      </c>
      <c r="E586" t="inlineStr">
        <is>
          <t>SALA</t>
        </is>
      </c>
      <c r="G586" t="n">
        <v>3.5</v>
      </c>
      <c r="H586" t="n">
        <v>0</v>
      </c>
      <c r="I586" t="n">
        <v>0</v>
      </c>
      <c r="J586" t="n">
        <v>0</v>
      </c>
      <c r="K586" t="n">
        <v>0</v>
      </c>
      <c r="L586" t="n">
        <v>0</v>
      </c>
      <c r="M586" t="n">
        <v>0</v>
      </c>
      <c r="N586" t="n">
        <v>0</v>
      </c>
      <c r="O586" t="n">
        <v>0</v>
      </c>
      <c r="P586" t="n">
        <v>0</v>
      </c>
      <c r="Q586" t="n">
        <v>0</v>
      </c>
      <c r="R586" s="2" t="inlineStr"/>
    </row>
    <row r="587" ht="15" customHeight="1">
      <c r="A587" t="inlineStr">
        <is>
          <t>A 24910-2025</t>
        </is>
      </c>
      <c r="B587" s="1" t="n">
        <v>45799.53775462963</v>
      </c>
      <c r="C587" s="1" t="n">
        <v>45884</v>
      </c>
      <c r="D587" t="inlineStr">
        <is>
          <t>VÄSTMANLANDS LÄN</t>
        </is>
      </c>
      <c r="E587" t="inlineStr">
        <is>
          <t>SALA</t>
        </is>
      </c>
      <c r="G587" t="n">
        <v>3.5</v>
      </c>
      <c r="H587" t="n">
        <v>0</v>
      </c>
      <c r="I587" t="n">
        <v>0</v>
      </c>
      <c r="J587" t="n">
        <v>0</v>
      </c>
      <c r="K587" t="n">
        <v>0</v>
      </c>
      <c r="L587" t="n">
        <v>0</v>
      </c>
      <c r="M587" t="n">
        <v>0</v>
      </c>
      <c r="N587" t="n">
        <v>0</v>
      </c>
      <c r="O587" t="n">
        <v>0</v>
      </c>
      <c r="P587" t="n">
        <v>0</v>
      </c>
      <c r="Q587" t="n">
        <v>0</v>
      </c>
      <c r="R587" s="2" t="inlineStr"/>
    </row>
    <row r="588" ht="15" customHeight="1">
      <c r="A588" t="inlineStr">
        <is>
          <t>A 2928-2024</t>
        </is>
      </c>
      <c r="B588" s="1" t="n">
        <v>45315.59041666667</v>
      </c>
      <c r="C588" s="1" t="n">
        <v>45884</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73673-2021</t>
        </is>
      </c>
      <c r="B589" s="1" t="n">
        <v>44552.46501157407</v>
      </c>
      <c r="C589" s="1" t="n">
        <v>45884</v>
      </c>
      <c r="D589" t="inlineStr">
        <is>
          <t>VÄSTMANLANDS LÄN</t>
        </is>
      </c>
      <c r="E589" t="inlineStr">
        <is>
          <t>SALA</t>
        </is>
      </c>
      <c r="G589" t="n">
        <v>11.4</v>
      </c>
      <c r="H589" t="n">
        <v>0</v>
      </c>
      <c r="I589" t="n">
        <v>0</v>
      </c>
      <c r="J589" t="n">
        <v>0</v>
      </c>
      <c r="K589" t="n">
        <v>0</v>
      </c>
      <c r="L589" t="n">
        <v>0</v>
      </c>
      <c r="M589" t="n">
        <v>0</v>
      </c>
      <c r="N589" t="n">
        <v>0</v>
      </c>
      <c r="O589" t="n">
        <v>0</v>
      </c>
      <c r="P589" t="n">
        <v>0</v>
      </c>
      <c r="Q589" t="n">
        <v>0</v>
      </c>
      <c r="R589" s="2" t="inlineStr"/>
    </row>
    <row r="590" ht="15" customHeight="1">
      <c r="A590" t="inlineStr">
        <is>
          <t>A 40871-2021</t>
        </is>
      </c>
      <c r="B590" s="1" t="n">
        <v>44421</v>
      </c>
      <c r="C590" s="1" t="n">
        <v>45884</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14271-2025</t>
        </is>
      </c>
      <c r="B591" s="1" t="n">
        <v>45740.64129629629</v>
      </c>
      <c r="C591" s="1" t="n">
        <v>45884</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54199-2024</t>
        </is>
      </c>
      <c r="B592" s="1" t="n">
        <v>45616.64703703704</v>
      </c>
      <c r="C592" s="1" t="n">
        <v>45884</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6312-2025</t>
        </is>
      </c>
      <c r="B593" s="1" t="n">
        <v>45698</v>
      </c>
      <c r="C593" s="1" t="n">
        <v>45884</v>
      </c>
      <c r="D593" t="inlineStr">
        <is>
          <t>VÄSTMANLANDS LÄN</t>
        </is>
      </c>
      <c r="E593" t="inlineStr">
        <is>
          <t>SALA</t>
        </is>
      </c>
      <c r="G593" t="n">
        <v>1.2</v>
      </c>
      <c r="H593" t="n">
        <v>0</v>
      </c>
      <c r="I593" t="n">
        <v>0</v>
      </c>
      <c r="J593" t="n">
        <v>0</v>
      </c>
      <c r="K593" t="n">
        <v>0</v>
      </c>
      <c r="L593" t="n">
        <v>0</v>
      </c>
      <c r="M593" t="n">
        <v>0</v>
      </c>
      <c r="N593" t="n">
        <v>0</v>
      </c>
      <c r="O593" t="n">
        <v>0</v>
      </c>
      <c r="P593" t="n">
        <v>0</v>
      </c>
      <c r="Q593" t="n">
        <v>0</v>
      </c>
      <c r="R593" s="2" t="inlineStr"/>
    </row>
    <row r="594" ht="15" customHeight="1">
      <c r="A594" t="inlineStr">
        <is>
          <t>A 44857-2023</t>
        </is>
      </c>
      <c r="B594" s="1" t="n">
        <v>45190.58479166667</v>
      </c>
      <c r="C594" s="1" t="n">
        <v>45884</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34069-2025</t>
        </is>
      </c>
      <c r="B595" s="1" t="n">
        <v>45845.43560185185</v>
      </c>
      <c r="C595" s="1" t="n">
        <v>45884</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c r="U595">
        <f>HYPERLINK("https://klasma.github.io/Logging_1981/knärot/A 34069-2025 karta knärot.png", "A 34069-2025")</f>
        <v/>
      </c>
      <c r="V595">
        <f>HYPERLINK("https://klasma.github.io/Logging_1981/klagomål/A 34069-2025 FSC-klagomål.docx", "A 34069-2025")</f>
        <v/>
      </c>
      <c r="W595">
        <f>HYPERLINK("https://klasma.github.io/Logging_1981/klagomålsmail/A 34069-2025 FSC-klagomål mail.docx", "A 34069-2025")</f>
        <v/>
      </c>
      <c r="X595">
        <f>HYPERLINK("https://klasma.github.io/Logging_1981/tillsyn/A 34069-2025 tillsynsbegäran.docx", "A 34069-2025")</f>
        <v/>
      </c>
      <c r="Y595">
        <f>HYPERLINK("https://klasma.github.io/Logging_1981/tillsynsmail/A 34069-2025 tillsynsbegäran mail.docx", "A 34069-2025")</f>
        <v/>
      </c>
    </row>
    <row r="596" ht="15" customHeight="1">
      <c r="A596" t="inlineStr">
        <is>
          <t>A 62654-2022</t>
        </is>
      </c>
      <c r="B596" s="1" t="n">
        <v>44917</v>
      </c>
      <c r="C596" s="1" t="n">
        <v>45884</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43188-2023</t>
        </is>
      </c>
      <c r="B597" s="1" t="n">
        <v>45183</v>
      </c>
      <c r="C597" s="1" t="n">
        <v>45884</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43205-2023</t>
        </is>
      </c>
      <c r="B598" s="1" t="n">
        <v>45183</v>
      </c>
      <c r="C598" s="1" t="n">
        <v>45884</v>
      </c>
      <c r="D598" t="inlineStr">
        <is>
          <t>VÄSTMANLANDS LÄN</t>
        </is>
      </c>
      <c r="E598" t="inlineStr">
        <is>
          <t>SALA</t>
        </is>
      </c>
      <c r="G598" t="n">
        <v>2.1</v>
      </c>
      <c r="H598" t="n">
        <v>0</v>
      </c>
      <c r="I598" t="n">
        <v>0</v>
      </c>
      <c r="J598" t="n">
        <v>0</v>
      </c>
      <c r="K598" t="n">
        <v>0</v>
      </c>
      <c r="L598" t="n">
        <v>0</v>
      </c>
      <c r="M598" t="n">
        <v>0</v>
      </c>
      <c r="N598" t="n">
        <v>0</v>
      </c>
      <c r="O598" t="n">
        <v>0</v>
      </c>
      <c r="P598" t="n">
        <v>0</v>
      </c>
      <c r="Q598" t="n">
        <v>0</v>
      </c>
      <c r="R598" s="2" t="inlineStr"/>
    </row>
    <row r="599" ht="15" customHeight="1">
      <c r="A599" t="inlineStr">
        <is>
          <t>A 61892-2021</t>
        </is>
      </c>
      <c r="B599" s="1" t="n">
        <v>44502</v>
      </c>
      <c r="C599" s="1" t="n">
        <v>45884</v>
      </c>
      <c r="D599" t="inlineStr">
        <is>
          <t>VÄSTMANLANDS LÄN</t>
        </is>
      </c>
      <c r="E599" t="inlineStr">
        <is>
          <t>SALA</t>
        </is>
      </c>
      <c r="G599" t="n">
        <v>1.4</v>
      </c>
      <c r="H599" t="n">
        <v>0</v>
      </c>
      <c r="I599" t="n">
        <v>0</v>
      </c>
      <c r="J599" t="n">
        <v>0</v>
      </c>
      <c r="K599" t="n">
        <v>0</v>
      </c>
      <c r="L599" t="n">
        <v>0</v>
      </c>
      <c r="M599" t="n">
        <v>0</v>
      </c>
      <c r="N599" t="n">
        <v>0</v>
      </c>
      <c r="O599" t="n">
        <v>0</v>
      </c>
      <c r="P599" t="n">
        <v>0</v>
      </c>
      <c r="Q599" t="n">
        <v>0</v>
      </c>
      <c r="R599" s="2" t="inlineStr"/>
    </row>
    <row r="600" ht="15" customHeight="1">
      <c r="A600" t="inlineStr">
        <is>
          <t>A 29213-2022</t>
        </is>
      </c>
      <c r="B600" s="1" t="n">
        <v>44750.57474537037</v>
      </c>
      <c r="C600" s="1" t="n">
        <v>45884</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44907.45679398148</v>
      </c>
      <c r="C601" s="1" t="n">
        <v>45884</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10909-2024</t>
        </is>
      </c>
      <c r="B602" s="1" t="n">
        <v>45370</v>
      </c>
      <c r="C602" s="1" t="n">
        <v>45884</v>
      </c>
      <c r="D602" t="inlineStr">
        <is>
          <t>VÄSTMANLANDS LÄN</t>
        </is>
      </c>
      <c r="E602" t="inlineStr">
        <is>
          <t>SALA</t>
        </is>
      </c>
      <c r="G602" t="n">
        <v>3.3</v>
      </c>
      <c r="H602" t="n">
        <v>0</v>
      </c>
      <c r="I602" t="n">
        <v>0</v>
      </c>
      <c r="J602" t="n">
        <v>0</v>
      </c>
      <c r="K602" t="n">
        <v>0</v>
      </c>
      <c r="L602" t="n">
        <v>0</v>
      </c>
      <c r="M602" t="n">
        <v>0</v>
      </c>
      <c r="N602" t="n">
        <v>0</v>
      </c>
      <c r="O602" t="n">
        <v>0</v>
      </c>
      <c r="P602" t="n">
        <v>0</v>
      </c>
      <c r="Q602" t="n">
        <v>0</v>
      </c>
      <c r="R602" s="2" t="inlineStr"/>
    </row>
    <row r="603" ht="15" customHeight="1">
      <c r="A603" t="inlineStr">
        <is>
          <t>A 17722-2025</t>
        </is>
      </c>
      <c r="B603" s="1" t="n">
        <v>45758</v>
      </c>
      <c r="C603" s="1" t="n">
        <v>45884</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16160-2024</t>
        </is>
      </c>
      <c r="B604" s="1" t="n">
        <v>45406</v>
      </c>
      <c r="C604" s="1" t="n">
        <v>45884</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39597-2022</t>
        </is>
      </c>
      <c r="B605" s="1" t="n">
        <v>44818</v>
      </c>
      <c r="C605" s="1" t="n">
        <v>45884</v>
      </c>
      <c r="D605" t="inlineStr">
        <is>
          <t>VÄSTMANLANDS LÄN</t>
        </is>
      </c>
      <c r="E605" t="inlineStr">
        <is>
          <t>SALA</t>
        </is>
      </c>
      <c r="G605" t="n">
        <v>2.3</v>
      </c>
      <c r="H605" t="n">
        <v>0</v>
      </c>
      <c r="I605" t="n">
        <v>0</v>
      </c>
      <c r="J605" t="n">
        <v>0</v>
      </c>
      <c r="K605" t="n">
        <v>0</v>
      </c>
      <c r="L605" t="n">
        <v>0</v>
      </c>
      <c r="M605" t="n">
        <v>0</v>
      </c>
      <c r="N605" t="n">
        <v>0</v>
      </c>
      <c r="O605" t="n">
        <v>0</v>
      </c>
      <c r="P605" t="n">
        <v>0</v>
      </c>
      <c r="Q605" t="n">
        <v>0</v>
      </c>
      <c r="R605" s="2" t="inlineStr"/>
    </row>
    <row r="606" ht="15" customHeight="1">
      <c r="A606" t="inlineStr">
        <is>
          <t>A 22921-2023</t>
        </is>
      </c>
      <c r="B606" s="1" t="n">
        <v>45070</v>
      </c>
      <c r="C606" s="1" t="n">
        <v>45884</v>
      </c>
      <c r="D606" t="inlineStr">
        <is>
          <t>VÄSTMANLANDS LÄN</t>
        </is>
      </c>
      <c r="E606" t="inlineStr">
        <is>
          <t>SALA</t>
        </is>
      </c>
      <c r="G606" t="n">
        <v>1.3</v>
      </c>
      <c r="H606" t="n">
        <v>0</v>
      </c>
      <c r="I606" t="n">
        <v>0</v>
      </c>
      <c r="J606" t="n">
        <v>0</v>
      </c>
      <c r="K606" t="n">
        <v>0</v>
      </c>
      <c r="L606" t="n">
        <v>0</v>
      </c>
      <c r="M606" t="n">
        <v>0</v>
      </c>
      <c r="N606" t="n">
        <v>0</v>
      </c>
      <c r="O606" t="n">
        <v>0</v>
      </c>
      <c r="P606" t="n">
        <v>0</v>
      </c>
      <c r="Q606" t="n">
        <v>0</v>
      </c>
      <c r="R606" s="2" t="inlineStr"/>
    </row>
    <row r="607" ht="15" customHeight="1">
      <c r="A607" t="inlineStr">
        <is>
          <t>A 36858-2023</t>
        </is>
      </c>
      <c r="B607" s="1" t="n">
        <v>45154.55184027777</v>
      </c>
      <c r="C607" s="1" t="n">
        <v>45884</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55024-2023</t>
        </is>
      </c>
      <c r="B608" s="1" t="n">
        <v>45229</v>
      </c>
      <c r="C608" s="1" t="n">
        <v>45884</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55032-2023</t>
        </is>
      </c>
      <c r="B609" s="1" t="n">
        <v>45229</v>
      </c>
      <c r="C609" s="1" t="n">
        <v>45884</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20352-2022</t>
        </is>
      </c>
      <c r="B610" s="1" t="n">
        <v>44699.37318287037</v>
      </c>
      <c r="C610" s="1" t="n">
        <v>45884</v>
      </c>
      <c r="D610" t="inlineStr">
        <is>
          <t>VÄSTMANLANDS LÄN</t>
        </is>
      </c>
      <c r="E610" t="inlineStr">
        <is>
          <t>SALA</t>
        </is>
      </c>
      <c r="G610" t="n">
        <v>1.3</v>
      </c>
      <c r="H610" t="n">
        <v>0</v>
      </c>
      <c r="I610" t="n">
        <v>0</v>
      </c>
      <c r="J610" t="n">
        <v>0</v>
      </c>
      <c r="K610" t="n">
        <v>0</v>
      </c>
      <c r="L610" t="n">
        <v>0</v>
      </c>
      <c r="M610" t="n">
        <v>0</v>
      </c>
      <c r="N610" t="n">
        <v>0</v>
      </c>
      <c r="O610" t="n">
        <v>0</v>
      </c>
      <c r="P610" t="n">
        <v>0</v>
      </c>
      <c r="Q610" t="n">
        <v>0</v>
      </c>
      <c r="R610" s="2" t="inlineStr"/>
    </row>
    <row r="611" ht="15" customHeight="1">
      <c r="A611" t="inlineStr">
        <is>
          <t>A 5032-2025</t>
        </is>
      </c>
      <c r="B611" s="1" t="n">
        <v>45691</v>
      </c>
      <c r="C611" s="1" t="n">
        <v>45884</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17117-2023</t>
        </is>
      </c>
      <c r="B612" s="1" t="n">
        <v>45034</v>
      </c>
      <c r="C612" s="1" t="n">
        <v>45884</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19243-2025</t>
        </is>
      </c>
      <c r="B613" s="1" t="n">
        <v>45769</v>
      </c>
      <c r="C613" s="1" t="n">
        <v>45884</v>
      </c>
      <c r="D613" t="inlineStr">
        <is>
          <t>VÄSTMANLANDS LÄN</t>
        </is>
      </c>
      <c r="E613" t="inlineStr">
        <is>
          <t>SALA</t>
        </is>
      </c>
      <c r="F613" t="inlineStr">
        <is>
          <t>Bergvik skog öst AB</t>
        </is>
      </c>
      <c r="G613" t="n">
        <v>1.5</v>
      </c>
      <c r="H613" t="n">
        <v>0</v>
      </c>
      <c r="I613" t="n">
        <v>0</v>
      </c>
      <c r="J613" t="n">
        <v>0</v>
      </c>
      <c r="K613" t="n">
        <v>0</v>
      </c>
      <c r="L613" t="n">
        <v>0</v>
      </c>
      <c r="M613" t="n">
        <v>0</v>
      </c>
      <c r="N613" t="n">
        <v>0</v>
      </c>
      <c r="O613" t="n">
        <v>0</v>
      </c>
      <c r="P613" t="n">
        <v>0</v>
      </c>
      <c r="Q613" t="n">
        <v>0</v>
      </c>
      <c r="R613" s="2" t="inlineStr"/>
    </row>
    <row r="614" ht="15" customHeight="1">
      <c r="A614" t="inlineStr">
        <is>
          <t>A 26661-2025</t>
        </is>
      </c>
      <c r="B614" s="1" t="n">
        <v>45810</v>
      </c>
      <c r="C614" s="1" t="n">
        <v>45884</v>
      </c>
      <c r="D614" t="inlineStr">
        <is>
          <t>VÄSTMANLANDS LÄN</t>
        </is>
      </c>
      <c r="E614" t="inlineStr">
        <is>
          <t>SALA</t>
        </is>
      </c>
      <c r="G614" t="n">
        <v>3.5</v>
      </c>
      <c r="H614" t="n">
        <v>0</v>
      </c>
      <c r="I614" t="n">
        <v>0</v>
      </c>
      <c r="J614" t="n">
        <v>0</v>
      </c>
      <c r="K614" t="n">
        <v>0</v>
      </c>
      <c r="L614" t="n">
        <v>0</v>
      </c>
      <c r="M614" t="n">
        <v>0</v>
      </c>
      <c r="N614" t="n">
        <v>0</v>
      </c>
      <c r="O614" t="n">
        <v>0</v>
      </c>
      <c r="P614" t="n">
        <v>0</v>
      </c>
      <c r="Q614" t="n">
        <v>0</v>
      </c>
      <c r="R614" s="2" t="inlineStr"/>
    </row>
    <row r="615" ht="15" customHeight="1">
      <c r="A615" t="inlineStr">
        <is>
          <t>A 7166-2025</t>
        </is>
      </c>
      <c r="B615" s="1" t="n">
        <v>45702</v>
      </c>
      <c r="C615" s="1" t="n">
        <v>45884</v>
      </c>
      <c r="D615" t="inlineStr">
        <is>
          <t>VÄSTMANLANDS LÄN</t>
        </is>
      </c>
      <c r="E615" t="inlineStr">
        <is>
          <t>SALA</t>
        </is>
      </c>
      <c r="G615" t="n">
        <v>6.1</v>
      </c>
      <c r="H615" t="n">
        <v>0</v>
      </c>
      <c r="I615" t="n">
        <v>0</v>
      </c>
      <c r="J615" t="n">
        <v>0</v>
      </c>
      <c r="K615" t="n">
        <v>0</v>
      </c>
      <c r="L615" t="n">
        <v>0</v>
      </c>
      <c r="M615" t="n">
        <v>0</v>
      </c>
      <c r="N615" t="n">
        <v>0</v>
      </c>
      <c r="O615" t="n">
        <v>0</v>
      </c>
      <c r="P615" t="n">
        <v>0</v>
      </c>
      <c r="Q615" t="n">
        <v>0</v>
      </c>
      <c r="R615" s="2" t="inlineStr"/>
    </row>
    <row r="616" ht="15" customHeight="1">
      <c r="A616" t="inlineStr">
        <is>
          <t>A 36393-2023</t>
        </is>
      </c>
      <c r="B616" s="1" t="n">
        <v>45152</v>
      </c>
      <c r="C616" s="1" t="n">
        <v>45884</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26416-2023</t>
        </is>
      </c>
      <c r="B617" s="1" t="n">
        <v>45092.38087962963</v>
      </c>
      <c r="C617" s="1" t="n">
        <v>45884</v>
      </c>
      <c r="D617" t="inlineStr">
        <is>
          <t>VÄSTMANLANDS LÄN</t>
        </is>
      </c>
      <c r="E617" t="inlineStr">
        <is>
          <t>SALA</t>
        </is>
      </c>
      <c r="G617" t="n">
        <v>2.9</v>
      </c>
      <c r="H617" t="n">
        <v>0</v>
      </c>
      <c r="I617" t="n">
        <v>0</v>
      </c>
      <c r="J617" t="n">
        <v>0</v>
      </c>
      <c r="K617" t="n">
        <v>0</v>
      </c>
      <c r="L617" t="n">
        <v>0</v>
      </c>
      <c r="M617" t="n">
        <v>0</v>
      </c>
      <c r="N617" t="n">
        <v>0</v>
      </c>
      <c r="O617" t="n">
        <v>0</v>
      </c>
      <c r="P617" t="n">
        <v>0</v>
      </c>
      <c r="Q617" t="n">
        <v>0</v>
      </c>
      <c r="R617" s="2" t="inlineStr"/>
    </row>
    <row r="618" ht="15" customHeight="1">
      <c r="A618" t="inlineStr">
        <is>
          <t>A 66821-2020</t>
        </is>
      </c>
      <c r="B618" s="1" t="n">
        <v>44179.88008101852</v>
      </c>
      <c r="C618" s="1" t="n">
        <v>45884</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28661-2024</t>
        </is>
      </c>
      <c r="B619" s="1" t="n">
        <v>45478</v>
      </c>
      <c r="C619" s="1" t="n">
        <v>45884</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27255-2023</t>
        </is>
      </c>
      <c r="B620" s="1" t="n">
        <v>45096</v>
      </c>
      <c r="C620" s="1" t="n">
        <v>45884</v>
      </c>
      <c r="D620" t="inlineStr">
        <is>
          <t>VÄSTMANLANDS LÄN</t>
        </is>
      </c>
      <c r="E620" t="inlineStr">
        <is>
          <t>SALA</t>
        </is>
      </c>
      <c r="F620" t="inlineStr">
        <is>
          <t>Sveaskog</t>
        </is>
      </c>
      <c r="G620" t="n">
        <v>2.3</v>
      </c>
      <c r="H620" t="n">
        <v>0</v>
      </c>
      <c r="I620" t="n">
        <v>0</v>
      </c>
      <c r="J620" t="n">
        <v>0</v>
      </c>
      <c r="K620" t="n">
        <v>0</v>
      </c>
      <c r="L620" t="n">
        <v>0</v>
      </c>
      <c r="M620" t="n">
        <v>0</v>
      </c>
      <c r="N620" t="n">
        <v>0</v>
      </c>
      <c r="O620" t="n">
        <v>0</v>
      </c>
      <c r="P620" t="n">
        <v>0</v>
      </c>
      <c r="Q620" t="n">
        <v>0</v>
      </c>
      <c r="R620" s="2" t="inlineStr"/>
    </row>
    <row r="621" ht="15" customHeight="1">
      <c r="A621" t="inlineStr">
        <is>
          <t>A 15744-2025</t>
        </is>
      </c>
      <c r="B621" s="1" t="n">
        <v>45748</v>
      </c>
      <c r="C621" s="1" t="n">
        <v>45884</v>
      </c>
      <c r="D621" t="inlineStr">
        <is>
          <t>VÄSTMANLANDS LÄN</t>
        </is>
      </c>
      <c r="E621" t="inlineStr">
        <is>
          <t>SALA</t>
        </is>
      </c>
      <c r="G621" t="n">
        <v>1.6</v>
      </c>
      <c r="H621" t="n">
        <v>0</v>
      </c>
      <c r="I621" t="n">
        <v>0</v>
      </c>
      <c r="J621" t="n">
        <v>0</v>
      </c>
      <c r="K621" t="n">
        <v>0</v>
      </c>
      <c r="L621" t="n">
        <v>0</v>
      </c>
      <c r="M621" t="n">
        <v>0</v>
      </c>
      <c r="N621" t="n">
        <v>0</v>
      </c>
      <c r="O621" t="n">
        <v>0</v>
      </c>
      <c r="P621" t="n">
        <v>0</v>
      </c>
      <c r="Q621" t="n">
        <v>0</v>
      </c>
      <c r="R621" s="2" t="inlineStr"/>
    </row>
    <row r="622" ht="15" customHeight="1">
      <c r="A622" t="inlineStr">
        <is>
          <t>A 7197-2025</t>
        </is>
      </c>
      <c r="B622" s="1" t="n">
        <v>45702</v>
      </c>
      <c r="C622" s="1" t="n">
        <v>45884</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12921-2025</t>
        </is>
      </c>
      <c r="B623" s="1" t="n">
        <v>45734.28016203704</v>
      </c>
      <c r="C623" s="1" t="n">
        <v>45884</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56150-2024</t>
        </is>
      </c>
      <c r="B624" s="1" t="n">
        <v>45624.51481481481</v>
      </c>
      <c r="C624" s="1" t="n">
        <v>45884</v>
      </c>
      <c r="D624" t="inlineStr">
        <is>
          <t>VÄSTMANLANDS LÄN</t>
        </is>
      </c>
      <c r="E624" t="inlineStr">
        <is>
          <t>SALA</t>
        </is>
      </c>
      <c r="G624" t="n">
        <v>2.6</v>
      </c>
      <c r="H624" t="n">
        <v>0</v>
      </c>
      <c r="I624" t="n">
        <v>0</v>
      </c>
      <c r="J624" t="n">
        <v>0</v>
      </c>
      <c r="K624" t="n">
        <v>0</v>
      </c>
      <c r="L624" t="n">
        <v>0</v>
      </c>
      <c r="M624" t="n">
        <v>0</v>
      </c>
      <c r="N624" t="n">
        <v>0</v>
      </c>
      <c r="O624" t="n">
        <v>0</v>
      </c>
      <c r="P624" t="n">
        <v>0</v>
      </c>
      <c r="Q624" t="n">
        <v>0</v>
      </c>
      <c r="R624" s="2" t="inlineStr"/>
    </row>
    <row r="625" ht="15" customHeight="1">
      <c r="A625" t="inlineStr">
        <is>
          <t>A 27989-2025</t>
        </is>
      </c>
      <c r="B625" s="1" t="n">
        <v>45817.58716435185</v>
      </c>
      <c r="C625" s="1" t="n">
        <v>45884</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27981-2025</t>
        </is>
      </c>
      <c r="B626" s="1" t="n">
        <v>45817.57471064815</v>
      </c>
      <c r="C626" s="1" t="n">
        <v>45884</v>
      </c>
      <c r="D626" t="inlineStr">
        <is>
          <t>VÄSTMANLANDS LÄN</t>
        </is>
      </c>
      <c r="E626" t="inlineStr">
        <is>
          <t>SALA</t>
        </is>
      </c>
      <c r="G626" t="n">
        <v>1.7</v>
      </c>
      <c r="H626" t="n">
        <v>0</v>
      </c>
      <c r="I626" t="n">
        <v>0</v>
      </c>
      <c r="J626" t="n">
        <v>0</v>
      </c>
      <c r="K626" t="n">
        <v>0</v>
      </c>
      <c r="L626" t="n">
        <v>0</v>
      </c>
      <c r="M626" t="n">
        <v>0</v>
      </c>
      <c r="N626" t="n">
        <v>0</v>
      </c>
      <c r="O626" t="n">
        <v>0</v>
      </c>
      <c r="P626" t="n">
        <v>0</v>
      </c>
      <c r="Q626" t="n">
        <v>0</v>
      </c>
      <c r="R626" s="2" t="inlineStr"/>
    </row>
    <row r="627" ht="15" customHeight="1">
      <c r="A627" t="inlineStr">
        <is>
          <t>A 35651-2025</t>
        </is>
      </c>
      <c r="B627" s="1" t="n">
        <v>45859.52435185185</v>
      </c>
      <c r="C627" s="1" t="n">
        <v>45884</v>
      </c>
      <c r="D627" t="inlineStr">
        <is>
          <t>VÄSTMANLANDS LÄN</t>
        </is>
      </c>
      <c r="E627" t="inlineStr">
        <is>
          <t>SALA</t>
        </is>
      </c>
      <c r="G627" t="n">
        <v>6.3</v>
      </c>
      <c r="H627" t="n">
        <v>0</v>
      </c>
      <c r="I627" t="n">
        <v>0</v>
      </c>
      <c r="J627" t="n">
        <v>0</v>
      </c>
      <c r="K627" t="n">
        <v>0</v>
      </c>
      <c r="L627" t="n">
        <v>0</v>
      </c>
      <c r="M627" t="n">
        <v>0</v>
      </c>
      <c r="N627" t="n">
        <v>0</v>
      </c>
      <c r="O627" t="n">
        <v>0</v>
      </c>
      <c r="P627" t="n">
        <v>0</v>
      </c>
      <c r="Q627" t="n">
        <v>0</v>
      </c>
      <c r="R627" s="2" t="inlineStr"/>
    </row>
    <row r="628" ht="15" customHeight="1">
      <c r="A628" t="inlineStr">
        <is>
          <t>A 28193-2025</t>
        </is>
      </c>
      <c r="B628" s="1" t="n">
        <v>45818.425625</v>
      </c>
      <c r="C628" s="1" t="n">
        <v>45884</v>
      </c>
      <c r="D628" t="inlineStr">
        <is>
          <t>VÄSTMANLANDS LÄN</t>
        </is>
      </c>
      <c r="E628" t="inlineStr">
        <is>
          <t>SALA</t>
        </is>
      </c>
      <c r="G628" t="n">
        <v>1.8</v>
      </c>
      <c r="H628" t="n">
        <v>0</v>
      </c>
      <c r="I628" t="n">
        <v>0</v>
      </c>
      <c r="J628" t="n">
        <v>0</v>
      </c>
      <c r="K628" t="n">
        <v>0</v>
      </c>
      <c r="L628" t="n">
        <v>0</v>
      </c>
      <c r="M628" t="n">
        <v>0</v>
      </c>
      <c r="N628" t="n">
        <v>0</v>
      </c>
      <c r="O628" t="n">
        <v>0</v>
      </c>
      <c r="P628" t="n">
        <v>0</v>
      </c>
      <c r="Q628" t="n">
        <v>0</v>
      </c>
      <c r="R628" s="2" t="inlineStr"/>
    </row>
    <row r="629" ht="15" customHeight="1">
      <c r="A629" t="inlineStr">
        <is>
          <t>A 28284-2025</t>
        </is>
      </c>
      <c r="B629" s="1" t="n">
        <v>45818.58893518519</v>
      </c>
      <c r="C629" s="1" t="n">
        <v>45884</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28278-2025</t>
        </is>
      </c>
      <c r="B630" s="1" t="n">
        <v>45818.58454861111</v>
      </c>
      <c r="C630" s="1" t="n">
        <v>45884</v>
      </c>
      <c r="D630" t="inlineStr">
        <is>
          <t>VÄSTMANLANDS LÄN</t>
        </is>
      </c>
      <c r="E630" t="inlineStr">
        <is>
          <t>SALA</t>
        </is>
      </c>
      <c r="G630" t="n">
        <v>7.6</v>
      </c>
      <c r="H630" t="n">
        <v>0</v>
      </c>
      <c r="I630" t="n">
        <v>0</v>
      </c>
      <c r="J630" t="n">
        <v>0</v>
      </c>
      <c r="K630" t="n">
        <v>0</v>
      </c>
      <c r="L630" t="n">
        <v>0</v>
      </c>
      <c r="M630" t="n">
        <v>0</v>
      </c>
      <c r="N630" t="n">
        <v>0</v>
      </c>
      <c r="O630" t="n">
        <v>0</v>
      </c>
      <c r="P630" t="n">
        <v>0</v>
      </c>
      <c r="Q630" t="n">
        <v>0</v>
      </c>
      <c r="R630" s="2" t="inlineStr"/>
    </row>
    <row r="631" ht="15" customHeight="1">
      <c r="A631" t="inlineStr">
        <is>
          <t>A 28628-2025</t>
        </is>
      </c>
      <c r="B631" s="1" t="n">
        <v>45819.62158564815</v>
      </c>
      <c r="C631" s="1" t="n">
        <v>45884</v>
      </c>
      <c r="D631" t="inlineStr">
        <is>
          <t>VÄSTMANLANDS LÄN</t>
        </is>
      </c>
      <c r="E631" t="inlineStr">
        <is>
          <t>SALA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35715-2025</t>
        </is>
      </c>
      <c r="B632" s="1" t="n">
        <v>45860.42148148148</v>
      </c>
      <c r="C632" s="1" t="n">
        <v>45884</v>
      </c>
      <c r="D632" t="inlineStr">
        <is>
          <t>VÄSTMANLANDS LÄN</t>
        </is>
      </c>
      <c r="E632" t="inlineStr">
        <is>
          <t>SALA</t>
        </is>
      </c>
      <c r="G632" t="n">
        <v>3.8</v>
      </c>
      <c r="H632" t="n">
        <v>0</v>
      </c>
      <c r="I632" t="n">
        <v>0</v>
      </c>
      <c r="J632" t="n">
        <v>0</v>
      </c>
      <c r="K632" t="n">
        <v>0</v>
      </c>
      <c r="L632" t="n">
        <v>0</v>
      </c>
      <c r="M632" t="n">
        <v>0</v>
      </c>
      <c r="N632" t="n">
        <v>0</v>
      </c>
      <c r="O632" t="n">
        <v>0</v>
      </c>
      <c r="P632" t="n">
        <v>0</v>
      </c>
      <c r="Q632" t="n">
        <v>0</v>
      </c>
      <c r="R632" s="2" t="inlineStr"/>
    </row>
    <row r="633" ht="15" customHeight="1">
      <c r="A633" t="inlineStr">
        <is>
          <t>A 35774-2025</t>
        </is>
      </c>
      <c r="B633" s="1" t="n">
        <v>45860.68780092592</v>
      </c>
      <c r="C633" s="1" t="n">
        <v>45884</v>
      </c>
      <c r="D633" t="inlineStr">
        <is>
          <t>VÄSTMANLANDS LÄN</t>
        </is>
      </c>
      <c r="E633" t="inlineStr">
        <is>
          <t>SALA</t>
        </is>
      </c>
      <c r="G633" t="n">
        <v>6.5</v>
      </c>
      <c r="H633" t="n">
        <v>0</v>
      </c>
      <c r="I633" t="n">
        <v>0</v>
      </c>
      <c r="J633" t="n">
        <v>0</v>
      </c>
      <c r="K633" t="n">
        <v>0</v>
      </c>
      <c r="L633" t="n">
        <v>0</v>
      </c>
      <c r="M633" t="n">
        <v>0</v>
      </c>
      <c r="N633" t="n">
        <v>0</v>
      </c>
      <c r="O633" t="n">
        <v>0</v>
      </c>
      <c r="P633" t="n">
        <v>0</v>
      </c>
      <c r="Q633" t="n">
        <v>0</v>
      </c>
      <c r="R633" s="2" t="inlineStr"/>
    </row>
    <row r="634" ht="15" customHeight="1">
      <c r="A634" t="inlineStr">
        <is>
          <t>A 28632-2025</t>
        </is>
      </c>
      <c r="B634" s="1" t="n">
        <v>45819.62344907408</v>
      </c>
      <c r="C634" s="1" t="n">
        <v>45884</v>
      </c>
      <c r="D634" t="inlineStr">
        <is>
          <t>VÄSTMANLANDS LÄN</t>
        </is>
      </c>
      <c r="E634" t="inlineStr">
        <is>
          <t>SALA</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35779-2025</t>
        </is>
      </c>
      <c r="B635" s="1" t="n">
        <v>45860.69495370371</v>
      </c>
      <c r="C635" s="1" t="n">
        <v>45884</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28630-2025</t>
        </is>
      </c>
      <c r="B636" s="1" t="n">
        <v>45819.62274305556</v>
      </c>
      <c r="C636" s="1" t="n">
        <v>45884</v>
      </c>
      <c r="D636" t="inlineStr">
        <is>
          <t>VÄSTMANLANDS LÄN</t>
        </is>
      </c>
      <c r="E636" t="inlineStr">
        <is>
          <t>SALA</t>
        </is>
      </c>
      <c r="F636" t="inlineStr">
        <is>
          <t>Sveaskog</t>
        </is>
      </c>
      <c r="G636" t="n">
        <v>9</v>
      </c>
      <c r="H636" t="n">
        <v>0</v>
      </c>
      <c r="I636" t="n">
        <v>0</v>
      </c>
      <c r="J636" t="n">
        <v>0</v>
      </c>
      <c r="K636" t="n">
        <v>0</v>
      </c>
      <c r="L636" t="n">
        <v>0</v>
      </c>
      <c r="M636" t="n">
        <v>0</v>
      </c>
      <c r="N636" t="n">
        <v>0</v>
      </c>
      <c r="O636" t="n">
        <v>0</v>
      </c>
      <c r="P636" t="n">
        <v>0</v>
      </c>
      <c r="Q636" t="n">
        <v>0</v>
      </c>
      <c r="R636" s="2" t="inlineStr"/>
    </row>
    <row r="637" ht="15" customHeight="1">
      <c r="A637" t="inlineStr">
        <is>
          <t>A 35776-2025</t>
        </is>
      </c>
      <c r="B637" s="1" t="n">
        <v>45860.69211805556</v>
      </c>
      <c r="C637" s="1" t="n">
        <v>45884</v>
      </c>
      <c r="D637" t="inlineStr">
        <is>
          <t>VÄSTMANLANDS LÄN</t>
        </is>
      </c>
      <c r="E637" t="inlineStr">
        <is>
          <t>SALA</t>
        </is>
      </c>
      <c r="G637" t="n">
        <v>14.2</v>
      </c>
      <c r="H637" t="n">
        <v>0</v>
      </c>
      <c r="I637" t="n">
        <v>0</v>
      </c>
      <c r="J637" t="n">
        <v>0</v>
      </c>
      <c r="K637" t="n">
        <v>0</v>
      </c>
      <c r="L637" t="n">
        <v>0</v>
      </c>
      <c r="M637" t="n">
        <v>0</v>
      </c>
      <c r="N637" t="n">
        <v>0</v>
      </c>
      <c r="O637" t="n">
        <v>0</v>
      </c>
      <c r="P637" t="n">
        <v>0</v>
      </c>
      <c r="Q637" t="n">
        <v>0</v>
      </c>
      <c r="R637" s="2" t="inlineStr"/>
    </row>
    <row r="638" ht="15" customHeight="1">
      <c r="A638" t="inlineStr">
        <is>
          <t>A 28837-2025</t>
        </is>
      </c>
      <c r="B638" s="1" t="n">
        <v>45820.56243055555</v>
      </c>
      <c r="C638" s="1" t="n">
        <v>45884</v>
      </c>
      <c r="D638" t="inlineStr">
        <is>
          <t>VÄSTMANLANDS LÄN</t>
        </is>
      </c>
      <c r="E638" t="inlineStr">
        <is>
          <t>SALA</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28849-2025</t>
        </is>
      </c>
      <c r="B639" s="1" t="n">
        <v>45820</v>
      </c>
      <c r="C639" s="1" t="n">
        <v>45884</v>
      </c>
      <c r="D639" t="inlineStr">
        <is>
          <t>VÄSTMANLANDS LÄN</t>
        </is>
      </c>
      <c r="E639" t="inlineStr">
        <is>
          <t>SALA</t>
        </is>
      </c>
      <c r="G639" t="n">
        <v>1.1</v>
      </c>
      <c r="H639" t="n">
        <v>0</v>
      </c>
      <c r="I639" t="n">
        <v>0</v>
      </c>
      <c r="J639" t="n">
        <v>0</v>
      </c>
      <c r="K639" t="n">
        <v>0</v>
      </c>
      <c r="L639" t="n">
        <v>0</v>
      </c>
      <c r="M639" t="n">
        <v>0</v>
      </c>
      <c r="N639" t="n">
        <v>0</v>
      </c>
      <c r="O639" t="n">
        <v>0</v>
      </c>
      <c r="P639" t="n">
        <v>0</v>
      </c>
      <c r="Q639" t="n">
        <v>0</v>
      </c>
      <c r="R639" s="2" t="inlineStr"/>
    </row>
    <row r="640" ht="15" customHeight="1">
      <c r="A640" t="inlineStr">
        <is>
          <t>A 35775-2025</t>
        </is>
      </c>
      <c r="B640" s="1" t="n">
        <v>45860</v>
      </c>
      <c r="C640" s="1" t="n">
        <v>45884</v>
      </c>
      <c r="D640" t="inlineStr">
        <is>
          <t>VÄSTMANLANDS LÄN</t>
        </is>
      </c>
      <c r="E640" t="inlineStr">
        <is>
          <t>SALA</t>
        </is>
      </c>
      <c r="G640" t="n">
        <v>2.6</v>
      </c>
      <c r="H640" t="n">
        <v>0</v>
      </c>
      <c r="I640" t="n">
        <v>0</v>
      </c>
      <c r="J640" t="n">
        <v>0</v>
      </c>
      <c r="K640" t="n">
        <v>0</v>
      </c>
      <c r="L640" t="n">
        <v>0</v>
      </c>
      <c r="M640" t="n">
        <v>0</v>
      </c>
      <c r="N640" t="n">
        <v>0</v>
      </c>
      <c r="O640" t="n">
        <v>0</v>
      </c>
      <c r="P640" t="n">
        <v>0</v>
      </c>
      <c r="Q640" t="n">
        <v>0</v>
      </c>
      <c r="R640" s="2" t="inlineStr"/>
    </row>
    <row r="641" ht="15" customHeight="1">
      <c r="A641" t="inlineStr">
        <is>
          <t>A 29085-2025</t>
        </is>
      </c>
      <c r="B641" s="1" t="n">
        <v>45821</v>
      </c>
      <c r="C641" s="1" t="n">
        <v>45884</v>
      </c>
      <c r="D641" t="inlineStr">
        <is>
          <t>VÄSTMANLANDS LÄN</t>
        </is>
      </c>
      <c r="E641" t="inlineStr">
        <is>
          <t>SALA</t>
        </is>
      </c>
      <c r="G641" t="n">
        <v>3.5</v>
      </c>
      <c r="H641" t="n">
        <v>0</v>
      </c>
      <c r="I641" t="n">
        <v>0</v>
      </c>
      <c r="J641" t="n">
        <v>0</v>
      </c>
      <c r="K641" t="n">
        <v>0</v>
      </c>
      <c r="L641" t="n">
        <v>0</v>
      </c>
      <c r="M641" t="n">
        <v>0</v>
      </c>
      <c r="N641" t="n">
        <v>0</v>
      </c>
      <c r="O641" t="n">
        <v>0</v>
      </c>
      <c r="P641" t="n">
        <v>0</v>
      </c>
      <c r="Q641" t="n">
        <v>0</v>
      </c>
      <c r="R641" s="2" t="inlineStr"/>
    </row>
    <row r="642" ht="15" customHeight="1">
      <c r="A642" t="inlineStr">
        <is>
          <t>A 36032-2025</t>
        </is>
      </c>
      <c r="B642" s="1" t="n">
        <v>45865.48740740741</v>
      </c>
      <c r="C642" s="1" t="n">
        <v>45884</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36043-2025</t>
        </is>
      </c>
      <c r="B643" s="1" t="n">
        <v>45866.35333333333</v>
      </c>
      <c r="C643" s="1" t="n">
        <v>45884</v>
      </c>
      <c r="D643" t="inlineStr">
        <is>
          <t>VÄSTMANLANDS LÄN</t>
        </is>
      </c>
      <c r="E643" t="inlineStr">
        <is>
          <t>SALA</t>
        </is>
      </c>
      <c r="F643" t="inlineStr">
        <is>
          <t>Kommuner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36045-2025</t>
        </is>
      </c>
      <c r="B644" s="1" t="n">
        <v>45866.36200231482</v>
      </c>
      <c r="C644" s="1" t="n">
        <v>45884</v>
      </c>
      <c r="D644" t="inlineStr">
        <is>
          <t>VÄSTMANLANDS LÄN</t>
        </is>
      </c>
      <c r="E644" t="inlineStr">
        <is>
          <t>SALA</t>
        </is>
      </c>
      <c r="F644" t="inlineStr">
        <is>
          <t>Kommuner</t>
        </is>
      </c>
      <c r="G644" t="n">
        <v>1.7</v>
      </c>
      <c r="H644" t="n">
        <v>0</v>
      </c>
      <c r="I644" t="n">
        <v>0</v>
      </c>
      <c r="J644" t="n">
        <v>0</v>
      </c>
      <c r="K644" t="n">
        <v>0</v>
      </c>
      <c r="L644" t="n">
        <v>0</v>
      </c>
      <c r="M644" t="n">
        <v>0</v>
      </c>
      <c r="N644" t="n">
        <v>0</v>
      </c>
      <c r="O644" t="n">
        <v>0</v>
      </c>
      <c r="P644" t="n">
        <v>0</v>
      </c>
      <c r="Q644" t="n">
        <v>0</v>
      </c>
      <c r="R644" s="2" t="inlineStr"/>
    </row>
    <row r="645" ht="15" customHeight="1">
      <c r="A645" t="inlineStr">
        <is>
          <t>A 29691-2025</t>
        </is>
      </c>
      <c r="B645" s="1" t="n">
        <v>45825.53645833334</v>
      </c>
      <c r="C645" s="1" t="n">
        <v>45884</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60541-2024</t>
        </is>
      </c>
      <c r="B646" s="1" t="n">
        <v>45643</v>
      </c>
      <c r="C646" s="1" t="n">
        <v>45884</v>
      </c>
      <c r="D646" t="inlineStr">
        <is>
          <t>VÄSTMANLANDS LÄN</t>
        </is>
      </c>
      <c r="E646" t="inlineStr">
        <is>
          <t>SALA</t>
        </is>
      </c>
      <c r="G646" t="n">
        <v>10.6</v>
      </c>
      <c r="H646" t="n">
        <v>0</v>
      </c>
      <c r="I646" t="n">
        <v>0</v>
      </c>
      <c r="J646" t="n">
        <v>0</v>
      </c>
      <c r="K646" t="n">
        <v>0</v>
      </c>
      <c r="L646" t="n">
        <v>0</v>
      </c>
      <c r="M646" t="n">
        <v>0</v>
      </c>
      <c r="N646" t="n">
        <v>0</v>
      </c>
      <c r="O646" t="n">
        <v>0</v>
      </c>
      <c r="P646" t="n">
        <v>0</v>
      </c>
      <c r="Q646" t="n">
        <v>0</v>
      </c>
      <c r="R646" s="2" t="inlineStr"/>
    </row>
    <row r="647" ht="15" customHeight="1">
      <c r="A647" t="inlineStr">
        <is>
          <t>A 36060-2025</t>
        </is>
      </c>
      <c r="B647" s="1" t="n">
        <v>45866.39469907407</v>
      </c>
      <c r="C647" s="1" t="n">
        <v>45884</v>
      </c>
      <c r="D647" t="inlineStr">
        <is>
          <t>VÄSTMANLANDS LÄN</t>
        </is>
      </c>
      <c r="E647" t="inlineStr">
        <is>
          <t>SALA</t>
        </is>
      </c>
      <c r="F647" t="inlineStr">
        <is>
          <t>Kommuner</t>
        </is>
      </c>
      <c r="G647" t="n">
        <v>4.3</v>
      </c>
      <c r="H647" t="n">
        <v>0</v>
      </c>
      <c r="I647" t="n">
        <v>0</v>
      </c>
      <c r="J647" t="n">
        <v>0</v>
      </c>
      <c r="K647" t="n">
        <v>0</v>
      </c>
      <c r="L647" t="n">
        <v>0</v>
      </c>
      <c r="M647" t="n">
        <v>0</v>
      </c>
      <c r="N647" t="n">
        <v>0</v>
      </c>
      <c r="O647" t="n">
        <v>0</v>
      </c>
      <c r="P647" t="n">
        <v>0</v>
      </c>
      <c r="Q647" t="n">
        <v>0</v>
      </c>
      <c r="R647" s="2" t="inlineStr"/>
    </row>
    <row r="648" ht="15" customHeight="1">
      <c r="A648" t="inlineStr">
        <is>
          <t>A 36031-2025</t>
        </is>
      </c>
      <c r="B648" s="1" t="n">
        <v>45865.46111111111</v>
      </c>
      <c r="C648" s="1" t="n">
        <v>45884</v>
      </c>
      <c r="D648" t="inlineStr">
        <is>
          <t>VÄSTMANLANDS LÄN</t>
        </is>
      </c>
      <c r="E648" t="inlineStr">
        <is>
          <t>SALA</t>
        </is>
      </c>
      <c r="G648" t="n">
        <v>7.2</v>
      </c>
      <c r="H648" t="n">
        <v>0</v>
      </c>
      <c r="I648" t="n">
        <v>0</v>
      </c>
      <c r="J648" t="n">
        <v>0</v>
      </c>
      <c r="K648" t="n">
        <v>0</v>
      </c>
      <c r="L648" t="n">
        <v>0</v>
      </c>
      <c r="M648" t="n">
        <v>0</v>
      </c>
      <c r="N648" t="n">
        <v>0</v>
      </c>
      <c r="O648" t="n">
        <v>0</v>
      </c>
      <c r="P648" t="n">
        <v>0</v>
      </c>
      <c r="Q648" t="n">
        <v>0</v>
      </c>
      <c r="R648" s="2" t="inlineStr"/>
    </row>
    <row r="649" ht="15" customHeight="1">
      <c r="A649" t="inlineStr">
        <is>
          <t>A 36049-2025</t>
        </is>
      </c>
      <c r="B649" s="1" t="n">
        <v>45866.37065972222</v>
      </c>
      <c r="C649" s="1" t="n">
        <v>45884</v>
      </c>
      <c r="D649" t="inlineStr">
        <is>
          <t>VÄSTMANLANDS LÄN</t>
        </is>
      </c>
      <c r="E649" t="inlineStr">
        <is>
          <t>SALA</t>
        </is>
      </c>
      <c r="F649" t="inlineStr">
        <is>
          <t>Kommuner</t>
        </is>
      </c>
      <c r="G649" t="n">
        <v>1.9</v>
      </c>
      <c r="H649" t="n">
        <v>0</v>
      </c>
      <c r="I649" t="n">
        <v>0</v>
      </c>
      <c r="J649" t="n">
        <v>0</v>
      </c>
      <c r="K649" t="n">
        <v>0</v>
      </c>
      <c r="L649" t="n">
        <v>0</v>
      </c>
      <c r="M649" t="n">
        <v>0</v>
      </c>
      <c r="N649" t="n">
        <v>0</v>
      </c>
      <c r="O649" t="n">
        <v>0</v>
      </c>
      <c r="P649" t="n">
        <v>0</v>
      </c>
      <c r="Q649" t="n">
        <v>0</v>
      </c>
      <c r="R649" s="2" t="inlineStr"/>
    </row>
    <row r="650" ht="15" customHeight="1">
      <c r="A650" t="inlineStr">
        <is>
          <t>A 29826-2025</t>
        </is>
      </c>
      <c r="B650" s="1" t="n">
        <v>45825.85761574074</v>
      </c>
      <c r="C650" s="1" t="n">
        <v>45884</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29972-2025</t>
        </is>
      </c>
      <c r="B651" s="1" t="n">
        <v>45826</v>
      </c>
      <c r="C651" s="1" t="n">
        <v>45884</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37103-2025</t>
        </is>
      </c>
      <c r="B652" s="1" t="n">
        <v>45875.47743055555</v>
      </c>
      <c r="C652" s="1" t="n">
        <v>45884</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31608-2025</t>
        </is>
      </c>
      <c r="B653" s="1" t="n">
        <v>45833</v>
      </c>
      <c r="C653" s="1" t="n">
        <v>45884</v>
      </c>
      <c r="D653" t="inlineStr">
        <is>
          <t>VÄSTMANLANDS LÄN</t>
        </is>
      </c>
      <c r="E653" t="inlineStr">
        <is>
          <t>SALA</t>
        </is>
      </c>
      <c r="G653" t="n">
        <v>6.1</v>
      </c>
      <c r="H653" t="n">
        <v>0</v>
      </c>
      <c r="I653" t="n">
        <v>0</v>
      </c>
      <c r="J653" t="n">
        <v>0</v>
      </c>
      <c r="K653" t="n">
        <v>0</v>
      </c>
      <c r="L653" t="n">
        <v>0</v>
      </c>
      <c r="M653" t="n">
        <v>0</v>
      </c>
      <c r="N653" t="n">
        <v>0</v>
      </c>
      <c r="O653" t="n">
        <v>0</v>
      </c>
      <c r="P653" t="n">
        <v>0</v>
      </c>
      <c r="Q653" t="n">
        <v>0</v>
      </c>
      <c r="R653" s="2" t="inlineStr"/>
    </row>
    <row r="654" ht="15" customHeight="1">
      <c r="A654" t="inlineStr">
        <is>
          <t>A 30866-2025</t>
        </is>
      </c>
      <c r="B654" s="1" t="n">
        <v>45832.3246875</v>
      </c>
      <c r="C654" s="1" t="n">
        <v>45884</v>
      </c>
      <c r="D654" t="inlineStr">
        <is>
          <t>VÄSTMANLANDS LÄN</t>
        </is>
      </c>
      <c r="E654" t="inlineStr">
        <is>
          <t>SALA</t>
        </is>
      </c>
      <c r="G654" t="n">
        <v>14.3</v>
      </c>
      <c r="H654" t="n">
        <v>0</v>
      </c>
      <c r="I654" t="n">
        <v>0</v>
      </c>
      <c r="J654" t="n">
        <v>0</v>
      </c>
      <c r="K654" t="n">
        <v>0</v>
      </c>
      <c r="L654" t="n">
        <v>0</v>
      </c>
      <c r="M654" t="n">
        <v>0</v>
      </c>
      <c r="N654" t="n">
        <v>0</v>
      </c>
      <c r="O654" t="n">
        <v>0</v>
      </c>
      <c r="P654" t="n">
        <v>0</v>
      </c>
      <c r="Q654" t="n">
        <v>0</v>
      </c>
      <c r="R654" s="2" t="inlineStr"/>
    </row>
    <row r="655" ht="15" customHeight="1">
      <c r="A655" t="inlineStr">
        <is>
          <t>A 30874-2025</t>
        </is>
      </c>
      <c r="B655" s="1" t="n">
        <v>45832.34430555555</v>
      </c>
      <c r="C655" s="1" t="n">
        <v>45884</v>
      </c>
      <c r="D655" t="inlineStr">
        <is>
          <t>VÄSTMANLANDS LÄN</t>
        </is>
      </c>
      <c r="E655" t="inlineStr">
        <is>
          <t>SALA</t>
        </is>
      </c>
      <c r="G655" t="n">
        <v>8.4</v>
      </c>
      <c r="H655" t="n">
        <v>0</v>
      </c>
      <c r="I655" t="n">
        <v>0</v>
      </c>
      <c r="J655" t="n">
        <v>0</v>
      </c>
      <c r="K655" t="n">
        <v>0</v>
      </c>
      <c r="L655" t="n">
        <v>0</v>
      </c>
      <c r="M655" t="n">
        <v>0</v>
      </c>
      <c r="N655" t="n">
        <v>0</v>
      </c>
      <c r="O655" t="n">
        <v>0</v>
      </c>
      <c r="P655" t="n">
        <v>0</v>
      </c>
      <c r="Q655" t="n">
        <v>0</v>
      </c>
      <c r="R655" s="2" t="inlineStr"/>
    </row>
    <row r="656" ht="15" customHeight="1">
      <c r="A656" t="inlineStr">
        <is>
          <t>A 31573-2025</t>
        </is>
      </c>
      <c r="B656" s="1" t="n">
        <v>45833</v>
      </c>
      <c r="C656" s="1" t="n">
        <v>45884</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31288-2025</t>
        </is>
      </c>
      <c r="B657" s="1" t="n">
        <v>45833</v>
      </c>
      <c r="C657" s="1" t="n">
        <v>45884</v>
      </c>
      <c r="D657" t="inlineStr">
        <is>
          <t>VÄSTMANLANDS LÄN</t>
        </is>
      </c>
      <c r="E657" t="inlineStr">
        <is>
          <t>SALA</t>
        </is>
      </c>
      <c r="G657" t="n">
        <v>3.1</v>
      </c>
      <c r="H657" t="n">
        <v>0</v>
      </c>
      <c r="I657" t="n">
        <v>0</v>
      </c>
      <c r="J657" t="n">
        <v>0</v>
      </c>
      <c r="K657" t="n">
        <v>0</v>
      </c>
      <c r="L657" t="n">
        <v>0</v>
      </c>
      <c r="M657" t="n">
        <v>0</v>
      </c>
      <c r="N657" t="n">
        <v>0</v>
      </c>
      <c r="O657" t="n">
        <v>0</v>
      </c>
      <c r="P657" t="n">
        <v>0</v>
      </c>
      <c r="Q657" t="n">
        <v>0</v>
      </c>
      <c r="R657" s="2" t="inlineStr"/>
    </row>
    <row r="658" ht="15" customHeight="1">
      <c r="A658" t="inlineStr">
        <is>
          <t>A 31554-2025</t>
        </is>
      </c>
      <c r="B658" s="1" t="n">
        <v>45833</v>
      </c>
      <c r="C658" s="1" t="n">
        <v>45884</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30899-2025</t>
        </is>
      </c>
      <c r="B659" s="1" t="n">
        <v>45832.35767361111</v>
      </c>
      <c r="C659" s="1" t="n">
        <v>45884</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37017-2025</t>
        </is>
      </c>
      <c r="B660" s="1" t="n">
        <v>45874</v>
      </c>
      <c r="C660" s="1" t="n">
        <v>45884</v>
      </c>
      <c r="D660" t="inlineStr">
        <is>
          <t>VÄSTMANLANDS LÄN</t>
        </is>
      </c>
      <c r="E660" t="inlineStr">
        <is>
          <t>SALA</t>
        </is>
      </c>
      <c r="G660" t="n">
        <v>11.1</v>
      </c>
      <c r="H660" t="n">
        <v>0</v>
      </c>
      <c r="I660" t="n">
        <v>0</v>
      </c>
      <c r="J660" t="n">
        <v>0</v>
      </c>
      <c r="K660" t="n">
        <v>0</v>
      </c>
      <c r="L660" t="n">
        <v>0</v>
      </c>
      <c r="M660" t="n">
        <v>0</v>
      </c>
      <c r="N660" t="n">
        <v>0</v>
      </c>
      <c r="O660" t="n">
        <v>0</v>
      </c>
      <c r="P660" t="n">
        <v>0</v>
      </c>
      <c r="Q660" t="n">
        <v>0</v>
      </c>
      <c r="R660" s="2" t="inlineStr"/>
    </row>
    <row r="661" ht="15" customHeight="1">
      <c r="A661" t="inlineStr">
        <is>
          <t>A 31065-2025</t>
        </is>
      </c>
      <c r="B661" s="1" t="n">
        <v>45832.57571759259</v>
      </c>
      <c r="C661" s="1" t="n">
        <v>45884</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31296-2025</t>
        </is>
      </c>
      <c r="B662" s="1" t="n">
        <v>45833.36765046296</v>
      </c>
      <c r="C662" s="1" t="n">
        <v>45884</v>
      </c>
      <c r="D662" t="inlineStr">
        <is>
          <t>VÄSTMANLANDS LÄN</t>
        </is>
      </c>
      <c r="E662" t="inlineStr">
        <is>
          <t>SALA</t>
        </is>
      </c>
      <c r="G662" t="n">
        <v>3.7</v>
      </c>
      <c r="H662" t="n">
        <v>0</v>
      </c>
      <c r="I662" t="n">
        <v>0</v>
      </c>
      <c r="J662" t="n">
        <v>0</v>
      </c>
      <c r="K662" t="n">
        <v>0</v>
      </c>
      <c r="L662" t="n">
        <v>0</v>
      </c>
      <c r="M662" t="n">
        <v>0</v>
      </c>
      <c r="N662" t="n">
        <v>0</v>
      </c>
      <c r="O662" t="n">
        <v>0</v>
      </c>
      <c r="P662" t="n">
        <v>0</v>
      </c>
      <c r="Q662" t="n">
        <v>0</v>
      </c>
      <c r="R662" s="2" t="inlineStr"/>
    </row>
    <row r="663" ht="15" customHeight="1">
      <c r="A663" t="inlineStr">
        <is>
          <t>A 31748-2025</t>
        </is>
      </c>
      <c r="B663" s="1" t="n">
        <v>45834</v>
      </c>
      <c r="C663" s="1" t="n">
        <v>45884</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31869-2025</t>
        </is>
      </c>
      <c r="B664" s="1" t="n">
        <v>45834.64555555556</v>
      </c>
      <c r="C664" s="1" t="n">
        <v>45884</v>
      </c>
      <c r="D664" t="inlineStr">
        <is>
          <t>VÄSTMANLANDS LÄN</t>
        </is>
      </c>
      <c r="E664" t="inlineStr">
        <is>
          <t>SALA</t>
        </is>
      </c>
      <c r="G664" t="n">
        <v>17.5</v>
      </c>
      <c r="H664" t="n">
        <v>0</v>
      </c>
      <c r="I664" t="n">
        <v>0</v>
      </c>
      <c r="J664" t="n">
        <v>0</v>
      </c>
      <c r="K664" t="n">
        <v>0</v>
      </c>
      <c r="L664" t="n">
        <v>0</v>
      </c>
      <c r="M664" t="n">
        <v>0</v>
      </c>
      <c r="N664" t="n">
        <v>0</v>
      </c>
      <c r="O664" t="n">
        <v>0</v>
      </c>
      <c r="P664" t="n">
        <v>0</v>
      </c>
      <c r="Q664" t="n">
        <v>0</v>
      </c>
      <c r="R664" s="2" t="inlineStr"/>
    </row>
    <row r="665" ht="15" customHeight="1">
      <c r="A665" t="inlineStr">
        <is>
          <t>A 37253-2025</t>
        </is>
      </c>
      <c r="B665" s="1" t="n">
        <v>45876.42290509259</v>
      </c>
      <c r="C665" s="1" t="n">
        <v>45884</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31863-2025</t>
        </is>
      </c>
      <c r="B666" s="1" t="n">
        <v>45834.63303240741</v>
      </c>
      <c r="C666" s="1" t="n">
        <v>45884</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32210-2025</t>
        </is>
      </c>
      <c r="B667" s="1" t="n">
        <v>45835</v>
      </c>
      <c r="C667" s="1" t="n">
        <v>45884</v>
      </c>
      <c r="D667" t="inlineStr">
        <is>
          <t>VÄSTMANLANDS LÄN</t>
        </is>
      </c>
      <c r="E667" t="inlineStr">
        <is>
          <t>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31610-2025</t>
        </is>
      </c>
      <c r="B668" s="1" t="n">
        <v>45833.78650462963</v>
      </c>
      <c r="C668" s="1" t="n">
        <v>45884</v>
      </c>
      <c r="D668" t="inlineStr">
        <is>
          <t>VÄSTMANLANDS LÄN</t>
        </is>
      </c>
      <c r="E668" t="inlineStr">
        <is>
          <t>SALA</t>
        </is>
      </c>
      <c r="G668" t="n">
        <v>8</v>
      </c>
      <c r="H668" t="n">
        <v>0</v>
      </c>
      <c r="I668" t="n">
        <v>0</v>
      </c>
      <c r="J668" t="n">
        <v>0</v>
      </c>
      <c r="K668" t="n">
        <v>0</v>
      </c>
      <c r="L668" t="n">
        <v>0</v>
      </c>
      <c r="M668" t="n">
        <v>0</v>
      </c>
      <c r="N668" t="n">
        <v>0</v>
      </c>
      <c r="O668" t="n">
        <v>0</v>
      </c>
      <c r="P668" t="n">
        <v>0</v>
      </c>
      <c r="Q668" t="n">
        <v>0</v>
      </c>
      <c r="R668" s="2" t="inlineStr"/>
    </row>
    <row r="669" ht="15" customHeight="1">
      <c r="A669" t="inlineStr">
        <is>
          <t>A 32201-2025</t>
        </is>
      </c>
      <c r="B669" s="1" t="n">
        <v>45835</v>
      </c>
      <c r="C669" s="1" t="n">
        <v>45884</v>
      </c>
      <c r="D669" t="inlineStr">
        <is>
          <t>VÄSTMANLANDS LÄN</t>
        </is>
      </c>
      <c r="E669" t="inlineStr">
        <is>
          <t>SALA</t>
        </is>
      </c>
      <c r="F669" t="inlineStr">
        <is>
          <t>Bergvik skog öst AB</t>
        </is>
      </c>
      <c r="G669" t="n">
        <v>1.8</v>
      </c>
      <c r="H669" t="n">
        <v>0</v>
      </c>
      <c r="I669" t="n">
        <v>0</v>
      </c>
      <c r="J669" t="n">
        <v>0</v>
      </c>
      <c r="K669" t="n">
        <v>0</v>
      </c>
      <c r="L669" t="n">
        <v>0</v>
      </c>
      <c r="M669" t="n">
        <v>0</v>
      </c>
      <c r="N669" t="n">
        <v>0</v>
      </c>
      <c r="O669" t="n">
        <v>0</v>
      </c>
      <c r="P669" t="n">
        <v>0</v>
      </c>
      <c r="Q669" t="n">
        <v>0</v>
      </c>
      <c r="R669" s="2" t="inlineStr"/>
    </row>
    <row r="670" ht="15" customHeight="1">
      <c r="A670" t="inlineStr">
        <is>
          <t>A 31612-2025</t>
        </is>
      </c>
      <c r="B670" s="1" t="n">
        <v>45833.80056712963</v>
      </c>
      <c r="C670" s="1" t="n">
        <v>45884</v>
      </c>
      <c r="D670" t="inlineStr">
        <is>
          <t>VÄSTMANLANDS LÄN</t>
        </is>
      </c>
      <c r="E670" t="inlineStr">
        <is>
          <t>SALA</t>
        </is>
      </c>
      <c r="G670" t="n">
        <v>6.3</v>
      </c>
      <c r="H670" t="n">
        <v>0</v>
      </c>
      <c r="I670" t="n">
        <v>0</v>
      </c>
      <c r="J670" t="n">
        <v>0</v>
      </c>
      <c r="K670" t="n">
        <v>0</v>
      </c>
      <c r="L670" t="n">
        <v>0</v>
      </c>
      <c r="M670" t="n">
        <v>0</v>
      </c>
      <c r="N670" t="n">
        <v>0</v>
      </c>
      <c r="O670" t="n">
        <v>0</v>
      </c>
      <c r="P670" t="n">
        <v>0</v>
      </c>
      <c r="Q670" t="n">
        <v>0</v>
      </c>
      <c r="R670" s="2" t="inlineStr"/>
    </row>
    <row r="671" ht="15" customHeight="1">
      <c r="A671" t="inlineStr">
        <is>
          <t>A 31860-2025</t>
        </is>
      </c>
      <c r="B671" s="1" t="n">
        <v>45834</v>
      </c>
      <c r="C671" s="1" t="n">
        <v>45884</v>
      </c>
      <c r="D671" t="inlineStr">
        <is>
          <t>VÄSTMANLANDS LÄN</t>
        </is>
      </c>
      <c r="E671" t="inlineStr">
        <is>
          <t>SALA</t>
        </is>
      </c>
      <c r="G671" t="n">
        <v>7.4</v>
      </c>
      <c r="H671" t="n">
        <v>0</v>
      </c>
      <c r="I671" t="n">
        <v>0</v>
      </c>
      <c r="J671" t="n">
        <v>0</v>
      </c>
      <c r="K671" t="n">
        <v>0</v>
      </c>
      <c r="L671" t="n">
        <v>0</v>
      </c>
      <c r="M671" t="n">
        <v>0</v>
      </c>
      <c r="N671" t="n">
        <v>0</v>
      </c>
      <c r="O671" t="n">
        <v>0</v>
      </c>
      <c r="P671" t="n">
        <v>0</v>
      </c>
      <c r="Q671" t="n">
        <v>0</v>
      </c>
      <c r="R671" s="2" t="inlineStr"/>
    </row>
    <row r="672" ht="15" customHeight="1">
      <c r="A672" t="inlineStr">
        <is>
          <t>A 31864-2025</t>
        </is>
      </c>
      <c r="B672" s="1" t="n">
        <v>45834.63819444444</v>
      </c>
      <c r="C672" s="1" t="n">
        <v>45884</v>
      </c>
      <c r="D672" t="inlineStr">
        <is>
          <t>VÄSTMANLANDS LÄN</t>
        </is>
      </c>
      <c r="E672" t="inlineStr">
        <is>
          <t>SALA</t>
        </is>
      </c>
      <c r="G672" t="n">
        <v>6.3</v>
      </c>
      <c r="H672" t="n">
        <v>0</v>
      </c>
      <c r="I672" t="n">
        <v>0</v>
      </c>
      <c r="J672" t="n">
        <v>0</v>
      </c>
      <c r="K672" t="n">
        <v>0</v>
      </c>
      <c r="L672" t="n">
        <v>0</v>
      </c>
      <c r="M672" t="n">
        <v>0</v>
      </c>
      <c r="N672" t="n">
        <v>0</v>
      </c>
      <c r="O672" t="n">
        <v>0</v>
      </c>
      <c r="P672" t="n">
        <v>0</v>
      </c>
      <c r="Q672" t="n">
        <v>0</v>
      </c>
      <c r="R672" s="2" t="inlineStr"/>
    </row>
    <row r="673" ht="15" customHeight="1">
      <c r="A673" t="inlineStr">
        <is>
          <t>A 32207-2025</t>
        </is>
      </c>
      <c r="B673" s="1" t="n">
        <v>45835</v>
      </c>
      <c r="C673" s="1" t="n">
        <v>45884</v>
      </c>
      <c r="D673" t="inlineStr">
        <is>
          <t>VÄSTMANLANDS LÄN</t>
        </is>
      </c>
      <c r="E673" t="inlineStr">
        <is>
          <t>SALA</t>
        </is>
      </c>
      <c r="F673" t="inlineStr">
        <is>
          <t>Bergvik skog öst AB</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31762-2025</t>
        </is>
      </c>
      <c r="B674" s="1" t="n">
        <v>45834.49288194445</v>
      </c>
      <c r="C674" s="1" t="n">
        <v>45884</v>
      </c>
      <c r="D674" t="inlineStr">
        <is>
          <t>VÄSTMANLANDS LÄN</t>
        </is>
      </c>
      <c r="E674" t="inlineStr">
        <is>
          <t>SALA</t>
        </is>
      </c>
      <c r="G674" t="n">
        <v>5.9</v>
      </c>
      <c r="H674" t="n">
        <v>0</v>
      </c>
      <c r="I674" t="n">
        <v>0</v>
      </c>
      <c r="J674" t="n">
        <v>0</v>
      </c>
      <c r="K674" t="n">
        <v>0</v>
      </c>
      <c r="L674" t="n">
        <v>0</v>
      </c>
      <c r="M674" t="n">
        <v>0</v>
      </c>
      <c r="N674" t="n">
        <v>0</v>
      </c>
      <c r="O674" t="n">
        <v>0</v>
      </c>
      <c r="P674" t="n">
        <v>0</v>
      </c>
      <c r="Q674" t="n">
        <v>0</v>
      </c>
      <c r="R674" s="2" t="inlineStr"/>
    </row>
    <row r="675" ht="15" customHeight="1">
      <c r="A675" t="inlineStr">
        <is>
          <t>A 31771-2025</t>
        </is>
      </c>
      <c r="B675" s="1" t="n">
        <v>45834.50910879629</v>
      </c>
      <c r="C675" s="1" t="n">
        <v>45884</v>
      </c>
      <c r="D675" t="inlineStr">
        <is>
          <t>VÄSTMANLANDS LÄN</t>
        </is>
      </c>
      <c r="E675" t="inlineStr">
        <is>
          <t>SALA</t>
        </is>
      </c>
      <c r="G675" t="n">
        <v>5.1</v>
      </c>
      <c r="H675" t="n">
        <v>0</v>
      </c>
      <c r="I675" t="n">
        <v>0</v>
      </c>
      <c r="J675" t="n">
        <v>0</v>
      </c>
      <c r="K675" t="n">
        <v>0</v>
      </c>
      <c r="L675" t="n">
        <v>0</v>
      </c>
      <c r="M675" t="n">
        <v>0</v>
      </c>
      <c r="N675" t="n">
        <v>0</v>
      </c>
      <c r="O675" t="n">
        <v>0</v>
      </c>
      <c r="P675" t="n">
        <v>0</v>
      </c>
      <c r="Q675" t="n">
        <v>0</v>
      </c>
      <c r="R675" s="2" t="inlineStr"/>
    </row>
    <row r="676" ht="15" customHeight="1">
      <c r="A676" t="inlineStr">
        <is>
          <t>A 37263-2025</t>
        </is>
      </c>
      <c r="B676" s="1" t="n">
        <v>45876.4584837963</v>
      </c>
      <c r="C676" s="1" t="n">
        <v>45884</v>
      </c>
      <c r="D676" t="inlineStr">
        <is>
          <t>VÄSTMANLANDS LÄN</t>
        </is>
      </c>
      <c r="E676" t="inlineStr">
        <is>
          <t>SALA</t>
        </is>
      </c>
      <c r="G676" t="n">
        <v>2.3</v>
      </c>
      <c r="H676" t="n">
        <v>0</v>
      </c>
      <c r="I676" t="n">
        <v>0</v>
      </c>
      <c r="J676" t="n">
        <v>0</v>
      </c>
      <c r="K676" t="n">
        <v>0</v>
      </c>
      <c r="L676" t="n">
        <v>0</v>
      </c>
      <c r="M676" t="n">
        <v>0</v>
      </c>
      <c r="N676" t="n">
        <v>0</v>
      </c>
      <c r="O676" t="n">
        <v>0</v>
      </c>
      <c r="P676" t="n">
        <v>0</v>
      </c>
      <c r="Q676" t="n">
        <v>0</v>
      </c>
      <c r="R676" s="2" t="inlineStr"/>
    </row>
    <row r="677" ht="15" customHeight="1">
      <c r="A677" t="inlineStr">
        <is>
          <t>A 32205-2025</t>
        </is>
      </c>
      <c r="B677" s="1" t="n">
        <v>45835</v>
      </c>
      <c r="C677" s="1" t="n">
        <v>45884</v>
      </c>
      <c r="D677" t="inlineStr">
        <is>
          <t>VÄSTMANLANDS LÄN</t>
        </is>
      </c>
      <c r="E677" t="inlineStr">
        <is>
          <t>SALA</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37246-2025</t>
        </is>
      </c>
      <c r="B678" s="1" t="n">
        <v>45876.39435185185</v>
      </c>
      <c r="C678" s="1" t="n">
        <v>45884</v>
      </c>
      <c r="D678" t="inlineStr">
        <is>
          <t>VÄSTMANLANDS LÄN</t>
        </is>
      </c>
      <c r="E678" t="inlineStr">
        <is>
          <t>SALA</t>
        </is>
      </c>
      <c r="G678" t="n">
        <v>2.3</v>
      </c>
      <c r="H678" t="n">
        <v>0</v>
      </c>
      <c r="I678" t="n">
        <v>0</v>
      </c>
      <c r="J678" t="n">
        <v>0</v>
      </c>
      <c r="K678" t="n">
        <v>0</v>
      </c>
      <c r="L678" t="n">
        <v>0</v>
      </c>
      <c r="M678" t="n">
        <v>0</v>
      </c>
      <c r="N678" t="n">
        <v>0</v>
      </c>
      <c r="O678" t="n">
        <v>0</v>
      </c>
      <c r="P678" t="n">
        <v>0</v>
      </c>
      <c r="Q678" t="n">
        <v>0</v>
      </c>
      <c r="R678" s="2" t="inlineStr"/>
    </row>
    <row r="679" ht="15" customHeight="1">
      <c r="A679" t="inlineStr">
        <is>
          <t>A 31887-2025</t>
        </is>
      </c>
      <c r="B679" s="1" t="n">
        <v>45834.6608449074</v>
      </c>
      <c r="C679" s="1" t="n">
        <v>45884</v>
      </c>
      <c r="D679" t="inlineStr">
        <is>
          <t>VÄSTMANLANDS LÄN</t>
        </is>
      </c>
      <c r="E679" t="inlineStr">
        <is>
          <t>SALA</t>
        </is>
      </c>
      <c r="G679" t="n">
        <v>7</v>
      </c>
      <c r="H679" t="n">
        <v>0</v>
      </c>
      <c r="I679" t="n">
        <v>0</v>
      </c>
      <c r="J679" t="n">
        <v>0</v>
      </c>
      <c r="K679" t="n">
        <v>0</v>
      </c>
      <c r="L679" t="n">
        <v>0</v>
      </c>
      <c r="M679" t="n">
        <v>0</v>
      </c>
      <c r="N679" t="n">
        <v>0</v>
      </c>
      <c r="O679" t="n">
        <v>0</v>
      </c>
      <c r="P679" t="n">
        <v>0</v>
      </c>
      <c r="Q679" t="n">
        <v>0</v>
      </c>
      <c r="R679" s="2" t="inlineStr"/>
    </row>
    <row r="680" ht="15" customHeight="1">
      <c r="A680" t="inlineStr">
        <is>
          <t>A 32286-2025</t>
        </is>
      </c>
      <c r="B680" s="1" t="n">
        <v>45835</v>
      </c>
      <c r="C680" s="1" t="n">
        <v>45884</v>
      </c>
      <c r="D680" t="inlineStr">
        <is>
          <t>VÄSTMANLANDS LÄN</t>
        </is>
      </c>
      <c r="E680" t="inlineStr">
        <is>
          <t>SALA</t>
        </is>
      </c>
      <c r="G680" t="n">
        <v>6.4</v>
      </c>
      <c r="H680" t="n">
        <v>0</v>
      </c>
      <c r="I680" t="n">
        <v>0</v>
      </c>
      <c r="J680" t="n">
        <v>0</v>
      </c>
      <c r="K680" t="n">
        <v>0</v>
      </c>
      <c r="L680" t="n">
        <v>0</v>
      </c>
      <c r="M680" t="n">
        <v>0</v>
      </c>
      <c r="N680" t="n">
        <v>0</v>
      </c>
      <c r="O680" t="n">
        <v>0</v>
      </c>
      <c r="P680" t="n">
        <v>0</v>
      </c>
      <c r="Q680" t="n">
        <v>0</v>
      </c>
      <c r="R680" s="2" t="inlineStr"/>
    </row>
    <row r="681" ht="15" customHeight="1">
      <c r="A681" t="inlineStr">
        <is>
          <t>A 37590-2025</t>
        </is>
      </c>
      <c r="B681" s="1" t="n">
        <v>45880.41138888889</v>
      </c>
      <c r="C681" s="1" t="n">
        <v>45884</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37593-2025</t>
        </is>
      </c>
      <c r="B682" s="1" t="n">
        <v>45880.41325231481</v>
      </c>
      <c r="C682" s="1" t="n">
        <v>45884</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32902-2025</t>
        </is>
      </c>
      <c r="B683" s="1" t="n">
        <v>45839</v>
      </c>
      <c r="C683" s="1" t="n">
        <v>45884</v>
      </c>
      <c r="D683" t="inlineStr">
        <is>
          <t>VÄSTMANLANDS LÄN</t>
        </is>
      </c>
      <c r="E683" t="inlineStr">
        <is>
          <t>SALA</t>
        </is>
      </c>
      <c r="G683" t="n">
        <v>8.199999999999999</v>
      </c>
      <c r="H683" t="n">
        <v>0</v>
      </c>
      <c r="I683" t="n">
        <v>0</v>
      </c>
      <c r="J683" t="n">
        <v>0</v>
      </c>
      <c r="K683" t="n">
        <v>0</v>
      </c>
      <c r="L683" t="n">
        <v>0</v>
      </c>
      <c r="M683" t="n">
        <v>0</v>
      </c>
      <c r="N683" t="n">
        <v>0</v>
      </c>
      <c r="O683" t="n">
        <v>0</v>
      </c>
      <c r="P683" t="n">
        <v>0</v>
      </c>
      <c r="Q683" t="n">
        <v>0</v>
      </c>
      <c r="R683" s="2" t="inlineStr"/>
    </row>
    <row r="684">
      <c r="A684" t="inlineStr">
        <is>
          <t>A 38294-2025</t>
        </is>
      </c>
      <c r="B684" s="1" t="n">
        <v>45883.44854166666</v>
      </c>
      <c r="C684" s="1" t="n">
        <v>45884</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2025-08-15T08:29:41Z</dcterms:created>
  <dcterms:modified xmlns:dcterms="http://purl.org/dc/terms/" xmlns:xsi="http://www.w3.org/2001/XMLSchema-instance" xsi:type="dcterms:W3CDTF">2025-08-15T08:29:41Z</dcterms:modified>
</cp:coreProperties>
</file>