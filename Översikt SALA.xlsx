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45989</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53009-2024</t>
        </is>
      </c>
      <c r="B12" s="1" t="n">
        <v>45610</v>
      </c>
      <c r="C12" s="1" t="n">
        <v>45989</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45989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27488-2023</t>
        </is>
      </c>
      <c r="B14" s="1" t="n">
        <v>45097</v>
      </c>
      <c r="C14" s="1" t="n">
        <v>45989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45989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45989</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45989</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45989</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45989</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45989</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45989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45989</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45989</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45989</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45989</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45989</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45989</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53048-2025</t>
        </is>
      </c>
      <c r="B31" s="1" t="n">
        <v>45958.36018518519</v>
      </c>
      <c r="C31" s="1" t="n">
        <v>45989</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13029-2023</t>
        </is>
      </c>
      <c r="B32" s="1" t="n">
        <v>45001</v>
      </c>
      <c r="C32" s="1" t="n">
        <v>45989</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45989</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45989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45989</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45989</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45989</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45989</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56704-2022</t>
        </is>
      </c>
      <c r="B39" s="1" t="n">
        <v>44893.78075231481</v>
      </c>
      <c r="C39" s="1" t="n">
        <v>45989</v>
      </c>
      <c r="D39" t="inlineStr">
        <is>
          <t>VÄSTMANLANDS LÄN</t>
        </is>
      </c>
      <c r="E39" t="inlineStr">
        <is>
          <t>SALA</t>
        </is>
      </c>
      <c r="G39" t="n">
        <v>3.2</v>
      </c>
      <c r="H39" t="n">
        <v>1</v>
      </c>
      <c r="I39" t="n">
        <v>0</v>
      </c>
      <c r="J39" t="n">
        <v>0</v>
      </c>
      <c r="K39" t="n">
        <v>1</v>
      </c>
      <c r="L39" t="n">
        <v>0</v>
      </c>
      <c r="M39" t="n">
        <v>0</v>
      </c>
      <c r="N39" t="n">
        <v>0</v>
      </c>
      <c r="O39" t="n">
        <v>1</v>
      </c>
      <c r="P39" t="n">
        <v>1</v>
      </c>
      <c r="Q39" t="n">
        <v>1</v>
      </c>
      <c r="R39" s="2" t="inlineStr">
        <is>
          <t>Knärot</t>
        </is>
      </c>
      <c r="S39">
        <f>HYPERLINK("https://klasma.github.io/Logging_1981/artfynd/A 56704-2022 artfynd.xlsx", "A 56704-2022")</f>
        <v/>
      </c>
      <c r="T39">
        <f>HYPERLINK("https://klasma.github.io/Logging_1981/kartor/A 56704-2022 karta.png", "A 56704-2022")</f>
        <v/>
      </c>
      <c r="U39">
        <f>HYPERLINK("https://klasma.github.io/Logging_1981/knärot/A 56704-2022 karta knärot.png", "A 56704-2022")</f>
        <v/>
      </c>
      <c r="V39">
        <f>HYPERLINK("https://klasma.github.io/Logging_1981/klagomål/A 56704-2022 FSC-klagomål.docx", "A 56704-2022")</f>
        <v/>
      </c>
      <c r="W39">
        <f>HYPERLINK("https://klasma.github.io/Logging_1981/klagomålsmail/A 56704-2022 FSC-klagomål mail.docx", "A 56704-2022")</f>
        <v/>
      </c>
      <c r="X39">
        <f>HYPERLINK("https://klasma.github.io/Logging_1981/tillsyn/A 56704-2022 tillsynsbegäran.docx", "A 56704-2022")</f>
        <v/>
      </c>
      <c r="Y39">
        <f>HYPERLINK("https://klasma.github.io/Logging_1981/tillsynsmail/A 56704-2022 tillsynsbegäran mail.docx", "A 56704-2022")</f>
        <v/>
      </c>
    </row>
    <row r="40" ht="15" customHeight="1">
      <c r="A40" t="inlineStr">
        <is>
          <t>A 38255-2025</t>
        </is>
      </c>
      <c r="B40" s="1" t="n">
        <v>45883.38020833334</v>
      </c>
      <c r="C40" s="1" t="n">
        <v>45989</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43175-2023</t>
        </is>
      </c>
      <c r="B41" s="1" t="n">
        <v>45183</v>
      </c>
      <c r="C41" s="1" t="n">
        <v>45989</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60852-2024</t>
        </is>
      </c>
      <c r="B42" s="1" t="n">
        <v>45644</v>
      </c>
      <c r="C42" s="1" t="n">
        <v>45989</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41270-2024</t>
        </is>
      </c>
      <c r="B43" s="1" t="n">
        <v>45559</v>
      </c>
      <c r="C43" s="1" t="n">
        <v>45989</v>
      </c>
      <c r="D43" t="inlineStr">
        <is>
          <t>VÄSTMANLANDS LÄN</t>
        </is>
      </c>
      <c r="E43" t="inlineStr">
        <is>
          <t>SALA</t>
        </is>
      </c>
      <c r="G43" t="n">
        <v>15.2</v>
      </c>
      <c r="H43" t="n">
        <v>1</v>
      </c>
      <c r="I43" t="n">
        <v>0</v>
      </c>
      <c r="J43" t="n">
        <v>1</v>
      </c>
      <c r="K43" t="n">
        <v>0</v>
      </c>
      <c r="L43" t="n">
        <v>0</v>
      </c>
      <c r="M43" t="n">
        <v>0</v>
      </c>
      <c r="N43" t="n">
        <v>0</v>
      </c>
      <c r="O43" t="n">
        <v>1</v>
      </c>
      <c r="P43" t="n">
        <v>0</v>
      </c>
      <c r="Q43" t="n">
        <v>1</v>
      </c>
      <c r="R43" s="2" t="inlineStr">
        <is>
          <t>Havsörn</t>
        </is>
      </c>
      <c r="S43">
        <f>HYPERLINK("https://klasma.github.io/Logging_1981/artfynd/A 41270-2024 artfynd.xlsx", "A 41270-2024")</f>
        <v/>
      </c>
      <c r="T43">
        <f>HYPERLINK("https://klasma.github.io/Logging_1981/kartor/A 41270-2024 karta.png", "A 41270-2024")</f>
        <v/>
      </c>
      <c r="V43">
        <f>HYPERLINK("https://klasma.github.io/Logging_1981/klagomål/A 41270-2024 FSC-klagomål.docx", "A 41270-2024")</f>
        <v/>
      </c>
      <c r="W43">
        <f>HYPERLINK("https://klasma.github.io/Logging_1981/klagomålsmail/A 41270-2024 FSC-klagomål mail.docx", "A 41270-2024")</f>
        <v/>
      </c>
      <c r="X43">
        <f>HYPERLINK("https://klasma.github.io/Logging_1981/tillsyn/A 41270-2024 tillsynsbegäran.docx", "A 41270-2024")</f>
        <v/>
      </c>
      <c r="Y43">
        <f>HYPERLINK("https://klasma.github.io/Logging_1981/tillsynsmail/A 41270-2024 tillsynsbegäran mail.docx", "A 41270-2024")</f>
        <v/>
      </c>
      <c r="Z43">
        <f>HYPERLINK("https://klasma.github.io/Logging_1981/fåglar/A 41270-2024 prioriterade fågelarter.docx", "A 41270-2024")</f>
        <v/>
      </c>
    </row>
    <row r="44" ht="15" customHeight="1">
      <c r="A44" t="inlineStr">
        <is>
          <t>A 32594-2025</t>
        </is>
      </c>
      <c r="B44" s="1" t="n">
        <v>45838</v>
      </c>
      <c r="C44" s="1" t="n">
        <v>45989</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53052-2025</t>
        </is>
      </c>
      <c r="B45" s="1" t="n">
        <v>45958.36266203703</v>
      </c>
      <c r="C45" s="1" t="n">
        <v>45989</v>
      </c>
      <c r="D45" t="inlineStr">
        <is>
          <t>VÄSTMANLANDS LÄN</t>
        </is>
      </c>
      <c r="E45" t="inlineStr">
        <is>
          <t>SALA</t>
        </is>
      </c>
      <c r="F45" t="inlineStr">
        <is>
          <t>Sveaskog</t>
        </is>
      </c>
      <c r="G45" t="n">
        <v>1.1</v>
      </c>
      <c r="H45" t="n">
        <v>0</v>
      </c>
      <c r="I45" t="n">
        <v>0</v>
      </c>
      <c r="J45" t="n">
        <v>1</v>
      </c>
      <c r="K45" t="n">
        <v>0</v>
      </c>
      <c r="L45" t="n">
        <v>0</v>
      </c>
      <c r="M45" t="n">
        <v>0</v>
      </c>
      <c r="N45" t="n">
        <v>0</v>
      </c>
      <c r="O45" t="n">
        <v>1</v>
      </c>
      <c r="P45" t="n">
        <v>0</v>
      </c>
      <c r="Q45" t="n">
        <v>1</v>
      </c>
      <c r="R45" s="2" t="inlineStr">
        <is>
          <t>Motaggsvamp</t>
        </is>
      </c>
      <c r="S45">
        <f>HYPERLINK("https://klasma.github.io/Logging_1981/artfynd/A 53052-2025 artfynd.xlsx", "A 53052-2025")</f>
        <v/>
      </c>
      <c r="T45">
        <f>HYPERLINK("https://klasma.github.io/Logging_1981/kartor/A 53052-2025 karta.png", "A 53052-2025")</f>
        <v/>
      </c>
      <c r="V45">
        <f>HYPERLINK("https://klasma.github.io/Logging_1981/klagomål/A 53052-2025 FSC-klagomål.docx", "A 53052-2025")</f>
        <v/>
      </c>
      <c r="W45">
        <f>HYPERLINK("https://klasma.github.io/Logging_1981/klagomålsmail/A 53052-2025 FSC-klagomål mail.docx", "A 53052-2025")</f>
        <v/>
      </c>
      <c r="X45">
        <f>HYPERLINK("https://klasma.github.io/Logging_1981/tillsyn/A 53052-2025 tillsynsbegäran.docx", "A 53052-2025")</f>
        <v/>
      </c>
      <c r="Y45">
        <f>HYPERLINK("https://klasma.github.io/Logging_1981/tillsynsmail/A 53052-2025 tillsynsbegäran mail.docx", "A 53052-2025")</f>
        <v/>
      </c>
    </row>
    <row r="46" ht="15" customHeight="1">
      <c r="A46" t="inlineStr">
        <is>
          <t>A 43068-2024</t>
        </is>
      </c>
      <c r="B46" s="1" t="n">
        <v>45567</v>
      </c>
      <c r="C46" s="1" t="n">
        <v>45989</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22350-2024</t>
        </is>
      </c>
      <c r="B47" s="1" t="n">
        <v>45446</v>
      </c>
      <c r="C47" s="1" t="n">
        <v>45989</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7731-2023</t>
        </is>
      </c>
      <c r="B48" s="1" t="n">
        <v>44973</v>
      </c>
      <c r="C48" s="1" t="n">
        <v>45989</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12509-2023</t>
        </is>
      </c>
      <c r="B49" s="1" t="n">
        <v>44999.95988425926</v>
      </c>
      <c r="C49" s="1" t="n">
        <v>45989</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55995-2025</t>
        </is>
      </c>
      <c r="B50" s="1" t="n">
        <v>45973.56733796297</v>
      </c>
      <c r="C50" s="1" t="n">
        <v>45989</v>
      </c>
      <c r="D50" t="inlineStr">
        <is>
          <t>VÄSTMANLANDS LÄN</t>
        </is>
      </c>
      <c r="E50" t="inlineStr">
        <is>
          <t>SALA</t>
        </is>
      </c>
      <c r="F50" t="inlineStr">
        <is>
          <t>Sveaskog</t>
        </is>
      </c>
      <c r="G50" t="n">
        <v>4.5</v>
      </c>
      <c r="H50" t="n">
        <v>1</v>
      </c>
      <c r="I50" t="n">
        <v>0</v>
      </c>
      <c r="J50" t="n">
        <v>0</v>
      </c>
      <c r="K50" t="n">
        <v>0</v>
      </c>
      <c r="L50" t="n">
        <v>0</v>
      </c>
      <c r="M50" t="n">
        <v>0</v>
      </c>
      <c r="N50" t="n">
        <v>0</v>
      </c>
      <c r="O50" t="n">
        <v>0</v>
      </c>
      <c r="P50" t="n">
        <v>0</v>
      </c>
      <c r="Q50" t="n">
        <v>1</v>
      </c>
      <c r="R50" s="2" t="inlineStr">
        <is>
          <t>Fläcknycklar</t>
        </is>
      </c>
      <c r="S50">
        <f>HYPERLINK("https://klasma.github.io/Logging_1981/artfynd/A 55995-2025 artfynd.xlsx", "A 55995-2025")</f>
        <v/>
      </c>
      <c r="T50">
        <f>HYPERLINK("https://klasma.github.io/Logging_1981/kartor/A 55995-2025 karta.png", "A 55995-2025")</f>
        <v/>
      </c>
      <c r="V50">
        <f>HYPERLINK("https://klasma.github.io/Logging_1981/klagomål/A 55995-2025 FSC-klagomål.docx", "A 55995-2025")</f>
        <v/>
      </c>
      <c r="W50">
        <f>HYPERLINK("https://klasma.github.io/Logging_1981/klagomålsmail/A 55995-2025 FSC-klagomål mail.docx", "A 55995-2025")</f>
        <v/>
      </c>
      <c r="X50">
        <f>HYPERLINK("https://klasma.github.io/Logging_1981/tillsyn/A 55995-2025 tillsynsbegäran.docx", "A 55995-2025")</f>
        <v/>
      </c>
      <c r="Y50">
        <f>HYPERLINK("https://klasma.github.io/Logging_1981/tillsynsmail/A 55995-2025 tillsynsbegäran mail.docx", "A 55995-2025")</f>
        <v/>
      </c>
    </row>
    <row r="51" ht="15" customHeight="1">
      <c r="A51" t="inlineStr">
        <is>
          <t>A 48705-2025</t>
        </is>
      </c>
      <c r="B51" s="1" t="n">
        <v>45936.62290509259</v>
      </c>
      <c r="C51" s="1" t="n">
        <v>45989</v>
      </c>
      <c r="D51" t="inlineStr">
        <is>
          <t>VÄSTMANLANDS LÄN</t>
        </is>
      </c>
      <c r="E51" t="inlineStr">
        <is>
          <t>SALA</t>
        </is>
      </c>
      <c r="G51" t="n">
        <v>4.4</v>
      </c>
      <c r="H51" t="n">
        <v>1</v>
      </c>
      <c r="I51" t="n">
        <v>1</v>
      </c>
      <c r="J51" t="n">
        <v>0</v>
      </c>
      <c r="K51" t="n">
        <v>0</v>
      </c>
      <c r="L51" t="n">
        <v>0</v>
      </c>
      <c r="M51" t="n">
        <v>0</v>
      </c>
      <c r="N51" t="n">
        <v>0</v>
      </c>
      <c r="O51" t="n">
        <v>0</v>
      </c>
      <c r="P51" t="n">
        <v>0</v>
      </c>
      <c r="Q51" t="n">
        <v>1</v>
      </c>
      <c r="R51" s="2" t="inlineStr">
        <is>
          <t>Plattlummer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14775-2023</t>
        </is>
      </c>
      <c r="B52" s="1" t="n">
        <v>45014</v>
      </c>
      <c r="C52" s="1" t="n">
        <v>45989</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14775-2023 artfynd.xlsx", "A 14775-2023")</f>
        <v/>
      </c>
      <c r="T52">
        <f>HYPERLINK("https://klasma.github.io/Logging_1981/kartor/A 14775-2023 karta.png", "A 14775-2023")</f>
        <v/>
      </c>
      <c r="U52">
        <f>HYPERLINK("https://klasma.github.io/Logging_1981/knärot/A 14775-2023 karta knärot.png", "A 14775-2023")</f>
        <v/>
      </c>
      <c r="V52">
        <f>HYPERLINK("https://klasma.github.io/Logging_1981/klagomål/A 14775-2023 FSC-klagomål.docx", "A 14775-2023")</f>
        <v/>
      </c>
      <c r="W52">
        <f>HYPERLINK("https://klasma.github.io/Logging_1981/klagomålsmail/A 14775-2023 FSC-klagomål mail.docx", "A 14775-2023")</f>
        <v/>
      </c>
      <c r="X52">
        <f>HYPERLINK("https://klasma.github.io/Logging_1981/tillsyn/A 14775-2023 tillsynsbegäran.docx", "A 14775-2023")</f>
        <v/>
      </c>
      <c r="Y52">
        <f>HYPERLINK("https://klasma.github.io/Logging_1981/tillsynsmail/A 14775-2023 tillsynsbegäran mail.docx", "A 14775-2023")</f>
        <v/>
      </c>
    </row>
    <row r="53" ht="15" customHeight="1">
      <c r="A53" t="inlineStr">
        <is>
          <t>A 19361-2025</t>
        </is>
      </c>
      <c r="B53" s="1" t="n">
        <v>45769.63357638889</v>
      </c>
      <c r="C53" s="1" t="n">
        <v>45989</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45989</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50268-2025</t>
        </is>
      </c>
      <c r="B55" s="1" t="n">
        <v>45944.35162037037</v>
      </c>
      <c r="C55" s="1" t="n">
        <v>45989</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37166-2024</t>
        </is>
      </c>
      <c r="B56" s="1" t="n">
        <v>45539</v>
      </c>
      <c r="C56" s="1" t="n">
        <v>45989</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29985-2022</t>
        </is>
      </c>
      <c r="B57" s="1" t="n">
        <v>44756</v>
      </c>
      <c r="C57" s="1" t="n">
        <v>45989</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7919-2022</t>
        </is>
      </c>
      <c r="B58" s="1" t="n">
        <v>44608</v>
      </c>
      <c r="C58" s="1" t="n">
        <v>45989</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29727-2023</t>
        </is>
      </c>
      <c r="B59" s="1" t="n">
        <v>45107</v>
      </c>
      <c r="C59" s="1" t="n">
        <v>45989</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55550-2023</t>
        </is>
      </c>
      <c r="B60" s="1" t="n">
        <v>45232</v>
      </c>
      <c r="C60" s="1" t="n">
        <v>45989</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21738-2025</t>
        </is>
      </c>
      <c r="B61" s="1" t="n">
        <v>45783.59173611111</v>
      </c>
      <c r="C61" s="1" t="n">
        <v>45989</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45989</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69194-2020</t>
        </is>
      </c>
      <c r="B63" s="1" t="n">
        <v>44191</v>
      </c>
      <c r="C63" s="1" t="n">
        <v>45989</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45989</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45989</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45989</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45989</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45989</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45989</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45989</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45989</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45989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45989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45989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45989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45989</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45989</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45989</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45989</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45989</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45989</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45989</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17897-2022</t>
        </is>
      </c>
      <c r="B84" s="1" t="n">
        <v>44683</v>
      </c>
      <c r="C84" s="1" t="n">
        <v>45989</v>
      </c>
      <c r="D84" t="inlineStr">
        <is>
          <t>VÄSTMANLANDS LÄN</t>
        </is>
      </c>
      <c r="E84" t="inlineStr">
        <is>
          <t>SALA</t>
        </is>
      </c>
      <c r="G84" t="n">
        <v>1.2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45989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43103-2022</t>
        </is>
      </c>
      <c r="B86" s="1" t="n">
        <v>44833.68795138889</v>
      </c>
      <c r="C86" s="1" t="n">
        <v>45989</v>
      </c>
      <c r="D86" t="inlineStr">
        <is>
          <t>VÄSTMANLANDS LÄN</t>
        </is>
      </c>
      <c r="E86" t="inlineStr">
        <is>
          <t>SALA</t>
        </is>
      </c>
      <c r="G86" t="n">
        <v>0.6</v>
      </c>
      <c r="H86" t="n">
        <v>0</v>
      </c>
      <c r="I86" t="n">
        <v>0</v>
      </c>
      <c r="J86" t="n">
        <v>0</v>
      </c>
      <c r="K86" t="n">
        <v>0</v>
      </c>
      <c r="L86" t="n">
        <v>0</v>
      </c>
      <c r="M86" t="n">
        <v>0</v>
      </c>
      <c r="N86" t="n">
        <v>0</v>
      </c>
      <c r="O86" t="n">
        <v>0</v>
      </c>
      <c r="P86" t="n">
        <v>0</v>
      </c>
      <c r="Q86" t="n">
        <v>0</v>
      </c>
      <c r="R86" s="2" t="inlineStr"/>
    </row>
    <row r="87" ht="15" customHeight="1">
      <c r="A87" t="inlineStr">
        <is>
          <t>A 4281-2022</t>
        </is>
      </c>
      <c r="B87" s="1" t="n">
        <v>44588</v>
      </c>
      <c r="C87" s="1" t="n">
        <v>45989</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47701-2021</t>
        </is>
      </c>
      <c r="B88" s="1" t="n">
        <v>44448</v>
      </c>
      <c r="C88" s="1" t="n">
        <v>45989</v>
      </c>
      <c r="D88" t="inlineStr">
        <is>
          <t>VÄSTMANLANDS LÄN</t>
        </is>
      </c>
      <c r="E88" t="inlineStr">
        <is>
          <t>SALA</t>
        </is>
      </c>
      <c r="G88" t="n">
        <v>2.3</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45989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45989</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45989</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45989</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45989</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45989</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45989</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45989</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45989</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45989</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45989</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45989</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45989</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45989</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45989</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45989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45989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45989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45989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45989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45989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45989</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45989</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45989</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45989</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45989</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45989</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45989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45989</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45989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45989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45989</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45989</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45989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45989</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45989</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45989</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45989</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45989</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45989</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45989</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45989</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45989</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45989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45989</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45989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45989</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45989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45989</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45989</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45989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45989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45989</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45989</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45989</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45989</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45989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45989</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45989</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45989</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45989</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45989</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45989</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45989</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45989</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45989</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45989</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45989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45989</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45989</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45989</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45989</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45989</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22575-2022</t>
        </is>
      </c>
      <c r="B163" s="1" t="n">
        <v>44713</v>
      </c>
      <c r="C163" s="1" t="n">
        <v>45989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45989</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45989</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45989</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45989</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45989</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45989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45989</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45989</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45989</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45989</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45989</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45989</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45989</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45989</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45989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45989</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45989</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56688-2024</t>
        </is>
      </c>
      <c r="B181" s="1" t="n">
        <v>45627.66478009259</v>
      </c>
      <c r="C181" s="1" t="n">
        <v>45989</v>
      </c>
      <c r="D181" t="inlineStr">
        <is>
          <t>VÄSTMANLANDS LÄN</t>
        </is>
      </c>
      <c r="E181" t="inlineStr">
        <is>
          <t>SALA</t>
        </is>
      </c>
      <c r="G181" t="n">
        <v>0.9</v>
      </c>
      <c r="H181" t="n">
        <v>0</v>
      </c>
      <c r="I181" t="n">
        <v>0</v>
      </c>
      <c r="J181" t="n">
        <v>0</v>
      </c>
      <c r="K181" t="n">
        <v>0</v>
      </c>
      <c r="L181" t="n">
        <v>0</v>
      </c>
      <c r="M181" t="n">
        <v>0</v>
      </c>
      <c r="N181" t="n">
        <v>0</v>
      </c>
      <c r="O181" t="n">
        <v>0</v>
      </c>
      <c r="P181" t="n">
        <v>0</v>
      </c>
      <c r="Q181" t="n">
        <v>0</v>
      </c>
      <c r="R181" s="2" t="inlineStr"/>
    </row>
    <row r="182" ht="15" customHeight="1">
      <c r="A182" t="inlineStr">
        <is>
          <t>A 15354-2021</t>
        </is>
      </c>
      <c r="B182" s="1" t="n">
        <v>44284</v>
      </c>
      <c r="C182" s="1" t="n">
        <v>45989</v>
      </c>
      <c r="D182" t="inlineStr">
        <is>
          <t>VÄSTMANLANDS LÄN</t>
        </is>
      </c>
      <c r="E182" t="inlineStr">
        <is>
          <t>SALA</t>
        </is>
      </c>
      <c r="F182" t="inlineStr">
        <is>
          <t>Kyrkan</t>
        </is>
      </c>
      <c r="G182" t="n">
        <v>8.5</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45989</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45989</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39597-2022</t>
        </is>
      </c>
      <c r="B185" s="1" t="n">
        <v>44818</v>
      </c>
      <c r="C185" s="1" t="n">
        <v>45989</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45989</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45989</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45989</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22026-2021</t>
        </is>
      </c>
      <c r="B189" s="1" t="n">
        <v>44323</v>
      </c>
      <c r="C189" s="1" t="n">
        <v>45989</v>
      </c>
      <c r="D189" t="inlineStr">
        <is>
          <t>VÄSTMANLANDS LÄN</t>
        </is>
      </c>
      <c r="E189" t="inlineStr">
        <is>
          <t>SALA</t>
        </is>
      </c>
      <c r="G189" t="n">
        <v>2.9</v>
      </c>
      <c r="H189" t="n">
        <v>0</v>
      </c>
      <c r="I189" t="n">
        <v>0</v>
      </c>
      <c r="J189" t="n">
        <v>0</v>
      </c>
      <c r="K189" t="n">
        <v>0</v>
      </c>
      <c r="L189" t="n">
        <v>0</v>
      </c>
      <c r="M189" t="n">
        <v>0</v>
      </c>
      <c r="N189" t="n">
        <v>0</v>
      </c>
      <c r="O189" t="n">
        <v>0</v>
      </c>
      <c r="P189" t="n">
        <v>0</v>
      </c>
      <c r="Q189" t="n">
        <v>0</v>
      </c>
      <c r="R189" s="2" t="inlineStr"/>
    </row>
    <row r="190" ht="15" customHeight="1">
      <c r="A190" t="inlineStr">
        <is>
          <t>A 40597-2022</t>
        </is>
      </c>
      <c r="B190" s="1" t="n">
        <v>44823.84862268518</v>
      </c>
      <c r="C190" s="1" t="n">
        <v>45989</v>
      </c>
      <c r="D190" t="inlineStr">
        <is>
          <t>VÄSTMANLANDS LÄN</t>
        </is>
      </c>
      <c r="E190" t="inlineStr">
        <is>
          <t>SALA</t>
        </is>
      </c>
      <c r="G190" t="n">
        <v>3.5</v>
      </c>
      <c r="H190" t="n">
        <v>0</v>
      </c>
      <c r="I190" t="n">
        <v>0</v>
      </c>
      <c r="J190" t="n">
        <v>0</v>
      </c>
      <c r="K190" t="n">
        <v>0</v>
      </c>
      <c r="L190" t="n">
        <v>0</v>
      </c>
      <c r="M190" t="n">
        <v>0</v>
      </c>
      <c r="N190" t="n">
        <v>0</v>
      </c>
      <c r="O190" t="n">
        <v>0</v>
      </c>
      <c r="P190" t="n">
        <v>0</v>
      </c>
      <c r="Q190" t="n">
        <v>0</v>
      </c>
      <c r="R190" s="2" t="inlineStr"/>
    </row>
    <row r="191" ht="15" customHeight="1">
      <c r="A191" t="inlineStr">
        <is>
          <t>A 16160-2024</t>
        </is>
      </c>
      <c r="B191" s="1" t="n">
        <v>45406</v>
      </c>
      <c r="C191" s="1" t="n">
        <v>45989</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19803-2024</t>
        </is>
      </c>
      <c r="B192" s="1" t="n">
        <v>45432</v>
      </c>
      <c r="C192" s="1" t="n">
        <v>45989</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7196-2025</t>
        </is>
      </c>
      <c r="B193" s="1" t="n">
        <v>45702</v>
      </c>
      <c r="C193" s="1" t="n">
        <v>45989</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6183-2025</t>
        </is>
      </c>
      <c r="B194" s="1" t="n">
        <v>45698</v>
      </c>
      <c r="C194" s="1" t="n">
        <v>45989</v>
      </c>
      <c r="D194" t="inlineStr">
        <is>
          <t>VÄSTMANLANDS LÄN</t>
        </is>
      </c>
      <c r="E194" t="inlineStr">
        <is>
          <t>SALA</t>
        </is>
      </c>
      <c r="F194" t="inlineStr">
        <is>
          <t>Bergvik skog öst AB</t>
        </is>
      </c>
      <c r="G194" t="n">
        <v>2.3</v>
      </c>
      <c r="H194" t="n">
        <v>0</v>
      </c>
      <c r="I194" t="n">
        <v>0</v>
      </c>
      <c r="J194" t="n">
        <v>0</v>
      </c>
      <c r="K194" t="n">
        <v>0</v>
      </c>
      <c r="L194" t="n">
        <v>0</v>
      </c>
      <c r="M194" t="n">
        <v>0</v>
      </c>
      <c r="N194" t="n">
        <v>0</v>
      </c>
      <c r="O194" t="n">
        <v>0</v>
      </c>
      <c r="P194" t="n">
        <v>0</v>
      </c>
      <c r="Q194" t="n">
        <v>0</v>
      </c>
      <c r="R194" s="2" t="inlineStr"/>
    </row>
    <row r="195" ht="15" customHeight="1">
      <c r="A195" t="inlineStr">
        <is>
          <t>A 18713-2025</t>
        </is>
      </c>
      <c r="B195" s="1" t="n">
        <v>45763</v>
      </c>
      <c r="C195" s="1" t="n">
        <v>45989</v>
      </c>
      <c r="D195" t="inlineStr">
        <is>
          <t>VÄSTMANLANDS LÄN</t>
        </is>
      </c>
      <c r="E195" t="inlineStr">
        <is>
          <t>SALA</t>
        </is>
      </c>
      <c r="F195" t="inlineStr">
        <is>
          <t>Bergvik skog öst AB</t>
        </is>
      </c>
      <c r="G195" t="n">
        <v>11.6</v>
      </c>
      <c r="H195" t="n">
        <v>0</v>
      </c>
      <c r="I195" t="n">
        <v>0</v>
      </c>
      <c r="J195" t="n">
        <v>0</v>
      </c>
      <c r="K195" t="n">
        <v>0</v>
      </c>
      <c r="L195" t="n">
        <v>0</v>
      </c>
      <c r="M195" t="n">
        <v>0</v>
      </c>
      <c r="N195" t="n">
        <v>0</v>
      </c>
      <c r="O195" t="n">
        <v>0</v>
      </c>
      <c r="P195" t="n">
        <v>0</v>
      </c>
      <c r="Q195" t="n">
        <v>0</v>
      </c>
      <c r="R195" s="2" t="inlineStr"/>
    </row>
    <row r="196" ht="15" customHeight="1">
      <c r="A196" t="inlineStr">
        <is>
          <t>A 40871-2021</t>
        </is>
      </c>
      <c r="B196" s="1" t="n">
        <v>44421</v>
      </c>
      <c r="C196" s="1" t="n">
        <v>45989</v>
      </c>
      <c r="D196" t="inlineStr">
        <is>
          <t>VÄSTMANLANDS LÄN</t>
        </is>
      </c>
      <c r="E196" t="inlineStr">
        <is>
          <t>SALA</t>
        </is>
      </c>
      <c r="G196" t="n">
        <v>1.4</v>
      </c>
      <c r="H196" t="n">
        <v>0</v>
      </c>
      <c r="I196" t="n">
        <v>0</v>
      </c>
      <c r="J196" t="n">
        <v>0</v>
      </c>
      <c r="K196" t="n">
        <v>0</v>
      </c>
      <c r="L196" t="n">
        <v>0</v>
      </c>
      <c r="M196" t="n">
        <v>0</v>
      </c>
      <c r="N196" t="n">
        <v>0</v>
      </c>
      <c r="O196" t="n">
        <v>0</v>
      </c>
      <c r="P196" t="n">
        <v>0</v>
      </c>
      <c r="Q196" t="n">
        <v>0</v>
      </c>
      <c r="R196" s="2" t="inlineStr"/>
    </row>
    <row r="197" ht="15" customHeight="1">
      <c r="A197" t="inlineStr">
        <is>
          <t>A 54959-2024</t>
        </is>
      </c>
      <c r="B197" s="1" t="n">
        <v>45619</v>
      </c>
      <c r="C197" s="1" t="n">
        <v>45989</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45989</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63933-2023</t>
        </is>
      </c>
      <c r="B199" s="1" t="n">
        <v>45278</v>
      </c>
      <c r="C199" s="1" t="n">
        <v>45989</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45989</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39439-2021</t>
        </is>
      </c>
      <c r="B201" s="1" t="n">
        <v>44414</v>
      </c>
      <c r="C201" s="1" t="n">
        <v>45989</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37190-2024</t>
        </is>
      </c>
      <c r="B202" s="1" t="n">
        <v>45539</v>
      </c>
      <c r="C202" s="1" t="n">
        <v>45989</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30971-2022</t>
        </is>
      </c>
      <c r="B203" s="1" t="n">
        <v>44768.46725694444</v>
      </c>
      <c r="C203" s="1" t="n">
        <v>45989</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11389-2024</t>
        </is>
      </c>
      <c r="B204" s="1" t="n">
        <v>45372.45016203704</v>
      </c>
      <c r="C204" s="1" t="n">
        <v>45989</v>
      </c>
      <c r="D204" t="inlineStr">
        <is>
          <t>VÄSTMANLANDS LÄN</t>
        </is>
      </c>
      <c r="E204" t="inlineStr">
        <is>
          <t>SALA</t>
        </is>
      </c>
      <c r="G204" t="n">
        <v>0.5</v>
      </c>
      <c r="H204" t="n">
        <v>0</v>
      </c>
      <c r="I204" t="n">
        <v>0</v>
      </c>
      <c r="J204" t="n">
        <v>0</v>
      </c>
      <c r="K204" t="n">
        <v>0</v>
      </c>
      <c r="L204" t="n">
        <v>0</v>
      </c>
      <c r="M204" t="n">
        <v>0</v>
      </c>
      <c r="N204" t="n">
        <v>0</v>
      </c>
      <c r="O204" t="n">
        <v>0</v>
      </c>
      <c r="P204" t="n">
        <v>0</v>
      </c>
      <c r="Q204" t="n">
        <v>0</v>
      </c>
      <c r="R204" s="2" t="inlineStr"/>
    </row>
    <row r="205" ht="15" customHeight="1">
      <c r="A205" t="inlineStr">
        <is>
          <t>A 56706-2022</t>
        </is>
      </c>
      <c r="B205" s="1" t="n">
        <v>44893.78893518518</v>
      </c>
      <c r="C205" s="1" t="n">
        <v>45989</v>
      </c>
      <c r="D205" t="inlineStr">
        <is>
          <t>VÄSTMANLANDS LÄN</t>
        </is>
      </c>
      <c r="E205" t="inlineStr">
        <is>
          <t>SALA</t>
        </is>
      </c>
      <c r="G205" t="n">
        <v>4.5</v>
      </c>
      <c r="H205" t="n">
        <v>0</v>
      </c>
      <c r="I205" t="n">
        <v>0</v>
      </c>
      <c r="J205" t="n">
        <v>0</v>
      </c>
      <c r="K205" t="n">
        <v>0</v>
      </c>
      <c r="L205" t="n">
        <v>0</v>
      </c>
      <c r="M205" t="n">
        <v>0</v>
      </c>
      <c r="N205" t="n">
        <v>0</v>
      </c>
      <c r="O205" t="n">
        <v>0</v>
      </c>
      <c r="P205" t="n">
        <v>0</v>
      </c>
      <c r="Q205" t="n">
        <v>0</v>
      </c>
      <c r="R205" s="2" t="inlineStr"/>
    </row>
    <row r="206" ht="15" customHeight="1">
      <c r="A206" t="inlineStr">
        <is>
          <t>A 56707-2022</t>
        </is>
      </c>
      <c r="B206" s="1" t="n">
        <v>44893.79412037037</v>
      </c>
      <c r="C206" s="1" t="n">
        <v>45989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2900-2023</t>
        </is>
      </c>
      <c r="B207" s="1" t="n">
        <v>44943</v>
      </c>
      <c r="C207" s="1" t="n">
        <v>45989</v>
      </c>
      <c r="D207" t="inlineStr">
        <is>
          <t>VÄSTMANLANDS LÄN</t>
        </is>
      </c>
      <c r="E207" t="inlineStr">
        <is>
          <t>SALA</t>
        </is>
      </c>
      <c r="G207" t="n">
        <v>0.5</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45989</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45989</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35976-2024</t>
        </is>
      </c>
      <c r="B210" s="1" t="n">
        <v>45533.49555555556</v>
      </c>
      <c r="C210" s="1" t="n">
        <v>45989</v>
      </c>
      <c r="D210" t="inlineStr">
        <is>
          <t>VÄSTMANLANDS LÄN</t>
        </is>
      </c>
      <c r="E210" t="inlineStr">
        <is>
          <t>SALA</t>
        </is>
      </c>
      <c r="G210" t="n">
        <v>2.3</v>
      </c>
      <c r="H210" t="n">
        <v>0</v>
      </c>
      <c r="I210" t="n">
        <v>0</v>
      </c>
      <c r="J210" t="n">
        <v>0</v>
      </c>
      <c r="K210" t="n">
        <v>0</v>
      </c>
      <c r="L210" t="n">
        <v>0</v>
      </c>
      <c r="M210" t="n">
        <v>0</v>
      </c>
      <c r="N210" t="n">
        <v>0</v>
      </c>
      <c r="O210" t="n">
        <v>0</v>
      </c>
      <c r="P210" t="n">
        <v>0</v>
      </c>
      <c r="Q210" t="n">
        <v>0</v>
      </c>
      <c r="R210" s="2" t="inlineStr"/>
    </row>
    <row r="211" ht="15" customHeight="1">
      <c r="A211" t="inlineStr">
        <is>
          <t>A 71471-2021</t>
        </is>
      </c>
      <c r="B211" s="1" t="n">
        <v>44540.53421296296</v>
      </c>
      <c r="C211" s="1" t="n">
        <v>45989</v>
      </c>
      <c r="D211" t="inlineStr">
        <is>
          <t>VÄSTMANLANDS LÄN</t>
        </is>
      </c>
      <c r="E211" t="inlineStr">
        <is>
          <t>SALA</t>
        </is>
      </c>
      <c r="G211" t="n">
        <v>13</v>
      </c>
      <c r="H211" t="n">
        <v>0</v>
      </c>
      <c r="I211" t="n">
        <v>0</v>
      </c>
      <c r="J211" t="n">
        <v>0</v>
      </c>
      <c r="K211" t="n">
        <v>0</v>
      </c>
      <c r="L211" t="n">
        <v>0</v>
      </c>
      <c r="M211" t="n">
        <v>0</v>
      </c>
      <c r="N211" t="n">
        <v>0</v>
      </c>
      <c r="O211" t="n">
        <v>0</v>
      </c>
      <c r="P211" t="n">
        <v>0</v>
      </c>
      <c r="Q211" t="n">
        <v>0</v>
      </c>
      <c r="R211" s="2" t="inlineStr"/>
    </row>
    <row r="212" ht="15" customHeight="1">
      <c r="A212" t="inlineStr">
        <is>
          <t>A 38636-2024</t>
        </is>
      </c>
      <c r="B212" s="1" t="n">
        <v>45546</v>
      </c>
      <c r="C212" s="1" t="n">
        <v>45989</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8775-2024</t>
        </is>
      </c>
      <c r="B213" s="1" t="n">
        <v>45356</v>
      </c>
      <c r="C213" s="1" t="n">
        <v>45989</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55065-2024</t>
        </is>
      </c>
      <c r="B214" s="1" t="n">
        <v>45618</v>
      </c>
      <c r="C214" s="1" t="n">
        <v>45989</v>
      </c>
      <c r="D214" t="inlineStr">
        <is>
          <t>VÄSTMANLANDS LÄN</t>
        </is>
      </c>
      <c r="E214" t="inlineStr">
        <is>
          <t>SALA</t>
        </is>
      </c>
      <c r="G214" t="n">
        <v>3.5</v>
      </c>
      <c r="H214" t="n">
        <v>0</v>
      </c>
      <c r="I214" t="n">
        <v>0</v>
      </c>
      <c r="J214" t="n">
        <v>0</v>
      </c>
      <c r="K214" t="n">
        <v>0</v>
      </c>
      <c r="L214" t="n">
        <v>0</v>
      </c>
      <c r="M214" t="n">
        <v>0</v>
      </c>
      <c r="N214" t="n">
        <v>0</v>
      </c>
      <c r="O214" t="n">
        <v>0</v>
      </c>
      <c r="P214" t="n">
        <v>0</v>
      </c>
      <c r="Q214" t="n">
        <v>0</v>
      </c>
      <c r="R214" s="2" t="inlineStr"/>
    </row>
    <row r="215" ht="15" customHeight="1">
      <c r="A215" t="inlineStr">
        <is>
          <t>A 24463-2025</t>
        </is>
      </c>
      <c r="B215" s="1" t="n">
        <v>45798</v>
      </c>
      <c r="C215" s="1" t="n">
        <v>45989</v>
      </c>
      <c r="D215" t="inlineStr">
        <is>
          <t>VÄSTMANLANDS LÄN</t>
        </is>
      </c>
      <c r="E215" t="inlineStr">
        <is>
          <t>SALA</t>
        </is>
      </c>
      <c r="F215" t="inlineStr">
        <is>
          <t>Bergvik skog öst AB</t>
        </is>
      </c>
      <c r="G215" t="n">
        <v>1.5</v>
      </c>
      <c r="H215" t="n">
        <v>0</v>
      </c>
      <c r="I215" t="n">
        <v>0</v>
      </c>
      <c r="J215" t="n">
        <v>0</v>
      </c>
      <c r="K215" t="n">
        <v>0</v>
      </c>
      <c r="L215" t="n">
        <v>0</v>
      </c>
      <c r="M215" t="n">
        <v>0</v>
      </c>
      <c r="N215" t="n">
        <v>0</v>
      </c>
      <c r="O215" t="n">
        <v>0</v>
      </c>
      <c r="P215" t="n">
        <v>0</v>
      </c>
      <c r="Q215" t="n">
        <v>0</v>
      </c>
      <c r="R215" s="2" t="inlineStr"/>
    </row>
    <row r="216" ht="15" customHeight="1">
      <c r="A216" t="inlineStr">
        <is>
          <t>A 73673-2021</t>
        </is>
      </c>
      <c r="B216" s="1" t="n">
        <v>44552.46501157407</v>
      </c>
      <c r="C216" s="1" t="n">
        <v>45989</v>
      </c>
      <c r="D216" t="inlineStr">
        <is>
          <t>VÄSTMANLANDS LÄN</t>
        </is>
      </c>
      <c r="E216" t="inlineStr">
        <is>
          <t>SALA</t>
        </is>
      </c>
      <c r="G216" t="n">
        <v>11.4</v>
      </c>
      <c r="H216" t="n">
        <v>0</v>
      </c>
      <c r="I216" t="n">
        <v>0</v>
      </c>
      <c r="J216" t="n">
        <v>0</v>
      </c>
      <c r="K216" t="n">
        <v>0</v>
      </c>
      <c r="L216" t="n">
        <v>0</v>
      </c>
      <c r="M216" t="n">
        <v>0</v>
      </c>
      <c r="N216" t="n">
        <v>0</v>
      </c>
      <c r="O216" t="n">
        <v>0</v>
      </c>
      <c r="P216" t="n">
        <v>0</v>
      </c>
      <c r="Q216" t="n">
        <v>0</v>
      </c>
      <c r="R216" s="2" t="inlineStr"/>
    </row>
    <row r="217" ht="15" customHeight="1">
      <c r="A217" t="inlineStr">
        <is>
          <t>A 38574-2025</t>
        </is>
      </c>
      <c r="B217" s="1" t="n">
        <v>45884.46390046296</v>
      </c>
      <c r="C217" s="1" t="n">
        <v>45989</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45989</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38294-2025</t>
        </is>
      </c>
      <c r="B219" s="1" t="n">
        <v>45883.44854166666</v>
      </c>
      <c r="C219" s="1" t="n">
        <v>45989</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39011-2023</t>
        </is>
      </c>
      <c r="B220" s="1" t="n">
        <v>45162</v>
      </c>
      <c r="C220" s="1" t="n">
        <v>45989</v>
      </c>
      <c r="D220" t="inlineStr">
        <is>
          <t>VÄSTMANLANDS LÄN</t>
        </is>
      </c>
      <c r="E220" t="inlineStr">
        <is>
          <t>SALA</t>
        </is>
      </c>
      <c r="G220" t="n">
        <v>1.6</v>
      </c>
      <c r="H220" t="n">
        <v>0</v>
      </c>
      <c r="I220" t="n">
        <v>0</v>
      </c>
      <c r="J220" t="n">
        <v>0</v>
      </c>
      <c r="K220" t="n">
        <v>0</v>
      </c>
      <c r="L220" t="n">
        <v>0</v>
      </c>
      <c r="M220" t="n">
        <v>0</v>
      </c>
      <c r="N220" t="n">
        <v>0</v>
      </c>
      <c r="O220" t="n">
        <v>0</v>
      </c>
      <c r="P220" t="n">
        <v>0</v>
      </c>
      <c r="Q220" t="n">
        <v>0</v>
      </c>
      <c r="R220" s="2" t="inlineStr"/>
    </row>
    <row r="221" ht="15" customHeight="1">
      <c r="A221" t="inlineStr">
        <is>
          <t>A 56547-2022</t>
        </is>
      </c>
      <c r="B221" s="1" t="n">
        <v>44893.48284722222</v>
      </c>
      <c r="C221" s="1" t="n">
        <v>45989</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24907-2025</t>
        </is>
      </c>
      <c r="B222" s="1" t="n">
        <v>45799</v>
      </c>
      <c r="C222" s="1" t="n">
        <v>45989</v>
      </c>
      <c r="D222" t="inlineStr">
        <is>
          <t>VÄSTMANLANDS LÄN</t>
        </is>
      </c>
      <c r="E222" t="inlineStr">
        <is>
          <t>SALA</t>
        </is>
      </c>
      <c r="G222" t="n">
        <v>3.5</v>
      </c>
      <c r="H222" t="n">
        <v>0</v>
      </c>
      <c r="I222" t="n">
        <v>0</v>
      </c>
      <c r="J222" t="n">
        <v>0</v>
      </c>
      <c r="K222" t="n">
        <v>0</v>
      </c>
      <c r="L222" t="n">
        <v>0</v>
      </c>
      <c r="M222" t="n">
        <v>0</v>
      </c>
      <c r="N222" t="n">
        <v>0</v>
      </c>
      <c r="O222" t="n">
        <v>0</v>
      </c>
      <c r="P222" t="n">
        <v>0</v>
      </c>
      <c r="Q222" t="n">
        <v>0</v>
      </c>
      <c r="R222" s="2" t="inlineStr"/>
    </row>
    <row r="223" ht="15" customHeight="1">
      <c r="A223" t="inlineStr">
        <is>
          <t>A 24910-2025</t>
        </is>
      </c>
      <c r="B223" s="1" t="n">
        <v>45799.53775462963</v>
      </c>
      <c r="C223" s="1" t="n">
        <v>45989</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56916-2022</t>
        </is>
      </c>
      <c r="B224" s="1" t="n">
        <v>44888</v>
      </c>
      <c r="C224" s="1" t="n">
        <v>45989</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39182-2025</t>
        </is>
      </c>
      <c r="B225" s="1" t="n">
        <v>45888.66204861111</v>
      </c>
      <c r="C225" s="1" t="n">
        <v>45989</v>
      </c>
      <c r="D225" t="inlineStr">
        <is>
          <t>VÄSTMANLANDS LÄN</t>
        </is>
      </c>
      <c r="E225" t="inlineStr">
        <is>
          <t>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10909-2024</t>
        </is>
      </c>
      <c r="B226" s="1" t="n">
        <v>45370</v>
      </c>
      <c r="C226" s="1" t="n">
        <v>45989</v>
      </c>
      <c r="D226" t="inlineStr">
        <is>
          <t>VÄSTMANLANDS LÄN</t>
        </is>
      </c>
      <c r="E226" t="inlineStr">
        <is>
          <t>SALA</t>
        </is>
      </c>
      <c r="G226" t="n">
        <v>3.3</v>
      </c>
      <c r="H226" t="n">
        <v>0</v>
      </c>
      <c r="I226" t="n">
        <v>0</v>
      </c>
      <c r="J226" t="n">
        <v>0</v>
      </c>
      <c r="K226" t="n">
        <v>0</v>
      </c>
      <c r="L226" t="n">
        <v>0</v>
      </c>
      <c r="M226" t="n">
        <v>0</v>
      </c>
      <c r="N226" t="n">
        <v>0</v>
      </c>
      <c r="O226" t="n">
        <v>0</v>
      </c>
      <c r="P226" t="n">
        <v>0</v>
      </c>
      <c r="Q226" t="n">
        <v>0</v>
      </c>
      <c r="R226" s="2" t="inlineStr"/>
    </row>
    <row r="227" ht="15" customHeight="1">
      <c r="A227" t="inlineStr">
        <is>
          <t>A 45313-2024</t>
        </is>
      </c>
      <c r="B227" s="1" t="n">
        <v>45576</v>
      </c>
      <c r="C227" s="1" t="n">
        <v>45989</v>
      </c>
      <c r="D227" t="inlineStr">
        <is>
          <t>VÄSTMANLANDS LÄN</t>
        </is>
      </c>
      <c r="E227" t="inlineStr">
        <is>
          <t>SALA</t>
        </is>
      </c>
      <c r="G227" t="n">
        <v>0.7</v>
      </c>
      <c r="H227" t="n">
        <v>0</v>
      </c>
      <c r="I227" t="n">
        <v>0</v>
      </c>
      <c r="J227" t="n">
        <v>0</v>
      </c>
      <c r="K227" t="n">
        <v>0</v>
      </c>
      <c r="L227" t="n">
        <v>0</v>
      </c>
      <c r="M227" t="n">
        <v>0</v>
      </c>
      <c r="N227" t="n">
        <v>0</v>
      </c>
      <c r="O227" t="n">
        <v>0</v>
      </c>
      <c r="P227" t="n">
        <v>0</v>
      </c>
      <c r="Q227" t="n">
        <v>0</v>
      </c>
      <c r="R227" s="2" t="inlineStr"/>
    </row>
    <row r="228" ht="15" customHeight="1">
      <c r="A228" t="inlineStr">
        <is>
          <t>A 56535-2022</t>
        </is>
      </c>
      <c r="B228" s="1" t="n">
        <v>44893.47173611111</v>
      </c>
      <c r="C228" s="1" t="n">
        <v>45989</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47909-2022</t>
        </is>
      </c>
      <c r="B229" s="1" t="n">
        <v>44855</v>
      </c>
      <c r="C229" s="1" t="n">
        <v>45989</v>
      </c>
      <c r="D229" t="inlineStr">
        <is>
          <t>VÄSTMANLANDS LÄN</t>
        </is>
      </c>
      <c r="E229" t="inlineStr">
        <is>
          <t>SALA</t>
        </is>
      </c>
      <c r="F229" t="inlineStr">
        <is>
          <t>Bergvik skog öst AB</t>
        </is>
      </c>
      <c r="G229" t="n">
        <v>2</v>
      </c>
      <c r="H229" t="n">
        <v>0</v>
      </c>
      <c r="I229" t="n">
        <v>0</v>
      </c>
      <c r="J229" t="n">
        <v>0</v>
      </c>
      <c r="K229" t="n">
        <v>0</v>
      </c>
      <c r="L229" t="n">
        <v>0</v>
      </c>
      <c r="M229" t="n">
        <v>0</v>
      </c>
      <c r="N229" t="n">
        <v>0</v>
      </c>
      <c r="O229" t="n">
        <v>0</v>
      </c>
      <c r="P229" t="n">
        <v>0</v>
      </c>
      <c r="Q229" t="n">
        <v>0</v>
      </c>
      <c r="R229" s="2" t="inlineStr"/>
    </row>
    <row r="230" ht="15" customHeight="1">
      <c r="A230" t="inlineStr">
        <is>
          <t>A 46279-2021</t>
        </is>
      </c>
      <c r="B230" s="1" t="n">
        <v>44442.57797453704</v>
      </c>
      <c r="C230" s="1" t="n">
        <v>45989</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52630-2022</t>
        </is>
      </c>
      <c r="B231" s="1" t="n">
        <v>44874</v>
      </c>
      <c r="C231" s="1" t="n">
        <v>45989</v>
      </c>
      <c r="D231" t="inlineStr">
        <is>
          <t>VÄSTMANLANDS LÄN</t>
        </is>
      </c>
      <c r="E231" t="inlineStr">
        <is>
          <t>SALA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56687-2024</t>
        </is>
      </c>
      <c r="B232" s="1" t="n">
        <v>45627.63271990741</v>
      </c>
      <c r="C232" s="1" t="n">
        <v>45989</v>
      </c>
      <c r="D232" t="inlineStr">
        <is>
          <t>VÄSTMANLANDS LÄN</t>
        </is>
      </c>
      <c r="E232" t="inlineStr">
        <is>
          <t>SALA</t>
        </is>
      </c>
      <c r="G232" t="n">
        <v>1.2</v>
      </c>
      <c r="H232" t="n">
        <v>0</v>
      </c>
      <c r="I232" t="n">
        <v>0</v>
      </c>
      <c r="J232" t="n">
        <v>0</v>
      </c>
      <c r="K232" t="n">
        <v>0</v>
      </c>
      <c r="L232" t="n">
        <v>0</v>
      </c>
      <c r="M232" t="n">
        <v>0</v>
      </c>
      <c r="N232" t="n">
        <v>0</v>
      </c>
      <c r="O232" t="n">
        <v>0</v>
      </c>
      <c r="P232" t="n">
        <v>0</v>
      </c>
      <c r="Q232" t="n">
        <v>0</v>
      </c>
      <c r="R232" s="2" t="inlineStr"/>
    </row>
    <row r="233" ht="15" customHeight="1">
      <c r="A233" t="inlineStr">
        <is>
          <t>A 31864-2025</t>
        </is>
      </c>
      <c r="B233" s="1" t="n">
        <v>45834.63819444444</v>
      </c>
      <c r="C233" s="1" t="n">
        <v>45989</v>
      </c>
      <c r="D233" t="inlineStr">
        <is>
          <t>VÄSTMANLANDS LÄN</t>
        </is>
      </c>
      <c r="E233" t="inlineStr">
        <is>
          <t>SALA</t>
        </is>
      </c>
      <c r="G233" t="n">
        <v>6.3</v>
      </c>
      <c r="H233" t="n">
        <v>0</v>
      </c>
      <c r="I233" t="n">
        <v>0</v>
      </c>
      <c r="J233" t="n">
        <v>0</v>
      </c>
      <c r="K233" t="n">
        <v>0</v>
      </c>
      <c r="L233" t="n">
        <v>0</v>
      </c>
      <c r="M233" t="n">
        <v>0</v>
      </c>
      <c r="N233" t="n">
        <v>0</v>
      </c>
      <c r="O233" t="n">
        <v>0</v>
      </c>
      <c r="P233" t="n">
        <v>0</v>
      </c>
      <c r="Q233" t="n">
        <v>0</v>
      </c>
      <c r="R233" s="2" t="inlineStr"/>
    </row>
    <row r="234" ht="15" customHeight="1">
      <c r="A234" t="inlineStr">
        <is>
          <t>A 61715-2024</t>
        </is>
      </c>
      <c r="B234" s="1" t="n">
        <v>45648.89519675926</v>
      </c>
      <c r="C234" s="1" t="n">
        <v>45989</v>
      </c>
      <c r="D234" t="inlineStr">
        <is>
          <t>VÄSTMANLANDS LÄN</t>
        </is>
      </c>
      <c r="E234" t="inlineStr">
        <is>
          <t>SALA</t>
        </is>
      </c>
      <c r="G234" t="n">
        <v>2.5</v>
      </c>
      <c r="H234" t="n">
        <v>0</v>
      </c>
      <c r="I234" t="n">
        <v>0</v>
      </c>
      <c r="J234" t="n">
        <v>0</v>
      </c>
      <c r="K234" t="n">
        <v>0</v>
      </c>
      <c r="L234" t="n">
        <v>0</v>
      </c>
      <c r="M234" t="n">
        <v>0</v>
      </c>
      <c r="N234" t="n">
        <v>0</v>
      </c>
      <c r="O234" t="n">
        <v>0</v>
      </c>
      <c r="P234" t="n">
        <v>0</v>
      </c>
      <c r="Q234" t="n">
        <v>0</v>
      </c>
      <c r="R234" s="2" t="inlineStr"/>
    </row>
    <row r="235" ht="15" customHeight="1">
      <c r="A235" t="inlineStr">
        <is>
          <t>A 39167-2025</t>
        </is>
      </c>
      <c r="B235" s="1" t="n">
        <v>45888</v>
      </c>
      <c r="C235" s="1" t="n">
        <v>45989</v>
      </c>
      <c r="D235" t="inlineStr">
        <is>
          <t>VÄSTMANLANDS LÄN</t>
        </is>
      </c>
      <c r="E235" t="inlineStr">
        <is>
          <t>SALA</t>
        </is>
      </c>
      <c r="G235" t="n">
        <v>5.5</v>
      </c>
      <c r="H235" t="n">
        <v>0</v>
      </c>
      <c r="I235" t="n">
        <v>0</v>
      </c>
      <c r="J235" t="n">
        <v>0</v>
      </c>
      <c r="K235" t="n">
        <v>0</v>
      </c>
      <c r="L235" t="n">
        <v>0</v>
      </c>
      <c r="M235" t="n">
        <v>0</v>
      </c>
      <c r="N235" t="n">
        <v>0</v>
      </c>
      <c r="O235" t="n">
        <v>0</v>
      </c>
      <c r="P235" t="n">
        <v>0</v>
      </c>
      <c r="Q235" t="n">
        <v>0</v>
      </c>
      <c r="R235" s="2" t="inlineStr"/>
    </row>
    <row r="236" ht="15" customHeight="1">
      <c r="A236" t="inlineStr">
        <is>
          <t>A 16404-2022</t>
        </is>
      </c>
      <c r="B236" s="1" t="n">
        <v>44671</v>
      </c>
      <c r="C236" s="1" t="n">
        <v>45989</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6097-2022</t>
        </is>
      </c>
      <c r="B237" s="1" t="n">
        <v>44599</v>
      </c>
      <c r="C237" s="1" t="n">
        <v>45989</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10559-2024</t>
        </is>
      </c>
      <c r="B238" s="1" t="n">
        <v>45366</v>
      </c>
      <c r="C238" s="1" t="n">
        <v>45989</v>
      </c>
      <c r="D238" t="inlineStr">
        <is>
          <t>VÄSTMANLANDS LÄN</t>
        </is>
      </c>
      <c r="E238" t="inlineStr">
        <is>
          <t>SALA</t>
        </is>
      </c>
      <c r="G238" t="n">
        <v>0.3</v>
      </c>
      <c r="H238" t="n">
        <v>0</v>
      </c>
      <c r="I238" t="n">
        <v>0</v>
      </c>
      <c r="J238" t="n">
        <v>0</v>
      </c>
      <c r="K238" t="n">
        <v>0</v>
      </c>
      <c r="L238" t="n">
        <v>0</v>
      </c>
      <c r="M238" t="n">
        <v>0</v>
      </c>
      <c r="N238" t="n">
        <v>0</v>
      </c>
      <c r="O238" t="n">
        <v>0</v>
      </c>
      <c r="P238" t="n">
        <v>0</v>
      </c>
      <c r="Q238" t="n">
        <v>0</v>
      </c>
      <c r="R238" s="2" t="inlineStr"/>
    </row>
    <row r="239" ht="15" customHeight="1">
      <c r="A239" t="inlineStr">
        <is>
          <t>A 52498-2022</t>
        </is>
      </c>
      <c r="B239" s="1" t="n">
        <v>44874.50152777778</v>
      </c>
      <c r="C239" s="1" t="n">
        <v>45989</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60545-2024</t>
        </is>
      </c>
      <c r="B240" s="1" t="n">
        <v>45643</v>
      </c>
      <c r="C240" s="1" t="n">
        <v>45989</v>
      </c>
      <c r="D240" t="inlineStr">
        <is>
          <t>VÄSTMANLANDS LÄN</t>
        </is>
      </c>
      <c r="E240" t="inlineStr">
        <is>
          <t>SALA</t>
        </is>
      </c>
      <c r="G240" t="n">
        <v>3.3</v>
      </c>
      <c r="H240" t="n">
        <v>0</v>
      </c>
      <c r="I240" t="n">
        <v>0</v>
      </c>
      <c r="J240" t="n">
        <v>0</v>
      </c>
      <c r="K240" t="n">
        <v>0</v>
      </c>
      <c r="L240" t="n">
        <v>0</v>
      </c>
      <c r="M240" t="n">
        <v>0</v>
      </c>
      <c r="N240" t="n">
        <v>0</v>
      </c>
      <c r="O240" t="n">
        <v>0</v>
      </c>
      <c r="P240" t="n">
        <v>0</v>
      </c>
      <c r="Q240" t="n">
        <v>0</v>
      </c>
      <c r="R240" s="2" t="inlineStr"/>
    </row>
    <row r="241" ht="15" customHeight="1">
      <c r="A241" t="inlineStr">
        <is>
          <t>A 60547-2024</t>
        </is>
      </c>
      <c r="B241" s="1" t="n">
        <v>45643</v>
      </c>
      <c r="C241" s="1" t="n">
        <v>45989</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15965-2024</t>
        </is>
      </c>
      <c r="B242" s="1" t="n">
        <v>45405.55740740741</v>
      </c>
      <c r="C242" s="1" t="n">
        <v>45989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26661-2025</t>
        </is>
      </c>
      <c r="B243" s="1" t="n">
        <v>45810</v>
      </c>
      <c r="C243" s="1" t="n">
        <v>45989</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1196-2023</t>
        </is>
      </c>
      <c r="B244" s="1" t="n">
        <v>44935.82290509259</v>
      </c>
      <c r="C244" s="1" t="n">
        <v>45989</v>
      </c>
      <c r="D244" t="inlineStr">
        <is>
          <t>VÄSTMANLANDS LÄN</t>
        </is>
      </c>
      <c r="E244" t="inlineStr">
        <is>
          <t>SALA</t>
        </is>
      </c>
      <c r="G244" t="n">
        <v>4.1</v>
      </c>
      <c r="H244" t="n">
        <v>0</v>
      </c>
      <c r="I244" t="n">
        <v>0</v>
      </c>
      <c r="J244" t="n">
        <v>0</v>
      </c>
      <c r="K244" t="n">
        <v>0</v>
      </c>
      <c r="L244" t="n">
        <v>0</v>
      </c>
      <c r="M244" t="n">
        <v>0</v>
      </c>
      <c r="N244" t="n">
        <v>0</v>
      </c>
      <c r="O244" t="n">
        <v>0</v>
      </c>
      <c r="P244" t="n">
        <v>0</v>
      </c>
      <c r="Q244" t="n">
        <v>0</v>
      </c>
      <c r="R244" s="2" t="inlineStr"/>
    </row>
    <row r="245" ht="15" customHeight="1">
      <c r="A245" t="inlineStr">
        <is>
          <t>A 40556-2025</t>
        </is>
      </c>
      <c r="B245" s="1" t="n">
        <v>45896.44944444444</v>
      </c>
      <c r="C245" s="1" t="n">
        <v>45989</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62651-2022</t>
        </is>
      </c>
      <c r="B246" s="1" t="n">
        <v>44917</v>
      </c>
      <c r="C246" s="1" t="n">
        <v>45989</v>
      </c>
      <c r="D246" t="inlineStr">
        <is>
          <t>VÄSTMANLANDS LÄN</t>
        </is>
      </c>
      <c r="E246" t="inlineStr">
        <is>
          <t>SALA</t>
        </is>
      </c>
      <c r="G246" t="n">
        <v>0.4</v>
      </c>
      <c r="H246" t="n">
        <v>0</v>
      </c>
      <c r="I246" t="n">
        <v>0</v>
      </c>
      <c r="J246" t="n">
        <v>0</v>
      </c>
      <c r="K246" t="n">
        <v>0</v>
      </c>
      <c r="L246" t="n">
        <v>0</v>
      </c>
      <c r="M246" t="n">
        <v>0</v>
      </c>
      <c r="N246" t="n">
        <v>0</v>
      </c>
      <c r="O246" t="n">
        <v>0</v>
      </c>
      <c r="P246" t="n">
        <v>0</v>
      </c>
      <c r="Q246" t="n">
        <v>0</v>
      </c>
      <c r="R246" s="2" t="inlineStr"/>
    </row>
    <row r="247" ht="15" customHeight="1">
      <c r="A247" t="inlineStr">
        <is>
          <t>A 40559-2025</t>
        </is>
      </c>
      <c r="B247" s="1" t="n">
        <v>45896.45037037037</v>
      </c>
      <c r="C247" s="1" t="n">
        <v>45989</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54836-2024</t>
        </is>
      </c>
      <c r="B248" s="1" t="n">
        <v>45618</v>
      </c>
      <c r="C248" s="1" t="n">
        <v>45989</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13987-2023</t>
        </is>
      </c>
      <c r="B249" s="1" t="n">
        <v>45007</v>
      </c>
      <c r="C249" s="1" t="n">
        <v>45989</v>
      </c>
      <c r="D249" t="inlineStr">
        <is>
          <t>VÄSTMANLANDS LÄN</t>
        </is>
      </c>
      <c r="E249" t="inlineStr">
        <is>
          <t>SALA</t>
        </is>
      </c>
      <c r="G249" t="n">
        <v>3.2</v>
      </c>
      <c r="H249" t="n">
        <v>0</v>
      </c>
      <c r="I249" t="n">
        <v>0</v>
      </c>
      <c r="J249" t="n">
        <v>0</v>
      </c>
      <c r="K249" t="n">
        <v>0</v>
      </c>
      <c r="L249" t="n">
        <v>0</v>
      </c>
      <c r="M249" t="n">
        <v>0</v>
      </c>
      <c r="N249" t="n">
        <v>0</v>
      </c>
      <c r="O249" t="n">
        <v>0</v>
      </c>
      <c r="P249" t="n">
        <v>0</v>
      </c>
      <c r="Q249" t="n">
        <v>0</v>
      </c>
      <c r="R249" s="2" t="inlineStr"/>
    </row>
    <row r="250" ht="15" customHeight="1">
      <c r="A250" t="inlineStr">
        <is>
          <t>A 13990-2023</t>
        </is>
      </c>
      <c r="B250" s="1" t="n">
        <v>45007</v>
      </c>
      <c r="C250" s="1" t="n">
        <v>45989</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51464-2024</t>
        </is>
      </c>
      <c r="B251" s="1" t="n">
        <v>45604.49768518518</v>
      </c>
      <c r="C251" s="1" t="n">
        <v>45989</v>
      </c>
      <c r="D251" t="inlineStr">
        <is>
          <t>VÄSTMANLANDS LÄN</t>
        </is>
      </c>
      <c r="E251" t="inlineStr">
        <is>
          <t>SALA</t>
        </is>
      </c>
      <c r="G251" t="n">
        <v>3.9</v>
      </c>
      <c r="H251" t="n">
        <v>0</v>
      </c>
      <c r="I251" t="n">
        <v>0</v>
      </c>
      <c r="J251" t="n">
        <v>0</v>
      </c>
      <c r="K251" t="n">
        <v>0</v>
      </c>
      <c r="L251" t="n">
        <v>0</v>
      </c>
      <c r="M251" t="n">
        <v>0</v>
      </c>
      <c r="N251" t="n">
        <v>0</v>
      </c>
      <c r="O251" t="n">
        <v>0</v>
      </c>
      <c r="P251" t="n">
        <v>0</v>
      </c>
      <c r="Q251" t="n">
        <v>0</v>
      </c>
      <c r="R251" s="2" t="inlineStr"/>
    </row>
    <row r="252" ht="15" customHeight="1">
      <c r="A252" t="inlineStr">
        <is>
          <t>A 1128-2025</t>
        </is>
      </c>
      <c r="B252" s="1" t="n">
        <v>45666.68469907407</v>
      </c>
      <c r="C252" s="1" t="n">
        <v>45989</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45989</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43176-2023</t>
        </is>
      </c>
      <c r="B254" s="1" t="n">
        <v>45183</v>
      </c>
      <c r="C254" s="1" t="n">
        <v>45989</v>
      </c>
      <c r="D254" t="inlineStr">
        <is>
          <t>VÄSTMANLANDS LÄN</t>
        </is>
      </c>
      <c r="E254" t="inlineStr">
        <is>
          <t>SALA</t>
        </is>
      </c>
      <c r="G254" t="n">
        <v>1.2</v>
      </c>
      <c r="H254" t="n">
        <v>0</v>
      </c>
      <c r="I254" t="n">
        <v>0</v>
      </c>
      <c r="J254" t="n">
        <v>0</v>
      </c>
      <c r="K254" t="n">
        <v>0</v>
      </c>
      <c r="L254" t="n">
        <v>0</v>
      </c>
      <c r="M254" t="n">
        <v>0</v>
      </c>
      <c r="N254" t="n">
        <v>0</v>
      </c>
      <c r="O254" t="n">
        <v>0</v>
      </c>
      <c r="P254" t="n">
        <v>0</v>
      </c>
      <c r="Q254" t="n">
        <v>0</v>
      </c>
      <c r="R254" s="2" t="inlineStr"/>
    </row>
    <row r="255" ht="15" customHeight="1">
      <c r="A255" t="inlineStr">
        <is>
          <t>A 73835-2021</t>
        </is>
      </c>
      <c r="B255" s="1" t="n">
        <v>44552.92112268518</v>
      </c>
      <c r="C255" s="1" t="n">
        <v>45989</v>
      </c>
      <c r="D255" t="inlineStr">
        <is>
          <t>VÄSTMANLANDS LÄN</t>
        </is>
      </c>
      <c r="E255" t="inlineStr">
        <is>
          <t>SALA</t>
        </is>
      </c>
      <c r="G255" t="n">
        <v>2</v>
      </c>
      <c r="H255" t="n">
        <v>0</v>
      </c>
      <c r="I255" t="n">
        <v>0</v>
      </c>
      <c r="J255" t="n">
        <v>0</v>
      </c>
      <c r="K255" t="n">
        <v>0</v>
      </c>
      <c r="L255" t="n">
        <v>0</v>
      </c>
      <c r="M255" t="n">
        <v>0</v>
      </c>
      <c r="N255" t="n">
        <v>0</v>
      </c>
      <c r="O255" t="n">
        <v>0</v>
      </c>
      <c r="P255" t="n">
        <v>0</v>
      </c>
      <c r="Q255" t="n">
        <v>0</v>
      </c>
      <c r="R255" s="2" t="inlineStr"/>
    </row>
    <row r="256" ht="15" customHeight="1">
      <c r="A256" t="inlineStr">
        <is>
          <t>A 60379-2022</t>
        </is>
      </c>
      <c r="B256" s="1" t="n">
        <v>44910</v>
      </c>
      <c r="C256" s="1" t="n">
        <v>45989</v>
      </c>
      <c r="D256" t="inlineStr">
        <is>
          <t>VÄSTMANLANDS LÄN</t>
        </is>
      </c>
      <c r="E256" t="inlineStr">
        <is>
          <t>SALA</t>
        </is>
      </c>
      <c r="F256" t="inlineStr">
        <is>
          <t>Kyrkan</t>
        </is>
      </c>
      <c r="G256" t="n">
        <v>2.5</v>
      </c>
      <c r="H256" t="n">
        <v>0</v>
      </c>
      <c r="I256" t="n">
        <v>0</v>
      </c>
      <c r="J256" t="n">
        <v>0</v>
      </c>
      <c r="K256" t="n">
        <v>0</v>
      </c>
      <c r="L256" t="n">
        <v>0</v>
      </c>
      <c r="M256" t="n">
        <v>0</v>
      </c>
      <c r="N256" t="n">
        <v>0</v>
      </c>
      <c r="O256" t="n">
        <v>0</v>
      </c>
      <c r="P256" t="n">
        <v>0</v>
      </c>
      <c r="Q256" t="n">
        <v>0</v>
      </c>
      <c r="R256" s="2" t="inlineStr"/>
    </row>
    <row r="257" ht="15" customHeight="1">
      <c r="A257" t="inlineStr">
        <is>
          <t>A 1638-2023</t>
        </is>
      </c>
      <c r="B257" s="1" t="n">
        <v>44937</v>
      </c>
      <c r="C257" s="1" t="n">
        <v>45989</v>
      </c>
      <c r="D257" t="inlineStr">
        <is>
          <t>VÄSTMANLANDS LÄN</t>
        </is>
      </c>
      <c r="E257" t="inlineStr">
        <is>
          <t>SALA</t>
        </is>
      </c>
      <c r="G257" t="n">
        <v>3.1</v>
      </c>
      <c r="H257" t="n">
        <v>0</v>
      </c>
      <c r="I257" t="n">
        <v>0</v>
      </c>
      <c r="J257" t="n">
        <v>0</v>
      </c>
      <c r="K257" t="n">
        <v>0</v>
      </c>
      <c r="L257" t="n">
        <v>0</v>
      </c>
      <c r="M257" t="n">
        <v>0</v>
      </c>
      <c r="N257" t="n">
        <v>0</v>
      </c>
      <c r="O257" t="n">
        <v>0</v>
      </c>
      <c r="P257" t="n">
        <v>0</v>
      </c>
      <c r="Q257" t="n">
        <v>0</v>
      </c>
      <c r="R257" s="2" t="inlineStr"/>
    </row>
    <row r="258" ht="15" customHeight="1">
      <c r="A258" t="inlineStr">
        <is>
          <t>A 7953-2024</t>
        </is>
      </c>
      <c r="B258" s="1" t="n">
        <v>45350</v>
      </c>
      <c r="C258" s="1" t="n">
        <v>45989</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28193-2025</t>
        </is>
      </c>
      <c r="B259" s="1" t="n">
        <v>45818.425625</v>
      </c>
      <c r="C259" s="1" t="n">
        <v>45989</v>
      </c>
      <c r="D259" t="inlineStr">
        <is>
          <t>VÄSTMANLANDS LÄN</t>
        </is>
      </c>
      <c r="E259" t="inlineStr">
        <is>
          <t>SALA</t>
        </is>
      </c>
      <c r="G259" t="n">
        <v>1.8</v>
      </c>
      <c r="H259" t="n">
        <v>0</v>
      </c>
      <c r="I259" t="n">
        <v>0</v>
      </c>
      <c r="J259" t="n">
        <v>0</v>
      </c>
      <c r="K259" t="n">
        <v>0</v>
      </c>
      <c r="L259" t="n">
        <v>0</v>
      </c>
      <c r="M259" t="n">
        <v>0</v>
      </c>
      <c r="N259" t="n">
        <v>0</v>
      </c>
      <c r="O259" t="n">
        <v>0</v>
      </c>
      <c r="P259" t="n">
        <v>0</v>
      </c>
      <c r="Q259" t="n">
        <v>0</v>
      </c>
      <c r="R259" s="2" t="inlineStr"/>
    </row>
    <row r="260" ht="15" customHeight="1">
      <c r="A260" t="inlineStr">
        <is>
          <t>A 27981-2025</t>
        </is>
      </c>
      <c r="B260" s="1" t="n">
        <v>45817.57471064815</v>
      </c>
      <c r="C260" s="1" t="n">
        <v>45989</v>
      </c>
      <c r="D260" t="inlineStr">
        <is>
          <t>VÄSTMANLANDS LÄN</t>
        </is>
      </c>
      <c r="E260" t="inlineStr">
        <is>
          <t>SALA</t>
        </is>
      </c>
      <c r="G260" t="n">
        <v>1.7</v>
      </c>
      <c r="H260" t="n">
        <v>0</v>
      </c>
      <c r="I260" t="n">
        <v>0</v>
      </c>
      <c r="J260" t="n">
        <v>0</v>
      </c>
      <c r="K260" t="n">
        <v>0</v>
      </c>
      <c r="L260" t="n">
        <v>0</v>
      </c>
      <c r="M260" t="n">
        <v>0</v>
      </c>
      <c r="N260" t="n">
        <v>0</v>
      </c>
      <c r="O260" t="n">
        <v>0</v>
      </c>
      <c r="P260" t="n">
        <v>0</v>
      </c>
      <c r="Q260" t="n">
        <v>0</v>
      </c>
      <c r="R260" s="2" t="inlineStr"/>
    </row>
    <row r="261" ht="15" customHeight="1">
      <c r="A261" t="inlineStr">
        <is>
          <t>A 5477-2024</t>
        </is>
      </c>
      <c r="B261" s="1" t="n">
        <v>45333.67833333334</v>
      </c>
      <c r="C261" s="1" t="n">
        <v>45989</v>
      </c>
      <c r="D261" t="inlineStr">
        <is>
          <t>VÄSTMANLANDS LÄN</t>
        </is>
      </c>
      <c r="E261" t="inlineStr">
        <is>
          <t>SALA</t>
        </is>
      </c>
      <c r="G261" t="n">
        <v>2.3</v>
      </c>
      <c r="H261" t="n">
        <v>0</v>
      </c>
      <c r="I261" t="n">
        <v>0</v>
      </c>
      <c r="J261" t="n">
        <v>0</v>
      </c>
      <c r="K261" t="n">
        <v>0</v>
      </c>
      <c r="L261" t="n">
        <v>0</v>
      </c>
      <c r="M261" t="n">
        <v>0</v>
      </c>
      <c r="N261" t="n">
        <v>0</v>
      </c>
      <c r="O261" t="n">
        <v>0</v>
      </c>
      <c r="P261" t="n">
        <v>0</v>
      </c>
      <c r="Q261" t="n">
        <v>0</v>
      </c>
      <c r="R261" s="2" t="inlineStr"/>
    </row>
    <row r="262" ht="15" customHeight="1">
      <c r="A262" t="inlineStr">
        <is>
          <t>A 28278-2025</t>
        </is>
      </c>
      <c r="B262" s="1" t="n">
        <v>45818.58454861111</v>
      </c>
      <c r="C262" s="1" t="n">
        <v>45989</v>
      </c>
      <c r="D262" t="inlineStr">
        <is>
          <t>VÄSTMANLANDS LÄN</t>
        </is>
      </c>
      <c r="E262" t="inlineStr">
        <is>
          <t>SALA</t>
        </is>
      </c>
      <c r="G262" t="n">
        <v>7.6</v>
      </c>
      <c r="H262" t="n">
        <v>0</v>
      </c>
      <c r="I262" t="n">
        <v>0</v>
      </c>
      <c r="J262" t="n">
        <v>0</v>
      </c>
      <c r="K262" t="n">
        <v>0</v>
      </c>
      <c r="L262" t="n">
        <v>0</v>
      </c>
      <c r="M262" t="n">
        <v>0</v>
      </c>
      <c r="N262" t="n">
        <v>0</v>
      </c>
      <c r="O262" t="n">
        <v>0</v>
      </c>
      <c r="P262" t="n">
        <v>0</v>
      </c>
      <c r="Q262" t="n">
        <v>0</v>
      </c>
      <c r="R262" s="2" t="inlineStr"/>
    </row>
    <row r="263" ht="15" customHeight="1">
      <c r="A263" t="inlineStr">
        <is>
          <t>A 41230-2025</t>
        </is>
      </c>
      <c r="B263" s="1" t="n">
        <v>45898</v>
      </c>
      <c r="C263" s="1" t="n">
        <v>45989</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26507-2023</t>
        </is>
      </c>
      <c r="B264" s="1" t="n">
        <v>45092</v>
      </c>
      <c r="C264" s="1" t="n">
        <v>45989</v>
      </c>
      <c r="D264" t="inlineStr">
        <is>
          <t>VÄSTMANLANDS LÄN</t>
        </is>
      </c>
      <c r="E264" t="inlineStr">
        <is>
          <t>SALA</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27989-2025</t>
        </is>
      </c>
      <c r="B265" s="1" t="n">
        <v>45817.58716435185</v>
      </c>
      <c r="C265" s="1" t="n">
        <v>45989</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6032-2025</t>
        </is>
      </c>
      <c r="B266" s="1" t="n">
        <v>45695.6371875</v>
      </c>
      <c r="C266" s="1" t="n">
        <v>45989</v>
      </c>
      <c r="D266" t="inlineStr">
        <is>
          <t>VÄSTMANLANDS LÄN</t>
        </is>
      </c>
      <c r="E266" t="inlineStr">
        <is>
          <t>SALA</t>
        </is>
      </c>
      <c r="F266" t="inlineStr">
        <is>
          <t>Bergvik skog öst AB</t>
        </is>
      </c>
      <c r="G266" t="n">
        <v>8.1</v>
      </c>
      <c r="H266" t="n">
        <v>0</v>
      </c>
      <c r="I266" t="n">
        <v>0</v>
      </c>
      <c r="J266" t="n">
        <v>0</v>
      </c>
      <c r="K266" t="n">
        <v>0</v>
      </c>
      <c r="L266" t="n">
        <v>0</v>
      </c>
      <c r="M266" t="n">
        <v>0</v>
      </c>
      <c r="N266" t="n">
        <v>0</v>
      </c>
      <c r="O266" t="n">
        <v>0</v>
      </c>
      <c r="P266" t="n">
        <v>0</v>
      </c>
      <c r="Q266" t="n">
        <v>0</v>
      </c>
      <c r="R266" s="2" t="inlineStr"/>
    </row>
    <row r="267" ht="15" customHeight="1">
      <c r="A267" t="inlineStr">
        <is>
          <t>A 28284-2025</t>
        </is>
      </c>
      <c r="B267" s="1" t="n">
        <v>45818.58893518519</v>
      </c>
      <c r="C267" s="1" t="n">
        <v>45989</v>
      </c>
      <c r="D267" t="inlineStr">
        <is>
          <t>VÄSTMANLANDS LÄN</t>
        </is>
      </c>
      <c r="E267" t="inlineStr">
        <is>
          <t>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41431-2025</t>
        </is>
      </c>
      <c r="B268" s="1" t="n">
        <v>45901.39347222223</v>
      </c>
      <c r="C268" s="1" t="n">
        <v>45989</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28632-2025</t>
        </is>
      </c>
      <c r="B269" s="1" t="n">
        <v>45819.62344907408</v>
      </c>
      <c r="C269" s="1" t="n">
        <v>45989</v>
      </c>
      <c r="D269" t="inlineStr">
        <is>
          <t>VÄSTMANLANDS LÄN</t>
        </is>
      </c>
      <c r="E269" t="inlineStr">
        <is>
          <t>SALA</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34814-2021</t>
        </is>
      </c>
      <c r="B270" s="1" t="n">
        <v>44383</v>
      </c>
      <c r="C270" s="1" t="n">
        <v>45989</v>
      </c>
      <c r="D270" t="inlineStr">
        <is>
          <t>VÄSTMANLANDS LÄN</t>
        </is>
      </c>
      <c r="E270" t="inlineStr">
        <is>
          <t>SALA</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41414-2025</t>
        </is>
      </c>
      <c r="B271" s="1" t="n">
        <v>45901.360625</v>
      </c>
      <c r="C271" s="1" t="n">
        <v>45989</v>
      </c>
      <c r="D271" t="inlineStr">
        <is>
          <t>VÄSTMANLANDS LÄN</t>
        </is>
      </c>
      <c r="E271" t="inlineStr">
        <is>
          <t>SALA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53164-2024</t>
        </is>
      </c>
      <c r="B272" s="1" t="n">
        <v>45611.64887731482</v>
      </c>
      <c r="C272" s="1" t="n">
        <v>45989</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28628-2025</t>
        </is>
      </c>
      <c r="B273" s="1" t="n">
        <v>45819.62158564815</v>
      </c>
      <c r="C273" s="1" t="n">
        <v>45989</v>
      </c>
      <c r="D273" t="inlineStr">
        <is>
          <t>VÄSTMANLANDS LÄN</t>
        </is>
      </c>
      <c r="E273" t="inlineStr">
        <is>
          <t>SALA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28630-2025</t>
        </is>
      </c>
      <c r="B274" s="1" t="n">
        <v>45819.62274305556</v>
      </c>
      <c r="C274" s="1" t="n">
        <v>45989</v>
      </c>
      <c r="D274" t="inlineStr">
        <is>
          <t>VÄSTMANLANDS LÄN</t>
        </is>
      </c>
      <c r="E274" t="inlineStr">
        <is>
          <t>SALA</t>
        </is>
      </c>
      <c r="F274" t="inlineStr">
        <is>
          <t>Sveaskog</t>
        </is>
      </c>
      <c r="G274" t="n">
        <v>9</v>
      </c>
      <c r="H274" t="n">
        <v>0</v>
      </c>
      <c r="I274" t="n">
        <v>0</v>
      </c>
      <c r="J274" t="n">
        <v>0</v>
      </c>
      <c r="K274" t="n">
        <v>0</v>
      </c>
      <c r="L274" t="n">
        <v>0</v>
      </c>
      <c r="M274" t="n">
        <v>0</v>
      </c>
      <c r="N274" t="n">
        <v>0</v>
      </c>
      <c r="O274" t="n">
        <v>0</v>
      </c>
      <c r="P274" t="n">
        <v>0</v>
      </c>
      <c r="Q274" t="n">
        <v>0</v>
      </c>
      <c r="R274" s="2" t="inlineStr"/>
    </row>
    <row r="275" ht="15" customHeight="1">
      <c r="A275" t="inlineStr">
        <is>
          <t>A 28837-2025</t>
        </is>
      </c>
      <c r="B275" s="1" t="n">
        <v>45820.56243055555</v>
      </c>
      <c r="C275" s="1" t="n">
        <v>45989</v>
      </c>
      <c r="D275" t="inlineStr">
        <is>
          <t>VÄSTMANLANDS LÄN</t>
        </is>
      </c>
      <c r="E275" t="inlineStr">
        <is>
          <t>SALA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28849-2025</t>
        </is>
      </c>
      <c r="B276" s="1" t="n">
        <v>45820</v>
      </c>
      <c r="C276" s="1" t="n">
        <v>45989</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54118-2023</t>
        </is>
      </c>
      <c r="B277" s="1" t="n">
        <v>45232</v>
      </c>
      <c r="C277" s="1" t="n">
        <v>45989</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35462-2024</t>
        </is>
      </c>
      <c r="B278" s="1" t="n">
        <v>45531</v>
      </c>
      <c r="C278" s="1" t="n">
        <v>45989</v>
      </c>
      <c r="D278" t="inlineStr">
        <is>
          <t>VÄSTMANLANDS LÄN</t>
        </is>
      </c>
      <c r="E278" t="inlineStr">
        <is>
          <t>SALA</t>
        </is>
      </c>
      <c r="G278" t="n">
        <v>0.6</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45989</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29085-2025</t>
        </is>
      </c>
      <c r="B280" s="1" t="n">
        <v>45821</v>
      </c>
      <c r="C280" s="1" t="n">
        <v>45989</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36393-2023</t>
        </is>
      </c>
      <c r="B281" s="1" t="n">
        <v>45152</v>
      </c>
      <c r="C281" s="1" t="n">
        <v>45989</v>
      </c>
      <c r="D281" t="inlineStr">
        <is>
          <t>VÄSTMANLANDS LÄN</t>
        </is>
      </c>
      <c r="E281" t="inlineStr">
        <is>
          <t>SALA</t>
        </is>
      </c>
      <c r="G281" t="n">
        <v>0.9</v>
      </c>
      <c r="H281" t="n">
        <v>0</v>
      </c>
      <c r="I281" t="n">
        <v>0</v>
      </c>
      <c r="J281" t="n">
        <v>0</v>
      </c>
      <c r="K281" t="n">
        <v>0</v>
      </c>
      <c r="L281" t="n">
        <v>0</v>
      </c>
      <c r="M281" t="n">
        <v>0</v>
      </c>
      <c r="N281" t="n">
        <v>0</v>
      </c>
      <c r="O281" t="n">
        <v>0</v>
      </c>
      <c r="P281" t="n">
        <v>0</v>
      </c>
      <c r="Q281" t="n">
        <v>0</v>
      </c>
      <c r="R281" s="2" t="inlineStr"/>
    </row>
    <row r="282" ht="15" customHeight="1">
      <c r="A282" t="inlineStr">
        <is>
          <t>A 45790-2023</t>
        </is>
      </c>
      <c r="B282" s="1" t="n">
        <v>45195.45958333334</v>
      </c>
      <c r="C282" s="1" t="n">
        <v>45989</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60541-2024</t>
        </is>
      </c>
      <c r="B283" s="1" t="n">
        <v>45643</v>
      </c>
      <c r="C283" s="1" t="n">
        <v>45989</v>
      </c>
      <c r="D283" t="inlineStr">
        <is>
          <t>VÄSTMANLANDS LÄN</t>
        </is>
      </c>
      <c r="E283" t="inlineStr">
        <is>
          <t>SALA</t>
        </is>
      </c>
      <c r="G283" t="n">
        <v>10.6</v>
      </c>
      <c r="H283" t="n">
        <v>0</v>
      </c>
      <c r="I283" t="n">
        <v>0</v>
      </c>
      <c r="J283" t="n">
        <v>0</v>
      </c>
      <c r="K283" t="n">
        <v>0</v>
      </c>
      <c r="L283" t="n">
        <v>0</v>
      </c>
      <c r="M283" t="n">
        <v>0</v>
      </c>
      <c r="N283" t="n">
        <v>0</v>
      </c>
      <c r="O283" t="n">
        <v>0</v>
      </c>
      <c r="P283" t="n">
        <v>0</v>
      </c>
      <c r="Q283" t="n">
        <v>0</v>
      </c>
      <c r="R283" s="2" t="inlineStr"/>
    </row>
    <row r="284" ht="15" customHeight="1">
      <c r="A284" t="inlineStr">
        <is>
          <t>A 56949-2023</t>
        </is>
      </c>
      <c r="B284" s="1" t="n">
        <v>45244.61589120371</v>
      </c>
      <c r="C284" s="1" t="n">
        <v>45989</v>
      </c>
      <c r="D284" t="inlineStr">
        <is>
          <t>VÄSTMANLANDS LÄN</t>
        </is>
      </c>
      <c r="E284" t="inlineStr">
        <is>
          <t>SALA</t>
        </is>
      </c>
      <c r="G284" t="n">
        <v>4.7</v>
      </c>
      <c r="H284" t="n">
        <v>0</v>
      </c>
      <c r="I284" t="n">
        <v>0</v>
      </c>
      <c r="J284" t="n">
        <v>0</v>
      </c>
      <c r="K284" t="n">
        <v>0</v>
      </c>
      <c r="L284" t="n">
        <v>0</v>
      </c>
      <c r="M284" t="n">
        <v>0</v>
      </c>
      <c r="N284" t="n">
        <v>0</v>
      </c>
      <c r="O284" t="n">
        <v>0</v>
      </c>
      <c r="P284" t="n">
        <v>0</v>
      </c>
      <c r="Q284" t="n">
        <v>0</v>
      </c>
      <c r="R284" s="2" t="inlineStr"/>
    </row>
    <row r="285" ht="15" customHeight="1">
      <c r="A285" t="inlineStr">
        <is>
          <t>A 29826-2025</t>
        </is>
      </c>
      <c r="B285" s="1" t="n">
        <v>45825.85761574074</v>
      </c>
      <c r="C285" s="1" t="n">
        <v>45989</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51247-2025</t>
        </is>
      </c>
      <c r="B286" s="1" t="n">
        <v>45947.86487268518</v>
      </c>
      <c r="C286" s="1" t="n">
        <v>45989</v>
      </c>
      <c r="D286" t="inlineStr">
        <is>
          <t>VÄSTMANLANDS LÄN</t>
        </is>
      </c>
      <c r="E286" t="inlineStr">
        <is>
          <t>SALA</t>
        </is>
      </c>
      <c r="G286" t="n">
        <v>10.4</v>
      </c>
      <c r="H286" t="n">
        <v>0</v>
      </c>
      <c r="I286" t="n">
        <v>0</v>
      </c>
      <c r="J286" t="n">
        <v>0</v>
      </c>
      <c r="K286" t="n">
        <v>0</v>
      </c>
      <c r="L286" t="n">
        <v>0</v>
      </c>
      <c r="M286" t="n">
        <v>0</v>
      </c>
      <c r="N286" t="n">
        <v>0</v>
      </c>
      <c r="O286" t="n">
        <v>0</v>
      </c>
      <c r="P286" t="n">
        <v>0</v>
      </c>
      <c r="Q286" t="n">
        <v>0</v>
      </c>
      <c r="R286" s="2" t="inlineStr"/>
    </row>
    <row r="287" ht="15" customHeight="1">
      <c r="A287" t="inlineStr">
        <is>
          <t>A 40214-2023</t>
        </is>
      </c>
      <c r="B287" s="1" t="n">
        <v>45169.45173611111</v>
      </c>
      <c r="C287" s="1" t="n">
        <v>45989</v>
      </c>
      <c r="D287" t="inlineStr">
        <is>
          <t>VÄSTMANLANDS LÄN</t>
        </is>
      </c>
      <c r="E287" t="inlineStr">
        <is>
          <t>SALA</t>
        </is>
      </c>
      <c r="G287" t="n">
        <v>5.5</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45989</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29691-2025</t>
        </is>
      </c>
      <c r="B289" s="1" t="n">
        <v>45825.53645833334</v>
      </c>
      <c r="C289" s="1" t="n">
        <v>45989</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35016-2024</t>
        </is>
      </c>
      <c r="B290" s="1" t="n">
        <v>45527.59115740741</v>
      </c>
      <c r="C290" s="1" t="n">
        <v>45989</v>
      </c>
      <c r="D290" t="inlineStr">
        <is>
          <t>VÄSTMANLANDS LÄN</t>
        </is>
      </c>
      <c r="E290" t="inlineStr">
        <is>
          <t>SALA</t>
        </is>
      </c>
      <c r="G290" t="n">
        <v>0.4</v>
      </c>
      <c r="H290" t="n">
        <v>0</v>
      </c>
      <c r="I290" t="n">
        <v>0</v>
      </c>
      <c r="J290" t="n">
        <v>0</v>
      </c>
      <c r="K290" t="n">
        <v>0</v>
      </c>
      <c r="L290" t="n">
        <v>0</v>
      </c>
      <c r="M290" t="n">
        <v>0</v>
      </c>
      <c r="N290" t="n">
        <v>0</v>
      </c>
      <c r="O290" t="n">
        <v>0</v>
      </c>
      <c r="P290" t="n">
        <v>0</v>
      </c>
      <c r="Q290" t="n">
        <v>0</v>
      </c>
      <c r="R290" s="2" t="inlineStr"/>
    </row>
    <row r="291" ht="15" customHeight="1">
      <c r="A291" t="inlineStr">
        <is>
          <t>A 37612-2024</t>
        </is>
      </c>
      <c r="B291" s="1" t="n">
        <v>45541</v>
      </c>
      <c r="C291" s="1" t="n">
        <v>45989</v>
      </c>
      <c r="D291" t="inlineStr">
        <is>
          <t>VÄSTMANLANDS LÄN</t>
        </is>
      </c>
      <c r="E291" t="inlineStr">
        <is>
          <t>SALA</t>
        </is>
      </c>
      <c r="G291" t="n">
        <v>2.2</v>
      </c>
      <c r="H291" t="n">
        <v>0</v>
      </c>
      <c r="I291" t="n">
        <v>0</v>
      </c>
      <c r="J291" t="n">
        <v>0</v>
      </c>
      <c r="K291" t="n">
        <v>0</v>
      </c>
      <c r="L291" t="n">
        <v>0</v>
      </c>
      <c r="M291" t="n">
        <v>0</v>
      </c>
      <c r="N291" t="n">
        <v>0</v>
      </c>
      <c r="O291" t="n">
        <v>0</v>
      </c>
      <c r="P291" t="n">
        <v>0</v>
      </c>
      <c r="Q291" t="n">
        <v>0</v>
      </c>
      <c r="R291" s="2" t="inlineStr"/>
    </row>
    <row r="292" ht="15" customHeight="1">
      <c r="A292" t="inlineStr">
        <is>
          <t>A 37615-2024</t>
        </is>
      </c>
      <c r="B292" s="1" t="n">
        <v>45541.50673611111</v>
      </c>
      <c r="C292" s="1" t="n">
        <v>45989</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5728-2022</t>
        </is>
      </c>
      <c r="B293" s="1" t="n">
        <v>44596.42082175926</v>
      </c>
      <c r="C293" s="1" t="n">
        <v>45989</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7681-2021</t>
        </is>
      </c>
      <c r="B294" s="1" t="n">
        <v>44242</v>
      </c>
      <c r="C294" s="1" t="n">
        <v>45989</v>
      </c>
      <c r="D294" t="inlineStr">
        <is>
          <t>VÄSTMANLANDS LÄN</t>
        </is>
      </c>
      <c r="E294" t="inlineStr">
        <is>
          <t>SALA</t>
        </is>
      </c>
      <c r="F294" t="inlineStr">
        <is>
          <t>Sveaskog</t>
        </is>
      </c>
      <c r="G294" t="n">
        <v>16.1</v>
      </c>
      <c r="H294" t="n">
        <v>0</v>
      </c>
      <c r="I294" t="n">
        <v>0</v>
      </c>
      <c r="J294" t="n">
        <v>0</v>
      </c>
      <c r="K294" t="n">
        <v>0</v>
      </c>
      <c r="L294" t="n">
        <v>0</v>
      </c>
      <c r="M294" t="n">
        <v>0</v>
      </c>
      <c r="N294" t="n">
        <v>0</v>
      </c>
      <c r="O294" t="n">
        <v>0</v>
      </c>
      <c r="P294" t="n">
        <v>0</v>
      </c>
      <c r="Q294" t="n">
        <v>0</v>
      </c>
      <c r="R294" s="2" t="inlineStr"/>
    </row>
    <row r="295" ht="15" customHeight="1">
      <c r="A295" t="inlineStr">
        <is>
          <t>A 19751-2022</t>
        </is>
      </c>
      <c r="B295" s="1" t="n">
        <v>44694</v>
      </c>
      <c r="C295" s="1" t="n">
        <v>45989</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42421-2025</t>
        </is>
      </c>
      <c r="B296" s="1" t="n">
        <v>45905.40067129629</v>
      </c>
      <c r="C296" s="1" t="n">
        <v>45989</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30874-2025</t>
        </is>
      </c>
      <c r="B297" s="1" t="n">
        <v>45832.34430555555</v>
      </c>
      <c r="C297" s="1" t="n">
        <v>45989</v>
      </c>
      <c r="D297" t="inlineStr">
        <is>
          <t>VÄSTMANLANDS LÄN</t>
        </is>
      </c>
      <c r="E297" t="inlineStr">
        <is>
          <t>SALA</t>
        </is>
      </c>
      <c r="G297" t="n">
        <v>8.4</v>
      </c>
      <c r="H297" t="n">
        <v>0</v>
      </c>
      <c r="I297" t="n">
        <v>0</v>
      </c>
      <c r="J297" t="n">
        <v>0</v>
      </c>
      <c r="K297" t="n">
        <v>0</v>
      </c>
      <c r="L297" t="n">
        <v>0</v>
      </c>
      <c r="M297" t="n">
        <v>0</v>
      </c>
      <c r="N297" t="n">
        <v>0</v>
      </c>
      <c r="O297" t="n">
        <v>0</v>
      </c>
      <c r="P297" t="n">
        <v>0</v>
      </c>
      <c r="Q297" t="n">
        <v>0</v>
      </c>
      <c r="R297" s="2" t="inlineStr"/>
    </row>
    <row r="298" ht="15" customHeight="1">
      <c r="A298" t="inlineStr">
        <is>
          <t>A 30899-2025</t>
        </is>
      </c>
      <c r="B298" s="1" t="n">
        <v>45832.35767361111</v>
      </c>
      <c r="C298" s="1" t="n">
        <v>45989</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30866-2025</t>
        </is>
      </c>
      <c r="B299" s="1" t="n">
        <v>45832.3246875</v>
      </c>
      <c r="C299" s="1" t="n">
        <v>45989</v>
      </c>
      <c r="D299" t="inlineStr">
        <is>
          <t>VÄSTMANLANDS LÄN</t>
        </is>
      </c>
      <c r="E299" t="inlineStr">
        <is>
          <t>SALA</t>
        </is>
      </c>
      <c r="G299" t="n">
        <v>14.3</v>
      </c>
      <c r="H299" t="n">
        <v>0</v>
      </c>
      <c r="I299" t="n">
        <v>0</v>
      </c>
      <c r="J299" t="n">
        <v>0</v>
      </c>
      <c r="K299" t="n">
        <v>0</v>
      </c>
      <c r="L299" t="n">
        <v>0</v>
      </c>
      <c r="M299" t="n">
        <v>0</v>
      </c>
      <c r="N299" t="n">
        <v>0</v>
      </c>
      <c r="O299" t="n">
        <v>0</v>
      </c>
      <c r="P299" t="n">
        <v>0</v>
      </c>
      <c r="Q299" t="n">
        <v>0</v>
      </c>
      <c r="R299" s="2" t="inlineStr"/>
    </row>
    <row r="300" ht="15" customHeight="1">
      <c r="A300" t="inlineStr">
        <is>
          <t>A 43028-2025</t>
        </is>
      </c>
      <c r="B300" s="1" t="n">
        <v>45909.53472222222</v>
      </c>
      <c r="C300" s="1" t="n">
        <v>45989</v>
      </c>
      <c r="D300" t="inlineStr">
        <is>
          <t>VÄSTMANLANDS LÄN</t>
        </is>
      </c>
      <c r="E300" t="inlineStr">
        <is>
          <t>SALA</t>
        </is>
      </c>
      <c r="G300" t="n">
        <v>3.8</v>
      </c>
      <c r="H300" t="n">
        <v>0</v>
      </c>
      <c r="I300" t="n">
        <v>0</v>
      </c>
      <c r="J300" t="n">
        <v>0</v>
      </c>
      <c r="K300" t="n">
        <v>0</v>
      </c>
      <c r="L300" t="n">
        <v>0</v>
      </c>
      <c r="M300" t="n">
        <v>0</v>
      </c>
      <c r="N300" t="n">
        <v>0</v>
      </c>
      <c r="O300" t="n">
        <v>0</v>
      </c>
      <c r="P300" t="n">
        <v>0</v>
      </c>
      <c r="Q300" t="n">
        <v>0</v>
      </c>
      <c r="R300" s="2" t="inlineStr"/>
    </row>
    <row r="301" ht="15" customHeight="1">
      <c r="A301" t="inlineStr">
        <is>
          <t>A 51626-2025</t>
        </is>
      </c>
      <c r="B301" s="1" t="n">
        <v>45951.41769675926</v>
      </c>
      <c r="C301" s="1" t="n">
        <v>45989</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31065-2025</t>
        </is>
      </c>
      <c r="B302" s="1" t="n">
        <v>45832.57571759259</v>
      </c>
      <c r="C302" s="1" t="n">
        <v>45989</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43328-2025</t>
        </is>
      </c>
      <c r="B303" s="1" t="n">
        <v>45910</v>
      </c>
      <c r="C303" s="1" t="n">
        <v>45989</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51690-2025</t>
        </is>
      </c>
      <c r="B304" s="1" t="n">
        <v>45951.53462962963</v>
      </c>
      <c r="C304" s="1" t="n">
        <v>45989</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31612-2025</t>
        </is>
      </c>
      <c r="B305" s="1" t="n">
        <v>45833.80056712963</v>
      </c>
      <c r="C305" s="1" t="n">
        <v>45989</v>
      </c>
      <c r="D305" t="inlineStr">
        <is>
          <t>VÄSTMANLANDS LÄN</t>
        </is>
      </c>
      <c r="E305" t="inlineStr">
        <is>
          <t>SALA</t>
        </is>
      </c>
      <c r="G305" t="n">
        <v>6.3</v>
      </c>
      <c r="H305" t="n">
        <v>0</v>
      </c>
      <c r="I305" t="n">
        <v>0</v>
      </c>
      <c r="J305" t="n">
        <v>0</v>
      </c>
      <c r="K305" t="n">
        <v>0</v>
      </c>
      <c r="L305" t="n">
        <v>0</v>
      </c>
      <c r="M305" t="n">
        <v>0</v>
      </c>
      <c r="N305" t="n">
        <v>0</v>
      </c>
      <c r="O305" t="n">
        <v>0</v>
      </c>
      <c r="P305" t="n">
        <v>0</v>
      </c>
      <c r="Q305" t="n">
        <v>0</v>
      </c>
      <c r="R305" s="2" t="inlineStr"/>
    </row>
    <row r="306" ht="15" customHeight="1">
      <c r="A306" t="inlineStr">
        <is>
          <t>A 51805-2025</t>
        </is>
      </c>
      <c r="B306" s="1" t="n">
        <v>45951.78359953704</v>
      </c>
      <c r="C306" s="1" t="n">
        <v>45989</v>
      </c>
      <c r="D306" t="inlineStr">
        <is>
          <t>VÄSTMANLANDS LÄN</t>
        </is>
      </c>
      <c r="E306" t="inlineStr">
        <is>
          <t>SALA</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51809-2025</t>
        </is>
      </c>
      <c r="B307" s="1" t="n">
        <v>45951.80116898148</v>
      </c>
      <c r="C307" s="1" t="n">
        <v>45989</v>
      </c>
      <c r="D307" t="inlineStr">
        <is>
          <t>VÄSTMANLANDS LÄN</t>
        </is>
      </c>
      <c r="E307" t="inlineStr">
        <is>
          <t>SALA</t>
        </is>
      </c>
      <c r="F307" t="inlineStr">
        <is>
          <t>Kommuner</t>
        </is>
      </c>
      <c r="G307" t="n">
        <v>3.5</v>
      </c>
      <c r="H307" t="n">
        <v>0</v>
      </c>
      <c r="I307" t="n">
        <v>0</v>
      </c>
      <c r="J307" t="n">
        <v>0</v>
      </c>
      <c r="K307" t="n">
        <v>0</v>
      </c>
      <c r="L307" t="n">
        <v>0</v>
      </c>
      <c r="M307" t="n">
        <v>0</v>
      </c>
      <c r="N307" t="n">
        <v>0</v>
      </c>
      <c r="O307" t="n">
        <v>0</v>
      </c>
      <c r="P307" t="n">
        <v>0</v>
      </c>
      <c r="Q307" t="n">
        <v>0</v>
      </c>
      <c r="R307" s="2" t="inlineStr"/>
    </row>
    <row r="308" ht="15" customHeight="1">
      <c r="A308" t="inlineStr">
        <is>
          <t>A 31748-2025</t>
        </is>
      </c>
      <c r="B308" s="1" t="n">
        <v>45834</v>
      </c>
      <c r="C308" s="1" t="n">
        <v>45989</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31288-2025</t>
        </is>
      </c>
      <c r="B309" s="1" t="n">
        <v>45833</v>
      </c>
      <c r="C309" s="1" t="n">
        <v>45989</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51803-2025</t>
        </is>
      </c>
      <c r="B310" s="1" t="n">
        <v>45951.76818287037</v>
      </c>
      <c r="C310" s="1" t="n">
        <v>45989</v>
      </c>
      <c r="D310" t="inlineStr">
        <is>
          <t>VÄSTMANLANDS LÄN</t>
        </is>
      </c>
      <c r="E310" t="inlineStr">
        <is>
          <t>SALA</t>
        </is>
      </c>
      <c r="F310" t="inlineStr">
        <is>
          <t>Kommuner</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51808-2025</t>
        </is>
      </c>
      <c r="B311" s="1" t="n">
        <v>45951.79302083333</v>
      </c>
      <c r="C311" s="1" t="n">
        <v>45989</v>
      </c>
      <c r="D311" t="inlineStr">
        <is>
          <t>VÄSTMANLANDS LÄN</t>
        </is>
      </c>
      <c r="E311" t="inlineStr">
        <is>
          <t>SALA</t>
        </is>
      </c>
      <c r="F311" t="inlineStr">
        <is>
          <t>Kommuner</t>
        </is>
      </c>
      <c r="G311" t="n">
        <v>3</v>
      </c>
      <c r="H311" t="n">
        <v>0</v>
      </c>
      <c r="I311" t="n">
        <v>0</v>
      </c>
      <c r="J311" t="n">
        <v>0</v>
      </c>
      <c r="K311" t="n">
        <v>0</v>
      </c>
      <c r="L311" t="n">
        <v>0</v>
      </c>
      <c r="M311" t="n">
        <v>0</v>
      </c>
      <c r="N311" t="n">
        <v>0</v>
      </c>
      <c r="O311" t="n">
        <v>0</v>
      </c>
      <c r="P311" t="n">
        <v>0</v>
      </c>
      <c r="Q311" t="n">
        <v>0</v>
      </c>
      <c r="R311" s="2" t="inlineStr"/>
    </row>
    <row r="312" ht="15" customHeight="1">
      <c r="A312" t="inlineStr">
        <is>
          <t>A 6312-2025</t>
        </is>
      </c>
      <c r="B312" s="1" t="n">
        <v>45698</v>
      </c>
      <c r="C312" s="1" t="n">
        <v>45989</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43031-2025</t>
        </is>
      </c>
      <c r="B313" s="1" t="n">
        <v>45909.53856481481</v>
      </c>
      <c r="C313" s="1" t="n">
        <v>45989</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31771-2025</t>
        </is>
      </c>
      <c r="B314" s="1" t="n">
        <v>45834.50910879629</v>
      </c>
      <c r="C314" s="1" t="n">
        <v>45989</v>
      </c>
      <c r="D314" t="inlineStr">
        <is>
          <t>VÄSTMANLANDS LÄN</t>
        </is>
      </c>
      <c r="E314" t="inlineStr">
        <is>
          <t>SALA</t>
        </is>
      </c>
      <c r="G314" t="n">
        <v>5.1</v>
      </c>
      <c r="H314" t="n">
        <v>0</v>
      </c>
      <c r="I314" t="n">
        <v>0</v>
      </c>
      <c r="J314" t="n">
        <v>0</v>
      </c>
      <c r="K314" t="n">
        <v>0</v>
      </c>
      <c r="L314" t="n">
        <v>0</v>
      </c>
      <c r="M314" t="n">
        <v>0</v>
      </c>
      <c r="N314" t="n">
        <v>0</v>
      </c>
      <c r="O314" t="n">
        <v>0</v>
      </c>
      <c r="P314" t="n">
        <v>0</v>
      </c>
      <c r="Q314" t="n">
        <v>0</v>
      </c>
      <c r="R314" s="2" t="inlineStr"/>
    </row>
    <row r="315" ht="15" customHeight="1">
      <c r="A315" t="inlineStr">
        <is>
          <t>A 17495-2024</t>
        </is>
      </c>
      <c r="B315" s="1" t="n">
        <v>45415</v>
      </c>
      <c r="C315" s="1" t="n">
        <v>45989</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55035-2023</t>
        </is>
      </c>
      <c r="B316" s="1" t="n">
        <v>45229</v>
      </c>
      <c r="C316" s="1" t="n">
        <v>45989</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37263-2025</t>
        </is>
      </c>
      <c r="B317" s="1" t="n">
        <v>45876.4584837963</v>
      </c>
      <c r="C317" s="1" t="n">
        <v>45989</v>
      </c>
      <c r="D317" t="inlineStr">
        <is>
          <t>VÄSTMANLANDS LÄN</t>
        </is>
      </c>
      <c r="E317" t="inlineStr">
        <is>
          <t>SALA</t>
        </is>
      </c>
      <c r="G317" t="n">
        <v>2.3</v>
      </c>
      <c r="H317" t="n">
        <v>0</v>
      </c>
      <c r="I317" t="n">
        <v>0</v>
      </c>
      <c r="J317" t="n">
        <v>0</v>
      </c>
      <c r="K317" t="n">
        <v>0</v>
      </c>
      <c r="L317" t="n">
        <v>0</v>
      </c>
      <c r="M317" t="n">
        <v>0</v>
      </c>
      <c r="N317" t="n">
        <v>0</v>
      </c>
      <c r="O317" t="n">
        <v>0</v>
      </c>
      <c r="P317" t="n">
        <v>0</v>
      </c>
      <c r="Q317" t="n">
        <v>0</v>
      </c>
      <c r="R317" s="2" t="inlineStr"/>
    </row>
    <row r="318" ht="15" customHeight="1">
      <c r="A318" t="inlineStr">
        <is>
          <t>A 40554-2025</t>
        </is>
      </c>
      <c r="B318" s="1" t="n">
        <v>45896.44506944445</v>
      </c>
      <c r="C318" s="1" t="n">
        <v>45989</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4736-2021</t>
        </is>
      </c>
      <c r="B319" s="1" t="n">
        <v>44225</v>
      </c>
      <c r="C319" s="1" t="n">
        <v>45989</v>
      </c>
      <c r="D319" t="inlineStr">
        <is>
          <t>VÄSTMANLANDS LÄN</t>
        </is>
      </c>
      <c r="E319" t="inlineStr">
        <is>
          <t>SALA</t>
        </is>
      </c>
      <c r="G319" t="n">
        <v>4.2</v>
      </c>
      <c r="H319" t="n">
        <v>0</v>
      </c>
      <c r="I319" t="n">
        <v>0</v>
      </c>
      <c r="J319" t="n">
        <v>0</v>
      </c>
      <c r="K319" t="n">
        <v>0</v>
      </c>
      <c r="L319" t="n">
        <v>0</v>
      </c>
      <c r="M319" t="n">
        <v>0</v>
      </c>
      <c r="N319" t="n">
        <v>0</v>
      </c>
      <c r="O319" t="n">
        <v>0</v>
      </c>
      <c r="P319" t="n">
        <v>0</v>
      </c>
      <c r="Q319" t="n">
        <v>0</v>
      </c>
      <c r="R319" s="2" t="inlineStr"/>
    </row>
    <row r="320" ht="15" customHeight="1">
      <c r="A320" t="inlineStr">
        <is>
          <t>A 43129-2025</t>
        </is>
      </c>
      <c r="B320" s="1" t="n">
        <v>45909</v>
      </c>
      <c r="C320" s="1" t="n">
        <v>45989</v>
      </c>
      <c r="D320" t="inlineStr">
        <is>
          <t>VÄSTMANLANDS LÄN</t>
        </is>
      </c>
      <c r="E320" t="inlineStr">
        <is>
          <t>SALA</t>
        </is>
      </c>
      <c r="G320" t="n">
        <v>2.4</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45989</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51804-2025</t>
        </is>
      </c>
      <c r="B322" s="1" t="n">
        <v>45951.77697916667</v>
      </c>
      <c r="C322" s="1" t="n">
        <v>45989</v>
      </c>
      <c r="D322" t="inlineStr">
        <is>
          <t>VÄSTMANLANDS LÄN</t>
        </is>
      </c>
      <c r="E322" t="inlineStr">
        <is>
          <t>SALA</t>
        </is>
      </c>
      <c r="F322" t="inlineStr">
        <is>
          <t>Kommuner</t>
        </is>
      </c>
      <c r="G322" t="n">
        <v>2</v>
      </c>
      <c r="H322" t="n">
        <v>0</v>
      </c>
      <c r="I322" t="n">
        <v>0</v>
      </c>
      <c r="J322" t="n">
        <v>0</v>
      </c>
      <c r="K322" t="n">
        <v>0</v>
      </c>
      <c r="L322" t="n">
        <v>0</v>
      </c>
      <c r="M322" t="n">
        <v>0</v>
      </c>
      <c r="N322" t="n">
        <v>0</v>
      </c>
      <c r="O322" t="n">
        <v>0</v>
      </c>
      <c r="P322" t="n">
        <v>0</v>
      </c>
      <c r="Q322" t="n">
        <v>0</v>
      </c>
      <c r="R322" s="2" t="inlineStr"/>
    </row>
    <row r="323" ht="15" customHeight="1">
      <c r="A323" t="inlineStr">
        <is>
          <t>A 43128-2025</t>
        </is>
      </c>
      <c r="B323" s="1" t="n">
        <v>45909</v>
      </c>
      <c r="C323" s="1" t="n">
        <v>45989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43127-2025</t>
        </is>
      </c>
      <c r="B324" s="1" t="n">
        <v>45909</v>
      </c>
      <c r="C324" s="1" t="n">
        <v>45989</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31554-2025</t>
        </is>
      </c>
      <c r="B325" s="1" t="n">
        <v>45833</v>
      </c>
      <c r="C325" s="1" t="n">
        <v>45989</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31762-2025</t>
        </is>
      </c>
      <c r="B326" s="1" t="n">
        <v>45834.49288194445</v>
      </c>
      <c r="C326" s="1" t="n">
        <v>45989</v>
      </c>
      <c r="D326" t="inlineStr">
        <is>
          <t>VÄSTMANLANDS LÄN</t>
        </is>
      </c>
      <c r="E326" t="inlineStr">
        <is>
          <t>SALA</t>
        </is>
      </c>
      <c r="G326" t="n">
        <v>5.9</v>
      </c>
      <c r="H326" t="n">
        <v>0</v>
      </c>
      <c r="I326" t="n">
        <v>0</v>
      </c>
      <c r="J326" t="n">
        <v>0</v>
      </c>
      <c r="K326" t="n">
        <v>0</v>
      </c>
      <c r="L326" t="n">
        <v>0</v>
      </c>
      <c r="M326" t="n">
        <v>0</v>
      </c>
      <c r="N326" t="n">
        <v>0</v>
      </c>
      <c r="O326" t="n">
        <v>0</v>
      </c>
      <c r="P326" t="n">
        <v>0</v>
      </c>
      <c r="Q326" t="n">
        <v>0</v>
      </c>
      <c r="R326" s="2" t="inlineStr"/>
    </row>
    <row r="327" ht="15" customHeight="1">
      <c r="A327" t="inlineStr">
        <is>
          <t>A 51764-2025</t>
        </is>
      </c>
      <c r="B327" s="1" t="n">
        <v>45951.63636574074</v>
      </c>
      <c r="C327" s="1" t="n">
        <v>45989</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31608-2025</t>
        </is>
      </c>
      <c r="B328" s="1" t="n">
        <v>45833</v>
      </c>
      <c r="C328" s="1" t="n">
        <v>45989</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31610-2025</t>
        </is>
      </c>
      <c r="B329" s="1" t="n">
        <v>45833.78650462963</v>
      </c>
      <c r="C329" s="1" t="n">
        <v>45989</v>
      </c>
      <c r="D329" t="inlineStr">
        <is>
          <t>VÄSTMANLANDS LÄN</t>
        </is>
      </c>
      <c r="E329" t="inlineStr">
        <is>
          <t>SALA</t>
        </is>
      </c>
      <c r="G329" t="n">
        <v>8</v>
      </c>
      <c r="H329" t="n">
        <v>0</v>
      </c>
      <c r="I329" t="n">
        <v>0</v>
      </c>
      <c r="J329" t="n">
        <v>0</v>
      </c>
      <c r="K329" t="n">
        <v>0</v>
      </c>
      <c r="L329" t="n">
        <v>0</v>
      </c>
      <c r="M329" t="n">
        <v>0</v>
      </c>
      <c r="N329" t="n">
        <v>0</v>
      </c>
      <c r="O329" t="n">
        <v>0</v>
      </c>
      <c r="P329" t="n">
        <v>0</v>
      </c>
      <c r="Q329" t="n">
        <v>0</v>
      </c>
      <c r="R329" s="2" t="inlineStr"/>
    </row>
    <row r="330" ht="15" customHeight="1">
      <c r="A330" t="inlineStr">
        <is>
          <t>A 31296-2025</t>
        </is>
      </c>
      <c r="B330" s="1" t="n">
        <v>45833.36765046296</v>
      </c>
      <c r="C330" s="1" t="n">
        <v>45989</v>
      </c>
      <c r="D330" t="inlineStr">
        <is>
          <t>VÄSTMANLANDS LÄN</t>
        </is>
      </c>
      <c r="E330" t="inlineStr">
        <is>
          <t>SALA</t>
        </is>
      </c>
      <c r="G330" t="n">
        <v>3.7</v>
      </c>
      <c r="H330" t="n">
        <v>0</v>
      </c>
      <c r="I330" t="n">
        <v>0</v>
      </c>
      <c r="J330" t="n">
        <v>0</v>
      </c>
      <c r="K330" t="n">
        <v>0</v>
      </c>
      <c r="L330" t="n">
        <v>0</v>
      </c>
      <c r="M330" t="n">
        <v>0</v>
      </c>
      <c r="N330" t="n">
        <v>0</v>
      </c>
      <c r="O330" t="n">
        <v>0</v>
      </c>
      <c r="P330" t="n">
        <v>0</v>
      </c>
      <c r="Q330" t="n">
        <v>0</v>
      </c>
      <c r="R330" s="2" t="inlineStr"/>
    </row>
    <row r="331" ht="15" customHeight="1">
      <c r="A331" t="inlineStr">
        <is>
          <t>A 52500-2024</t>
        </is>
      </c>
      <c r="B331" s="1" t="n">
        <v>45609</v>
      </c>
      <c r="C331" s="1" t="n">
        <v>45989</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31573-2025</t>
        </is>
      </c>
      <c r="B332" s="1" t="n">
        <v>45833</v>
      </c>
      <c r="C332" s="1" t="n">
        <v>45989</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32201-2025</t>
        </is>
      </c>
      <c r="B333" s="1" t="n">
        <v>45835</v>
      </c>
      <c r="C333" s="1" t="n">
        <v>45989</v>
      </c>
      <c r="D333" t="inlineStr">
        <is>
          <t>VÄSTMANLANDS LÄN</t>
        </is>
      </c>
      <c r="E333" t="inlineStr">
        <is>
          <t>SALA</t>
        </is>
      </c>
      <c r="F333" t="inlineStr">
        <is>
          <t>Bergvik skog öst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32205-2025</t>
        </is>
      </c>
      <c r="B334" s="1" t="n">
        <v>45835</v>
      </c>
      <c r="C334" s="1" t="n">
        <v>45989</v>
      </c>
      <c r="D334" t="inlineStr">
        <is>
          <t>VÄSTMANLANDS LÄN</t>
        </is>
      </c>
      <c r="E334" t="inlineStr">
        <is>
          <t>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45989</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7950-2025</t>
        </is>
      </c>
      <c r="B336" s="1" t="n">
        <v>45707.41799768519</v>
      </c>
      <c r="C336" s="1" t="n">
        <v>45989</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10812-2021</t>
        </is>
      </c>
      <c r="B337" s="1" t="n">
        <v>44259</v>
      </c>
      <c r="C337" s="1" t="n">
        <v>45989</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10154-2021</t>
        </is>
      </c>
      <c r="B338" s="1" t="n">
        <v>44256</v>
      </c>
      <c r="C338" s="1" t="n">
        <v>45989</v>
      </c>
      <c r="D338" t="inlineStr">
        <is>
          <t>VÄSTMANLANDS LÄN</t>
        </is>
      </c>
      <c r="E338" t="inlineStr">
        <is>
          <t>SALA</t>
        </is>
      </c>
      <c r="G338" t="n">
        <v>0.8</v>
      </c>
      <c r="H338" t="n">
        <v>0</v>
      </c>
      <c r="I338" t="n">
        <v>0</v>
      </c>
      <c r="J338" t="n">
        <v>0</v>
      </c>
      <c r="K338" t="n">
        <v>0</v>
      </c>
      <c r="L338" t="n">
        <v>0</v>
      </c>
      <c r="M338" t="n">
        <v>0</v>
      </c>
      <c r="N338" t="n">
        <v>0</v>
      </c>
      <c r="O338" t="n">
        <v>0</v>
      </c>
      <c r="P338" t="n">
        <v>0</v>
      </c>
      <c r="Q338" t="n">
        <v>0</v>
      </c>
      <c r="R338" s="2" t="inlineStr"/>
    </row>
    <row r="339" ht="15" customHeight="1">
      <c r="A339" t="inlineStr">
        <is>
          <t>A 32286-2025</t>
        </is>
      </c>
      <c r="B339" s="1" t="n">
        <v>45835</v>
      </c>
      <c r="C339" s="1" t="n">
        <v>45989</v>
      </c>
      <c r="D339" t="inlineStr">
        <is>
          <t>VÄSTMANLANDS LÄN</t>
        </is>
      </c>
      <c r="E339" t="inlineStr">
        <is>
          <t>SALA</t>
        </is>
      </c>
      <c r="G339" t="n">
        <v>6.4</v>
      </c>
      <c r="H339" t="n">
        <v>0</v>
      </c>
      <c r="I339" t="n">
        <v>0</v>
      </c>
      <c r="J339" t="n">
        <v>0</v>
      </c>
      <c r="K339" t="n">
        <v>0</v>
      </c>
      <c r="L339" t="n">
        <v>0</v>
      </c>
      <c r="M339" t="n">
        <v>0</v>
      </c>
      <c r="N339" t="n">
        <v>0</v>
      </c>
      <c r="O339" t="n">
        <v>0</v>
      </c>
      <c r="P339" t="n">
        <v>0</v>
      </c>
      <c r="Q339" t="n">
        <v>0</v>
      </c>
      <c r="R339" s="2" t="inlineStr"/>
    </row>
    <row r="340" ht="15" customHeight="1">
      <c r="A340" t="inlineStr">
        <is>
          <t>A 32207-2025</t>
        </is>
      </c>
      <c r="B340" s="1" t="n">
        <v>45835</v>
      </c>
      <c r="C340" s="1" t="n">
        <v>45989</v>
      </c>
      <c r="D340" t="inlineStr">
        <is>
          <t>VÄSTMANLANDS LÄN</t>
        </is>
      </c>
      <c r="E340" t="inlineStr">
        <is>
          <t>SALA</t>
        </is>
      </c>
      <c r="F340" t="inlineStr">
        <is>
          <t>Bergvik skog öst AB</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32902-2025</t>
        </is>
      </c>
      <c r="B341" s="1" t="n">
        <v>45839</v>
      </c>
      <c r="C341" s="1" t="n">
        <v>45989</v>
      </c>
      <c r="D341" t="inlineStr">
        <is>
          <t>VÄSTMANLANDS LÄN</t>
        </is>
      </c>
      <c r="E341" t="inlineStr">
        <is>
          <t>SALA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16328-2025</t>
        </is>
      </c>
      <c r="B342" s="1" t="n">
        <v>45751</v>
      </c>
      <c r="C342" s="1" t="n">
        <v>45989</v>
      </c>
      <c r="D342" t="inlineStr">
        <is>
          <t>VÄSTMANLANDS LÄN</t>
        </is>
      </c>
      <c r="E342" t="inlineStr">
        <is>
          <t>SALA</t>
        </is>
      </c>
      <c r="G342" t="n">
        <v>2.9</v>
      </c>
      <c r="H342" t="n">
        <v>0</v>
      </c>
      <c r="I342" t="n">
        <v>0</v>
      </c>
      <c r="J342" t="n">
        <v>0</v>
      </c>
      <c r="K342" t="n">
        <v>0</v>
      </c>
      <c r="L342" t="n">
        <v>0</v>
      </c>
      <c r="M342" t="n">
        <v>0</v>
      </c>
      <c r="N342" t="n">
        <v>0</v>
      </c>
      <c r="O342" t="n">
        <v>0</v>
      </c>
      <c r="P342" t="n">
        <v>0</v>
      </c>
      <c r="Q342" t="n">
        <v>0</v>
      </c>
      <c r="R342" s="2" t="inlineStr"/>
    </row>
    <row r="343" ht="15" customHeight="1">
      <c r="A343" t="inlineStr">
        <is>
          <t>A 31609-2024</t>
        </is>
      </c>
      <c r="B343" s="1" t="n">
        <v>45506</v>
      </c>
      <c r="C343" s="1" t="n">
        <v>45989</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44100-2025</t>
        </is>
      </c>
      <c r="B344" s="1" t="n">
        <v>45915.56707175926</v>
      </c>
      <c r="C344" s="1" t="n">
        <v>45989</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44486-2025</t>
        </is>
      </c>
      <c r="B345" s="1" t="n">
        <v>45916.65517361111</v>
      </c>
      <c r="C345" s="1" t="n">
        <v>45989</v>
      </c>
      <c r="D345" t="inlineStr">
        <is>
          <t>VÄSTMANLANDS LÄN</t>
        </is>
      </c>
      <c r="E345" t="inlineStr">
        <is>
          <t>SALA</t>
        </is>
      </c>
      <c r="G345" t="n">
        <v>1.7</v>
      </c>
      <c r="H345" t="n">
        <v>0</v>
      </c>
      <c r="I345" t="n">
        <v>0</v>
      </c>
      <c r="J345" t="n">
        <v>0</v>
      </c>
      <c r="K345" t="n">
        <v>0</v>
      </c>
      <c r="L345" t="n">
        <v>0</v>
      </c>
      <c r="M345" t="n">
        <v>0</v>
      </c>
      <c r="N345" t="n">
        <v>0</v>
      </c>
      <c r="O345" t="n">
        <v>0</v>
      </c>
      <c r="P345" t="n">
        <v>0</v>
      </c>
      <c r="Q345" t="n">
        <v>0</v>
      </c>
      <c r="R345" s="2" t="inlineStr"/>
    </row>
    <row r="346" ht="15" customHeight="1">
      <c r="A346" t="inlineStr">
        <is>
          <t>A 34069-2025</t>
        </is>
      </c>
      <c r="B346" s="1" t="n">
        <v>45845.43560185185</v>
      </c>
      <c r="C346" s="1" t="n">
        <v>45989</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c r="U346">
        <f>HYPERLINK("https://klasma.github.io/Logging_1981/knärot/A 34069-2025 karta knärot.png", "A 34069-2025")</f>
        <v/>
      </c>
      <c r="V346">
        <f>HYPERLINK("https://klasma.github.io/Logging_1981/klagomål/A 34069-2025 FSC-klagomål.docx", "A 34069-2025")</f>
        <v/>
      </c>
      <c r="W346">
        <f>HYPERLINK("https://klasma.github.io/Logging_1981/klagomålsmail/A 34069-2025 FSC-klagomål mail.docx", "A 34069-2025")</f>
        <v/>
      </c>
      <c r="X346">
        <f>HYPERLINK("https://klasma.github.io/Logging_1981/tillsyn/A 34069-2025 tillsynsbegäran.docx", "A 34069-2025")</f>
        <v/>
      </c>
      <c r="Y346">
        <f>HYPERLINK("https://klasma.github.io/Logging_1981/tillsynsmail/A 34069-2025 tillsynsbegäran mail.docx", "A 34069-2025")</f>
        <v/>
      </c>
    </row>
    <row r="347" ht="15" customHeight="1">
      <c r="A347" t="inlineStr">
        <is>
          <t>A 35410-2022</t>
        </is>
      </c>
      <c r="B347" s="1" t="n">
        <v>44798.62576388889</v>
      </c>
      <c r="C347" s="1" t="n">
        <v>45989</v>
      </c>
      <c r="D347" t="inlineStr">
        <is>
          <t>VÄSTMANLANDS LÄN</t>
        </is>
      </c>
      <c r="E347" t="inlineStr">
        <is>
          <t>SALA</t>
        </is>
      </c>
      <c r="G347" t="n">
        <v>1.6</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45989</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43122-2025</t>
        </is>
      </c>
      <c r="B349" s="1" t="n">
        <v>45909</v>
      </c>
      <c r="C349" s="1" t="n">
        <v>45989</v>
      </c>
      <c r="D349" t="inlineStr">
        <is>
          <t>VÄSTMANLANDS LÄN</t>
        </is>
      </c>
      <c r="E349" t="inlineStr">
        <is>
          <t>SALA</t>
        </is>
      </c>
      <c r="G349" t="n">
        <v>3.2</v>
      </c>
      <c r="H349" t="n">
        <v>0</v>
      </c>
      <c r="I349" t="n">
        <v>0</v>
      </c>
      <c r="J349" t="n">
        <v>0</v>
      </c>
      <c r="K349" t="n">
        <v>0</v>
      </c>
      <c r="L349" t="n">
        <v>0</v>
      </c>
      <c r="M349" t="n">
        <v>0</v>
      </c>
      <c r="N349" t="n">
        <v>0</v>
      </c>
      <c r="O349" t="n">
        <v>0</v>
      </c>
      <c r="P349" t="n">
        <v>0</v>
      </c>
      <c r="Q349" t="n">
        <v>0</v>
      </c>
      <c r="R349" s="2" t="inlineStr"/>
    </row>
    <row r="350" ht="15" customHeight="1">
      <c r="A350" t="inlineStr">
        <is>
          <t>A 15744-2025</t>
        </is>
      </c>
      <c r="B350" s="1" t="n">
        <v>45748</v>
      </c>
      <c r="C350" s="1" t="n">
        <v>45989</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53725-2025</t>
        </is>
      </c>
      <c r="B351" s="1" t="n">
        <v>45960.63394675926</v>
      </c>
      <c r="C351" s="1" t="n">
        <v>45989</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21159-2022</t>
        </is>
      </c>
      <c r="B352" s="1" t="n">
        <v>44704</v>
      </c>
      <c r="C352" s="1" t="n">
        <v>45989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53724-2025</t>
        </is>
      </c>
      <c r="B353" s="1" t="n">
        <v>45960.63174768518</v>
      </c>
      <c r="C353" s="1" t="n">
        <v>45989</v>
      </c>
      <c r="D353" t="inlineStr">
        <is>
          <t>VÄSTMANLANDS LÄN</t>
        </is>
      </c>
      <c r="E353" t="inlineStr">
        <is>
          <t>SALA</t>
        </is>
      </c>
      <c r="G353" t="n">
        <v>2.8</v>
      </c>
      <c r="H353" t="n">
        <v>0</v>
      </c>
      <c r="I353" t="n">
        <v>0</v>
      </c>
      <c r="J353" t="n">
        <v>0</v>
      </c>
      <c r="K353" t="n">
        <v>0</v>
      </c>
      <c r="L353" t="n">
        <v>0</v>
      </c>
      <c r="M353" t="n">
        <v>0</v>
      </c>
      <c r="N353" t="n">
        <v>0</v>
      </c>
      <c r="O353" t="n">
        <v>0</v>
      </c>
      <c r="P353" t="n">
        <v>0</v>
      </c>
      <c r="Q353" t="n">
        <v>0</v>
      </c>
      <c r="R353" s="2" t="inlineStr"/>
    </row>
    <row r="354" ht="15" customHeight="1">
      <c r="A354" t="inlineStr">
        <is>
          <t>A 41292-2021</t>
        </is>
      </c>
      <c r="B354" s="1" t="n">
        <v>44424</v>
      </c>
      <c r="C354" s="1" t="n">
        <v>45989</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60328-2024</t>
        </is>
      </c>
      <c r="B355" s="1" t="n">
        <v>45643.38416666666</v>
      </c>
      <c r="C355" s="1" t="n">
        <v>45989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6088-2021</t>
        </is>
      </c>
      <c r="B356" s="1" t="n">
        <v>44232</v>
      </c>
      <c r="C356" s="1" t="n">
        <v>45989</v>
      </c>
      <c r="D356" t="inlineStr">
        <is>
          <t>VÄSTMANLANDS LÄN</t>
        </is>
      </c>
      <c r="E356" t="inlineStr">
        <is>
          <t>SALA</t>
        </is>
      </c>
      <c r="G356" t="n">
        <v>0.2</v>
      </c>
      <c r="H356" t="n">
        <v>0</v>
      </c>
      <c r="I356" t="n">
        <v>0</v>
      </c>
      <c r="J356" t="n">
        <v>0</v>
      </c>
      <c r="K356" t="n">
        <v>0</v>
      </c>
      <c r="L356" t="n">
        <v>0</v>
      </c>
      <c r="M356" t="n">
        <v>0</v>
      </c>
      <c r="N356" t="n">
        <v>0</v>
      </c>
      <c r="O356" t="n">
        <v>0</v>
      </c>
      <c r="P356" t="n">
        <v>0</v>
      </c>
      <c r="Q356" t="n">
        <v>0</v>
      </c>
      <c r="R356" s="2" t="inlineStr"/>
    </row>
    <row r="357" ht="15" customHeight="1">
      <c r="A357" t="inlineStr">
        <is>
          <t>A 33273-2023</t>
        </is>
      </c>
      <c r="B357" s="1" t="n">
        <v>45127</v>
      </c>
      <c r="C357" s="1" t="n">
        <v>45989</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53744-2025</t>
        </is>
      </c>
      <c r="B358" s="1" t="n">
        <v>45960.64863425926</v>
      </c>
      <c r="C358" s="1" t="n">
        <v>45989</v>
      </c>
      <c r="D358" t="inlineStr">
        <is>
          <t>VÄSTMANLANDS LÄN</t>
        </is>
      </c>
      <c r="E358" t="inlineStr">
        <is>
          <t>SALA</t>
        </is>
      </c>
      <c r="G358" t="n">
        <v>2</v>
      </c>
      <c r="H358" t="n">
        <v>0</v>
      </c>
      <c r="I358" t="n">
        <v>0</v>
      </c>
      <c r="J358" t="n">
        <v>0</v>
      </c>
      <c r="K358" t="n">
        <v>0</v>
      </c>
      <c r="L358" t="n">
        <v>0</v>
      </c>
      <c r="M358" t="n">
        <v>0</v>
      </c>
      <c r="N358" t="n">
        <v>0</v>
      </c>
      <c r="O358" t="n">
        <v>0</v>
      </c>
      <c r="P358" t="n">
        <v>0</v>
      </c>
      <c r="Q358" t="n">
        <v>0</v>
      </c>
      <c r="R358" s="2" t="inlineStr"/>
    </row>
    <row r="359" ht="15" customHeight="1">
      <c r="A359" t="inlineStr">
        <is>
          <t>A 52827-2024</t>
        </is>
      </c>
      <c r="B359" s="1" t="n">
        <v>45610</v>
      </c>
      <c r="C359" s="1" t="n">
        <v>45989</v>
      </c>
      <c r="D359" t="inlineStr">
        <is>
          <t>VÄSTMANLANDS LÄN</t>
        </is>
      </c>
      <c r="E359" t="inlineStr">
        <is>
          <t>SALA</t>
        </is>
      </c>
      <c r="G359" t="n">
        <v>0.2</v>
      </c>
      <c r="H359" t="n">
        <v>0</v>
      </c>
      <c r="I359" t="n">
        <v>0</v>
      </c>
      <c r="J359" t="n">
        <v>0</v>
      </c>
      <c r="K359" t="n">
        <v>0</v>
      </c>
      <c r="L359" t="n">
        <v>0</v>
      </c>
      <c r="M359" t="n">
        <v>0</v>
      </c>
      <c r="N359" t="n">
        <v>0</v>
      </c>
      <c r="O359" t="n">
        <v>0</v>
      </c>
      <c r="P359" t="n">
        <v>0</v>
      </c>
      <c r="Q359" t="n">
        <v>0</v>
      </c>
      <c r="R359" s="2" t="inlineStr"/>
    </row>
    <row r="360" ht="15" customHeight="1">
      <c r="A360" t="inlineStr">
        <is>
          <t>A 53166-2024</t>
        </is>
      </c>
      <c r="B360" s="1" t="n">
        <v>45611</v>
      </c>
      <c r="C360" s="1" t="n">
        <v>45989</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11244-2024</t>
        </is>
      </c>
      <c r="B361" s="1" t="n">
        <v>45371</v>
      </c>
      <c r="C361" s="1" t="n">
        <v>45989</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62654-2022</t>
        </is>
      </c>
      <c r="B362" s="1" t="n">
        <v>44917</v>
      </c>
      <c r="C362" s="1" t="n">
        <v>45989</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35715-2025</t>
        </is>
      </c>
      <c r="B363" s="1" t="n">
        <v>45860.42148148148</v>
      </c>
      <c r="C363" s="1" t="n">
        <v>45989</v>
      </c>
      <c r="D363" t="inlineStr">
        <is>
          <t>VÄSTMANLANDS LÄN</t>
        </is>
      </c>
      <c r="E363" t="inlineStr">
        <is>
          <t>SALA</t>
        </is>
      </c>
      <c r="G363" t="n">
        <v>3.8</v>
      </c>
      <c r="H363" t="n">
        <v>0</v>
      </c>
      <c r="I363" t="n">
        <v>0</v>
      </c>
      <c r="J363" t="n">
        <v>0</v>
      </c>
      <c r="K363" t="n">
        <v>0</v>
      </c>
      <c r="L363" t="n">
        <v>0</v>
      </c>
      <c r="M363" t="n">
        <v>0</v>
      </c>
      <c r="N363" t="n">
        <v>0</v>
      </c>
      <c r="O363" t="n">
        <v>0</v>
      </c>
      <c r="P363" t="n">
        <v>0</v>
      </c>
      <c r="Q363" t="n">
        <v>0</v>
      </c>
      <c r="R363" s="2" t="inlineStr"/>
    </row>
    <row r="364" ht="15" customHeight="1">
      <c r="A364" t="inlineStr">
        <is>
          <t>A 35651-2025</t>
        </is>
      </c>
      <c r="B364" s="1" t="n">
        <v>45859.52435185185</v>
      </c>
      <c r="C364" s="1" t="n">
        <v>45989</v>
      </c>
      <c r="D364" t="inlineStr">
        <is>
          <t>VÄSTMANLANDS LÄN</t>
        </is>
      </c>
      <c r="E364" t="inlineStr">
        <is>
          <t>SALA</t>
        </is>
      </c>
      <c r="G364" t="n">
        <v>6.3</v>
      </c>
      <c r="H364" t="n">
        <v>0</v>
      </c>
      <c r="I364" t="n">
        <v>0</v>
      </c>
      <c r="J364" t="n">
        <v>0</v>
      </c>
      <c r="K364" t="n">
        <v>0</v>
      </c>
      <c r="L364" t="n">
        <v>0</v>
      </c>
      <c r="M364" t="n">
        <v>0</v>
      </c>
      <c r="N364" t="n">
        <v>0</v>
      </c>
      <c r="O364" t="n">
        <v>0</v>
      </c>
      <c r="P364" t="n">
        <v>0</v>
      </c>
      <c r="Q364" t="n">
        <v>0</v>
      </c>
      <c r="R364" s="2" t="inlineStr"/>
    </row>
    <row r="365" ht="15" customHeight="1">
      <c r="A365" t="inlineStr">
        <is>
          <t>A 6135-2023</t>
        </is>
      </c>
      <c r="B365" s="1" t="n">
        <v>44964.62628472222</v>
      </c>
      <c r="C365" s="1" t="n">
        <v>45989</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35775-2025</t>
        </is>
      </c>
      <c r="B366" s="1" t="n">
        <v>45860</v>
      </c>
      <c r="C366" s="1" t="n">
        <v>45989</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53864-2022</t>
        </is>
      </c>
      <c r="B367" s="1" t="n">
        <v>44880.64016203704</v>
      </c>
      <c r="C367" s="1" t="n">
        <v>45989</v>
      </c>
      <c r="D367" t="inlineStr">
        <is>
          <t>VÄSTMANLANDS LÄN</t>
        </is>
      </c>
      <c r="E367" t="inlineStr">
        <is>
          <t>SALA</t>
        </is>
      </c>
      <c r="G367" t="n">
        <v>5.9</v>
      </c>
      <c r="H367" t="n">
        <v>0</v>
      </c>
      <c r="I367" t="n">
        <v>0</v>
      </c>
      <c r="J367" t="n">
        <v>0</v>
      </c>
      <c r="K367" t="n">
        <v>0</v>
      </c>
      <c r="L367" t="n">
        <v>0</v>
      </c>
      <c r="M367" t="n">
        <v>0</v>
      </c>
      <c r="N367" t="n">
        <v>0</v>
      </c>
      <c r="O367" t="n">
        <v>0</v>
      </c>
      <c r="P367" t="n">
        <v>0</v>
      </c>
      <c r="Q367" t="n">
        <v>0</v>
      </c>
      <c r="R367" s="2" t="inlineStr"/>
    </row>
    <row r="368" ht="15" customHeight="1">
      <c r="A368" t="inlineStr">
        <is>
          <t>A 35774-2025</t>
        </is>
      </c>
      <c r="B368" s="1" t="n">
        <v>45860.68780092592</v>
      </c>
      <c r="C368" s="1" t="n">
        <v>45989</v>
      </c>
      <c r="D368" t="inlineStr">
        <is>
          <t>VÄSTMANLANDS LÄN</t>
        </is>
      </c>
      <c r="E368" t="inlineStr">
        <is>
          <t>SALA</t>
        </is>
      </c>
      <c r="G368" t="n">
        <v>6.5</v>
      </c>
      <c r="H368" t="n">
        <v>0</v>
      </c>
      <c r="I368" t="n">
        <v>0</v>
      </c>
      <c r="J368" t="n">
        <v>0</v>
      </c>
      <c r="K368" t="n">
        <v>0</v>
      </c>
      <c r="L368" t="n">
        <v>0</v>
      </c>
      <c r="M368" t="n">
        <v>0</v>
      </c>
      <c r="N368" t="n">
        <v>0</v>
      </c>
      <c r="O368" t="n">
        <v>0</v>
      </c>
      <c r="P368" t="n">
        <v>0</v>
      </c>
      <c r="Q368" t="n">
        <v>0</v>
      </c>
      <c r="R368" s="2" t="inlineStr"/>
    </row>
    <row r="369" ht="15" customHeight="1">
      <c r="A369" t="inlineStr">
        <is>
          <t>A 45371-2025</t>
        </is>
      </c>
      <c r="B369" s="1" t="n">
        <v>45922.39001157408</v>
      </c>
      <c r="C369" s="1" t="n">
        <v>45989</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54201-2025</t>
        </is>
      </c>
      <c r="B370" s="1" t="n">
        <v>45964.58055555556</v>
      </c>
      <c r="C370" s="1" t="n">
        <v>45989</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35776-2025</t>
        </is>
      </c>
      <c r="B371" s="1" t="n">
        <v>45860.69211805556</v>
      </c>
      <c r="C371" s="1" t="n">
        <v>45989</v>
      </c>
      <c r="D371" t="inlineStr">
        <is>
          <t>VÄSTMANLANDS LÄN</t>
        </is>
      </c>
      <c r="E371" t="inlineStr">
        <is>
          <t>SALA</t>
        </is>
      </c>
      <c r="G371" t="n">
        <v>14.2</v>
      </c>
      <c r="H371" t="n">
        <v>0</v>
      </c>
      <c r="I371" t="n">
        <v>0</v>
      </c>
      <c r="J371" t="n">
        <v>0</v>
      </c>
      <c r="K371" t="n">
        <v>0</v>
      </c>
      <c r="L371" t="n">
        <v>0</v>
      </c>
      <c r="M371" t="n">
        <v>0</v>
      </c>
      <c r="N371" t="n">
        <v>0</v>
      </c>
      <c r="O371" t="n">
        <v>0</v>
      </c>
      <c r="P371" t="n">
        <v>0</v>
      </c>
      <c r="Q371" t="n">
        <v>0</v>
      </c>
      <c r="R371" s="2" t="inlineStr"/>
    </row>
    <row r="372" ht="15" customHeight="1">
      <c r="A372" t="inlineStr">
        <is>
          <t>A 35779-2025</t>
        </is>
      </c>
      <c r="B372" s="1" t="n">
        <v>45860.69495370371</v>
      </c>
      <c r="C372" s="1" t="n">
        <v>45989</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27255-2023</t>
        </is>
      </c>
      <c r="B373" s="1" t="n">
        <v>45096</v>
      </c>
      <c r="C373" s="1" t="n">
        <v>45989</v>
      </c>
      <c r="D373" t="inlineStr">
        <is>
          <t>VÄSTMANLANDS LÄN</t>
        </is>
      </c>
      <c r="E373" t="inlineStr">
        <is>
          <t>SALA</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45177-2025</t>
        </is>
      </c>
      <c r="B374" s="1" t="n">
        <v>45919.52444444445</v>
      </c>
      <c r="C374" s="1" t="n">
        <v>45989</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36049-2025</t>
        </is>
      </c>
      <c r="B375" s="1" t="n">
        <v>45866.37065972222</v>
      </c>
      <c r="C375" s="1" t="n">
        <v>45989</v>
      </c>
      <c r="D375" t="inlineStr">
        <is>
          <t>VÄSTMANLANDS LÄN</t>
        </is>
      </c>
      <c r="E375" t="inlineStr">
        <is>
          <t>SALA</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60034-2024</t>
        </is>
      </c>
      <c r="B376" s="1" t="n">
        <v>45642.46261574074</v>
      </c>
      <c r="C376" s="1" t="n">
        <v>45989</v>
      </c>
      <c r="D376" t="inlineStr">
        <is>
          <t>VÄSTMANLANDS LÄN</t>
        </is>
      </c>
      <c r="E376" t="inlineStr">
        <is>
          <t>SALA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3810-2023</t>
        </is>
      </c>
      <c r="B377" s="1" t="n">
        <v>44951.60454861111</v>
      </c>
      <c r="C377" s="1" t="n">
        <v>45989</v>
      </c>
      <c r="D377" t="inlineStr">
        <is>
          <t>VÄSTMANLANDS LÄN</t>
        </is>
      </c>
      <c r="E377" t="inlineStr">
        <is>
          <t>SALA</t>
        </is>
      </c>
      <c r="G377" t="n">
        <v>4.2</v>
      </c>
      <c r="H377" t="n">
        <v>0</v>
      </c>
      <c r="I377" t="n">
        <v>0</v>
      </c>
      <c r="J377" t="n">
        <v>0</v>
      </c>
      <c r="K377" t="n">
        <v>0</v>
      </c>
      <c r="L377" t="n">
        <v>0</v>
      </c>
      <c r="M377" t="n">
        <v>0</v>
      </c>
      <c r="N377" t="n">
        <v>0</v>
      </c>
      <c r="O377" t="n">
        <v>0</v>
      </c>
      <c r="P377" t="n">
        <v>0</v>
      </c>
      <c r="Q377" t="n">
        <v>0</v>
      </c>
      <c r="R377" s="2" t="inlineStr"/>
    </row>
    <row r="378" ht="15" customHeight="1">
      <c r="A378" t="inlineStr">
        <is>
          <t>A 36031-2025</t>
        </is>
      </c>
      <c r="B378" s="1" t="n">
        <v>45865.46111111111</v>
      </c>
      <c r="C378" s="1" t="n">
        <v>45989</v>
      </c>
      <c r="D378" t="inlineStr">
        <is>
          <t>VÄSTMANLANDS LÄN</t>
        </is>
      </c>
      <c r="E378" t="inlineStr">
        <is>
          <t>SALA</t>
        </is>
      </c>
      <c r="G378" t="n">
        <v>7.2</v>
      </c>
      <c r="H378" t="n">
        <v>0</v>
      </c>
      <c r="I378" t="n">
        <v>0</v>
      </c>
      <c r="J378" t="n">
        <v>0</v>
      </c>
      <c r="K378" t="n">
        <v>0</v>
      </c>
      <c r="L378" t="n">
        <v>0</v>
      </c>
      <c r="M378" t="n">
        <v>0</v>
      </c>
      <c r="N378" t="n">
        <v>0</v>
      </c>
      <c r="O378" t="n">
        <v>0</v>
      </c>
      <c r="P378" t="n">
        <v>0</v>
      </c>
      <c r="Q378" t="n">
        <v>0</v>
      </c>
      <c r="R378" s="2" t="inlineStr"/>
    </row>
    <row r="379" ht="15" customHeight="1">
      <c r="A379" t="inlineStr">
        <is>
          <t>A 36060-2025</t>
        </is>
      </c>
      <c r="B379" s="1" t="n">
        <v>45866.39469907407</v>
      </c>
      <c r="C379" s="1" t="n">
        <v>45989</v>
      </c>
      <c r="D379" t="inlineStr">
        <is>
          <t>VÄSTMANLANDS LÄN</t>
        </is>
      </c>
      <c r="E379" t="inlineStr">
        <is>
          <t>SALA</t>
        </is>
      </c>
      <c r="F379" t="inlineStr">
        <is>
          <t>Kommuner</t>
        </is>
      </c>
      <c r="G379" t="n">
        <v>4.3</v>
      </c>
      <c r="H379" t="n">
        <v>0</v>
      </c>
      <c r="I379" t="n">
        <v>0</v>
      </c>
      <c r="J379" t="n">
        <v>0</v>
      </c>
      <c r="K379" t="n">
        <v>0</v>
      </c>
      <c r="L379" t="n">
        <v>0</v>
      </c>
      <c r="M379" t="n">
        <v>0</v>
      </c>
      <c r="N379" t="n">
        <v>0</v>
      </c>
      <c r="O379" t="n">
        <v>0</v>
      </c>
      <c r="P379" t="n">
        <v>0</v>
      </c>
      <c r="Q379" t="n">
        <v>0</v>
      </c>
      <c r="R379" s="2" t="inlineStr"/>
    </row>
    <row r="380" ht="15" customHeight="1">
      <c r="A380" t="inlineStr">
        <is>
          <t>A 36032-2025</t>
        </is>
      </c>
      <c r="B380" s="1" t="n">
        <v>45865.48740740741</v>
      </c>
      <c r="C380" s="1" t="n">
        <v>45989</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36043-2025</t>
        </is>
      </c>
      <c r="B381" s="1" t="n">
        <v>45866.35333333333</v>
      </c>
      <c r="C381" s="1" t="n">
        <v>45989</v>
      </c>
      <c r="D381" t="inlineStr">
        <is>
          <t>VÄSTMANLANDS LÄN</t>
        </is>
      </c>
      <c r="E381" t="inlineStr">
        <is>
          <t>SALA</t>
        </is>
      </c>
      <c r="F381" t="inlineStr">
        <is>
          <t>Kommuner</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36045-2025</t>
        </is>
      </c>
      <c r="B382" s="1" t="n">
        <v>45866.36200231482</v>
      </c>
      <c r="C382" s="1" t="n">
        <v>45989</v>
      </c>
      <c r="D382" t="inlineStr">
        <is>
          <t>VÄSTMANLANDS LÄN</t>
        </is>
      </c>
      <c r="E382" t="inlineStr">
        <is>
          <t>SALA</t>
        </is>
      </c>
      <c r="F382" t="inlineStr">
        <is>
          <t>Kommuner</t>
        </is>
      </c>
      <c r="G382" t="n">
        <v>1.7</v>
      </c>
      <c r="H382" t="n">
        <v>0</v>
      </c>
      <c r="I382" t="n">
        <v>0</v>
      </c>
      <c r="J382" t="n">
        <v>0</v>
      </c>
      <c r="K382" t="n">
        <v>0</v>
      </c>
      <c r="L382" t="n">
        <v>0</v>
      </c>
      <c r="M382" t="n">
        <v>0</v>
      </c>
      <c r="N382" t="n">
        <v>0</v>
      </c>
      <c r="O382" t="n">
        <v>0</v>
      </c>
      <c r="P382" t="n">
        <v>0</v>
      </c>
      <c r="Q382" t="n">
        <v>0</v>
      </c>
      <c r="R382" s="2" t="inlineStr"/>
    </row>
    <row r="383" ht="15" customHeight="1">
      <c r="A383" t="inlineStr">
        <is>
          <t>A 54590-2025</t>
        </is>
      </c>
      <c r="B383" s="1" t="n">
        <v>45965.74199074074</v>
      </c>
      <c r="C383" s="1" t="n">
        <v>45989</v>
      </c>
      <c r="D383" t="inlineStr">
        <is>
          <t>VÄSTMANLANDS LÄN</t>
        </is>
      </c>
      <c r="E383" t="inlineStr">
        <is>
          <t>SALA</t>
        </is>
      </c>
      <c r="G383" t="n">
        <v>0.7</v>
      </c>
      <c r="H383" t="n">
        <v>0</v>
      </c>
      <c r="I383" t="n">
        <v>0</v>
      </c>
      <c r="J383" t="n">
        <v>0</v>
      </c>
      <c r="K383" t="n">
        <v>0</v>
      </c>
      <c r="L383" t="n">
        <v>0</v>
      </c>
      <c r="M383" t="n">
        <v>0</v>
      </c>
      <c r="N383" t="n">
        <v>0</v>
      </c>
      <c r="O383" t="n">
        <v>0</v>
      </c>
      <c r="P383" t="n">
        <v>0</v>
      </c>
      <c r="Q383" t="n">
        <v>0</v>
      </c>
      <c r="R383" s="2" t="inlineStr"/>
    </row>
    <row r="384" ht="15" customHeight="1">
      <c r="A384" t="inlineStr">
        <is>
          <t>A 52503-2024</t>
        </is>
      </c>
      <c r="B384" s="1" t="n">
        <v>45609.58806712963</v>
      </c>
      <c r="C384" s="1" t="n">
        <v>45989</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2521-2025</t>
        </is>
      </c>
      <c r="B385" s="1" t="n">
        <v>45674</v>
      </c>
      <c r="C385" s="1" t="n">
        <v>45989</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17985-2025</t>
        </is>
      </c>
      <c r="B386" s="1" t="n">
        <v>45761</v>
      </c>
      <c r="C386" s="1" t="n">
        <v>45989</v>
      </c>
      <c r="D386" t="inlineStr">
        <is>
          <t>VÄSTMANLANDS LÄN</t>
        </is>
      </c>
      <c r="E386" t="inlineStr">
        <is>
          <t>SALA</t>
        </is>
      </c>
      <c r="G386" t="n">
        <v>12.5</v>
      </c>
      <c r="H386" t="n">
        <v>0</v>
      </c>
      <c r="I386" t="n">
        <v>0</v>
      </c>
      <c r="J386" t="n">
        <v>0</v>
      </c>
      <c r="K386" t="n">
        <v>0</v>
      </c>
      <c r="L386" t="n">
        <v>0</v>
      </c>
      <c r="M386" t="n">
        <v>0</v>
      </c>
      <c r="N386" t="n">
        <v>0</v>
      </c>
      <c r="O386" t="n">
        <v>0</v>
      </c>
      <c r="P386" t="n">
        <v>0</v>
      </c>
      <c r="Q386" t="n">
        <v>0</v>
      </c>
      <c r="R386" s="2" t="inlineStr"/>
    </row>
    <row r="387" ht="15" customHeight="1">
      <c r="A387" t="inlineStr">
        <is>
          <t>A 31869-2025</t>
        </is>
      </c>
      <c r="B387" s="1" t="n">
        <v>45834.64555555556</v>
      </c>
      <c r="C387" s="1" t="n">
        <v>45989</v>
      </c>
      <c r="D387" t="inlineStr">
        <is>
          <t>VÄSTMANLANDS LÄN</t>
        </is>
      </c>
      <c r="E387" t="inlineStr">
        <is>
          <t>SALA</t>
        </is>
      </c>
      <c r="G387" t="n">
        <v>17.5</v>
      </c>
      <c r="H387" t="n">
        <v>0</v>
      </c>
      <c r="I387" t="n">
        <v>0</v>
      </c>
      <c r="J387" t="n">
        <v>0</v>
      </c>
      <c r="K387" t="n">
        <v>0</v>
      </c>
      <c r="L387" t="n">
        <v>0</v>
      </c>
      <c r="M387" t="n">
        <v>0</v>
      </c>
      <c r="N387" t="n">
        <v>0</v>
      </c>
      <c r="O387" t="n">
        <v>0</v>
      </c>
      <c r="P387" t="n">
        <v>0</v>
      </c>
      <c r="Q387" t="n">
        <v>0</v>
      </c>
      <c r="R387" s="2" t="inlineStr"/>
    </row>
    <row r="388" ht="15" customHeight="1">
      <c r="A388" t="inlineStr">
        <is>
          <t>A 31863-2025</t>
        </is>
      </c>
      <c r="B388" s="1" t="n">
        <v>45834.63303240741</v>
      </c>
      <c r="C388" s="1" t="n">
        <v>45989</v>
      </c>
      <c r="D388" t="inlineStr">
        <is>
          <t>VÄSTMANLANDS LÄN</t>
        </is>
      </c>
      <c r="E388" t="inlineStr">
        <is>
          <t>SALA</t>
        </is>
      </c>
      <c r="G388" t="n">
        <v>2.5</v>
      </c>
      <c r="H388" t="n">
        <v>0</v>
      </c>
      <c r="I388" t="n">
        <v>0</v>
      </c>
      <c r="J388" t="n">
        <v>0</v>
      </c>
      <c r="K388" t="n">
        <v>0</v>
      </c>
      <c r="L388" t="n">
        <v>0</v>
      </c>
      <c r="M388" t="n">
        <v>0</v>
      </c>
      <c r="N388" t="n">
        <v>0</v>
      </c>
      <c r="O388" t="n">
        <v>0</v>
      </c>
      <c r="P388" t="n">
        <v>0</v>
      </c>
      <c r="Q388" t="n">
        <v>0</v>
      </c>
      <c r="R388" s="2" t="inlineStr"/>
    </row>
    <row r="389" ht="15" customHeight="1">
      <c r="A389" t="inlineStr">
        <is>
          <t>A 17766-2025</t>
        </is>
      </c>
      <c r="B389" s="1" t="n">
        <v>45758</v>
      </c>
      <c r="C389" s="1" t="n">
        <v>45989</v>
      </c>
      <c r="D389" t="inlineStr">
        <is>
          <t>VÄSTMANLANDS LÄN</t>
        </is>
      </c>
      <c r="E389" t="inlineStr">
        <is>
          <t>SALA</t>
        </is>
      </c>
      <c r="G389" t="n">
        <v>16.5</v>
      </c>
      <c r="H389" t="n">
        <v>0</v>
      </c>
      <c r="I389" t="n">
        <v>0</v>
      </c>
      <c r="J389" t="n">
        <v>0</v>
      </c>
      <c r="K389" t="n">
        <v>0</v>
      </c>
      <c r="L389" t="n">
        <v>0</v>
      </c>
      <c r="M389" t="n">
        <v>0</v>
      </c>
      <c r="N389" t="n">
        <v>0</v>
      </c>
      <c r="O389" t="n">
        <v>0</v>
      </c>
      <c r="P389" t="n">
        <v>0</v>
      </c>
      <c r="Q389" t="n">
        <v>0</v>
      </c>
      <c r="R389" s="2" t="inlineStr"/>
    </row>
    <row r="390" ht="15" customHeight="1">
      <c r="A390" t="inlineStr">
        <is>
          <t>A 7664-2023</t>
        </is>
      </c>
      <c r="B390" s="1" t="n">
        <v>44972</v>
      </c>
      <c r="C390" s="1" t="n">
        <v>45989</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3546-2025</t>
        </is>
      </c>
      <c r="B391" s="1" t="n">
        <v>45680</v>
      </c>
      <c r="C391" s="1" t="n">
        <v>45989</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45914-2025</t>
        </is>
      </c>
      <c r="B392" s="1" t="n">
        <v>45923.82582175926</v>
      </c>
      <c r="C392" s="1" t="n">
        <v>45989</v>
      </c>
      <c r="D392" t="inlineStr">
        <is>
          <t>VÄSTMANLANDS LÄN</t>
        </is>
      </c>
      <c r="E392" t="inlineStr">
        <is>
          <t>SALA</t>
        </is>
      </c>
      <c r="F392" t="inlineStr">
        <is>
          <t>Kommuner</t>
        </is>
      </c>
      <c r="G392" t="n">
        <v>18.2</v>
      </c>
      <c r="H392" t="n">
        <v>0</v>
      </c>
      <c r="I392" t="n">
        <v>0</v>
      </c>
      <c r="J392" t="n">
        <v>0</v>
      </c>
      <c r="K392" t="n">
        <v>0</v>
      </c>
      <c r="L392" t="n">
        <v>0</v>
      </c>
      <c r="M392" t="n">
        <v>0</v>
      </c>
      <c r="N392" t="n">
        <v>0</v>
      </c>
      <c r="O392" t="n">
        <v>0</v>
      </c>
      <c r="P392" t="n">
        <v>0</v>
      </c>
      <c r="Q392" t="n">
        <v>0</v>
      </c>
      <c r="R392" s="2" t="inlineStr"/>
    </row>
    <row r="393" ht="15" customHeight="1">
      <c r="A393" t="inlineStr">
        <is>
          <t>A 45909-2025</t>
        </is>
      </c>
      <c r="B393" s="1" t="n">
        <v>45923.75078703704</v>
      </c>
      <c r="C393" s="1" t="n">
        <v>45989</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31000-2022</t>
        </is>
      </c>
      <c r="B394" s="1" t="n">
        <v>44768</v>
      </c>
      <c r="C394" s="1" t="n">
        <v>45989</v>
      </c>
      <c r="D394" t="inlineStr">
        <is>
          <t>VÄSTMANLANDS LÄN</t>
        </is>
      </c>
      <c r="E394" t="inlineStr">
        <is>
          <t>SALA</t>
        </is>
      </c>
      <c r="G394" t="n">
        <v>5.7</v>
      </c>
      <c r="H394" t="n">
        <v>0</v>
      </c>
      <c r="I394" t="n">
        <v>0</v>
      </c>
      <c r="J394" t="n">
        <v>0</v>
      </c>
      <c r="K394" t="n">
        <v>0</v>
      </c>
      <c r="L394" t="n">
        <v>0</v>
      </c>
      <c r="M394" t="n">
        <v>0</v>
      </c>
      <c r="N394" t="n">
        <v>0</v>
      </c>
      <c r="O394" t="n">
        <v>0</v>
      </c>
      <c r="P394" t="n">
        <v>0</v>
      </c>
      <c r="Q394" t="n">
        <v>0</v>
      </c>
      <c r="R394" s="2" t="inlineStr"/>
    </row>
    <row r="395" ht="15" customHeight="1">
      <c r="A395" t="inlineStr">
        <is>
          <t>A 54344-2025</t>
        </is>
      </c>
      <c r="B395" s="1" t="n">
        <v>45965.36462962963</v>
      </c>
      <c r="C395" s="1" t="n">
        <v>45989</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46597-2025</t>
        </is>
      </c>
      <c r="B396" s="1" t="n">
        <v>45926.40113425926</v>
      </c>
      <c r="C396" s="1" t="n">
        <v>45989</v>
      </c>
      <c r="D396" t="inlineStr">
        <is>
          <t>VÄSTMANLANDS LÄN</t>
        </is>
      </c>
      <c r="E396" t="inlineStr">
        <is>
          <t>SALA</t>
        </is>
      </c>
      <c r="G396" t="n">
        <v>3.4</v>
      </c>
      <c r="H396" t="n">
        <v>0</v>
      </c>
      <c r="I396" t="n">
        <v>0</v>
      </c>
      <c r="J396" t="n">
        <v>0</v>
      </c>
      <c r="K396" t="n">
        <v>0</v>
      </c>
      <c r="L396" t="n">
        <v>0</v>
      </c>
      <c r="M396" t="n">
        <v>0</v>
      </c>
      <c r="N396" t="n">
        <v>0</v>
      </c>
      <c r="O396" t="n">
        <v>0</v>
      </c>
      <c r="P396" t="n">
        <v>0</v>
      </c>
      <c r="Q396" t="n">
        <v>0</v>
      </c>
      <c r="R396" s="2" t="inlineStr"/>
    </row>
    <row r="397" ht="15" customHeight="1">
      <c r="A397" t="inlineStr">
        <is>
          <t>A 31950-2023</t>
        </is>
      </c>
      <c r="B397" s="1" t="n">
        <v>45107</v>
      </c>
      <c r="C397" s="1" t="n">
        <v>45989</v>
      </c>
      <c r="D397" t="inlineStr">
        <is>
          <t>VÄSTMANLANDS LÄN</t>
        </is>
      </c>
      <c r="E397" t="inlineStr">
        <is>
          <t>SALA</t>
        </is>
      </c>
      <c r="G397" t="n">
        <v>0.1</v>
      </c>
      <c r="H397" t="n">
        <v>0</v>
      </c>
      <c r="I397" t="n">
        <v>0</v>
      </c>
      <c r="J397" t="n">
        <v>0</v>
      </c>
      <c r="K397" t="n">
        <v>0</v>
      </c>
      <c r="L397" t="n">
        <v>0</v>
      </c>
      <c r="M397" t="n">
        <v>0</v>
      </c>
      <c r="N397" t="n">
        <v>0</v>
      </c>
      <c r="O397" t="n">
        <v>0</v>
      </c>
      <c r="P397" t="n">
        <v>0</v>
      </c>
      <c r="Q397" t="n">
        <v>0</v>
      </c>
      <c r="R397" s="2" t="inlineStr"/>
    </row>
    <row r="398" ht="15" customHeight="1">
      <c r="A398" t="inlineStr">
        <is>
          <t>A 54893-2025</t>
        </is>
      </c>
      <c r="B398" s="1" t="n">
        <v>45967.36383101852</v>
      </c>
      <c r="C398" s="1" t="n">
        <v>45989</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37017-2025</t>
        </is>
      </c>
      <c r="B399" s="1" t="n">
        <v>45874</v>
      </c>
      <c r="C399" s="1" t="n">
        <v>45989</v>
      </c>
      <c r="D399" t="inlineStr">
        <is>
          <t>VÄSTMANLANDS LÄN</t>
        </is>
      </c>
      <c r="E399" t="inlineStr">
        <is>
          <t>SALA</t>
        </is>
      </c>
      <c r="G399" t="n">
        <v>11.1</v>
      </c>
      <c r="H399" t="n">
        <v>0</v>
      </c>
      <c r="I399" t="n">
        <v>0</v>
      </c>
      <c r="J399" t="n">
        <v>0</v>
      </c>
      <c r="K399" t="n">
        <v>0</v>
      </c>
      <c r="L399" t="n">
        <v>0</v>
      </c>
      <c r="M399" t="n">
        <v>0</v>
      </c>
      <c r="N399" t="n">
        <v>0</v>
      </c>
      <c r="O399" t="n">
        <v>0</v>
      </c>
      <c r="P399" t="n">
        <v>0</v>
      </c>
      <c r="Q399" t="n">
        <v>0</v>
      </c>
      <c r="R399" s="2" t="inlineStr"/>
    </row>
    <row r="400" ht="15" customHeight="1">
      <c r="A400" t="inlineStr">
        <is>
          <t>A 16693-2023</t>
        </is>
      </c>
      <c r="B400" s="1" t="n">
        <v>45028</v>
      </c>
      <c r="C400" s="1" t="n">
        <v>45989</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23182-2022</t>
        </is>
      </c>
      <c r="B401" s="1" t="n">
        <v>44719.79707175926</v>
      </c>
      <c r="C401" s="1" t="n">
        <v>45989</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57371-2022</t>
        </is>
      </c>
      <c r="B402" s="1" t="n">
        <v>44896.43832175926</v>
      </c>
      <c r="C402" s="1" t="n">
        <v>45989</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37103-2025</t>
        </is>
      </c>
      <c r="B403" s="1" t="n">
        <v>45875.47743055555</v>
      </c>
      <c r="C403" s="1" t="n">
        <v>45989</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37246-2025</t>
        </is>
      </c>
      <c r="B404" s="1" t="n">
        <v>45876.39435185185</v>
      </c>
      <c r="C404" s="1" t="n">
        <v>45989</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17722-2025</t>
        </is>
      </c>
      <c r="B405" s="1" t="n">
        <v>45758</v>
      </c>
      <c r="C405" s="1" t="n">
        <v>45989</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46661-2025</t>
        </is>
      </c>
      <c r="B406" s="1" t="n">
        <v>45926</v>
      </c>
      <c r="C406" s="1" t="n">
        <v>45989</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56548-2024</t>
        </is>
      </c>
      <c r="B407" s="1" t="n">
        <v>45625</v>
      </c>
      <c r="C407" s="1" t="n">
        <v>45989</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47086-2022</t>
        </is>
      </c>
      <c r="B408" s="1" t="n">
        <v>44852</v>
      </c>
      <c r="C408" s="1" t="n">
        <v>45989</v>
      </c>
      <c r="D408" t="inlineStr">
        <is>
          <t>VÄSTMANLANDS LÄN</t>
        </is>
      </c>
      <c r="E408" t="inlineStr">
        <is>
          <t>SALA</t>
        </is>
      </c>
      <c r="G408" t="n">
        <v>12.5</v>
      </c>
      <c r="H408" t="n">
        <v>0</v>
      </c>
      <c r="I408" t="n">
        <v>0</v>
      </c>
      <c r="J408" t="n">
        <v>0</v>
      </c>
      <c r="K408" t="n">
        <v>0</v>
      </c>
      <c r="L408" t="n">
        <v>0</v>
      </c>
      <c r="M408" t="n">
        <v>0</v>
      </c>
      <c r="N408" t="n">
        <v>0</v>
      </c>
      <c r="O408" t="n">
        <v>0</v>
      </c>
      <c r="P408" t="n">
        <v>0</v>
      </c>
      <c r="Q408" t="n">
        <v>0</v>
      </c>
      <c r="R408" s="2" t="inlineStr"/>
    </row>
    <row r="409" ht="15" customHeight="1">
      <c r="A409" t="inlineStr">
        <is>
          <t>A 37590-2025</t>
        </is>
      </c>
      <c r="B409" s="1" t="n">
        <v>45880.41138888889</v>
      </c>
      <c r="C409" s="1" t="n">
        <v>45989</v>
      </c>
      <c r="D409" t="inlineStr">
        <is>
          <t>VÄSTMANLANDS LÄN</t>
        </is>
      </c>
      <c r="E409" t="inlineStr">
        <is>
          <t>SALA</t>
        </is>
      </c>
      <c r="G409" t="n">
        <v>2.2</v>
      </c>
      <c r="H409" t="n">
        <v>0</v>
      </c>
      <c r="I409" t="n">
        <v>0</v>
      </c>
      <c r="J409" t="n">
        <v>0</v>
      </c>
      <c r="K409" t="n">
        <v>0</v>
      </c>
      <c r="L409" t="n">
        <v>0</v>
      </c>
      <c r="M409" t="n">
        <v>0</v>
      </c>
      <c r="N409" t="n">
        <v>0</v>
      </c>
      <c r="O409" t="n">
        <v>0</v>
      </c>
      <c r="P409" t="n">
        <v>0</v>
      </c>
      <c r="Q409" t="n">
        <v>0</v>
      </c>
      <c r="R409" s="2" t="inlineStr"/>
    </row>
    <row r="410" ht="15" customHeight="1">
      <c r="A410" t="inlineStr">
        <is>
          <t>A 37593-2025</t>
        </is>
      </c>
      <c r="B410" s="1" t="n">
        <v>45880.41325231481</v>
      </c>
      <c r="C410" s="1" t="n">
        <v>45989</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43359-2024</t>
        </is>
      </c>
      <c r="B411" s="1" t="n">
        <v>45568.57724537037</v>
      </c>
      <c r="C411" s="1" t="n">
        <v>45989</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29972-2025</t>
        </is>
      </c>
      <c r="B412" s="1" t="n">
        <v>45826</v>
      </c>
      <c r="C412" s="1" t="n">
        <v>45989</v>
      </c>
      <c r="D412" t="inlineStr">
        <is>
          <t>VÄSTMANLANDS LÄN</t>
        </is>
      </c>
      <c r="E412" t="inlineStr">
        <is>
          <t>SALA</t>
        </is>
      </c>
      <c r="G412" t="n">
        <v>2.7</v>
      </c>
      <c r="H412" t="n">
        <v>0</v>
      </c>
      <c r="I412" t="n">
        <v>0</v>
      </c>
      <c r="J412" t="n">
        <v>0</v>
      </c>
      <c r="K412" t="n">
        <v>0</v>
      </c>
      <c r="L412" t="n">
        <v>0</v>
      </c>
      <c r="M412" t="n">
        <v>0</v>
      </c>
      <c r="N412" t="n">
        <v>0</v>
      </c>
      <c r="O412" t="n">
        <v>0</v>
      </c>
      <c r="P412" t="n">
        <v>0</v>
      </c>
      <c r="Q412" t="n">
        <v>0</v>
      </c>
      <c r="R412" s="2" t="inlineStr"/>
    </row>
    <row r="413" ht="15" customHeight="1">
      <c r="A413" t="inlineStr">
        <is>
          <t>A 46915-2025</t>
        </is>
      </c>
      <c r="B413" s="1" t="n">
        <v>45929.42114583333</v>
      </c>
      <c r="C413" s="1" t="n">
        <v>45989</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55714-2025</t>
        </is>
      </c>
      <c r="B414" s="1" t="n">
        <v>45972.49131944445</v>
      </c>
      <c r="C414" s="1" t="n">
        <v>45989</v>
      </c>
      <c r="D414" t="inlineStr">
        <is>
          <t>VÄSTMANLANDS LÄN</t>
        </is>
      </c>
      <c r="E414" t="inlineStr">
        <is>
          <t>SALA</t>
        </is>
      </c>
      <c r="G414" t="n">
        <v>6.6</v>
      </c>
      <c r="H414" t="n">
        <v>0</v>
      </c>
      <c r="I414" t="n">
        <v>0</v>
      </c>
      <c r="J414" t="n">
        <v>0</v>
      </c>
      <c r="K414" t="n">
        <v>0</v>
      </c>
      <c r="L414" t="n">
        <v>0</v>
      </c>
      <c r="M414" t="n">
        <v>0</v>
      </c>
      <c r="N414" t="n">
        <v>0</v>
      </c>
      <c r="O414" t="n">
        <v>0</v>
      </c>
      <c r="P414" t="n">
        <v>0</v>
      </c>
      <c r="Q414" t="n">
        <v>0</v>
      </c>
      <c r="R414" s="2" t="inlineStr"/>
    </row>
    <row r="415" ht="15" customHeight="1">
      <c r="A415" t="inlineStr">
        <is>
          <t>A 988-2025</t>
        </is>
      </c>
      <c r="B415" s="1" t="n">
        <v>45666.44038194444</v>
      </c>
      <c r="C415" s="1" t="n">
        <v>45989</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5032-2025</t>
        </is>
      </c>
      <c r="B416" s="1" t="n">
        <v>45691</v>
      </c>
      <c r="C416" s="1" t="n">
        <v>45989</v>
      </c>
      <c r="D416" t="inlineStr">
        <is>
          <t>VÄSTMANLANDS LÄN</t>
        </is>
      </c>
      <c r="E416" t="inlineStr">
        <is>
          <t>SALA</t>
        </is>
      </c>
      <c r="G416" t="n">
        <v>0.9</v>
      </c>
      <c r="H416" t="n">
        <v>0</v>
      </c>
      <c r="I416" t="n">
        <v>0</v>
      </c>
      <c r="J416" t="n">
        <v>0</v>
      </c>
      <c r="K416" t="n">
        <v>0</v>
      </c>
      <c r="L416" t="n">
        <v>0</v>
      </c>
      <c r="M416" t="n">
        <v>0</v>
      </c>
      <c r="N416" t="n">
        <v>0</v>
      </c>
      <c r="O416" t="n">
        <v>0</v>
      </c>
      <c r="P416" t="n">
        <v>0</v>
      </c>
      <c r="Q416" t="n">
        <v>0</v>
      </c>
      <c r="R416" s="2" t="inlineStr"/>
    </row>
    <row r="417" ht="15" customHeight="1">
      <c r="A417" t="inlineStr">
        <is>
          <t>A 55997-2025</t>
        </is>
      </c>
      <c r="B417" s="1" t="n">
        <v>45973.56833333334</v>
      </c>
      <c r="C417" s="1" t="n">
        <v>45989</v>
      </c>
      <c r="D417" t="inlineStr">
        <is>
          <t>VÄSTMANLANDS LÄN</t>
        </is>
      </c>
      <c r="E417" t="inlineStr">
        <is>
          <t>SALA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66908-2021</t>
        </is>
      </c>
      <c r="B418" s="1" t="n">
        <v>44522</v>
      </c>
      <c r="C418" s="1" t="n">
        <v>45989</v>
      </c>
      <c r="D418" t="inlineStr">
        <is>
          <t>VÄSTMANLANDS LÄN</t>
        </is>
      </c>
      <c r="E418" t="inlineStr">
        <is>
          <t>SALA</t>
        </is>
      </c>
      <c r="G418" t="n">
        <v>2.6</v>
      </c>
      <c r="H418" t="n">
        <v>0</v>
      </c>
      <c r="I418" t="n">
        <v>0</v>
      </c>
      <c r="J418" t="n">
        <v>0</v>
      </c>
      <c r="K418" t="n">
        <v>0</v>
      </c>
      <c r="L418" t="n">
        <v>0</v>
      </c>
      <c r="M418" t="n">
        <v>0</v>
      </c>
      <c r="N418" t="n">
        <v>0</v>
      </c>
      <c r="O418" t="n">
        <v>0</v>
      </c>
      <c r="P418" t="n">
        <v>0</v>
      </c>
      <c r="Q418" t="n">
        <v>0</v>
      </c>
      <c r="R418" s="2" t="inlineStr"/>
    </row>
    <row r="419" ht="15" customHeight="1">
      <c r="A419" t="inlineStr">
        <is>
          <t>A 48057-2025</t>
        </is>
      </c>
      <c r="B419" s="1" t="n">
        <v>45932.67947916667</v>
      </c>
      <c r="C419" s="1" t="n">
        <v>45989</v>
      </c>
      <c r="D419" t="inlineStr">
        <is>
          <t>VÄSTMANLANDS LÄN</t>
        </is>
      </c>
      <c r="E419" t="inlineStr">
        <is>
          <t>SALA</t>
        </is>
      </c>
      <c r="G419" t="n">
        <v>4.3</v>
      </c>
      <c r="H419" t="n">
        <v>0</v>
      </c>
      <c r="I419" t="n">
        <v>0</v>
      </c>
      <c r="J419" t="n">
        <v>0</v>
      </c>
      <c r="K419" t="n">
        <v>0</v>
      </c>
      <c r="L419" t="n">
        <v>0</v>
      </c>
      <c r="M419" t="n">
        <v>0</v>
      </c>
      <c r="N419" t="n">
        <v>0</v>
      </c>
      <c r="O419" t="n">
        <v>0</v>
      </c>
      <c r="P419" t="n">
        <v>0</v>
      </c>
      <c r="Q419" t="n">
        <v>0</v>
      </c>
      <c r="R419" s="2" t="inlineStr"/>
    </row>
    <row r="420" ht="15" customHeight="1">
      <c r="A420" t="inlineStr">
        <is>
          <t>A 11696-2025</t>
        </is>
      </c>
      <c r="B420" s="1" t="n">
        <v>45727</v>
      </c>
      <c r="C420" s="1" t="n">
        <v>45989</v>
      </c>
      <c r="D420" t="inlineStr">
        <is>
          <t>VÄSTMANLANDS LÄN</t>
        </is>
      </c>
      <c r="E420" t="inlineStr">
        <is>
          <t>SALA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47577-2025</t>
        </is>
      </c>
      <c r="B421" s="1" t="n">
        <v>45931.4047337963</v>
      </c>
      <c r="C421" s="1" t="n">
        <v>45989</v>
      </c>
      <c r="D421" t="inlineStr">
        <is>
          <t>VÄSTMANLANDS LÄN</t>
        </is>
      </c>
      <c r="E421" t="inlineStr">
        <is>
          <t>SALA</t>
        </is>
      </c>
      <c r="G421" t="n">
        <v>3.7</v>
      </c>
      <c r="H421" t="n">
        <v>0</v>
      </c>
      <c r="I421" t="n">
        <v>0</v>
      </c>
      <c r="J421" t="n">
        <v>0</v>
      </c>
      <c r="K421" t="n">
        <v>0</v>
      </c>
      <c r="L421" t="n">
        <v>0</v>
      </c>
      <c r="M421" t="n">
        <v>0</v>
      </c>
      <c r="N421" t="n">
        <v>0</v>
      </c>
      <c r="O421" t="n">
        <v>0</v>
      </c>
      <c r="P421" t="n">
        <v>0</v>
      </c>
      <c r="Q421" t="n">
        <v>0</v>
      </c>
      <c r="R421" s="2" t="inlineStr"/>
    </row>
    <row r="422" ht="15" customHeight="1">
      <c r="A422" t="inlineStr">
        <is>
          <t>A 43509-2021</t>
        </is>
      </c>
      <c r="B422" s="1" t="n">
        <v>44433</v>
      </c>
      <c r="C422" s="1" t="n">
        <v>45989</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13746-2025</t>
        </is>
      </c>
      <c r="B423" s="1" t="n">
        <v>45737.40944444444</v>
      </c>
      <c r="C423" s="1" t="n">
        <v>45989</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25897-2024</t>
        </is>
      </c>
      <c r="B424" s="1" t="n">
        <v>45467.54435185185</v>
      </c>
      <c r="C424" s="1" t="n">
        <v>45989</v>
      </c>
      <c r="D424" t="inlineStr">
        <is>
          <t>VÄSTMANLANDS LÄN</t>
        </is>
      </c>
      <c r="E424" t="inlineStr">
        <is>
          <t>SALA</t>
        </is>
      </c>
      <c r="G424" t="n">
        <v>9.9</v>
      </c>
      <c r="H424" t="n">
        <v>0</v>
      </c>
      <c r="I424" t="n">
        <v>0</v>
      </c>
      <c r="J424" t="n">
        <v>0</v>
      </c>
      <c r="K424" t="n">
        <v>0</v>
      </c>
      <c r="L424" t="n">
        <v>0</v>
      </c>
      <c r="M424" t="n">
        <v>0</v>
      </c>
      <c r="N424" t="n">
        <v>0</v>
      </c>
      <c r="O424" t="n">
        <v>0</v>
      </c>
      <c r="P424" t="n">
        <v>0</v>
      </c>
      <c r="Q424" t="n">
        <v>0</v>
      </c>
      <c r="R424" s="2" t="inlineStr"/>
    </row>
    <row r="425" ht="15" customHeight="1">
      <c r="A425" t="inlineStr">
        <is>
          <t>A 23222-2023</t>
        </is>
      </c>
      <c r="B425" s="1" t="n">
        <v>45075</v>
      </c>
      <c r="C425" s="1" t="n">
        <v>45989</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23224-2023</t>
        </is>
      </c>
      <c r="B426" s="1" t="n">
        <v>45075.65040509259</v>
      </c>
      <c r="C426" s="1" t="n">
        <v>45989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50479-2022</t>
        </is>
      </c>
      <c r="B427" s="1" t="n">
        <v>44861</v>
      </c>
      <c r="C427" s="1" t="n">
        <v>45989</v>
      </c>
      <c r="D427" t="inlineStr">
        <is>
          <t>VÄSTMANLANDS LÄN</t>
        </is>
      </c>
      <c r="E427" t="inlineStr">
        <is>
          <t>SALA</t>
        </is>
      </c>
      <c r="G427" t="n">
        <v>0.9</v>
      </c>
      <c r="H427" t="n">
        <v>0</v>
      </c>
      <c r="I427" t="n">
        <v>0</v>
      </c>
      <c r="J427" t="n">
        <v>0</v>
      </c>
      <c r="K427" t="n">
        <v>0</v>
      </c>
      <c r="L427" t="n">
        <v>0</v>
      </c>
      <c r="M427" t="n">
        <v>0</v>
      </c>
      <c r="N427" t="n">
        <v>0</v>
      </c>
      <c r="O427" t="n">
        <v>0</v>
      </c>
      <c r="P427" t="n">
        <v>0</v>
      </c>
      <c r="Q427" t="n">
        <v>0</v>
      </c>
      <c r="R427" s="2" t="inlineStr"/>
    </row>
    <row r="428" ht="15" customHeight="1">
      <c r="A428" t="inlineStr">
        <is>
          <t>A 14919-2025</t>
        </is>
      </c>
      <c r="B428" s="1" t="n">
        <v>45743.54256944444</v>
      </c>
      <c r="C428" s="1" t="n">
        <v>45989</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14920-2025</t>
        </is>
      </c>
      <c r="B429" s="1" t="n">
        <v>45743</v>
      </c>
      <c r="C429" s="1" t="n">
        <v>45989</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48710-2025</t>
        </is>
      </c>
      <c r="B430" s="1" t="n">
        <v>45936.63184027778</v>
      </c>
      <c r="C430" s="1" t="n">
        <v>45989</v>
      </c>
      <c r="D430" t="inlineStr">
        <is>
          <t>VÄSTMANLANDS LÄN</t>
        </is>
      </c>
      <c r="E430" t="inlineStr">
        <is>
          <t>SALA</t>
        </is>
      </c>
      <c r="G430" t="n">
        <v>2.7</v>
      </c>
      <c r="H430" t="n">
        <v>0</v>
      </c>
      <c r="I430" t="n">
        <v>0</v>
      </c>
      <c r="J430" t="n">
        <v>0</v>
      </c>
      <c r="K430" t="n">
        <v>0</v>
      </c>
      <c r="L430" t="n">
        <v>0</v>
      </c>
      <c r="M430" t="n">
        <v>0</v>
      </c>
      <c r="N430" t="n">
        <v>0</v>
      </c>
      <c r="O430" t="n">
        <v>0</v>
      </c>
      <c r="P430" t="n">
        <v>0</v>
      </c>
      <c r="Q430" t="n">
        <v>0</v>
      </c>
      <c r="R430" s="2" t="inlineStr"/>
    </row>
    <row r="431" ht="15" customHeight="1">
      <c r="A431" t="inlineStr">
        <is>
          <t>A 13855-2023</t>
        </is>
      </c>
      <c r="B431" s="1" t="n">
        <v>45007</v>
      </c>
      <c r="C431" s="1" t="n">
        <v>45989</v>
      </c>
      <c r="D431" t="inlineStr">
        <is>
          <t>VÄSTMANLANDS LÄN</t>
        </is>
      </c>
      <c r="E431" t="inlineStr">
        <is>
          <t>SALA</t>
        </is>
      </c>
      <c r="G431" t="n">
        <v>2.9</v>
      </c>
      <c r="H431" t="n">
        <v>0</v>
      </c>
      <c r="I431" t="n">
        <v>0</v>
      </c>
      <c r="J431" t="n">
        <v>0</v>
      </c>
      <c r="K431" t="n">
        <v>0</v>
      </c>
      <c r="L431" t="n">
        <v>0</v>
      </c>
      <c r="M431" t="n">
        <v>0</v>
      </c>
      <c r="N431" t="n">
        <v>0</v>
      </c>
      <c r="O431" t="n">
        <v>0</v>
      </c>
      <c r="P431" t="n">
        <v>0</v>
      </c>
      <c r="Q431" t="n">
        <v>0</v>
      </c>
      <c r="R431" s="2" t="inlineStr"/>
    </row>
    <row r="432" ht="15" customHeight="1">
      <c r="A432" t="inlineStr">
        <is>
          <t>A 18877-2023</t>
        </is>
      </c>
      <c r="B432" s="1" t="n">
        <v>45044</v>
      </c>
      <c r="C432" s="1" t="n">
        <v>45989</v>
      </c>
      <c r="D432" t="inlineStr">
        <is>
          <t>VÄSTMANLANDS LÄN</t>
        </is>
      </c>
      <c r="E432" t="inlineStr">
        <is>
          <t>SALA</t>
        </is>
      </c>
      <c r="F432" t="inlineStr">
        <is>
          <t>Kommuner</t>
        </is>
      </c>
      <c r="G432" t="n">
        <v>4.4</v>
      </c>
      <c r="H432" t="n">
        <v>0</v>
      </c>
      <c r="I432" t="n">
        <v>0</v>
      </c>
      <c r="J432" t="n">
        <v>0</v>
      </c>
      <c r="K432" t="n">
        <v>0</v>
      </c>
      <c r="L432" t="n">
        <v>0</v>
      </c>
      <c r="M432" t="n">
        <v>0</v>
      </c>
      <c r="N432" t="n">
        <v>0</v>
      </c>
      <c r="O432" t="n">
        <v>0</v>
      </c>
      <c r="P432" t="n">
        <v>0</v>
      </c>
      <c r="Q432" t="n">
        <v>0</v>
      </c>
      <c r="R432" s="2" t="inlineStr"/>
    </row>
    <row r="433" ht="15" customHeight="1">
      <c r="A433" t="inlineStr">
        <is>
          <t>A 55556-2023</t>
        </is>
      </c>
      <c r="B433" s="1" t="n">
        <v>45232</v>
      </c>
      <c r="C433" s="1" t="n">
        <v>45989</v>
      </c>
      <c r="D433" t="inlineStr">
        <is>
          <t>VÄSTMANLANDS LÄN</t>
        </is>
      </c>
      <c r="E433" t="inlineStr">
        <is>
          <t>SALA</t>
        </is>
      </c>
      <c r="G433" t="n">
        <v>1.3</v>
      </c>
      <c r="H433" t="n">
        <v>0</v>
      </c>
      <c r="I433" t="n">
        <v>0</v>
      </c>
      <c r="J433" t="n">
        <v>0</v>
      </c>
      <c r="K433" t="n">
        <v>0</v>
      </c>
      <c r="L433" t="n">
        <v>0</v>
      </c>
      <c r="M433" t="n">
        <v>0</v>
      </c>
      <c r="N433" t="n">
        <v>0</v>
      </c>
      <c r="O433" t="n">
        <v>0</v>
      </c>
      <c r="P433" t="n">
        <v>0</v>
      </c>
      <c r="Q433" t="n">
        <v>0</v>
      </c>
      <c r="R433" s="2" t="inlineStr"/>
    </row>
    <row r="434" ht="15" customHeight="1">
      <c r="A434" t="inlineStr">
        <is>
          <t>A 34494-2023</t>
        </is>
      </c>
      <c r="B434" s="1" t="n">
        <v>45133</v>
      </c>
      <c r="C434" s="1" t="n">
        <v>45989</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13752-2025</t>
        </is>
      </c>
      <c r="B435" s="1" t="n">
        <v>45737.41416666667</v>
      </c>
      <c r="C435" s="1" t="n">
        <v>45989</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56645-2025</t>
        </is>
      </c>
      <c r="B436" s="1" t="n">
        <v>45975.63063657407</v>
      </c>
      <c r="C436" s="1" t="n">
        <v>45989</v>
      </c>
      <c r="D436" t="inlineStr">
        <is>
          <t>VÄSTMANLANDS LÄN</t>
        </is>
      </c>
      <c r="E436" t="inlineStr">
        <is>
          <t>SALA</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56614-2025</t>
        </is>
      </c>
      <c r="B437" s="1" t="n">
        <v>45975.59288194445</v>
      </c>
      <c r="C437" s="1" t="n">
        <v>45989</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56502-2025</t>
        </is>
      </c>
      <c r="B438" s="1" t="n">
        <v>45975</v>
      </c>
      <c r="C438" s="1" t="n">
        <v>45989</v>
      </c>
      <c r="D438" t="inlineStr">
        <is>
          <t>VÄSTMANLANDS LÄN</t>
        </is>
      </c>
      <c r="E438" t="inlineStr">
        <is>
          <t>SALA</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57412-2025</t>
        </is>
      </c>
      <c r="B439" s="1" t="n">
        <v>45980.44883101852</v>
      </c>
      <c r="C439" s="1" t="n">
        <v>45989</v>
      </c>
      <c r="D439" t="inlineStr">
        <is>
          <t>VÄSTMANLANDS LÄN</t>
        </is>
      </c>
      <c r="E439" t="inlineStr">
        <is>
          <t>SALA</t>
        </is>
      </c>
      <c r="F439" t="inlineStr">
        <is>
          <t>Bergvik skog öst AB</t>
        </is>
      </c>
      <c r="G439" t="n">
        <v>4.5</v>
      </c>
      <c r="H439" t="n">
        <v>0</v>
      </c>
      <c r="I439" t="n">
        <v>0</v>
      </c>
      <c r="J439" t="n">
        <v>0</v>
      </c>
      <c r="K439" t="n">
        <v>0</v>
      </c>
      <c r="L439" t="n">
        <v>0</v>
      </c>
      <c r="M439" t="n">
        <v>0</v>
      </c>
      <c r="N439" t="n">
        <v>0</v>
      </c>
      <c r="O439" t="n">
        <v>0</v>
      </c>
      <c r="P439" t="n">
        <v>0</v>
      </c>
      <c r="Q439" t="n">
        <v>0</v>
      </c>
      <c r="R439" s="2" t="inlineStr"/>
    </row>
    <row r="440" ht="15" customHeight="1">
      <c r="A440" t="inlineStr">
        <is>
          <t>A 19398-2025</t>
        </is>
      </c>
      <c r="B440" s="1" t="n">
        <v>45769</v>
      </c>
      <c r="C440" s="1" t="n">
        <v>45989</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22921-2023</t>
        </is>
      </c>
      <c r="B441" s="1" t="n">
        <v>45070</v>
      </c>
      <c r="C441" s="1" t="n">
        <v>45989</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56611-2025</t>
        </is>
      </c>
      <c r="B442" s="1" t="n">
        <v>45975</v>
      </c>
      <c r="C442" s="1" t="n">
        <v>45989</v>
      </c>
      <c r="D442" t="inlineStr">
        <is>
          <t>VÄSTMANLANDS LÄN</t>
        </is>
      </c>
      <c r="E442" t="inlineStr">
        <is>
          <t>SALA</t>
        </is>
      </c>
      <c r="G442" t="n">
        <v>2.8</v>
      </c>
      <c r="H442" t="n">
        <v>0</v>
      </c>
      <c r="I442" t="n">
        <v>0</v>
      </c>
      <c r="J442" t="n">
        <v>0</v>
      </c>
      <c r="K442" t="n">
        <v>0</v>
      </c>
      <c r="L442" t="n">
        <v>0</v>
      </c>
      <c r="M442" t="n">
        <v>0</v>
      </c>
      <c r="N442" t="n">
        <v>0</v>
      </c>
      <c r="O442" t="n">
        <v>0</v>
      </c>
      <c r="P442" t="n">
        <v>0</v>
      </c>
      <c r="Q442" t="n">
        <v>0</v>
      </c>
      <c r="R442" s="2" t="inlineStr"/>
    </row>
    <row r="443" ht="15" customHeight="1">
      <c r="A443" t="inlineStr">
        <is>
          <t>A 16133-2025</t>
        </is>
      </c>
      <c r="B443" s="1" t="n">
        <v>45750</v>
      </c>
      <c r="C443" s="1" t="n">
        <v>45989</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56593-2025</t>
        </is>
      </c>
      <c r="B444" s="1" t="n">
        <v>45975</v>
      </c>
      <c r="C444" s="1" t="n">
        <v>45989</v>
      </c>
      <c r="D444" t="inlineStr">
        <is>
          <t>VÄSTMANLANDS LÄN</t>
        </is>
      </c>
      <c r="E444" t="inlineStr">
        <is>
          <t>SALA</t>
        </is>
      </c>
      <c r="F444" t="inlineStr">
        <is>
          <t>Kyrkan</t>
        </is>
      </c>
      <c r="G444" t="n">
        <v>0.1</v>
      </c>
      <c r="H444" t="n">
        <v>0</v>
      </c>
      <c r="I444" t="n">
        <v>0</v>
      </c>
      <c r="J444" t="n">
        <v>0</v>
      </c>
      <c r="K444" t="n">
        <v>0</v>
      </c>
      <c r="L444" t="n">
        <v>0</v>
      </c>
      <c r="M444" t="n">
        <v>0</v>
      </c>
      <c r="N444" t="n">
        <v>0</v>
      </c>
      <c r="O444" t="n">
        <v>0</v>
      </c>
      <c r="P444" t="n">
        <v>0</v>
      </c>
      <c r="Q444" t="n">
        <v>0</v>
      </c>
      <c r="R444" s="2" t="inlineStr"/>
    </row>
    <row r="445" ht="15" customHeight="1">
      <c r="A445" t="inlineStr">
        <is>
          <t>A 6127-2025</t>
        </is>
      </c>
      <c r="B445" s="1" t="n">
        <v>45698</v>
      </c>
      <c r="C445" s="1" t="n">
        <v>45989</v>
      </c>
      <c r="D445" t="inlineStr">
        <is>
          <t>VÄSTMANLANDS LÄN</t>
        </is>
      </c>
      <c r="E445" t="inlineStr">
        <is>
          <t>SALA</t>
        </is>
      </c>
      <c r="F445" t="inlineStr">
        <is>
          <t>Bergvik skog öst AB</t>
        </is>
      </c>
      <c r="G445" t="n">
        <v>4.3</v>
      </c>
      <c r="H445" t="n">
        <v>0</v>
      </c>
      <c r="I445" t="n">
        <v>0</v>
      </c>
      <c r="J445" t="n">
        <v>0</v>
      </c>
      <c r="K445" t="n">
        <v>0</v>
      </c>
      <c r="L445" t="n">
        <v>0</v>
      </c>
      <c r="M445" t="n">
        <v>0</v>
      </c>
      <c r="N445" t="n">
        <v>0</v>
      </c>
      <c r="O445" t="n">
        <v>0</v>
      </c>
      <c r="P445" t="n">
        <v>0</v>
      </c>
      <c r="Q445" t="n">
        <v>0</v>
      </c>
      <c r="R445" s="2" t="inlineStr"/>
    </row>
    <row r="446" ht="15" customHeight="1">
      <c r="A446" t="inlineStr">
        <is>
          <t>A 15272-2025</t>
        </is>
      </c>
      <c r="B446" s="1" t="n">
        <v>45744</v>
      </c>
      <c r="C446" s="1" t="n">
        <v>45989</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24248-2023</t>
        </is>
      </c>
      <c r="B447" s="1" t="n">
        <v>45079</v>
      </c>
      <c r="C447" s="1" t="n">
        <v>45989</v>
      </c>
      <c r="D447" t="inlineStr">
        <is>
          <t>VÄSTMANLANDS LÄN</t>
        </is>
      </c>
      <c r="E447" t="inlineStr">
        <is>
          <t>SALA</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48910-2025</t>
        </is>
      </c>
      <c r="B448" s="1" t="n">
        <v>45937.48649305556</v>
      </c>
      <c r="C448" s="1" t="n">
        <v>45989</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38195-2021</t>
        </is>
      </c>
      <c r="B449" s="1" t="n">
        <v>44405</v>
      </c>
      <c r="C449" s="1" t="n">
        <v>45989</v>
      </c>
      <c r="D449" t="inlineStr">
        <is>
          <t>VÄSTMANLANDS LÄN</t>
        </is>
      </c>
      <c r="E449" t="inlineStr">
        <is>
          <t>SALA</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27228-2023</t>
        </is>
      </c>
      <c r="B450" s="1" t="n">
        <v>45096.59189814814</v>
      </c>
      <c r="C450" s="1" t="n">
        <v>45989</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57414-2025</t>
        </is>
      </c>
      <c r="B451" s="1" t="n">
        <v>45980.45003472222</v>
      </c>
      <c r="C451" s="1" t="n">
        <v>45989</v>
      </c>
      <c r="D451" t="inlineStr">
        <is>
          <t>VÄSTMANLANDS LÄN</t>
        </is>
      </c>
      <c r="E451" t="inlineStr">
        <is>
          <t>SALA</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57415-2025</t>
        </is>
      </c>
      <c r="B452" s="1" t="n">
        <v>45980.45099537037</v>
      </c>
      <c r="C452" s="1" t="n">
        <v>45989</v>
      </c>
      <c r="D452" t="inlineStr">
        <is>
          <t>VÄSTMANLANDS LÄN</t>
        </is>
      </c>
      <c r="E452" t="inlineStr">
        <is>
          <t>SALA</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49640-2025</t>
        </is>
      </c>
      <c r="B453" s="1" t="n">
        <v>45939.61459490741</v>
      </c>
      <c r="C453" s="1" t="n">
        <v>45989</v>
      </c>
      <c r="D453" t="inlineStr">
        <is>
          <t>VÄSTMANLANDS LÄN</t>
        </is>
      </c>
      <c r="E453" t="inlineStr">
        <is>
          <t>SALA</t>
        </is>
      </c>
      <c r="F453" t="inlineStr">
        <is>
          <t>Kommuner</t>
        </is>
      </c>
      <c r="G453" t="n">
        <v>18.8</v>
      </c>
      <c r="H453" t="n">
        <v>0</v>
      </c>
      <c r="I453" t="n">
        <v>0</v>
      </c>
      <c r="J453" t="n">
        <v>0</v>
      </c>
      <c r="K453" t="n">
        <v>0</v>
      </c>
      <c r="L453" t="n">
        <v>0</v>
      </c>
      <c r="M453" t="n">
        <v>0</v>
      </c>
      <c r="N453" t="n">
        <v>0</v>
      </c>
      <c r="O453" t="n">
        <v>0</v>
      </c>
      <c r="P453" t="n">
        <v>0</v>
      </c>
      <c r="Q453" t="n">
        <v>0</v>
      </c>
      <c r="R453" s="2" t="inlineStr"/>
    </row>
    <row r="454" ht="15" customHeight="1">
      <c r="A454" t="inlineStr">
        <is>
          <t>A 53838-2022</t>
        </is>
      </c>
      <c r="B454" s="1" t="n">
        <v>44880.59363425926</v>
      </c>
      <c r="C454" s="1" t="n">
        <v>45989</v>
      </c>
      <c r="D454" t="inlineStr">
        <is>
          <t>VÄSTMANLANDS LÄN</t>
        </is>
      </c>
      <c r="E454" t="inlineStr">
        <is>
          <t>SALA</t>
        </is>
      </c>
      <c r="G454" t="n">
        <v>3.9</v>
      </c>
      <c r="H454" t="n">
        <v>0</v>
      </c>
      <c r="I454" t="n">
        <v>0</v>
      </c>
      <c r="J454" t="n">
        <v>0</v>
      </c>
      <c r="K454" t="n">
        <v>0</v>
      </c>
      <c r="L454" t="n">
        <v>0</v>
      </c>
      <c r="M454" t="n">
        <v>0</v>
      </c>
      <c r="N454" t="n">
        <v>0</v>
      </c>
      <c r="O454" t="n">
        <v>0</v>
      </c>
      <c r="P454" t="n">
        <v>0</v>
      </c>
      <c r="Q454" t="n">
        <v>0</v>
      </c>
      <c r="R454" s="2" t="inlineStr"/>
    </row>
    <row r="455" ht="15" customHeight="1">
      <c r="A455" t="inlineStr">
        <is>
          <t>A 25260-2023</t>
        </is>
      </c>
      <c r="B455" s="1" t="n">
        <v>45086</v>
      </c>
      <c r="C455" s="1" t="n">
        <v>45989</v>
      </c>
      <c r="D455" t="inlineStr">
        <is>
          <t>VÄSTMANLANDS LÄN</t>
        </is>
      </c>
      <c r="E455" t="inlineStr">
        <is>
          <t>SALA</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49585-2025</t>
        </is>
      </c>
      <c r="B456" s="1" t="n">
        <v>45939.5043287037</v>
      </c>
      <c r="C456" s="1" t="n">
        <v>45989</v>
      </c>
      <c r="D456" t="inlineStr">
        <is>
          <t>VÄSTMANLANDS LÄN</t>
        </is>
      </c>
      <c r="E456" t="inlineStr">
        <is>
          <t>SALA</t>
        </is>
      </c>
      <c r="G456" t="n">
        <v>2.2</v>
      </c>
      <c r="H456" t="n">
        <v>0</v>
      </c>
      <c r="I456" t="n">
        <v>0</v>
      </c>
      <c r="J456" t="n">
        <v>0</v>
      </c>
      <c r="K456" t="n">
        <v>0</v>
      </c>
      <c r="L456" t="n">
        <v>0</v>
      </c>
      <c r="M456" t="n">
        <v>0</v>
      </c>
      <c r="N456" t="n">
        <v>0</v>
      </c>
      <c r="O456" t="n">
        <v>0</v>
      </c>
      <c r="P456" t="n">
        <v>0</v>
      </c>
      <c r="Q456" t="n">
        <v>0</v>
      </c>
      <c r="R456" s="2" t="inlineStr"/>
    </row>
    <row r="457" ht="15" customHeight="1">
      <c r="A457" t="inlineStr">
        <is>
          <t>A 16769-2024</t>
        </is>
      </c>
      <c r="B457" s="1" t="n">
        <v>45411.38738425926</v>
      </c>
      <c r="C457" s="1" t="n">
        <v>45989</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60249-2023</t>
        </is>
      </c>
      <c r="B458" s="1" t="n">
        <v>45258</v>
      </c>
      <c r="C458" s="1" t="n">
        <v>45989</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14271-2025</t>
        </is>
      </c>
      <c r="B459" s="1" t="n">
        <v>45740.64129629629</v>
      </c>
      <c r="C459" s="1" t="n">
        <v>45989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69232-2021</t>
        </is>
      </c>
      <c r="B460" s="1" t="n">
        <v>44531.39696759259</v>
      </c>
      <c r="C460" s="1" t="n">
        <v>45989</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58282-2025</t>
        </is>
      </c>
      <c r="B461" s="1" t="n">
        <v>45985.44309027777</v>
      </c>
      <c r="C461" s="1" t="n">
        <v>45989</v>
      </c>
      <c r="D461" t="inlineStr">
        <is>
          <t>VÄSTMANLANDS LÄN</t>
        </is>
      </c>
      <c r="E461" t="inlineStr">
        <is>
          <t>SALA</t>
        </is>
      </c>
      <c r="G461" t="n">
        <v>8.9</v>
      </c>
      <c r="H461" t="n">
        <v>0</v>
      </c>
      <c r="I461" t="n">
        <v>0</v>
      </c>
      <c r="J461" t="n">
        <v>0</v>
      </c>
      <c r="K461" t="n">
        <v>0</v>
      </c>
      <c r="L461" t="n">
        <v>0</v>
      </c>
      <c r="M461" t="n">
        <v>0</v>
      </c>
      <c r="N461" t="n">
        <v>0</v>
      </c>
      <c r="O461" t="n">
        <v>0</v>
      </c>
      <c r="P461" t="n">
        <v>0</v>
      </c>
      <c r="Q461" t="n">
        <v>0</v>
      </c>
      <c r="R461" s="2" t="inlineStr"/>
    </row>
    <row r="462" ht="15" customHeight="1">
      <c r="A462" t="inlineStr">
        <is>
          <t>A 58357-2025</t>
        </is>
      </c>
      <c r="B462" s="1" t="n">
        <v>45985.51518518518</v>
      </c>
      <c r="C462" s="1" t="n">
        <v>45989</v>
      </c>
      <c r="D462" t="inlineStr">
        <is>
          <t>VÄSTMANLANDS LÄN</t>
        </is>
      </c>
      <c r="E462" t="inlineStr">
        <is>
          <t>SALA</t>
        </is>
      </c>
      <c r="G462" t="n">
        <v>3</v>
      </c>
      <c r="H462" t="n">
        <v>0</v>
      </c>
      <c r="I462" t="n">
        <v>0</v>
      </c>
      <c r="J462" t="n">
        <v>0</v>
      </c>
      <c r="K462" t="n">
        <v>0</v>
      </c>
      <c r="L462" t="n">
        <v>0</v>
      </c>
      <c r="M462" t="n">
        <v>0</v>
      </c>
      <c r="N462" t="n">
        <v>0</v>
      </c>
      <c r="O462" t="n">
        <v>0</v>
      </c>
      <c r="P462" t="n">
        <v>0</v>
      </c>
      <c r="Q462" t="n">
        <v>0</v>
      </c>
      <c r="R462" s="2" t="inlineStr"/>
    </row>
    <row r="463" ht="15" customHeight="1">
      <c r="A463" t="inlineStr">
        <is>
          <t>A 58364-2025</t>
        </is>
      </c>
      <c r="B463" s="1" t="n">
        <v>45985.5228125</v>
      </c>
      <c r="C463" s="1" t="n">
        <v>45989</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28328-2023</t>
        </is>
      </c>
      <c r="B464" s="1" t="n">
        <v>45099.71063657408</v>
      </c>
      <c r="C464" s="1" t="n">
        <v>45989</v>
      </c>
      <c r="D464" t="inlineStr">
        <is>
          <t>VÄSTMANLANDS LÄN</t>
        </is>
      </c>
      <c r="E464" t="inlineStr">
        <is>
          <t>SALA</t>
        </is>
      </c>
      <c r="G464" t="n">
        <v>1.8</v>
      </c>
      <c r="H464" t="n">
        <v>0</v>
      </c>
      <c r="I464" t="n">
        <v>0</v>
      </c>
      <c r="J464" t="n">
        <v>0</v>
      </c>
      <c r="K464" t="n">
        <v>0</v>
      </c>
      <c r="L464" t="n">
        <v>0</v>
      </c>
      <c r="M464" t="n">
        <v>0</v>
      </c>
      <c r="N464" t="n">
        <v>0</v>
      </c>
      <c r="O464" t="n">
        <v>0</v>
      </c>
      <c r="P464" t="n">
        <v>0</v>
      </c>
      <c r="Q464" t="n">
        <v>0</v>
      </c>
      <c r="R464" s="2" t="inlineStr"/>
    </row>
    <row r="465" ht="15" customHeight="1">
      <c r="A465" t="inlineStr">
        <is>
          <t>A 40085-2024</t>
        </is>
      </c>
      <c r="B465" s="1" t="n">
        <v>45554</v>
      </c>
      <c r="C465" s="1" t="n">
        <v>45989</v>
      </c>
      <c r="D465" t="inlineStr">
        <is>
          <t>VÄSTMANLANDS LÄN</t>
        </is>
      </c>
      <c r="E465" t="inlineStr">
        <is>
          <t>SALA</t>
        </is>
      </c>
      <c r="G465" t="n">
        <v>2.8</v>
      </c>
      <c r="H465" t="n">
        <v>0</v>
      </c>
      <c r="I465" t="n">
        <v>0</v>
      </c>
      <c r="J465" t="n">
        <v>0</v>
      </c>
      <c r="K465" t="n">
        <v>0</v>
      </c>
      <c r="L465" t="n">
        <v>0</v>
      </c>
      <c r="M465" t="n">
        <v>0</v>
      </c>
      <c r="N465" t="n">
        <v>0</v>
      </c>
      <c r="O465" t="n">
        <v>0</v>
      </c>
      <c r="P465" t="n">
        <v>0</v>
      </c>
      <c r="Q465" t="n">
        <v>0</v>
      </c>
      <c r="R465" s="2" t="inlineStr"/>
    </row>
    <row r="466" ht="15" customHeight="1">
      <c r="A466" t="inlineStr">
        <is>
          <t>A 50128-2025</t>
        </is>
      </c>
      <c r="B466" s="1" t="n">
        <v>45943.55318287037</v>
      </c>
      <c r="C466" s="1" t="n">
        <v>45989</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18158-2025</t>
        </is>
      </c>
      <c r="B467" s="1" t="n">
        <v>45761</v>
      </c>
      <c r="C467" s="1" t="n">
        <v>45989</v>
      </c>
      <c r="D467" t="inlineStr">
        <is>
          <t>VÄSTMANLANDS LÄN</t>
        </is>
      </c>
      <c r="E467" t="inlineStr">
        <is>
          <t>SALA</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49661-2024</t>
        </is>
      </c>
      <c r="B468" s="1" t="n">
        <v>45596</v>
      </c>
      <c r="C468" s="1" t="n">
        <v>45989</v>
      </c>
      <c r="D468" t="inlineStr">
        <is>
          <t>VÄSTMANLANDS LÄN</t>
        </is>
      </c>
      <c r="E468" t="inlineStr">
        <is>
          <t>SALA</t>
        </is>
      </c>
      <c r="G468" t="n">
        <v>6.7</v>
      </c>
      <c r="H468" t="n">
        <v>0</v>
      </c>
      <c r="I468" t="n">
        <v>0</v>
      </c>
      <c r="J468" t="n">
        <v>0</v>
      </c>
      <c r="K468" t="n">
        <v>0</v>
      </c>
      <c r="L468" t="n">
        <v>0</v>
      </c>
      <c r="M468" t="n">
        <v>0</v>
      </c>
      <c r="N468" t="n">
        <v>0</v>
      </c>
      <c r="O468" t="n">
        <v>0</v>
      </c>
      <c r="P468" t="n">
        <v>0</v>
      </c>
      <c r="Q468" t="n">
        <v>0</v>
      </c>
      <c r="R468" s="2" t="inlineStr"/>
    </row>
    <row r="469" ht="15" customHeight="1">
      <c r="A469" t="inlineStr">
        <is>
          <t>A 58359-2025</t>
        </is>
      </c>
      <c r="B469" s="1" t="n">
        <v>45985.51594907408</v>
      </c>
      <c r="C469" s="1" t="n">
        <v>45989</v>
      </c>
      <c r="D469" t="inlineStr">
        <is>
          <t>VÄSTMANLANDS LÄN</t>
        </is>
      </c>
      <c r="E469" t="inlineStr">
        <is>
          <t>SALA</t>
        </is>
      </c>
      <c r="G469" t="n">
        <v>3.7</v>
      </c>
      <c r="H469" t="n">
        <v>0</v>
      </c>
      <c r="I469" t="n">
        <v>0</v>
      </c>
      <c r="J469" t="n">
        <v>0</v>
      </c>
      <c r="K469" t="n">
        <v>0</v>
      </c>
      <c r="L469" t="n">
        <v>0</v>
      </c>
      <c r="M469" t="n">
        <v>0</v>
      </c>
      <c r="N469" t="n">
        <v>0</v>
      </c>
      <c r="O469" t="n">
        <v>0</v>
      </c>
      <c r="P469" t="n">
        <v>0</v>
      </c>
      <c r="Q469" t="n">
        <v>0</v>
      </c>
      <c r="R469" s="2" t="inlineStr"/>
    </row>
    <row r="470" ht="15" customHeight="1">
      <c r="A470" t="inlineStr">
        <is>
          <t>A 58365-2025</t>
        </is>
      </c>
      <c r="B470" s="1" t="n">
        <v>45985.52288194445</v>
      </c>
      <c r="C470" s="1" t="n">
        <v>45989</v>
      </c>
      <c r="D470" t="inlineStr">
        <is>
          <t>VÄSTMANLANDS LÄN</t>
        </is>
      </c>
      <c r="E470" t="inlineStr">
        <is>
          <t>SALA</t>
        </is>
      </c>
      <c r="G470" t="n">
        <v>3.9</v>
      </c>
      <c r="H470" t="n">
        <v>0</v>
      </c>
      <c r="I470" t="n">
        <v>0</v>
      </c>
      <c r="J470" t="n">
        <v>0</v>
      </c>
      <c r="K470" t="n">
        <v>0</v>
      </c>
      <c r="L470" t="n">
        <v>0</v>
      </c>
      <c r="M470" t="n">
        <v>0</v>
      </c>
      <c r="N470" t="n">
        <v>0</v>
      </c>
      <c r="O470" t="n">
        <v>0</v>
      </c>
      <c r="P470" t="n">
        <v>0</v>
      </c>
      <c r="Q470" t="n">
        <v>0</v>
      </c>
      <c r="R470" s="2" t="inlineStr"/>
    </row>
    <row r="471" ht="15" customHeight="1">
      <c r="A471" t="inlineStr">
        <is>
          <t>A 50249-2025</t>
        </is>
      </c>
      <c r="B471" s="1" t="n">
        <v>45944.31508101852</v>
      </c>
      <c r="C471" s="1" t="n">
        <v>45989</v>
      </c>
      <c r="D471" t="inlineStr">
        <is>
          <t>VÄSTMANLANDS LÄN</t>
        </is>
      </c>
      <c r="E471" t="inlineStr">
        <is>
          <t>SALA</t>
        </is>
      </c>
      <c r="G471" t="n">
        <v>2.3</v>
      </c>
      <c r="H471" t="n">
        <v>0</v>
      </c>
      <c r="I471" t="n">
        <v>0</v>
      </c>
      <c r="J471" t="n">
        <v>0</v>
      </c>
      <c r="K471" t="n">
        <v>0</v>
      </c>
      <c r="L471" t="n">
        <v>0</v>
      </c>
      <c r="M471" t="n">
        <v>0</v>
      </c>
      <c r="N471" t="n">
        <v>0</v>
      </c>
      <c r="O471" t="n">
        <v>0</v>
      </c>
      <c r="P471" t="n">
        <v>0</v>
      </c>
      <c r="Q471" t="n">
        <v>0</v>
      </c>
      <c r="R471" s="2" t="inlineStr"/>
    </row>
    <row r="472" ht="15" customHeight="1">
      <c r="A472" t="inlineStr">
        <is>
          <t>A 35519-2024</t>
        </is>
      </c>
      <c r="B472" s="1" t="n">
        <v>45531</v>
      </c>
      <c r="C472" s="1" t="n">
        <v>45989</v>
      </c>
      <c r="D472" t="inlineStr">
        <is>
          <t>VÄSTMANLANDS LÄN</t>
        </is>
      </c>
      <c r="E472" t="inlineStr">
        <is>
          <t>SALA</t>
        </is>
      </c>
      <c r="G472" t="n">
        <v>1.8</v>
      </c>
      <c r="H472" t="n">
        <v>0</v>
      </c>
      <c r="I472" t="n">
        <v>0</v>
      </c>
      <c r="J472" t="n">
        <v>0</v>
      </c>
      <c r="K472" t="n">
        <v>0</v>
      </c>
      <c r="L472" t="n">
        <v>0</v>
      </c>
      <c r="M472" t="n">
        <v>0</v>
      </c>
      <c r="N472" t="n">
        <v>0</v>
      </c>
      <c r="O472" t="n">
        <v>0</v>
      </c>
      <c r="P472" t="n">
        <v>0</v>
      </c>
      <c r="Q472" t="n">
        <v>0</v>
      </c>
      <c r="R472" s="2" t="inlineStr"/>
    </row>
    <row r="473" ht="15" customHeight="1">
      <c r="A473" t="inlineStr">
        <is>
          <t>A 50119-2025</t>
        </is>
      </c>
      <c r="B473" s="1" t="n">
        <v>45943.54883101852</v>
      </c>
      <c r="C473" s="1" t="n">
        <v>45989</v>
      </c>
      <c r="D473" t="inlineStr">
        <is>
          <t>VÄSTMANLANDS LÄN</t>
        </is>
      </c>
      <c r="E473" t="inlineStr">
        <is>
          <t>SALA</t>
        </is>
      </c>
      <c r="G473" t="n">
        <v>3.3</v>
      </c>
      <c r="H473" t="n">
        <v>0</v>
      </c>
      <c r="I473" t="n">
        <v>0</v>
      </c>
      <c r="J473" t="n">
        <v>0</v>
      </c>
      <c r="K473" t="n">
        <v>0</v>
      </c>
      <c r="L473" t="n">
        <v>0</v>
      </c>
      <c r="M473" t="n">
        <v>0</v>
      </c>
      <c r="N473" t="n">
        <v>0</v>
      </c>
      <c r="O473" t="n">
        <v>0</v>
      </c>
      <c r="P473" t="n">
        <v>0</v>
      </c>
      <c r="Q473" t="n">
        <v>0</v>
      </c>
      <c r="R473" s="2" t="inlineStr"/>
    </row>
    <row r="474" ht="15" customHeight="1">
      <c r="A474" t="inlineStr">
        <is>
          <t>A 50059-2025</t>
        </is>
      </c>
      <c r="B474" s="1" t="n">
        <v>45943.44125</v>
      </c>
      <c r="C474" s="1" t="n">
        <v>45989</v>
      </c>
      <c r="D474" t="inlineStr">
        <is>
          <t>VÄSTMANLANDS LÄN</t>
        </is>
      </c>
      <c r="E474" t="inlineStr">
        <is>
          <t>SALA</t>
        </is>
      </c>
      <c r="G474" t="n">
        <v>4.4</v>
      </c>
      <c r="H474" t="n">
        <v>0</v>
      </c>
      <c r="I474" t="n">
        <v>0</v>
      </c>
      <c r="J474" t="n">
        <v>0</v>
      </c>
      <c r="K474" t="n">
        <v>0</v>
      </c>
      <c r="L474" t="n">
        <v>0</v>
      </c>
      <c r="M474" t="n">
        <v>0</v>
      </c>
      <c r="N474" t="n">
        <v>0</v>
      </c>
      <c r="O474" t="n">
        <v>0</v>
      </c>
      <c r="P474" t="n">
        <v>0</v>
      </c>
      <c r="Q474" t="n">
        <v>0</v>
      </c>
      <c r="R474" s="2" t="inlineStr"/>
    </row>
    <row r="475" ht="15" customHeight="1">
      <c r="A475" t="inlineStr">
        <is>
          <t>A 54347-2024</t>
        </is>
      </c>
      <c r="B475" s="1" t="n">
        <v>45617.39325231482</v>
      </c>
      <c r="C475" s="1" t="n">
        <v>45989</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13022-2023</t>
        </is>
      </c>
      <c r="B476" s="1" t="n">
        <v>45002.33291666667</v>
      </c>
      <c r="C476" s="1" t="n">
        <v>45989</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35003-2024</t>
        </is>
      </c>
      <c r="B477" s="1" t="n">
        <v>45527.56790509259</v>
      </c>
      <c r="C477" s="1" t="n">
        <v>45989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66307-2021</t>
        </is>
      </c>
      <c r="B478" s="1" t="n">
        <v>44518.48670138889</v>
      </c>
      <c r="C478" s="1" t="n">
        <v>45989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6030-2024</t>
        </is>
      </c>
      <c r="B479" s="1" t="n">
        <v>45336.62782407407</v>
      </c>
      <c r="C479" s="1" t="n">
        <v>45989</v>
      </c>
      <c r="D479" t="inlineStr">
        <is>
          <t>VÄSTMANLANDS LÄN</t>
        </is>
      </c>
      <c r="E479" t="inlineStr">
        <is>
          <t>SALA</t>
        </is>
      </c>
      <c r="G479" t="n">
        <v>3.9</v>
      </c>
      <c r="H479" t="n">
        <v>0</v>
      </c>
      <c r="I479" t="n">
        <v>0</v>
      </c>
      <c r="J479" t="n">
        <v>0</v>
      </c>
      <c r="K479" t="n">
        <v>0</v>
      </c>
      <c r="L479" t="n">
        <v>0</v>
      </c>
      <c r="M479" t="n">
        <v>0</v>
      </c>
      <c r="N479" t="n">
        <v>0</v>
      </c>
      <c r="O479" t="n">
        <v>0</v>
      </c>
      <c r="P479" t="n">
        <v>0</v>
      </c>
      <c r="Q479" t="n">
        <v>0</v>
      </c>
      <c r="R479" s="2" t="inlineStr"/>
    </row>
    <row r="480" ht="15" customHeight="1">
      <c r="A480" t="inlineStr">
        <is>
          <t>A 26761-2023</t>
        </is>
      </c>
      <c r="B480" s="1" t="n">
        <v>45093</v>
      </c>
      <c r="C480" s="1" t="n">
        <v>45989</v>
      </c>
      <c r="D480" t="inlineStr">
        <is>
          <t>VÄSTMANLANDS LÄN</t>
        </is>
      </c>
      <c r="E480" t="inlineStr">
        <is>
          <t>SALA</t>
        </is>
      </c>
      <c r="G480" t="n">
        <v>4.3</v>
      </c>
      <c r="H480" t="n">
        <v>0</v>
      </c>
      <c r="I480" t="n">
        <v>0</v>
      </c>
      <c r="J480" t="n">
        <v>0</v>
      </c>
      <c r="K480" t="n">
        <v>0</v>
      </c>
      <c r="L480" t="n">
        <v>0</v>
      </c>
      <c r="M480" t="n">
        <v>0</v>
      </c>
      <c r="N480" t="n">
        <v>0</v>
      </c>
      <c r="O480" t="n">
        <v>0</v>
      </c>
      <c r="P480" t="n">
        <v>0</v>
      </c>
      <c r="Q480" t="n">
        <v>0</v>
      </c>
      <c r="R480" s="2" t="inlineStr"/>
    </row>
    <row r="481" ht="15" customHeight="1">
      <c r="A481" t="inlineStr">
        <is>
          <t>A 61892-2021</t>
        </is>
      </c>
      <c r="B481" s="1" t="n">
        <v>44502</v>
      </c>
      <c r="C481" s="1" t="n">
        <v>45989</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7772-2023</t>
        </is>
      </c>
      <c r="B482" s="1" t="n">
        <v>44973.40076388889</v>
      </c>
      <c r="C482" s="1" t="n">
        <v>45989</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55760-2025</t>
        </is>
      </c>
      <c r="B483" s="1" t="n">
        <v>45972</v>
      </c>
      <c r="C483" s="1" t="n">
        <v>45989</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57014-2025</t>
        </is>
      </c>
      <c r="B484" s="1" t="n">
        <v>45978</v>
      </c>
      <c r="C484" s="1" t="n">
        <v>45989</v>
      </c>
      <c r="D484" t="inlineStr">
        <is>
          <t>VÄSTMANLANDS LÄN</t>
        </is>
      </c>
      <c r="E484" t="inlineStr">
        <is>
          <t>SALA</t>
        </is>
      </c>
      <c r="G484" t="n">
        <v>2.2</v>
      </c>
      <c r="H484" t="n">
        <v>0</v>
      </c>
      <c r="I484" t="n">
        <v>0</v>
      </c>
      <c r="J484" t="n">
        <v>0</v>
      </c>
      <c r="K484" t="n">
        <v>0</v>
      </c>
      <c r="L484" t="n">
        <v>0</v>
      </c>
      <c r="M484" t="n">
        <v>0</v>
      </c>
      <c r="N484" t="n">
        <v>0</v>
      </c>
      <c r="O484" t="n">
        <v>0</v>
      </c>
      <c r="P484" t="n">
        <v>0</v>
      </c>
      <c r="Q484" t="n">
        <v>0</v>
      </c>
      <c r="R484" s="2" t="inlineStr"/>
    </row>
    <row r="485" ht="15" customHeight="1">
      <c r="A485" t="inlineStr">
        <is>
          <t>A 42416-2022</t>
        </is>
      </c>
      <c r="B485" s="1" t="n">
        <v>44831</v>
      </c>
      <c r="C485" s="1" t="n">
        <v>45989</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19381-2025</t>
        </is>
      </c>
      <c r="B486" s="1" t="n">
        <v>45769</v>
      </c>
      <c r="C486" s="1" t="n">
        <v>45989</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48688-2024</t>
        </is>
      </c>
      <c r="B487" s="1" t="n">
        <v>45593.50541666667</v>
      </c>
      <c r="C487" s="1" t="n">
        <v>45989</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45187-2024</t>
        </is>
      </c>
      <c r="B488" s="1" t="n">
        <v>45575</v>
      </c>
      <c r="C488" s="1" t="n">
        <v>45989</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15968-2024</t>
        </is>
      </c>
      <c r="B489" s="1" t="n">
        <v>45405.56021990741</v>
      </c>
      <c r="C489" s="1" t="n">
        <v>45989</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3733-2023</t>
        </is>
      </c>
      <c r="B490" s="1" t="n">
        <v>44951.42501157407</v>
      </c>
      <c r="C490" s="1" t="n">
        <v>45989</v>
      </c>
      <c r="D490" t="inlineStr">
        <is>
          <t>VÄSTMANLANDS LÄN</t>
        </is>
      </c>
      <c r="E490" t="inlineStr">
        <is>
          <t>SALA</t>
        </is>
      </c>
      <c r="G490" t="n">
        <v>3.1</v>
      </c>
      <c r="H490" t="n">
        <v>0</v>
      </c>
      <c r="I490" t="n">
        <v>0</v>
      </c>
      <c r="J490" t="n">
        <v>0</v>
      </c>
      <c r="K490" t="n">
        <v>0</v>
      </c>
      <c r="L490" t="n">
        <v>0</v>
      </c>
      <c r="M490" t="n">
        <v>0</v>
      </c>
      <c r="N490" t="n">
        <v>0</v>
      </c>
      <c r="O490" t="n">
        <v>0</v>
      </c>
      <c r="P490" t="n">
        <v>0</v>
      </c>
      <c r="Q490" t="n">
        <v>0</v>
      </c>
      <c r="R490" s="2" t="inlineStr"/>
    </row>
    <row r="491" ht="15" customHeight="1">
      <c r="A491" t="inlineStr">
        <is>
          <t>A 44544-2024</t>
        </is>
      </c>
      <c r="B491" s="1" t="n">
        <v>45574.46119212963</v>
      </c>
      <c r="C491" s="1" t="n">
        <v>45989</v>
      </c>
      <c r="D491" t="inlineStr">
        <is>
          <t>VÄSTMANLANDS LÄN</t>
        </is>
      </c>
      <c r="E491" t="inlineStr">
        <is>
          <t>SALA</t>
        </is>
      </c>
      <c r="G491" t="n">
        <v>3.3</v>
      </c>
      <c r="H491" t="n">
        <v>0</v>
      </c>
      <c r="I491" t="n">
        <v>0</v>
      </c>
      <c r="J491" t="n">
        <v>0</v>
      </c>
      <c r="K491" t="n">
        <v>0</v>
      </c>
      <c r="L491" t="n">
        <v>0</v>
      </c>
      <c r="M491" t="n">
        <v>0</v>
      </c>
      <c r="N491" t="n">
        <v>0</v>
      </c>
      <c r="O491" t="n">
        <v>0</v>
      </c>
      <c r="P491" t="n">
        <v>0</v>
      </c>
      <c r="Q491" t="n">
        <v>0</v>
      </c>
      <c r="R491" s="2" t="inlineStr"/>
    </row>
    <row r="492" ht="15" customHeight="1">
      <c r="A492" t="inlineStr">
        <is>
          <t>A 64729-2023</t>
        </is>
      </c>
      <c r="B492" s="1" t="n">
        <v>45281</v>
      </c>
      <c r="C492" s="1" t="n">
        <v>45989</v>
      </c>
      <c r="D492" t="inlineStr">
        <is>
          <t>VÄSTMANLANDS LÄN</t>
        </is>
      </c>
      <c r="E492" t="inlineStr">
        <is>
          <t>SALA</t>
        </is>
      </c>
      <c r="G492" t="n">
        <v>1.8</v>
      </c>
      <c r="H492" t="n">
        <v>0</v>
      </c>
      <c r="I492" t="n">
        <v>0</v>
      </c>
      <c r="J492" t="n">
        <v>0</v>
      </c>
      <c r="K492" t="n">
        <v>0</v>
      </c>
      <c r="L492" t="n">
        <v>0</v>
      </c>
      <c r="M492" t="n">
        <v>0</v>
      </c>
      <c r="N492" t="n">
        <v>0</v>
      </c>
      <c r="O492" t="n">
        <v>0</v>
      </c>
      <c r="P492" t="n">
        <v>0</v>
      </c>
      <c r="Q492" t="n">
        <v>0</v>
      </c>
      <c r="R492" s="2" t="inlineStr"/>
    </row>
    <row r="493" ht="15" customHeight="1">
      <c r="A493" t="inlineStr">
        <is>
          <t>A 68864-2021</t>
        </is>
      </c>
      <c r="B493" s="1" t="n">
        <v>44530</v>
      </c>
      <c r="C493" s="1" t="n">
        <v>45989</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64925-2023</t>
        </is>
      </c>
      <c r="B494" s="1" t="n">
        <v>45282</v>
      </c>
      <c r="C494" s="1" t="n">
        <v>45989</v>
      </c>
      <c r="D494" t="inlineStr">
        <is>
          <t>VÄSTMANLANDS LÄN</t>
        </is>
      </c>
      <c r="E494" t="inlineStr">
        <is>
          <t>SALA</t>
        </is>
      </c>
      <c r="G494" t="n">
        <v>2.5</v>
      </c>
      <c r="H494" t="n">
        <v>0</v>
      </c>
      <c r="I494" t="n">
        <v>0</v>
      </c>
      <c r="J494" t="n">
        <v>0</v>
      </c>
      <c r="K494" t="n">
        <v>0</v>
      </c>
      <c r="L494" t="n">
        <v>0</v>
      </c>
      <c r="M494" t="n">
        <v>0</v>
      </c>
      <c r="N494" t="n">
        <v>0</v>
      </c>
      <c r="O494" t="n">
        <v>0</v>
      </c>
      <c r="P494" t="n">
        <v>0</v>
      </c>
      <c r="Q494" t="n">
        <v>0</v>
      </c>
      <c r="R494" s="2" t="inlineStr"/>
    </row>
    <row r="495" ht="15" customHeight="1">
      <c r="A495" t="inlineStr">
        <is>
          <t>A 48570-2024</t>
        </is>
      </c>
      <c r="B495" s="1" t="n">
        <v>45591</v>
      </c>
      <c r="C495" s="1" t="n">
        <v>45989</v>
      </c>
      <c r="D495" t="inlineStr">
        <is>
          <t>VÄSTMANLANDS LÄN</t>
        </is>
      </c>
      <c r="E495" t="inlineStr">
        <is>
          <t>SALA</t>
        </is>
      </c>
      <c r="G495" t="n">
        <v>3</v>
      </c>
      <c r="H495" t="n">
        <v>0</v>
      </c>
      <c r="I495" t="n">
        <v>0</v>
      </c>
      <c r="J495" t="n">
        <v>0</v>
      </c>
      <c r="K495" t="n">
        <v>0</v>
      </c>
      <c r="L495" t="n">
        <v>0</v>
      </c>
      <c r="M495" t="n">
        <v>0</v>
      </c>
      <c r="N495" t="n">
        <v>0</v>
      </c>
      <c r="O495" t="n">
        <v>0</v>
      </c>
      <c r="P495" t="n">
        <v>0</v>
      </c>
      <c r="Q495" t="n">
        <v>0</v>
      </c>
      <c r="R495" s="2" t="inlineStr"/>
    </row>
    <row r="496" ht="15" customHeight="1">
      <c r="A496" t="inlineStr">
        <is>
          <t>A 61517-2024</t>
        </is>
      </c>
      <c r="B496" s="1" t="n">
        <v>45645</v>
      </c>
      <c r="C496" s="1" t="n">
        <v>45989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16760-2024</t>
        </is>
      </c>
      <c r="B497" s="1" t="n">
        <v>45411</v>
      </c>
      <c r="C497" s="1" t="n">
        <v>45989</v>
      </c>
      <c r="D497" t="inlineStr">
        <is>
          <t>VÄSTMANLANDS LÄN</t>
        </is>
      </c>
      <c r="E497" t="inlineStr">
        <is>
          <t>SALA</t>
        </is>
      </c>
      <c r="G497" t="n">
        <v>2.6</v>
      </c>
      <c r="H497" t="n">
        <v>0</v>
      </c>
      <c r="I497" t="n">
        <v>0</v>
      </c>
      <c r="J497" t="n">
        <v>0</v>
      </c>
      <c r="K497" t="n">
        <v>0</v>
      </c>
      <c r="L497" t="n">
        <v>0</v>
      </c>
      <c r="M497" t="n">
        <v>0</v>
      </c>
      <c r="N497" t="n">
        <v>0</v>
      </c>
      <c r="O497" t="n">
        <v>0</v>
      </c>
      <c r="P497" t="n">
        <v>0</v>
      </c>
      <c r="Q497" t="n">
        <v>0</v>
      </c>
      <c r="R497" s="2" t="inlineStr"/>
    </row>
    <row r="498" ht="15" customHeight="1">
      <c r="A498" t="inlineStr">
        <is>
          <t>A 54603-2024</t>
        </is>
      </c>
      <c r="B498" s="1" t="n">
        <v>45617.68224537037</v>
      </c>
      <c r="C498" s="1" t="n">
        <v>45989</v>
      </c>
      <c r="D498" t="inlineStr">
        <is>
          <t>VÄSTMANLANDS LÄN</t>
        </is>
      </c>
      <c r="E498" t="inlineStr">
        <is>
          <t>SALA</t>
        </is>
      </c>
      <c r="G498" t="n">
        <v>1</v>
      </c>
      <c r="H498" t="n">
        <v>0</v>
      </c>
      <c r="I498" t="n">
        <v>0</v>
      </c>
      <c r="J498" t="n">
        <v>0</v>
      </c>
      <c r="K498" t="n">
        <v>0</v>
      </c>
      <c r="L498" t="n">
        <v>0</v>
      </c>
      <c r="M498" t="n">
        <v>0</v>
      </c>
      <c r="N498" t="n">
        <v>0</v>
      </c>
      <c r="O498" t="n">
        <v>0</v>
      </c>
      <c r="P498" t="n">
        <v>0</v>
      </c>
      <c r="Q498" t="n">
        <v>0</v>
      </c>
      <c r="R498" s="2" t="inlineStr"/>
    </row>
    <row r="499" ht="15" customHeight="1">
      <c r="A499" t="inlineStr">
        <is>
          <t>A 18762-2024</t>
        </is>
      </c>
      <c r="B499" s="1" t="n">
        <v>45426.55240740741</v>
      </c>
      <c r="C499" s="1" t="n">
        <v>45989</v>
      </c>
      <c r="D499" t="inlineStr">
        <is>
          <t>VÄSTMANLANDS LÄN</t>
        </is>
      </c>
      <c r="E499" t="inlineStr">
        <is>
          <t>SALA</t>
        </is>
      </c>
      <c r="G499" t="n">
        <v>6.2</v>
      </c>
      <c r="H499" t="n">
        <v>0</v>
      </c>
      <c r="I499" t="n">
        <v>0</v>
      </c>
      <c r="J499" t="n">
        <v>0</v>
      </c>
      <c r="K499" t="n">
        <v>0</v>
      </c>
      <c r="L499" t="n">
        <v>0</v>
      </c>
      <c r="M499" t="n">
        <v>0</v>
      </c>
      <c r="N499" t="n">
        <v>0</v>
      </c>
      <c r="O499" t="n">
        <v>0</v>
      </c>
      <c r="P499" t="n">
        <v>0</v>
      </c>
      <c r="Q499" t="n">
        <v>0</v>
      </c>
      <c r="R499" s="2" t="inlineStr"/>
    </row>
    <row r="500" ht="15" customHeight="1">
      <c r="A500" t="inlineStr">
        <is>
          <t>A 17120-2023</t>
        </is>
      </c>
      <c r="B500" s="1" t="n">
        <v>45034</v>
      </c>
      <c r="C500" s="1" t="n">
        <v>45989</v>
      </c>
      <c r="D500" t="inlineStr">
        <is>
          <t>VÄSTMANLANDS LÄN</t>
        </is>
      </c>
      <c r="E500" t="inlineStr">
        <is>
          <t>SALA</t>
        </is>
      </c>
      <c r="G500" t="n">
        <v>0.1</v>
      </c>
      <c r="H500" t="n">
        <v>0</v>
      </c>
      <c r="I500" t="n">
        <v>0</v>
      </c>
      <c r="J500" t="n">
        <v>0</v>
      </c>
      <c r="K500" t="n">
        <v>0</v>
      </c>
      <c r="L500" t="n">
        <v>0</v>
      </c>
      <c r="M500" t="n">
        <v>0</v>
      </c>
      <c r="N500" t="n">
        <v>0</v>
      </c>
      <c r="O500" t="n">
        <v>0</v>
      </c>
      <c r="P500" t="n">
        <v>0</v>
      </c>
      <c r="Q500" t="n">
        <v>0</v>
      </c>
      <c r="R500" s="2" t="inlineStr"/>
    </row>
    <row r="501" ht="15" customHeight="1">
      <c r="A501" t="inlineStr">
        <is>
          <t>A 42938-2023</t>
        </is>
      </c>
      <c r="B501" s="1" t="n">
        <v>45179</v>
      </c>
      <c r="C501" s="1" t="n">
        <v>45989</v>
      </c>
      <c r="D501" t="inlineStr">
        <is>
          <t>VÄSTMANLANDS LÄN</t>
        </is>
      </c>
      <c r="E501" t="inlineStr">
        <is>
          <t>SALA</t>
        </is>
      </c>
      <c r="G501" t="n">
        <v>10.9</v>
      </c>
      <c r="H501" t="n">
        <v>0</v>
      </c>
      <c r="I501" t="n">
        <v>0</v>
      </c>
      <c r="J501" t="n">
        <v>0</v>
      </c>
      <c r="K501" t="n">
        <v>0</v>
      </c>
      <c r="L501" t="n">
        <v>0</v>
      </c>
      <c r="M501" t="n">
        <v>0</v>
      </c>
      <c r="N501" t="n">
        <v>0</v>
      </c>
      <c r="O501" t="n">
        <v>0</v>
      </c>
      <c r="P501" t="n">
        <v>0</v>
      </c>
      <c r="Q501" t="n">
        <v>0</v>
      </c>
      <c r="R501" s="2" t="inlineStr"/>
    </row>
    <row r="502" ht="15" customHeight="1">
      <c r="A502" t="inlineStr">
        <is>
          <t>A 42984-2023</t>
        </is>
      </c>
      <c r="B502" s="1" t="n">
        <v>45179</v>
      </c>
      <c r="C502" s="1" t="n">
        <v>45989</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15972-2024</t>
        </is>
      </c>
      <c r="B503" s="1" t="n">
        <v>45405.56498842593</v>
      </c>
      <c r="C503" s="1" t="n">
        <v>45989</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39714-2023</t>
        </is>
      </c>
      <c r="B504" s="1" t="n">
        <v>45167.62133101852</v>
      </c>
      <c r="C504" s="1" t="n">
        <v>45989</v>
      </c>
      <c r="D504" t="inlineStr">
        <is>
          <t>VÄSTMANLANDS LÄN</t>
        </is>
      </c>
      <c r="E504" t="inlineStr">
        <is>
          <t>SALA</t>
        </is>
      </c>
      <c r="G504" t="n">
        <v>1.3</v>
      </c>
      <c r="H504" t="n">
        <v>0</v>
      </c>
      <c r="I504" t="n">
        <v>0</v>
      </c>
      <c r="J504" t="n">
        <v>0</v>
      </c>
      <c r="K504" t="n">
        <v>0</v>
      </c>
      <c r="L504" t="n">
        <v>0</v>
      </c>
      <c r="M504" t="n">
        <v>0</v>
      </c>
      <c r="N504" t="n">
        <v>0</v>
      </c>
      <c r="O504" t="n">
        <v>0</v>
      </c>
      <c r="P504" t="n">
        <v>0</v>
      </c>
      <c r="Q504" t="n">
        <v>0</v>
      </c>
      <c r="R504" s="2" t="inlineStr"/>
    </row>
    <row r="505" ht="15" customHeight="1">
      <c r="A505" t="inlineStr">
        <is>
          <t>A 33527-2023</t>
        </is>
      </c>
      <c r="B505" s="1" t="n">
        <v>45131</v>
      </c>
      <c r="C505" s="1" t="n">
        <v>45989</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10913-2025</t>
        </is>
      </c>
      <c r="B506" s="1" t="n">
        <v>45722.73423611111</v>
      </c>
      <c r="C506" s="1" t="n">
        <v>45989</v>
      </c>
      <c r="D506" t="inlineStr">
        <is>
          <t>VÄSTMANLANDS LÄN</t>
        </is>
      </c>
      <c r="E506" t="inlineStr">
        <is>
          <t>SALA</t>
        </is>
      </c>
      <c r="G506" t="n">
        <v>7.6</v>
      </c>
      <c r="H506" t="n">
        <v>0</v>
      </c>
      <c r="I506" t="n">
        <v>0</v>
      </c>
      <c r="J506" t="n">
        <v>0</v>
      </c>
      <c r="K506" t="n">
        <v>0</v>
      </c>
      <c r="L506" t="n">
        <v>0</v>
      </c>
      <c r="M506" t="n">
        <v>0</v>
      </c>
      <c r="N506" t="n">
        <v>0</v>
      </c>
      <c r="O506" t="n">
        <v>0</v>
      </c>
      <c r="P506" t="n">
        <v>0</v>
      </c>
      <c r="Q506" t="n">
        <v>0</v>
      </c>
      <c r="R506" s="2" t="inlineStr"/>
    </row>
    <row r="507" ht="15" customHeight="1">
      <c r="A507" t="inlineStr">
        <is>
          <t>A 58107-2021</t>
        </is>
      </c>
      <c r="B507" s="1" t="n">
        <v>44487</v>
      </c>
      <c r="C507" s="1" t="n">
        <v>45989</v>
      </c>
      <c r="D507" t="inlineStr">
        <is>
          <t>VÄSTMANLANDS LÄN</t>
        </is>
      </c>
      <c r="E507" t="inlineStr">
        <is>
          <t>SALA</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2927-2024</t>
        </is>
      </c>
      <c r="B508" s="1" t="n">
        <v>45315.58989583333</v>
      </c>
      <c r="C508" s="1" t="n">
        <v>45989</v>
      </c>
      <c r="D508" t="inlineStr">
        <is>
          <t>VÄSTMANLANDS LÄN</t>
        </is>
      </c>
      <c r="E508" t="inlineStr">
        <is>
          <t>SALA</t>
        </is>
      </c>
      <c r="G508" t="n">
        <v>2.5</v>
      </c>
      <c r="H508" t="n">
        <v>0</v>
      </c>
      <c r="I508" t="n">
        <v>0</v>
      </c>
      <c r="J508" t="n">
        <v>0</v>
      </c>
      <c r="K508" t="n">
        <v>0</v>
      </c>
      <c r="L508" t="n">
        <v>0</v>
      </c>
      <c r="M508" t="n">
        <v>0</v>
      </c>
      <c r="N508" t="n">
        <v>0</v>
      </c>
      <c r="O508" t="n">
        <v>0</v>
      </c>
      <c r="P508" t="n">
        <v>0</v>
      </c>
      <c r="Q508" t="n">
        <v>0</v>
      </c>
      <c r="R508" s="2" t="inlineStr"/>
    </row>
    <row r="509" ht="15" customHeight="1">
      <c r="A509" t="inlineStr">
        <is>
          <t>A 37183-2024</t>
        </is>
      </c>
      <c r="B509" s="1" t="n">
        <v>45539</v>
      </c>
      <c r="C509" s="1" t="n">
        <v>45989</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54199-2024</t>
        </is>
      </c>
      <c r="B510" s="1" t="n">
        <v>45616.64703703704</v>
      </c>
      <c r="C510" s="1" t="n">
        <v>45989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60548-2024</t>
        </is>
      </c>
      <c r="B511" s="1" t="n">
        <v>45643.80978009259</v>
      </c>
      <c r="C511" s="1" t="n">
        <v>45989</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57895-2024</t>
        </is>
      </c>
      <c r="B512" s="1" t="n">
        <v>45631</v>
      </c>
      <c r="C512" s="1" t="n">
        <v>45989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31597-2024</t>
        </is>
      </c>
      <c r="B513" s="1" t="n">
        <v>45506</v>
      </c>
      <c r="C513" s="1" t="n">
        <v>45989</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17458-2024</t>
        </is>
      </c>
      <c r="B514" s="1" t="n">
        <v>45415</v>
      </c>
      <c r="C514" s="1" t="n">
        <v>45989</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56543-2024</t>
        </is>
      </c>
      <c r="B515" s="1" t="n">
        <v>45625</v>
      </c>
      <c r="C515" s="1" t="n">
        <v>45989</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28661-2024</t>
        </is>
      </c>
      <c r="B516" s="1" t="n">
        <v>45478</v>
      </c>
      <c r="C516" s="1" t="n">
        <v>45989</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2529-2022</t>
        </is>
      </c>
      <c r="B517" s="1" t="n">
        <v>44579.86452546297</v>
      </c>
      <c r="C517" s="1" t="n">
        <v>45989</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56540-2024</t>
        </is>
      </c>
      <c r="B518" s="1" t="n">
        <v>45625</v>
      </c>
      <c r="C518" s="1" t="n">
        <v>45989</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31599-2024</t>
        </is>
      </c>
      <c r="B519" s="1" t="n">
        <v>45506</v>
      </c>
      <c r="C519" s="1" t="n">
        <v>45989</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31601-2024</t>
        </is>
      </c>
      <c r="B520" s="1" t="n">
        <v>45506</v>
      </c>
      <c r="C520" s="1" t="n">
        <v>45989</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31608-2024</t>
        </is>
      </c>
      <c r="B521" s="1" t="n">
        <v>45506</v>
      </c>
      <c r="C521" s="1" t="n">
        <v>45989</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31612-2024</t>
        </is>
      </c>
      <c r="B522" s="1" t="n">
        <v>45506</v>
      </c>
      <c r="C522" s="1" t="n">
        <v>45989</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10579-2022</t>
        </is>
      </c>
      <c r="B523" s="1" t="n">
        <v>44624</v>
      </c>
      <c r="C523" s="1" t="n">
        <v>45989</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64693-2023</t>
        </is>
      </c>
      <c r="B524" s="1" t="n">
        <v>45281.63850694444</v>
      </c>
      <c r="C524" s="1" t="n">
        <v>45989</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64695-2023</t>
        </is>
      </c>
      <c r="B525" s="1" t="n">
        <v>45281.64099537037</v>
      </c>
      <c r="C525" s="1" t="n">
        <v>45989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55784-2024</t>
        </is>
      </c>
      <c r="B526" s="1" t="n">
        <v>45623</v>
      </c>
      <c r="C526" s="1" t="n">
        <v>45989</v>
      </c>
      <c r="D526" t="inlineStr">
        <is>
          <t>VÄSTMANLANDS LÄN</t>
        </is>
      </c>
      <c r="E526" t="inlineStr">
        <is>
          <t>SALA</t>
        </is>
      </c>
      <c r="F526" t="inlineStr">
        <is>
          <t>Bergvik skog öst AB</t>
        </is>
      </c>
      <c r="G526" t="n">
        <v>28.4</v>
      </c>
      <c r="H526" t="n">
        <v>0</v>
      </c>
      <c r="I526" t="n">
        <v>0</v>
      </c>
      <c r="J526" t="n">
        <v>0</v>
      </c>
      <c r="K526" t="n">
        <v>0</v>
      </c>
      <c r="L526" t="n">
        <v>0</v>
      </c>
      <c r="M526" t="n">
        <v>0</v>
      </c>
      <c r="N526" t="n">
        <v>0</v>
      </c>
      <c r="O526" t="n">
        <v>0</v>
      </c>
      <c r="P526" t="n">
        <v>0</v>
      </c>
      <c r="Q526" t="n">
        <v>0</v>
      </c>
      <c r="R526" s="2" t="inlineStr"/>
    </row>
    <row r="527" ht="15" customHeight="1">
      <c r="A527" t="inlineStr">
        <is>
          <t>A 29542-2023</t>
        </is>
      </c>
      <c r="B527" s="1" t="n">
        <v>45098</v>
      </c>
      <c r="C527" s="1" t="n">
        <v>45989</v>
      </c>
      <c r="D527" t="inlineStr">
        <is>
          <t>VÄSTMANLANDS LÄN</t>
        </is>
      </c>
      <c r="E527" t="inlineStr">
        <is>
          <t>SALA</t>
        </is>
      </c>
      <c r="G527" t="n">
        <v>4.8</v>
      </c>
      <c r="H527" t="n">
        <v>0</v>
      </c>
      <c r="I527" t="n">
        <v>0</v>
      </c>
      <c r="J527" t="n">
        <v>0</v>
      </c>
      <c r="K527" t="n">
        <v>0</v>
      </c>
      <c r="L527" t="n">
        <v>0</v>
      </c>
      <c r="M527" t="n">
        <v>0</v>
      </c>
      <c r="N527" t="n">
        <v>0</v>
      </c>
      <c r="O527" t="n">
        <v>0</v>
      </c>
      <c r="P527" t="n">
        <v>0</v>
      </c>
      <c r="Q527" t="n">
        <v>0</v>
      </c>
      <c r="R527" s="2" t="inlineStr"/>
    </row>
    <row r="528" ht="15" customHeight="1">
      <c r="A528" t="inlineStr">
        <is>
          <t>A 27038-2023</t>
        </is>
      </c>
      <c r="B528" s="1" t="n">
        <v>45095</v>
      </c>
      <c r="C528" s="1" t="n">
        <v>45989</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66821-2020</t>
        </is>
      </c>
      <c r="B529" s="1" t="n">
        <v>44179.88008101852</v>
      </c>
      <c r="C529" s="1" t="n">
        <v>45989</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17051-2025</t>
        </is>
      </c>
      <c r="B530" s="1" t="n">
        <v>45755</v>
      </c>
      <c r="C530" s="1" t="n">
        <v>45989</v>
      </c>
      <c r="D530" t="inlineStr">
        <is>
          <t>VÄSTMANLANDS LÄN</t>
        </is>
      </c>
      <c r="E530" t="inlineStr">
        <is>
          <t>SALA</t>
        </is>
      </c>
      <c r="G530" t="n">
        <v>2.9</v>
      </c>
      <c r="H530" t="n">
        <v>0</v>
      </c>
      <c r="I530" t="n">
        <v>0</v>
      </c>
      <c r="J530" t="n">
        <v>0</v>
      </c>
      <c r="K530" t="n">
        <v>0</v>
      </c>
      <c r="L530" t="n">
        <v>0</v>
      </c>
      <c r="M530" t="n">
        <v>0</v>
      </c>
      <c r="N530" t="n">
        <v>0</v>
      </c>
      <c r="O530" t="n">
        <v>0</v>
      </c>
      <c r="P530" t="n">
        <v>0</v>
      </c>
      <c r="Q530" t="n">
        <v>0</v>
      </c>
      <c r="R530" s="2" t="inlineStr"/>
    </row>
    <row r="531" ht="15" customHeight="1">
      <c r="A531" t="inlineStr">
        <is>
          <t>A 8285-2025</t>
        </is>
      </c>
      <c r="B531" s="1" t="n">
        <v>45708</v>
      </c>
      <c r="C531" s="1" t="n">
        <v>45989</v>
      </c>
      <c r="D531" t="inlineStr">
        <is>
          <t>VÄSTMANLANDS LÄN</t>
        </is>
      </c>
      <c r="E531" t="inlineStr">
        <is>
          <t>SALA</t>
        </is>
      </c>
      <c r="G531" t="n">
        <v>5.7</v>
      </c>
      <c r="H531" t="n">
        <v>0</v>
      </c>
      <c r="I531" t="n">
        <v>0</v>
      </c>
      <c r="J531" t="n">
        <v>0</v>
      </c>
      <c r="K531" t="n">
        <v>0</v>
      </c>
      <c r="L531" t="n">
        <v>0</v>
      </c>
      <c r="M531" t="n">
        <v>0</v>
      </c>
      <c r="N531" t="n">
        <v>0</v>
      </c>
      <c r="O531" t="n">
        <v>0</v>
      </c>
      <c r="P531" t="n">
        <v>0</v>
      </c>
      <c r="Q531" t="n">
        <v>0</v>
      </c>
      <c r="R531" s="2" t="inlineStr"/>
    </row>
    <row r="532" ht="15" customHeight="1">
      <c r="A532" t="inlineStr">
        <is>
          <t>A 14010-2021</t>
        </is>
      </c>
      <c r="B532" s="1" t="n">
        <v>44277.63396990741</v>
      </c>
      <c r="C532" s="1" t="n">
        <v>45989</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22019-2021</t>
        </is>
      </c>
      <c r="B533" s="1" t="n">
        <v>44323</v>
      </c>
      <c r="C533" s="1" t="n">
        <v>45989</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57404-2024</t>
        </is>
      </c>
      <c r="B534" s="1" t="n">
        <v>45629.71967592592</v>
      </c>
      <c r="C534" s="1" t="n">
        <v>45989</v>
      </c>
      <c r="D534" t="inlineStr">
        <is>
          <t>VÄSTMANLANDS LÄN</t>
        </is>
      </c>
      <c r="E534" t="inlineStr">
        <is>
          <t>SALA</t>
        </is>
      </c>
      <c r="G534" t="n">
        <v>0.3</v>
      </c>
      <c r="H534" t="n">
        <v>0</v>
      </c>
      <c r="I534" t="n">
        <v>0</v>
      </c>
      <c r="J534" t="n">
        <v>0</v>
      </c>
      <c r="K534" t="n">
        <v>0</v>
      </c>
      <c r="L534" t="n">
        <v>0</v>
      </c>
      <c r="M534" t="n">
        <v>0</v>
      </c>
      <c r="N534" t="n">
        <v>0</v>
      </c>
      <c r="O534" t="n">
        <v>0</v>
      </c>
      <c r="P534" t="n">
        <v>0</v>
      </c>
      <c r="Q534" t="n">
        <v>0</v>
      </c>
      <c r="R534" s="2" t="inlineStr"/>
    </row>
    <row r="535" ht="15" customHeight="1">
      <c r="A535" t="inlineStr">
        <is>
          <t>A 21777-2022</t>
        </is>
      </c>
      <c r="B535" s="1" t="n">
        <v>44708.48194444444</v>
      </c>
      <c r="C535" s="1" t="n">
        <v>45989</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17866-2025</t>
        </is>
      </c>
      <c r="B536" s="1" t="n">
        <v>45758</v>
      </c>
      <c r="C536" s="1" t="n">
        <v>45989</v>
      </c>
      <c r="D536" t="inlineStr">
        <is>
          <t>VÄSTMANLANDS LÄN</t>
        </is>
      </c>
      <c r="E536" t="inlineStr">
        <is>
          <t>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33732-2023</t>
        </is>
      </c>
      <c r="B537" s="1" t="n">
        <v>45133.32409722222</v>
      </c>
      <c r="C537" s="1" t="n">
        <v>45989</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7166-2025</t>
        </is>
      </c>
      <c r="B538" s="1" t="n">
        <v>45702</v>
      </c>
      <c r="C538" s="1" t="n">
        <v>45989</v>
      </c>
      <c r="D538" t="inlineStr">
        <is>
          <t>VÄSTMANLANDS LÄN</t>
        </is>
      </c>
      <c r="E538" t="inlineStr">
        <is>
          <t>SALA</t>
        </is>
      </c>
      <c r="G538" t="n">
        <v>6.1</v>
      </c>
      <c r="H538" t="n">
        <v>0</v>
      </c>
      <c r="I538" t="n">
        <v>0</v>
      </c>
      <c r="J538" t="n">
        <v>0</v>
      </c>
      <c r="K538" t="n">
        <v>0</v>
      </c>
      <c r="L538" t="n">
        <v>0</v>
      </c>
      <c r="M538" t="n">
        <v>0</v>
      </c>
      <c r="N538" t="n">
        <v>0</v>
      </c>
      <c r="O538" t="n">
        <v>0</v>
      </c>
      <c r="P538" t="n">
        <v>0</v>
      </c>
      <c r="Q538" t="n">
        <v>0</v>
      </c>
      <c r="R538" s="2" t="inlineStr"/>
    </row>
    <row r="539" ht="15" customHeight="1">
      <c r="A539" t="inlineStr">
        <is>
          <t>A 44857-2023</t>
        </is>
      </c>
      <c r="B539" s="1" t="n">
        <v>45190.58479166667</v>
      </c>
      <c r="C539" s="1" t="n">
        <v>45989</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46352-2023</t>
        </is>
      </c>
      <c r="B540" s="1" t="n">
        <v>45192</v>
      </c>
      <c r="C540" s="1" t="n">
        <v>45989</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22397-2022</t>
        </is>
      </c>
      <c r="B541" s="1" t="n">
        <v>44713</v>
      </c>
      <c r="C541" s="1" t="n">
        <v>45989</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27424-2023</t>
        </is>
      </c>
      <c r="B542" s="1" t="n">
        <v>45097.37690972222</v>
      </c>
      <c r="C542" s="1" t="n">
        <v>45989</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7469-2025</t>
        </is>
      </c>
      <c r="B543" s="1" t="n">
        <v>45705</v>
      </c>
      <c r="C543" s="1" t="n">
        <v>45989</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6691-2025</t>
        </is>
      </c>
      <c r="B544" s="1" t="n">
        <v>45700.50625</v>
      </c>
      <c r="C544" s="1" t="n">
        <v>45989</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60036-2024</t>
        </is>
      </c>
      <c r="B545" s="1" t="n">
        <v>45642.46434027778</v>
      </c>
      <c r="C545" s="1" t="n">
        <v>45989</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43188-2023</t>
        </is>
      </c>
      <c r="B546" s="1" t="n">
        <v>45183</v>
      </c>
      <c r="C546" s="1" t="n">
        <v>45989</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43205-2023</t>
        </is>
      </c>
      <c r="B547" s="1" t="n">
        <v>45183</v>
      </c>
      <c r="C547" s="1" t="n">
        <v>45989</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28827-2022</t>
        </is>
      </c>
      <c r="B548" s="1" t="n">
        <v>44749.45561342593</v>
      </c>
      <c r="C548" s="1" t="n">
        <v>45989</v>
      </c>
      <c r="D548" t="inlineStr">
        <is>
          <t>VÄSTMANLANDS LÄN</t>
        </is>
      </c>
      <c r="E548" t="inlineStr">
        <is>
          <t>SALA</t>
        </is>
      </c>
      <c r="F548" t="inlineStr">
        <is>
          <t>Kommuner</t>
        </is>
      </c>
      <c r="G548" t="n">
        <v>11.9</v>
      </c>
      <c r="H548" t="n">
        <v>0</v>
      </c>
      <c r="I548" t="n">
        <v>0</v>
      </c>
      <c r="J548" t="n">
        <v>0</v>
      </c>
      <c r="K548" t="n">
        <v>0</v>
      </c>
      <c r="L548" t="n">
        <v>0</v>
      </c>
      <c r="M548" t="n">
        <v>0</v>
      </c>
      <c r="N548" t="n">
        <v>0</v>
      </c>
      <c r="O548" t="n">
        <v>0</v>
      </c>
      <c r="P548" t="n">
        <v>0</v>
      </c>
      <c r="Q548" t="n">
        <v>0</v>
      </c>
      <c r="R548" s="2" t="inlineStr"/>
    </row>
    <row r="549" ht="15" customHeight="1">
      <c r="A549" t="inlineStr">
        <is>
          <t>A 15756-2025</t>
        </is>
      </c>
      <c r="B549" s="1" t="n">
        <v>45748.56810185185</v>
      </c>
      <c r="C549" s="1" t="n">
        <v>45989</v>
      </c>
      <c r="D549" t="inlineStr">
        <is>
          <t>VÄSTMANLANDS LÄN</t>
        </is>
      </c>
      <c r="E549" t="inlineStr">
        <is>
          <t>SALA</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19243-2025</t>
        </is>
      </c>
      <c r="B550" s="1" t="n">
        <v>45769</v>
      </c>
      <c r="C550" s="1" t="n">
        <v>45989</v>
      </c>
      <c r="D550" t="inlineStr">
        <is>
          <t>VÄSTMANLANDS LÄN</t>
        </is>
      </c>
      <c r="E550" t="inlineStr">
        <is>
          <t>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59297-2023</t>
        </is>
      </c>
      <c r="B551" s="1" t="n">
        <v>45253</v>
      </c>
      <c r="C551" s="1" t="n">
        <v>45989</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6136-2025</t>
        </is>
      </c>
      <c r="B552" s="1" t="n">
        <v>45698.37601851852</v>
      </c>
      <c r="C552" s="1" t="n">
        <v>45989</v>
      </c>
      <c r="D552" t="inlineStr">
        <is>
          <t>VÄSTMANLANDS LÄN</t>
        </is>
      </c>
      <c r="E552" t="inlineStr">
        <is>
          <t>SALA</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6190-2025</t>
        </is>
      </c>
      <c r="B553" s="1" t="n">
        <v>45698</v>
      </c>
      <c r="C553" s="1" t="n">
        <v>45989</v>
      </c>
      <c r="D553" t="inlineStr">
        <is>
          <t>VÄSTMANLANDS LÄN</t>
        </is>
      </c>
      <c r="E553" t="inlineStr">
        <is>
          <t>SALA</t>
        </is>
      </c>
      <c r="F553" t="inlineStr">
        <is>
          <t>Bergvik skog öst AB</t>
        </is>
      </c>
      <c r="G553" t="n">
        <v>4.6</v>
      </c>
      <c r="H553" t="n">
        <v>0</v>
      </c>
      <c r="I553" t="n">
        <v>0</v>
      </c>
      <c r="J553" t="n">
        <v>0</v>
      </c>
      <c r="K553" t="n">
        <v>0</v>
      </c>
      <c r="L553" t="n">
        <v>0</v>
      </c>
      <c r="M553" t="n">
        <v>0</v>
      </c>
      <c r="N553" t="n">
        <v>0</v>
      </c>
      <c r="O553" t="n">
        <v>0</v>
      </c>
      <c r="P553" t="n">
        <v>0</v>
      </c>
      <c r="Q553" t="n">
        <v>0</v>
      </c>
      <c r="R553" s="2" t="inlineStr"/>
    </row>
    <row r="554" ht="15" customHeight="1">
      <c r="A554" t="inlineStr">
        <is>
          <t>A 28863-2022</t>
        </is>
      </c>
      <c r="B554" s="1" t="n">
        <v>44749.50649305555</v>
      </c>
      <c r="C554" s="1" t="n">
        <v>45989</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25541-2024</t>
        </is>
      </c>
      <c r="B555" s="1" t="n">
        <v>45463.56337962963</v>
      </c>
      <c r="C555" s="1" t="n">
        <v>45989</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29213-2022</t>
        </is>
      </c>
      <c r="B556" s="1" t="n">
        <v>44750.57474537037</v>
      </c>
      <c r="C556" s="1" t="n">
        <v>45989</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56964-2023</t>
        </is>
      </c>
      <c r="B557" s="1" t="n">
        <v>45244.63140046296</v>
      </c>
      <c r="C557" s="1" t="n">
        <v>45989</v>
      </c>
      <c r="D557" t="inlineStr">
        <is>
          <t>VÄSTMANLANDS LÄN</t>
        </is>
      </c>
      <c r="E557" t="inlineStr">
        <is>
          <t>SALA</t>
        </is>
      </c>
      <c r="G557" t="n">
        <v>4.6</v>
      </c>
      <c r="H557" t="n">
        <v>0</v>
      </c>
      <c r="I557" t="n">
        <v>0</v>
      </c>
      <c r="J557" t="n">
        <v>0</v>
      </c>
      <c r="K557" t="n">
        <v>0</v>
      </c>
      <c r="L557" t="n">
        <v>0</v>
      </c>
      <c r="M557" t="n">
        <v>0</v>
      </c>
      <c r="N557" t="n">
        <v>0</v>
      </c>
      <c r="O557" t="n">
        <v>0</v>
      </c>
      <c r="P557" t="n">
        <v>0</v>
      </c>
      <c r="Q557" t="n">
        <v>0</v>
      </c>
      <c r="R557" s="2" t="inlineStr"/>
    </row>
    <row r="558" ht="15" customHeight="1">
      <c r="A558" t="inlineStr">
        <is>
          <t>A 1555-2024</t>
        </is>
      </c>
      <c r="B558" s="1" t="n">
        <v>45306</v>
      </c>
      <c r="C558" s="1" t="n">
        <v>45989</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13188-2025</t>
        </is>
      </c>
      <c r="B559" s="1" t="n">
        <v>45735.39246527778</v>
      </c>
      <c r="C559" s="1" t="n">
        <v>45989</v>
      </c>
      <c r="D559" t="inlineStr">
        <is>
          <t>VÄSTMANLANDS LÄN</t>
        </is>
      </c>
      <c r="E559" t="inlineStr">
        <is>
          <t>SALA</t>
        </is>
      </c>
      <c r="F559" t="inlineStr">
        <is>
          <t>Naturvårdsverket</t>
        </is>
      </c>
      <c r="G559" t="n">
        <v>18.4</v>
      </c>
      <c r="H559" t="n">
        <v>0</v>
      </c>
      <c r="I559" t="n">
        <v>0</v>
      </c>
      <c r="J559" t="n">
        <v>0</v>
      </c>
      <c r="K559" t="n">
        <v>0</v>
      </c>
      <c r="L559" t="n">
        <v>0</v>
      </c>
      <c r="M559" t="n">
        <v>0</v>
      </c>
      <c r="N559" t="n">
        <v>0</v>
      </c>
      <c r="O559" t="n">
        <v>0</v>
      </c>
      <c r="P559" t="n">
        <v>0</v>
      </c>
      <c r="Q559" t="n">
        <v>0</v>
      </c>
      <c r="R559" s="2" t="inlineStr"/>
    </row>
    <row r="560" ht="15" customHeight="1">
      <c r="A560" t="inlineStr">
        <is>
          <t>A 7197-2025</t>
        </is>
      </c>
      <c r="B560" s="1" t="n">
        <v>45702</v>
      </c>
      <c r="C560" s="1" t="n">
        <v>45989</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15099-2025</t>
        </is>
      </c>
      <c r="B561" s="1" t="n">
        <v>45744.3434837963</v>
      </c>
      <c r="C561" s="1" t="n">
        <v>45989</v>
      </c>
      <c r="D561" t="inlineStr">
        <is>
          <t>VÄSTMANLANDS LÄN</t>
        </is>
      </c>
      <c r="E561" t="inlineStr">
        <is>
          <t>SALA</t>
        </is>
      </c>
      <c r="F561" t="inlineStr">
        <is>
          <t>Sveaskog</t>
        </is>
      </c>
      <c r="G561" t="n">
        <v>14.4</v>
      </c>
      <c r="H561" t="n">
        <v>0</v>
      </c>
      <c r="I561" t="n">
        <v>0</v>
      </c>
      <c r="J561" t="n">
        <v>0</v>
      </c>
      <c r="K561" t="n">
        <v>0</v>
      </c>
      <c r="L561" t="n">
        <v>0</v>
      </c>
      <c r="M561" t="n">
        <v>0</v>
      </c>
      <c r="N561" t="n">
        <v>0</v>
      </c>
      <c r="O561" t="n">
        <v>0</v>
      </c>
      <c r="P561" t="n">
        <v>0</v>
      </c>
      <c r="Q561" t="n">
        <v>0</v>
      </c>
      <c r="R561" s="2" t="inlineStr"/>
    </row>
    <row r="562" ht="15" customHeight="1">
      <c r="A562" t="inlineStr">
        <is>
          <t>A 2928-2024</t>
        </is>
      </c>
      <c r="B562" s="1" t="n">
        <v>45315.59041666667</v>
      </c>
      <c r="C562" s="1" t="n">
        <v>45989</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9962-2025</t>
        </is>
      </c>
      <c r="B563" s="1" t="n">
        <v>45719.37072916667</v>
      </c>
      <c r="C563" s="1" t="n">
        <v>45989</v>
      </c>
      <c r="D563" t="inlineStr">
        <is>
          <t>VÄSTMANLANDS LÄN</t>
        </is>
      </c>
      <c r="E563" t="inlineStr">
        <is>
          <t>SALA</t>
        </is>
      </c>
      <c r="G563" t="n">
        <v>4.5</v>
      </c>
      <c r="H563" t="n">
        <v>0</v>
      </c>
      <c r="I563" t="n">
        <v>0</v>
      </c>
      <c r="J563" t="n">
        <v>0</v>
      </c>
      <c r="K563" t="n">
        <v>0</v>
      </c>
      <c r="L563" t="n">
        <v>0</v>
      </c>
      <c r="M563" t="n">
        <v>0</v>
      </c>
      <c r="N563" t="n">
        <v>0</v>
      </c>
      <c r="O563" t="n">
        <v>0</v>
      </c>
      <c r="P563" t="n">
        <v>0</v>
      </c>
      <c r="Q563" t="n">
        <v>0</v>
      </c>
      <c r="R563" s="2" t="inlineStr"/>
    </row>
    <row r="564" ht="15" customHeight="1">
      <c r="A564" t="inlineStr">
        <is>
          <t>A 14024-2025</t>
        </is>
      </c>
      <c r="B564" s="1" t="n">
        <v>45740.34650462963</v>
      </c>
      <c r="C564" s="1" t="n">
        <v>45989</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3551-2024</t>
        </is>
      </c>
      <c r="B565" s="1" t="n">
        <v>45320.61099537037</v>
      </c>
      <c r="C565" s="1" t="n">
        <v>45989</v>
      </c>
      <c r="D565" t="inlineStr">
        <is>
          <t>VÄSTMANLANDS LÄN</t>
        </is>
      </c>
      <c r="E565" t="inlineStr">
        <is>
          <t>SALA</t>
        </is>
      </c>
      <c r="F565" t="inlineStr">
        <is>
          <t>Kommuner</t>
        </is>
      </c>
      <c r="G565" t="n">
        <v>6</v>
      </c>
      <c r="H565" t="n">
        <v>0</v>
      </c>
      <c r="I565" t="n">
        <v>0</v>
      </c>
      <c r="J565" t="n">
        <v>0</v>
      </c>
      <c r="K565" t="n">
        <v>0</v>
      </c>
      <c r="L565" t="n">
        <v>0</v>
      </c>
      <c r="M565" t="n">
        <v>0</v>
      </c>
      <c r="N565" t="n">
        <v>0</v>
      </c>
      <c r="O565" t="n">
        <v>0</v>
      </c>
      <c r="P565" t="n">
        <v>0</v>
      </c>
      <c r="Q565" t="n">
        <v>0</v>
      </c>
      <c r="R565" s="2" t="inlineStr"/>
    </row>
    <row r="566" ht="15" customHeight="1">
      <c r="A566" t="inlineStr">
        <is>
          <t>A 62635-2022</t>
        </is>
      </c>
      <c r="B566" s="1" t="n">
        <v>44917</v>
      </c>
      <c r="C566" s="1" t="n">
        <v>45989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19304-2025</t>
        </is>
      </c>
      <c r="B567" s="1" t="n">
        <v>45769</v>
      </c>
      <c r="C567" s="1" t="n">
        <v>45989</v>
      </c>
      <c r="D567" t="inlineStr">
        <is>
          <t>VÄSTMANLANDS LÄN</t>
        </is>
      </c>
      <c r="E567" t="inlineStr">
        <is>
          <t>SALA</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56057-2023</t>
        </is>
      </c>
      <c r="B568" s="1" t="n">
        <v>45233</v>
      </c>
      <c r="C568" s="1" t="n">
        <v>45989</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55024-2023</t>
        </is>
      </c>
      <c r="B569" s="1" t="n">
        <v>45229</v>
      </c>
      <c r="C569" s="1" t="n">
        <v>45989</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55032-2023</t>
        </is>
      </c>
      <c r="B570" s="1" t="n">
        <v>45229</v>
      </c>
      <c r="C570" s="1" t="n">
        <v>45989</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29248-2022</t>
        </is>
      </c>
      <c r="B571" s="1" t="n">
        <v>44750</v>
      </c>
      <c r="C571" s="1" t="n">
        <v>45989</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59175-2022</t>
        </is>
      </c>
      <c r="B572" s="1" t="n">
        <v>44904.48502314815</v>
      </c>
      <c r="C572" s="1" t="n">
        <v>45989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39451-2022</t>
        </is>
      </c>
      <c r="B573" s="1" t="n">
        <v>44818.36606481481</v>
      </c>
      <c r="C573" s="1" t="n">
        <v>45989</v>
      </c>
      <c r="D573" t="inlineStr">
        <is>
          <t>VÄSTMANLANDS LÄN</t>
        </is>
      </c>
      <c r="E573" t="inlineStr">
        <is>
          <t>SALA</t>
        </is>
      </c>
      <c r="G573" t="n">
        <v>9.4</v>
      </c>
      <c r="H573" t="n">
        <v>0</v>
      </c>
      <c r="I573" t="n">
        <v>0</v>
      </c>
      <c r="J573" t="n">
        <v>0</v>
      </c>
      <c r="K573" t="n">
        <v>0</v>
      </c>
      <c r="L573" t="n">
        <v>0</v>
      </c>
      <c r="M573" t="n">
        <v>0</v>
      </c>
      <c r="N573" t="n">
        <v>0</v>
      </c>
      <c r="O573" t="n">
        <v>0</v>
      </c>
      <c r="P573" t="n">
        <v>0</v>
      </c>
      <c r="Q573" t="n">
        <v>0</v>
      </c>
      <c r="R573" s="2" t="inlineStr"/>
    </row>
    <row r="574" ht="15" customHeight="1">
      <c r="A574" t="inlineStr">
        <is>
          <t>A 11631-2023</t>
        </is>
      </c>
      <c r="B574" s="1" t="n">
        <v>44994.44001157407</v>
      </c>
      <c r="C574" s="1" t="n">
        <v>45989</v>
      </c>
      <c r="D574" t="inlineStr">
        <is>
          <t>VÄSTMANLANDS LÄN</t>
        </is>
      </c>
      <c r="E574" t="inlineStr">
        <is>
          <t>SALA</t>
        </is>
      </c>
      <c r="F574" t="inlineStr">
        <is>
          <t>Kommuner</t>
        </is>
      </c>
      <c r="G574" t="n">
        <v>1.9</v>
      </c>
      <c r="H574" t="n">
        <v>0</v>
      </c>
      <c r="I574" t="n">
        <v>0</v>
      </c>
      <c r="J574" t="n">
        <v>0</v>
      </c>
      <c r="K574" t="n">
        <v>0</v>
      </c>
      <c r="L574" t="n">
        <v>0</v>
      </c>
      <c r="M574" t="n">
        <v>0</v>
      </c>
      <c r="N574" t="n">
        <v>0</v>
      </c>
      <c r="O574" t="n">
        <v>0</v>
      </c>
      <c r="P574" t="n">
        <v>0</v>
      </c>
      <c r="Q574" t="n">
        <v>0</v>
      </c>
      <c r="R574" s="2" t="inlineStr"/>
    </row>
    <row r="575" ht="15" customHeight="1">
      <c r="A575" t="inlineStr">
        <is>
          <t>A 62648-2022</t>
        </is>
      </c>
      <c r="B575" s="1" t="n">
        <v>44917</v>
      </c>
      <c r="C575" s="1" t="n">
        <v>45989</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1934-2023</t>
        </is>
      </c>
      <c r="B576" s="1" t="n">
        <v>44939.43024305555</v>
      </c>
      <c r="C576" s="1" t="n">
        <v>45989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11927-2025</t>
        </is>
      </c>
      <c r="B577" s="1" t="n">
        <v>45728.5137962963</v>
      </c>
      <c r="C577" s="1" t="n">
        <v>45989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60823-2024</t>
        </is>
      </c>
      <c r="B578" s="1" t="n">
        <v>45644</v>
      </c>
      <c r="C578" s="1" t="n">
        <v>45989</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96-2024</t>
        </is>
      </c>
      <c r="B579" s="1" t="n">
        <v>45293.85872685185</v>
      </c>
      <c r="C579" s="1" t="n">
        <v>45989</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23374-2023</t>
        </is>
      </c>
      <c r="B580" s="1" t="n">
        <v>45076.4399537037</v>
      </c>
      <c r="C580" s="1" t="n">
        <v>45989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61874-2021</t>
        </is>
      </c>
      <c r="B581" s="1" t="n">
        <v>44502</v>
      </c>
      <c r="C581" s="1" t="n">
        <v>45989</v>
      </c>
      <c r="D581" t="inlineStr">
        <is>
          <t>VÄSTMANLANDS LÄN</t>
        </is>
      </c>
      <c r="E581" t="inlineStr">
        <is>
          <t>SALA</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9856-2022</t>
        </is>
      </c>
      <c r="B582" s="1" t="n">
        <v>44620</v>
      </c>
      <c r="C582" s="1" t="n">
        <v>45989</v>
      </c>
      <c r="D582" t="inlineStr">
        <is>
          <t>VÄSTMANLANDS LÄN</t>
        </is>
      </c>
      <c r="E582" t="inlineStr">
        <is>
          <t>SALA</t>
        </is>
      </c>
      <c r="G582" t="n">
        <v>2.4</v>
      </c>
      <c r="H582" t="n">
        <v>0</v>
      </c>
      <c r="I582" t="n">
        <v>0</v>
      </c>
      <c r="J582" t="n">
        <v>0</v>
      </c>
      <c r="K582" t="n">
        <v>0</v>
      </c>
      <c r="L582" t="n">
        <v>0</v>
      </c>
      <c r="M582" t="n">
        <v>0</v>
      </c>
      <c r="N582" t="n">
        <v>0</v>
      </c>
      <c r="O582" t="n">
        <v>0</v>
      </c>
      <c r="P582" t="n">
        <v>0</v>
      </c>
      <c r="Q582" t="n">
        <v>0</v>
      </c>
      <c r="R582" s="2" t="inlineStr"/>
    </row>
    <row r="583" ht="15" customHeight="1">
      <c r="A583" t="inlineStr">
        <is>
          <t>A 16159-2024</t>
        </is>
      </c>
      <c r="B583" s="1" t="n">
        <v>45406</v>
      </c>
      <c r="C583" s="1" t="n">
        <v>45989</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50241-2023</t>
        </is>
      </c>
      <c r="B584" s="1" t="n">
        <v>45216</v>
      </c>
      <c r="C584" s="1" t="n">
        <v>45989</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3332-2024</t>
        </is>
      </c>
      <c r="B585" s="1" t="n">
        <v>45317</v>
      </c>
      <c r="C585" s="1" t="n">
        <v>45989</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35637-2022</t>
        </is>
      </c>
      <c r="B586" s="1" t="n">
        <v>44799.55194444444</v>
      </c>
      <c r="C586" s="1" t="n">
        <v>45989</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19033-2025</t>
        </is>
      </c>
      <c r="B587" s="1" t="n">
        <v>45764.65796296296</v>
      </c>
      <c r="C587" s="1" t="n">
        <v>45989</v>
      </c>
      <c r="D587" t="inlineStr">
        <is>
          <t>VÄSTMANLANDS LÄN</t>
        </is>
      </c>
      <c r="E587" t="inlineStr">
        <is>
          <t>SALA</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57883-2024</t>
        </is>
      </c>
      <c r="B588" s="1" t="n">
        <v>45630</v>
      </c>
      <c r="C588" s="1" t="n">
        <v>45989</v>
      </c>
      <c r="D588" t="inlineStr">
        <is>
          <t>VÄSTMANLANDS LÄN</t>
        </is>
      </c>
      <c r="E588" t="inlineStr">
        <is>
          <t>SALA</t>
        </is>
      </c>
      <c r="G588" t="n">
        <v>5.4</v>
      </c>
      <c r="H588" t="n">
        <v>0</v>
      </c>
      <c r="I588" t="n">
        <v>0</v>
      </c>
      <c r="J588" t="n">
        <v>0</v>
      </c>
      <c r="K588" t="n">
        <v>0</v>
      </c>
      <c r="L588" t="n">
        <v>0</v>
      </c>
      <c r="M588" t="n">
        <v>0</v>
      </c>
      <c r="N588" t="n">
        <v>0</v>
      </c>
      <c r="O588" t="n">
        <v>0</v>
      </c>
      <c r="P588" t="n">
        <v>0</v>
      </c>
      <c r="Q588" t="n">
        <v>0</v>
      </c>
      <c r="R588" s="2" t="inlineStr"/>
    </row>
    <row r="589" ht="15" customHeight="1">
      <c r="A589" t="inlineStr">
        <is>
          <t>A 50876-2023</t>
        </is>
      </c>
      <c r="B589" s="1" t="n">
        <v>45211</v>
      </c>
      <c r="C589" s="1" t="n">
        <v>45989</v>
      </c>
      <c r="D589" t="inlineStr">
        <is>
          <t>VÄSTMANLANDS LÄN</t>
        </is>
      </c>
      <c r="E589" t="inlineStr">
        <is>
          <t>SALA</t>
        </is>
      </c>
      <c r="G589" t="n">
        <v>1.9</v>
      </c>
      <c r="H589" t="n">
        <v>0</v>
      </c>
      <c r="I589" t="n">
        <v>0</v>
      </c>
      <c r="J589" t="n">
        <v>0</v>
      </c>
      <c r="K589" t="n">
        <v>0</v>
      </c>
      <c r="L589" t="n">
        <v>0</v>
      </c>
      <c r="M589" t="n">
        <v>0</v>
      </c>
      <c r="N589" t="n">
        <v>0</v>
      </c>
      <c r="O589" t="n">
        <v>0</v>
      </c>
      <c r="P589" t="n">
        <v>0</v>
      </c>
      <c r="Q589" t="n">
        <v>0</v>
      </c>
      <c r="R589" s="2" t="inlineStr"/>
    </row>
    <row r="590" ht="15" customHeight="1">
      <c r="A590" t="inlineStr">
        <is>
          <t>A 37624-2024</t>
        </is>
      </c>
      <c r="B590" s="1" t="n">
        <v>45541</v>
      </c>
      <c r="C590" s="1" t="n">
        <v>45989</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40398-2021</t>
        </is>
      </c>
      <c r="B591" s="1" t="n">
        <v>44419</v>
      </c>
      <c r="C591" s="1" t="n">
        <v>45989</v>
      </c>
      <c r="D591" t="inlineStr">
        <is>
          <t>VÄSTMANLANDS LÄN</t>
        </is>
      </c>
      <c r="E591" t="inlineStr">
        <is>
          <t>SALA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6351-2023</t>
        </is>
      </c>
      <c r="B592" s="1" t="n">
        <v>44965</v>
      </c>
      <c r="C592" s="1" t="n">
        <v>45989</v>
      </c>
      <c r="D592" t="inlineStr">
        <is>
          <t>VÄSTMANLANDS LÄN</t>
        </is>
      </c>
      <c r="E592" t="inlineStr">
        <is>
          <t>SALA</t>
        </is>
      </c>
      <c r="F592" t="inlineStr">
        <is>
          <t>Kommuner</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27262-2024</t>
        </is>
      </c>
      <c r="B593" s="1" t="n">
        <v>45471</v>
      </c>
      <c r="C593" s="1" t="n">
        <v>45989</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15584-2021</t>
        </is>
      </c>
      <c r="B594" s="1" t="n">
        <v>44285</v>
      </c>
      <c r="C594" s="1" t="n">
        <v>45989</v>
      </c>
      <c r="D594" t="inlineStr">
        <is>
          <t>VÄSTMANLANDS LÄN</t>
        </is>
      </c>
      <c r="E594" t="inlineStr">
        <is>
          <t>SALA</t>
        </is>
      </c>
      <c r="G594" t="n">
        <v>3.4</v>
      </c>
      <c r="H594" t="n">
        <v>0</v>
      </c>
      <c r="I594" t="n">
        <v>0</v>
      </c>
      <c r="J594" t="n">
        <v>0</v>
      </c>
      <c r="K594" t="n">
        <v>0</v>
      </c>
      <c r="L594" t="n">
        <v>0</v>
      </c>
      <c r="M594" t="n">
        <v>0</v>
      </c>
      <c r="N594" t="n">
        <v>0</v>
      </c>
      <c r="O594" t="n">
        <v>0</v>
      </c>
      <c r="P594" t="n">
        <v>0</v>
      </c>
      <c r="Q594" t="n">
        <v>0</v>
      </c>
      <c r="R594" s="2" t="inlineStr"/>
    </row>
    <row r="595" ht="15" customHeight="1">
      <c r="A595" t="inlineStr">
        <is>
          <t>A 23119-2022</t>
        </is>
      </c>
      <c r="B595" s="1" t="n">
        <v>44719.56697916667</v>
      </c>
      <c r="C595" s="1" t="n">
        <v>45989</v>
      </c>
      <c r="D595" t="inlineStr">
        <is>
          <t>VÄSTMANLANDS LÄN</t>
        </is>
      </c>
      <c r="E595" t="inlineStr">
        <is>
          <t>SALA</t>
        </is>
      </c>
      <c r="G595" t="n">
        <v>7</v>
      </c>
      <c r="H595" t="n">
        <v>0</v>
      </c>
      <c r="I595" t="n">
        <v>0</v>
      </c>
      <c r="J595" t="n">
        <v>0</v>
      </c>
      <c r="K595" t="n">
        <v>0</v>
      </c>
      <c r="L595" t="n">
        <v>0</v>
      </c>
      <c r="M595" t="n">
        <v>0</v>
      </c>
      <c r="N595" t="n">
        <v>0</v>
      </c>
      <c r="O595" t="n">
        <v>0</v>
      </c>
      <c r="P595" t="n">
        <v>0</v>
      </c>
      <c r="Q595" t="n">
        <v>0</v>
      </c>
      <c r="R595" s="2" t="inlineStr"/>
    </row>
    <row r="596" ht="15" customHeight="1">
      <c r="A596" t="inlineStr">
        <is>
          <t>A 43751-2021</t>
        </is>
      </c>
      <c r="B596" s="1" t="n">
        <v>44433</v>
      </c>
      <c r="C596" s="1" t="n">
        <v>45989</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44907.45679398148</v>
      </c>
      <c r="C597" s="1" t="n">
        <v>45989</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73673-2021</t>
        </is>
      </c>
      <c r="B598" s="1" t="n">
        <v>44552.46501157407</v>
      </c>
      <c r="C598" s="1" t="n">
        <v>45989</v>
      </c>
      <c r="D598" t="inlineStr">
        <is>
          <t>VÄSTMANLANDS LÄN</t>
        </is>
      </c>
      <c r="E598" t="inlineStr">
        <is>
          <t>SALA</t>
        </is>
      </c>
      <c r="G598" t="n">
        <v>11.4</v>
      </c>
      <c r="H598" t="n">
        <v>0</v>
      </c>
      <c r="I598" t="n">
        <v>0</v>
      </c>
      <c r="J598" t="n">
        <v>0</v>
      </c>
      <c r="K598" t="n">
        <v>0</v>
      </c>
      <c r="L598" t="n">
        <v>0</v>
      </c>
      <c r="M598" t="n">
        <v>0</v>
      </c>
      <c r="N598" t="n">
        <v>0</v>
      </c>
      <c r="O598" t="n">
        <v>0</v>
      </c>
      <c r="P598" t="n">
        <v>0</v>
      </c>
      <c r="Q598" t="n">
        <v>0</v>
      </c>
      <c r="R598" s="2" t="inlineStr"/>
    </row>
    <row r="599" ht="15" customHeight="1">
      <c r="A599" t="inlineStr">
        <is>
          <t>A 4853-2023</t>
        </is>
      </c>
      <c r="B599" s="1" t="n">
        <v>44957.73234953704</v>
      </c>
      <c r="C599" s="1" t="n">
        <v>45989</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1993-2022</t>
        </is>
      </c>
      <c r="B600" s="1" t="n">
        <v>44575</v>
      </c>
      <c r="C600" s="1" t="n">
        <v>45989</v>
      </c>
      <c r="D600" t="inlineStr">
        <is>
          <t>VÄSTMANLANDS LÄN</t>
        </is>
      </c>
      <c r="E600" t="inlineStr">
        <is>
          <t>SALA</t>
        </is>
      </c>
      <c r="G600" t="n">
        <v>1.6</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45989</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42447-2022</t>
        </is>
      </c>
      <c r="B602" s="1" t="n">
        <v>44831</v>
      </c>
      <c r="C602" s="1" t="n">
        <v>45989</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11183-2023</t>
        </is>
      </c>
      <c r="B603" s="1" t="n">
        <v>44992.57782407408</v>
      </c>
      <c r="C603" s="1" t="n">
        <v>45989</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11190-2023</t>
        </is>
      </c>
      <c r="B604" s="1" t="n">
        <v>44992</v>
      </c>
      <c r="C604" s="1" t="n">
        <v>45989</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31950-2023</t>
        </is>
      </c>
      <c r="B605" s="1" t="n">
        <v>45107</v>
      </c>
      <c r="C605" s="1" t="n">
        <v>45989</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48710-2024</t>
        </is>
      </c>
      <c r="B606" s="1" t="n">
        <v>45593.53636574074</v>
      </c>
      <c r="C606" s="1" t="n">
        <v>45989</v>
      </c>
      <c r="D606" t="inlineStr">
        <is>
          <t>VÄSTMANLANDS LÄN</t>
        </is>
      </c>
      <c r="E606" t="inlineStr">
        <is>
          <t>SALA</t>
        </is>
      </c>
      <c r="G606" t="n">
        <v>6.5</v>
      </c>
      <c r="H606" t="n">
        <v>0</v>
      </c>
      <c r="I606" t="n">
        <v>0</v>
      </c>
      <c r="J606" t="n">
        <v>0</v>
      </c>
      <c r="K606" t="n">
        <v>0</v>
      </c>
      <c r="L606" t="n">
        <v>0</v>
      </c>
      <c r="M606" t="n">
        <v>0</v>
      </c>
      <c r="N606" t="n">
        <v>0</v>
      </c>
      <c r="O606" t="n">
        <v>0</v>
      </c>
      <c r="P606" t="n">
        <v>0</v>
      </c>
      <c r="Q606" t="n">
        <v>0</v>
      </c>
      <c r="R606" s="2" t="inlineStr"/>
    </row>
    <row r="607" ht="15" customHeight="1">
      <c r="A607" t="inlineStr">
        <is>
          <t>A 23406-2024</t>
        </is>
      </c>
      <c r="B607" s="1" t="n">
        <v>45453.58296296297</v>
      </c>
      <c r="C607" s="1" t="n">
        <v>45989</v>
      </c>
      <c r="D607" t="inlineStr">
        <is>
          <t>VÄSTMANLANDS LÄN</t>
        </is>
      </c>
      <c r="E607" t="inlineStr">
        <is>
          <t>SALA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12246-2023</t>
        </is>
      </c>
      <c r="B608" s="1" t="n">
        <v>44995</v>
      </c>
      <c r="C608" s="1" t="n">
        <v>45989</v>
      </c>
      <c r="D608" t="inlineStr">
        <is>
          <t>VÄSTMANLANDS LÄN</t>
        </is>
      </c>
      <c r="E608" t="inlineStr">
        <is>
          <t>SALA</t>
        </is>
      </c>
      <c r="G608" t="n">
        <v>2.4</v>
      </c>
      <c r="H608" t="n">
        <v>0</v>
      </c>
      <c r="I608" t="n">
        <v>0</v>
      </c>
      <c r="J608" t="n">
        <v>0</v>
      </c>
      <c r="K608" t="n">
        <v>0</v>
      </c>
      <c r="L608" t="n">
        <v>0</v>
      </c>
      <c r="M608" t="n">
        <v>0</v>
      </c>
      <c r="N608" t="n">
        <v>0</v>
      </c>
      <c r="O608" t="n">
        <v>0</v>
      </c>
      <c r="P608" t="n">
        <v>0</v>
      </c>
      <c r="Q608" t="n">
        <v>0</v>
      </c>
      <c r="R608" s="2" t="inlineStr"/>
    </row>
    <row r="609" ht="15" customHeight="1">
      <c r="A609" t="inlineStr">
        <is>
          <t>A 48571-2024</t>
        </is>
      </c>
      <c r="B609" s="1" t="n">
        <v>45591</v>
      </c>
      <c r="C609" s="1" t="n">
        <v>45989</v>
      </c>
      <c r="D609" t="inlineStr">
        <is>
          <t>VÄSTMANLANDS LÄN</t>
        </is>
      </c>
      <c r="E609" t="inlineStr">
        <is>
          <t>SALA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43362-2023</t>
        </is>
      </c>
      <c r="B610" s="1" t="n">
        <v>45183</v>
      </c>
      <c r="C610" s="1" t="n">
        <v>45989</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16767-2024</t>
        </is>
      </c>
      <c r="B611" s="1" t="n">
        <v>45411.38171296296</v>
      </c>
      <c r="C611" s="1" t="n">
        <v>45989</v>
      </c>
      <c r="D611" t="inlineStr">
        <is>
          <t>VÄSTMANLANDS LÄN</t>
        </is>
      </c>
      <c r="E611" t="inlineStr">
        <is>
          <t>SALA</t>
        </is>
      </c>
      <c r="G611" t="n">
        <v>2.5</v>
      </c>
      <c r="H611" t="n">
        <v>0</v>
      </c>
      <c r="I611" t="n">
        <v>0</v>
      </c>
      <c r="J611" t="n">
        <v>0</v>
      </c>
      <c r="K611" t="n">
        <v>0</v>
      </c>
      <c r="L611" t="n">
        <v>0</v>
      </c>
      <c r="M611" t="n">
        <v>0</v>
      </c>
      <c r="N611" t="n">
        <v>0</v>
      </c>
      <c r="O611" t="n">
        <v>0</v>
      </c>
      <c r="P611" t="n">
        <v>0</v>
      </c>
      <c r="Q611" t="n">
        <v>0</v>
      </c>
      <c r="R611" s="2" t="inlineStr"/>
    </row>
    <row r="612" ht="15" customHeight="1">
      <c r="A612" t="inlineStr">
        <is>
          <t>A 31470-2021</t>
        </is>
      </c>
      <c r="B612" s="1" t="n">
        <v>44369</v>
      </c>
      <c r="C612" s="1" t="n">
        <v>45989</v>
      </c>
      <c r="D612" t="inlineStr">
        <is>
          <t>VÄSTMANLANDS LÄN</t>
        </is>
      </c>
      <c r="E612" t="inlineStr">
        <is>
          <t>SALA</t>
        </is>
      </c>
      <c r="F612" t="inlineStr">
        <is>
          <t>Sveaskog</t>
        </is>
      </c>
      <c r="G612" t="n">
        <v>2.1</v>
      </c>
      <c r="H612" t="n">
        <v>0</v>
      </c>
      <c r="I612" t="n">
        <v>0</v>
      </c>
      <c r="J612" t="n">
        <v>0</v>
      </c>
      <c r="K612" t="n">
        <v>0</v>
      </c>
      <c r="L612" t="n">
        <v>0</v>
      </c>
      <c r="M612" t="n">
        <v>0</v>
      </c>
      <c r="N612" t="n">
        <v>0</v>
      </c>
      <c r="O612" t="n">
        <v>0</v>
      </c>
      <c r="P612" t="n">
        <v>0</v>
      </c>
      <c r="Q612" t="n">
        <v>0</v>
      </c>
      <c r="R612" s="2" t="inlineStr"/>
    </row>
    <row r="613" ht="15" customHeight="1">
      <c r="A613" t="inlineStr">
        <is>
          <t>A 18461-2024</t>
        </is>
      </c>
      <c r="B613" s="1" t="n">
        <v>45425.47435185185</v>
      </c>
      <c r="C613" s="1" t="n">
        <v>45989</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29230-2022</t>
        </is>
      </c>
      <c r="B614" s="1" t="n">
        <v>44750</v>
      </c>
      <c r="C614" s="1" t="n">
        <v>45989</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9335-2022</t>
        </is>
      </c>
      <c r="B615" s="1" t="n">
        <v>44616.56579861111</v>
      </c>
      <c r="C615" s="1" t="n">
        <v>45989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47479-2024</t>
        </is>
      </c>
      <c r="B616" s="1" t="n">
        <v>45587</v>
      </c>
      <c r="C616" s="1" t="n">
        <v>45989</v>
      </c>
      <c r="D616" t="inlineStr">
        <is>
          <t>VÄSTMANLANDS LÄN</t>
        </is>
      </c>
      <c r="E616" t="inlineStr">
        <is>
          <t>SALA</t>
        </is>
      </c>
      <c r="F616" t="inlineStr">
        <is>
          <t>Kommuner</t>
        </is>
      </c>
      <c r="G616" t="n">
        <v>0.8</v>
      </c>
      <c r="H616" t="n">
        <v>0</v>
      </c>
      <c r="I616" t="n">
        <v>0</v>
      </c>
      <c r="J616" t="n">
        <v>0</v>
      </c>
      <c r="K616" t="n">
        <v>0</v>
      </c>
      <c r="L616" t="n">
        <v>0</v>
      </c>
      <c r="M616" t="n">
        <v>0</v>
      </c>
      <c r="N616" t="n">
        <v>0</v>
      </c>
      <c r="O616" t="n">
        <v>0</v>
      </c>
      <c r="P616" t="n">
        <v>0</v>
      </c>
      <c r="Q616" t="n">
        <v>0</v>
      </c>
      <c r="R616" s="2" t="inlineStr"/>
    </row>
    <row r="617" ht="15" customHeight="1">
      <c r="A617" t="inlineStr">
        <is>
          <t>A 19065-2022</t>
        </is>
      </c>
      <c r="B617" s="1" t="n">
        <v>44691.44309027777</v>
      </c>
      <c r="C617" s="1" t="n">
        <v>45989</v>
      </c>
      <c r="D617" t="inlineStr">
        <is>
          <t>VÄSTMANLANDS LÄN</t>
        </is>
      </c>
      <c r="E617" t="inlineStr">
        <is>
          <t>SALA</t>
        </is>
      </c>
      <c r="G617" t="n">
        <v>3.4</v>
      </c>
      <c r="H617" t="n">
        <v>0</v>
      </c>
      <c r="I617" t="n">
        <v>0</v>
      </c>
      <c r="J617" t="n">
        <v>0</v>
      </c>
      <c r="K617" t="n">
        <v>0</v>
      </c>
      <c r="L617" t="n">
        <v>0</v>
      </c>
      <c r="M617" t="n">
        <v>0</v>
      </c>
      <c r="N617" t="n">
        <v>0</v>
      </c>
      <c r="O617" t="n">
        <v>0</v>
      </c>
      <c r="P617" t="n">
        <v>0</v>
      </c>
      <c r="Q617" t="n">
        <v>0</v>
      </c>
      <c r="R617" s="2" t="inlineStr"/>
    </row>
    <row r="618" ht="15" customHeight="1">
      <c r="A618" t="inlineStr">
        <is>
          <t>A 22961-2023</t>
        </is>
      </c>
      <c r="B618" s="1" t="n">
        <v>45072</v>
      </c>
      <c r="C618" s="1" t="n">
        <v>45989</v>
      </c>
      <c r="D618" t="inlineStr">
        <is>
          <t>VÄSTMANLANDS LÄN</t>
        </is>
      </c>
      <c r="E618" t="inlineStr">
        <is>
          <t>SALA</t>
        </is>
      </c>
      <c r="G618" t="n">
        <v>2.7</v>
      </c>
      <c r="H618" t="n">
        <v>0</v>
      </c>
      <c r="I618" t="n">
        <v>0</v>
      </c>
      <c r="J618" t="n">
        <v>0</v>
      </c>
      <c r="K618" t="n">
        <v>0</v>
      </c>
      <c r="L618" t="n">
        <v>0</v>
      </c>
      <c r="M618" t="n">
        <v>0</v>
      </c>
      <c r="N618" t="n">
        <v>0</v>
      </c>
      <c r="O618" t="n">
        <v>0</v>
      </c>
      <c r="P618" t="n">
        <v>0</v>
      </c>
      <c r="Q618" t="n">
        <v>0</v>
      </c>
      <c r="R618" s="2" t="inlineStr"/>
    </row>
    <row r="619" ht="15" customHeight="1">
      <c r="A619" t="inlineStr">
        <is>
          <t>A 22963-2023</t>
        </is>
      </c>
      <c r="B619" s="1" t="n">
        <v>45072</v>
      </c>
      <c r="C619" s="1" t="n">
        <v>45989</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10585-2022</t>
        </is>
      </c>
      <c r="B620" s="1" t="n">
        <v>44624</v>
      </c>
      <c r="C620" s="1" t="n">
        <v>45989</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69236-2021</t>
        </is>
      </c>
      <c r="B621" s="1" t="n">
        <v>44531.4047337963</v>
      </c>
      <c r="C621" s="1" t="n">
        <v>45989</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48117-2024</t>
        </is>
      </c>
      <c r="B622" s="1" t="n">
        <v>45589</v>
      </c>
      <c r="C622" s="1" t="n">
        <v>45989</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12225-2023</t>
        </is>
      </c>
      <c r="B623" s="1" t="n">
        <v>44995</v>
      </c>
      <c r="C623" s="1" t="n">
        <v>45989</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12252-2023</t>
        </is>
      </c>
      <c r="B624" s="1" t="n">
        <v>44995</v>
      </c>
      <c r="C624" s="1" t="n">
        <v>45989</v>
      </c>
      <c r="D624" t="inlineStr">
        <is>
          <t>VÄSTMANLANDS LÄN</t>
        </is>
      </c>
      <c r="E624" t="inlineStr">
        <is>
          <t>SALA</t>
        </is>
      </c>
      <c r="G624" t="n">
        <v>2.6</v>
      </c>
      <c r="H624" t="n">
        <v>0</v>
      </c>
      <c r="I624" t="n">
        <v>0</v>
      </c>
      <c r="J624" t="n">
        <v>0</v>
      </c>
      <c r="K624" t="n">
        <v>0</v>
      </c>
      <c r="L624" t="n">
        <v>0</v>
      </c>
      <c r="M624" t="n">
        <v>0</v>
      </c>
      <c r="N624" t="n">
        <v>0</v>
      </c>
      <c r="O624" t="n">
        <v>0</v>
      </c>
      <c r="P624" t="n">
        <v>0</v>
      </c>
      <c r="Q624" t="n">
        <v>0</v>
      </c>
      <c r="R624" s="2" t="inlineStr"/>
    </row>
    <row r="625" ht="15" customHeight="1">
      <c r="A625" t="inlineStr">
        <is>
          <t>A 6116-2023</t>
        </is>
      </c>
      <c r="B625" s="1" t="n">
        <v>44964</v>
      </c>
      <c r="C625" s="1" t="n">
        <v>45989</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18100-2023</t>
        </is>
      </c>
      <c r="B626" s="1" t="n">
        <v>45040</v>
      </c>
      <c r="C626" s="1" t="n">
        <v>45989</v>
      </c>
      <c r="D626" t="inlineStr">
        <is>
          <t>VÄSTMANLANDS LÄN</t>
        </is>
      </c>
      <c r="E626" t="inlineStr">
        <is>
          <t>SALA</t>
        </is>
      </c>
      <c r="G626" t="n">
        <v>1.8</v>
      </c>
      <c r="H626" t="n">
        <v>0</v>
      </c>
      <c r="I626" t="n">
        <v>0</v>
      </c>
      <c r="J626" t="n">
        <v>0</v>
      </c>
      <c r="K626" t="n">
        <v>0</v>
      </c>
      <c r="L626" t="n">
        <v>0</v>
      </c>
      <c r="M626" t="n">
        <v>0</v>
      </c>
      <c r="N626" t="n">
        <v>0</v>
      </c>
      <c r="O626" t="n">
        <v>0</v>
      </c>
      <c r="P626" t="n">
        <v>0</v>
      </c>
      <c r="Q626" t="n">
        <v>0</v>
      </c>
      <c r="R626" s="2" t="inlineStr"/>
    </row>
    <row r="627" ht="15" customHeight="1">
      <c r="A627" t="inlineStr">
        <is>
          <t>A 13471-2025</t>
        </is>
      </c>
      <c r="B627" s="1" t="n">
        <v>45736.40579861111</v>
      </c>
      <c r="C627" s="1" t="n">
        <v>45989</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26854-2024</t>
        </is>
      </c>
      <c r="B628" s="1" t="n">
        <v>45470</v>
      </c>
      <c r="C628" s="1" t="n">
        <v>45989</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37602-2024</t>
        </is>
      </c>
      <c r="B629" s="1" t="n">
        <v>45541</v>
      </c>
      <c r="C629" s="1" t="n">
        <v>45989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1985-2022</t>
        </is>
      </c>
      <c r="B630" s="1" t="n">
        <v>44575</v>
      </c>
      <c r="C630" s="1" t="n">
        <v>45989</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6308-2021</t>
        </is>
      </c>
      <c r="B631" s="1" t="n">
        <v>44235</v>
      </c>
      <c r="C631" s="1" t="n">
        <v>45989</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21455-2023</t>
        </is>
      </c>
      <c r="B632" s="1" t="n">
        <v>45058</v>
      </c>
      <c r="C632" s="1" t="n">
        <v>45989</v>
      </c>
      <c r="D632" t="inlineStr">
        <is>
          <t>VÄSTMANLANDS LÄN</t>
        </is>
      </c>
      <c r="E632" t="inlineStr">
        <is>
          <t>SALA</t>
        </is>
      </c>
      <c r="G632" t="n">
        <v>6.4</v>
      </c>
      <c r="H632" t="n">
        <v>0</v>
      </c>
      <c r="I632" t="n">
        <v>0</v>
      </c>
      <c r="J632" t="n">
        <v>0</v>
      </c>
      <c r="K632" t="n">
        <v>0</v>
      </c>
      <c r="L632" t="n">
        <v>0</v>
      </c>
      <c r="M632" t="n">
        <v>0</v>
      </c>
      <c r="N632" t="n">
        <v>0</v>
      </c>
      <c r="O632" t="n">
        <v>0</v>
      </c>
      <c r="P632" t="n">
        <v>0</v>
      </c>
      <c r="Q632" t="n">
        <v>0</v>
      </c>
      <c r="R632" s="2" t="inlineStr"/>
    </row>
    <row r="633" ht="15" customHeight="1">
      <c r="A633" t="inlineStr">
        <is>
          <t>A 4797-2023</t>
        </is>
      </c>
      <c r="B633" s="1" t="n">
        <v>44957</v>
      </c>
      <c r="C633" s="1" t="n">
        <v>45989</v>
      </c>
      <c r="D633" t="inlineStr">
        <is>
          <t>VÄSTMANLANDS LÄN</t>
        </is>
      </c>
      <c r="E633" t="inlineStr">
        <is>
          <t>SALA</t>
        </is>
      </c>
      <c r="G633" t="n">
        <v>5.7</v>
      </c>
      <c r="H633" t="n">
        <v>0</v>
      </c>
      <c r="I633" t="n">
        <v>0</v>
      </c>
      <c r="J633" t="n">
        <v>0</v>
      </c>
      <c r="K633" t="n">
        <v>0</v>
      </c>
      <c r="L633" t="n">
        <v>0</v>
      </c>
      <c r="M633" t="n">
        <v>0</v>
      </c>
      <c r="N633" t="n">
        <v>0</v>
      </c>
      <c r="O633" t="n">
        <v>0</v>
      </c>
      <c r="P633" t="n">
        <v>0</v>
      </c>
      <c r="Q633" t="n">
        <v>0</v>
      </c>
      <c r="R633" s="2" t="inlineStr"/>
    </row>
    <row r="634" ht="15" customHeight="1">
      <c r="A634" t="inlineStr">
        <is>
          <t>A 4852-2023</t>
        </is>
      </c>
      <c r="B634" s="1" t="n">
        <v>44957.72496527778</v>
      </c>
      <c r="C634" s="1" t="n">
        <v>45989</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36858-2023</t>
        </is>
      </c>
      <c r="B635" s="1" t="n">
        <v>45154.55184027777</v>
      </c>
      <c r="C635" s="1" t="n">
        <v>45989</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58701-2021</t>
        </is>
      </c>
      <c r="B636" s="1" t="n">
        <v>44489.46454861111</v>
      </c>
      <c r="C636" s="1" t="n">
        <v>45989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37337-2024</t>
        </is>
      </c>
      <c r="B637" s="1" t="n">
        <v>45540</v>
      </c>
      <c r="C637" s="1" t="n">
        <v>45989</v>
      </c>
      <c r="D637" t="inlineStr">
        <is>
          <t>VÄSTMANLANDS LÄN</t>
        </is>
      </c>
      <c r="E637" t="inlineStr">
        <is>
          <t>SALA</t>
        </is>
      </c>
      <c r="G637" t="n">
        <v>6.5</v>
      </c>
      <c r="H637" t="n">
        <v>0</v>
      </c>
      <c r="I637" t="n">
        <v>0</v>
      </c>
      <c r="J637" t="n">
        <v>0</v>
      </c>
      <c r="K637" t="n">
        <v>0</v>
      </c>
      <c r="L637" t="n">
        <v>0</v>
      </c>
      <c r="M637" t="n">
        <v>0</v>
      </c>
      <c r="N637" t="n">
        <v>0</v>
      </c>
      <c r="O637" t="n">
        <v>0</v>
      </c>
      <c r="P637" t="n">
        <v>0</v>
      </c>
      <c r="Q637" t="n">
        <v>0</v>
      </c>
      <c r="R637" s="2" t="inlineStr"/>
    </row>
    <row r="638" ht="15" customHeight="1">
      <c r="A638" t="inlineStr">
        <is>
          <t>A 10250-2025</t>
        </is>
      </c>
      <c r="B638" s="1" t="n">
        <v>45720.36165509259</v>
      </c>
      <c r="C638" s="1" t="n">
        <v>45989</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23180-2022</t>
        </is>
      </c>
      <c r="B639" s="1" t="n">
        <v>44719.79344907407</v>
      </c>
      <c r="C639" s="1" t="n">
        <v>45989</v>
      </c>
      <c r="D639" t="inlineStr">
        <is>
          <t>VÄSTMANLANDS LÄN</t>
        </is>
      </c>
      <c r="E639" t="inlineStr">
        <is>
          <t>SALA</t>
        </is>
      </c>
      <c r="G639" t="n">
        <v>1.2</v>
      </c>
      <c r="H639" t="n">
        <v>0</v>
      </c>
      <c r="I639" t="n">
        <v>0</v>
      </c>
      <c r="J639" t="n">
        <v>0</v>
      </c>
      <c r="K639" t="n">
        <v>0</v>
      </c>
      <c r="L639" t="n">
        <v>0</v>
      </c>
      <c r="M639" t="n">
        <v>0</v>
      </c>
      <c r="N639" t="n">
        <v>0</v>
      </c>
      <c r="O639" t="n">
        <v>0</v>
      </c>
      <c r="P639" t="n">
        <v>0</v>
      </c>
      <c r="Q639" t="n">
        <v>0</v>
      </c>
      <c r="R639" s="2" t="inlineStr"/>
    </row>
    <row r="640" ht="15" customHeight="1">
      <c r="A640" t="inlineStr">
        <is>
          <t>A 21053-2022</t>
        </is>
      </c>
      <c r="B640" s="1" t="n">
        <v>44704</v>
      </c>
      <c r="C640" s="1" t="n">
        <v>45989</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18340-2025</t>
        </is>
      </c>
      <c r="B641" s="1" t="n">
        <v>45762</v>
      </c>
      <c r="C641" s="1" t="n">
        <v>45989</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16638-2023</t>
        </is>
      </c>
      <c r="B642" s="1" t="n">
        <v>45027</v>
      </c>
      <c r="C642" s="1" t="n">
        <v>45989</v>
      </c>
      <c r="D642" t="inlineStr">
        <is>
          <t>VÄSTMANLANDS LÄN</t>
        </is>
      </c>
      <c r="E642" t="inlineStr">
        <is>
          <t>SALA</t>
        </is>
      </c>
      <c r="G642" t="n">
        <v>14.8</v>
      </c>
      <c r="H642" t="n">
        <v>0</v>
      </c>
      <c r="I642" t="n">
        <v>0</v>
      </c>
      <c r="J642" t="n">
        <v>0</v>
      </c>
      <c r="K642" t="n">
        <v>0</v>
      </c>
      <c r="L642" t="n">
        <v>0</v>
      </c>
      <c r="M642" t="n">
        <v>0</v>
      </c>
      <c r="N642" t="n">
        <v>0</v>
      </c>
      <c r="O642" t="n">
        <v>0</v>
      </c>
      <c r="P642" t="n">
        <v>0</v>
      </c>
      <c r="Q642" t="n">
        <v>0</v>
      </c>
      <c r="R642" s="2" t="inlineStr"/>
    </row>
    <row r="643" ht="15" customHeight="1">
      <c r="A643" t="inlineStr">
        <is>
          <t>A 17117-2023</t>
        </is>
      </c>
      <c r="B643" s="1" t="n">
        <v>45034</v>
      </c>
      <c r="C643" s="1" t="n">
        <v>45989</v>
      </c>
      <c r="D643" t="inlineStr">
        <is>
          <t>VÄSTMANLANDS LÄN</t>
        </is>
      </c>
      <c r="E643" t="inlineStr">
        <is>
          <t>SALA</t>
        </is>
      </c>
      <c r="G643" t="n">
        <v>0.4</v>
      </c>
      <c r="H643" t="n">
        <v>0</v>
      </c>
      <c r="I643" t="n">
        <v>0</v>
      </c>
      <c r="J643" t="n">
        <v>0</v>
      </c>
      <c r="K643" t="n">
        <v>0</v>
      </c>
      <c r="L643" t="n">
        <v>0</v>
      </c>
      <c r="M643" t="n">
        <v>0</v>
      </c>
      <c r="N643" t="n">
        <v>0</v>
      </c>
      <c r="O643" t="n">
        <v>0</v>
      </c>
      <c r="P643" t="n">
        <v>0</v>
      </c>
      <c r="Q643" t="n">
        <v>0</v>
      </c>
      <c r="R643" s="2" t="inlineStr"/>
    </row>
    <row r="644" ht="15" customHeight="1">
      <c r="A644" t="inlineStr">
        <is>
          <t>A 59909-2024</t>
        </is>
      </c>
      <c r="B644" s="1" t="n">
        <v>45641</v>
      </c>
      <c r="C644" s="1" t="n">
        <v>45989</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30028-2024</t>
        </is>
      </c>
      <c r="B645" s="1" t="n">
        <v>45485</v>
      </c>
      <c r="C645" s="1" t="n">
        <v>45989</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33309-2022</t>
        </is>
      </c>
      <c r="B646" s="1" t="n">
        <v>44788.40986111111</v>
      </c>
      <c r="C646" s="1" t="n">
        <v>45989</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7377-2023</t>
        </is>
      </c>
      <c r="B647" s="1" t="n">
        <v>44971</v>
      </c>
      <c r="C647" s="1" t="n">
        <v>45989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27229-2022</t>
        </is>
      </c>
      <c r="B648" s="1" t="n">
        <v>44741</v>
      </c>
      <c r="C648" s="1" t="n">
        <v>45989</v>
      </c>
      <c r="D648" t="inlineStr">
        <is>
          <t>VÄSTMANLANDS LÄN</t>
        </is>
      </c>
      <c r="E648" t="inlineStr">
        <is>
          <t>SALA</t>
        </is>
      </c>
      <c r="F648" t="inlineStr">
        <is>
          <t>Kommuner</t>
        </is>
      </c>
      <c r="G648" t="n">
        <v>1.4</v>
      </c>
      <c r="H648" t="n">
        <v>0</v>
      </c>
      <c r="I648" t="n">
        <v>0</v>
      </c>
      <c r="J648" t="n">
        <v>0</v>
      </c>
      <c r="K648" t="n">
        <v>0</v>
      </c>
      <c r="L648" t="n">
        <v>0</v>
      </c>
      <c r="M648" t="n">
        <v>0</v>
      </c>
      <c r="N648" t="n">
        <v>0</v>
      </c>
      <c r="O648" t="n">
        <v>0</v>
      </c>
      <c r="P648" t="n">
        <v>0</v>
      </c>
      <c r="Q648" t="n">
        <v>0</v>
      </c>
      <c r="R648" s="2" t="inlineStr"/>
    </row>
    <row r="649" ht="15" customHeight="1">
      <c r="A649" t="inlineStr">
        <is>
          <t>A 24755-2021</t>
        </is>
      </c>
      <c r="B649" s="1" t="n">
        <v>44340</v>
      </c>
      <c r="C649" s="1" t="n">
        <v>45989</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34867-2023</t>
        </is>
      </c>
      <c r="B650" s="1" t="n">
        <v>45142.33481481481</v>
      </c>
      <c r="C650" s="1" t="n">
        <v>45989</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25748-2022</t>
        </is>
      </c>
      <c r="B651" s="1" t="n">
        <v>44732</v>
      </c>
      <c r="C651" s="1" t="n">
        <v>45989</v>
      </c>
      <c r="D651" t="inlineStr">
        <is>
          <t>VÄSTMANLANDS LÄN</t>
        </is>
      </c>
      <c r="E651" t="inlineStr">
        <is>
          <t>SALA</t>
        </is>
      </c>
      <c r="G651" t="n">
        <v>7.7</v>
      </c>
      <c r="H651" t="n">
        <v>0</v>
      </c>
      <c r="I651" t="n">
        <v>0</v>
      </c>
      <c r="J651" t="n">
        <v>0</v>
      </c>
      <c r="K651" t="n">
        <v>0</v>
      </c>
      <c r="L651" t="n">
        <v>0</v>
      </c>
      <c r="M651" t="n">
        <v>0</v>
      </c>
      <c r="N651" t="n">
        <v>0</v>
      </c>
      <c r="O651" t="n">
        <v>0</v>
      </c>
      <c r="P651" t="n">
        <v>0</v>
      </c>
      <c r="Q651" t="n">
        <v>0</v>
      </c>
      <c r="R651" s="2" t="inlineStr"/>
    </row>
    <row r="652" ht="15" customHeight="1">
      <c r="A652" t="inlineStr">
        <is>
          <t>A 49512-2024</t>
        </is>
      </c>
      <c r="B652" s="1" t="n">
        <v>45591</v>
      </c>
      <c r="C652" s="1" t="n">
        <v>45989</v>
      </c>
      <c r="D652" t="inlineStr">
        <is>
          <t>VÄSTMANLANDS LÄN</t>
        </is>
      </c>
      <c r="E652" t="inlineStr">
        <is>
          <t>SALA</t>
        </is>
      </c>
      <c r="G652" t="n">
        <v>8.1</v>
      </c>
      <c r="H652" t="n">
        <v>0</v>
      </c>
      <c r="I652" t="n">
        <v>0</v>
      </c>
      <c r="J652" t="n">
        <v>0</v>
      </c>
      <c r="K652" t="n">
        <v>0</v>
      </c>
      <c r="L652" t="n">
        <v>0</v>
      </c>
      <c r="M652" t="n">
        <v>0</v>
      </c>
      <c r="N652" t="n">
        <v>0</v>
      </c>
      <c r="O652" t="n">
        <v>0</v>
      </c>
      <c r="P652" t="n">
        <v>0</v>
      </c>
      <c r="Q652" t="n">
        <v>0</v>
      </c>
      <c r="R652" s="2" t="inlineStr"/>
    </row>
    <row r="653" ht="15" customHeight="1">
      <c r="A653" t="inlineStr">
        <is>
          <t>A 13128-2023</t>
        </is>
      </c>
      <c r="B653" s="1" t="n">
        <v>45002</v>
      </c>
      <c r="C653" s="1" t="n">
        <v>45989</v>
      </c>
      <c r="D653" t="inlineStr">
        <is>
          <t>VÄSTMANLANDS LÄN</t>
        </is>
      </c>
      <c r="E653" t="inlineStr">
        <is>
          <t>SALA</t>
        </is>
      </c>
      <c r="G653" t="n">
        <v>7.9</v>
      </c>
      <c r="H653" t="n">
        <v>0</v>
      </c>
      <c r="I653" t="n">
        <v>0</v>
      </c>
      <c r="J653" t="n">
        <v>0</v>
      </c>
      <c r="K653" t="n">
        <v>0</v>
      </c>
      <c r="L653" t="n">
        <v>0</v>
      </c>
      <c r="M653" t="n">
        <v>0</v>
      </c>
      <c r="N653" t="n">
        <v>0</v>
      </c>
      <c r="O653" t="n">
        <v>0</v>
      </c>
      <c r="P653" t="n">
        <v>0</v>
      </c>
      <c r="Q653" t="n">
        <v>0</v>
      </c>
      <c r="R653" s="2" t="inlineStr"/>
    </row>
    <row r="654" ht="15" customHeight="1">
      <c r="A654" t="inlineStr">
        <is>
          <t>A 37958-2024</t>
        </is>
      </c>
      <c r="B654" s="1" t="n">
        <v>45544</v>
      </c>
      <c r="C654" s="1" t="n">
        <v>45989</v>
      </c>
      <c r="D654" t="inlineStr">
        <is>
          <t>VÄSTMANLANDS LÄN</t>
        </is>
      </c>
      <c r="E654" t="inlineStr">
        <is>
          <t>SALA</t>
        </is>
      </c>
      <c r="G654" t="n">
        <v>5.6</v>
      </c>
      <c r="H654" t="n">
        <v>0</v>
      </c>
      <c r="I654" t="n">
        <v>0</v>
      </c>
      <c r="J654" t="n">
        <v>0</v>
      </c>
      <c r="K654" t="n">
        <v>0</v>
      </c>
      <c r="L654" t="n">
        <v>0</v>
      </c>
      <c r="M654" t="n">
        <v>0</v>
      </c>
      <c r="N654" t="n">
        <v>0</v>
      </c>
      <c r="O654" t="n">
        <v>0</v>
      </c>
      <c r="P654" t="n">
        <v>0</v>
      </c>
      <c r="Q654" t="n">
        <v>0</v>
      </c>
      <c r="R654" s="2" t="inlineStr"/>
    </row>
    <row r="655" ht="15" customHeight="1">
      <c r="A655" t="inlineStr">
        <is>
          <t>A 18431-2023</t>
        </is>
      </c>
      <c r="B655" s="1" t="n">
        <v>45042</v>
      </c>
      <c r="C655" s="1" t="n">
        <v>45989</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57650-2024</t>
        </is>
      </c>
      <c r="B656" s="1" t="n">
        <v>45630</v>
      </c>
      <c r="C656" s="1" t="n">
        <v>45989</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10255-2024</t>
        </is>
      </c>
      <c r="B657" s="1" t="n">
        <v>45365</v>
      </c>
      <c r="C657" s="1" t="n">
        <v>45989</v>
      </c>
      <c r="D657" t="inlineStr">
        <is>
          <t>VÄSTMANLANDS LÄN</t>
        </is>
      </c>
      <c r="E657" t="inlineStr">
        <is>
          <t>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28696-2023</t>
        </is>
      </c>
      <c r="B658" s="1" t="n">
        <v>45103.71759259259</v>
      </c>
      <c r="C658" s="1" t="n">
        <v>45989</v>
      </c>
      <c r="D658" t="inlineStr">
        <is>
          <t>VÄSTMANLANDS LÄN</t>
        </is>
      </c>
      <c r="E658" t="inlineStr">
        <is>
          <t>SALA</t>
        </is>
      </c>
      <c r="F658" t="inlineStr">
        <is>
          <t>Kommuner</t>
        </is>
      </c>
      <c r="G658" t="n">
        <v>5.9</v>
      </c>
      <c r="H658" t="n">
        <v>0</v>
      </c>
      <c r="I658" t="n">
        <v>0</v>
      </c>
      <c r="J658" t="n">
        <v>0</v>
      </c>
      <c r="K658" t="n">
        <v>0</v>
      </c>
      <c r="L658" t="n">
        <v>0</v>
      </c>
      <c r="M658" t="n">
        <v>0</v>
      </c>
      <c r="N658" t="n">
        <v>0</v>
      </c>
      <c r="O658" t="n">
        <v>0</v>
      </c>
      <c r="P658" t="n">
        <v>0</v>
      </c>
      <c r="Q658" t="n">
        <v>0</v>
      </c>
      <c r="R658" s="2" t="inlineStr"/>
    </row>
    <row r="659" ht="15" customHeight="1">
      <c r="A659" t="inlineStr">
        <is>
          <t>A 31072-2021</t>
        </is>
      </c>
      <c r="B659" s="1" t="n">
        <v>44368</v>
      </c>
      <c r="C659" s="1" t="n">
        <v>45989</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16543-2023</t>
        </is>
      </c>
      <c r="B660" s="1" t="n">
        <v>45029</v>
      </c>
      <c r="C660" s="1" t="n">
        <v>45989</v>
      </c>
      <c r="D660" t="inlineStr">
        <is>
          <t>VÄSTMANLANDS LÄN</t>
        </is>
      </c>
      <c r="E660" t="inlineStr">
        <is>
          <t>SALA</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22523-2023</t>
        </is>
      </c>
      <c r="B661" s="1" t="n">
        <v>45069</v>
      </c>
      <c r="C661" s="1" t="n">
        <v>45989</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4663-2022</t>
        </is>
      </c>
      <c r="B662" s="1" t="n">
        <v>44592.45429398148</v>
      </c>
      <c r="C662" s="1" t="n">
        <v>45989</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6132-2025</t>
        </is>
      </c>
      <c r="B663" s="1" t="n">
        <v>45698</v>
      </c>
      <c r="C663" s="1" t="n">
        <v>45989</v>
      </c>
      <c r="D663" t="inlineStr">
        <is>
          <t>VÄSTMANLANDS LÄN</t>
        </is>
      </c>
      <c r="E663" t="inlineStr">
        <is>
          <t>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31859-2023</t>
        </is>
      </c>
      <c r="B664" s="1" t="n">
        <v>45118</v>
      </c>
      <c r="C664" s="1" t="n">
        <v>45989</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c r="U664">
        <f>HYPERLINK("https://klasma.github.io/Logging_1981/knärot/A 31859-2023 karta knärot.png", "A 31859-2023")</f>
        <v/>
      </c>
      <c r="V664">
        <f>HYPERLINK("https://klasma.github.io/Logging_1981/klagomål/A 31859-2023 FSC-klagomål.docx", "A 31859-2023")</f>
        <v/>
      </c>
      <c r="W664">
        <f>HYPERLINK("https://klasma.github.io/Logging_1981/klagomålsmail/A 31859-2023 FSC-klagomål mail.docx", "A 31859-2023")</f>
        <v/>
      </c>
      <c r="X664">
        <f>HYPERLINK("https://klasma.github.io/Logging_1981/tillsyn/A 31859-2023 tillsynsbegäran.docx", "A 31859-2023")</f>
        <v/>
      </c>
      <c r="Y664">
        <f>HYPERLINK("https://klasma.github.io/Logging_1981/tillsynsmail/A 31859-2023 tillsynsbegäran mail.docx", "A 31859-2023")</f>
        <v/>
      </c>
    </row>
    <row r="665" ht="15" customHeight="1">
      <c r="A665" t="inlineStr">
        <is>
          <t>A 61681-2024</t>
        </is>
      </c>
      <c r="B665" s="1" t="n">
        <v>45647</v>
      </c>
      <c r="C665" s="1" t="n">
        <v>45989</v>
      </c>
      <c r="D665" t="inlineStr">
        <is>
          <t>VÄSTMANLANDS LÄN</t>
        </is>
      </c>
      <c r="E665" t="inlineStr">
        <is>
          <t>SALA</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54960-2024</t>
        </is>
      </c>
      <c r="B666" s="1" t="n">
        <v>45619.85208333333</v>
      </c>
      <c r="C666" s="1" t="n">
        <v>45989</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31082-2021</t>
        </is>
      </c>
      <c r="B667" s="1" t="n">
        <v>44368</v>
      </c>
      <c r="C667" s="1" t="n">
        <v>45989</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20352-2022</t>
        </is>
      </c>
      <c r="B668" s="1" t="n">
        <v>44699.37318287037</v>
      </c>
      <c r="C668" s="1" t="n">
        <v>45989</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27657-2023</t>
        </is>
      </c>
      <c r="B669" s="1" t="n">
        <v>45097.76631944445</v>
      </c>
      <c r="C669" s="1" t="n">
        <v>45989</v>
      </c>
      <c r="D669" t="inlineStr">
        <is>
          <t>VÄSTMANLANDS LÄN</t>
        </is>
      </c>
      <c r="E669" t="inlineStr">
        <is>
          <t>SALA</t>
        </is>
      </c>
      <c r="G669" t="n">
        <v>0.1</v>
      </c>
      <c r="H669" t="n">
        <v>0</v>
      </c>
      <c r="I669" t="n">
        <v>0</v>
      </c>
      <c r="J669" t="n">
        <v>0</v>
      </c>
      <c r="K669" t="n">
        <v>0</v>
      </c>
      <c r="L669" t="n">
        <v>0</v>
      </c>
      <c r="M669" t="n">
        <v>0</v>
      </c>
      <c r="N669" t="n">
        <v>0</v>
      </c>
      <c r="O669" t="n">
        <v>0</v>
      </c>
      <c r="P669" t="n">
        <v>0</v>
      </c>
      <c r="Q669" t="n">
        <v>0</v>
      </c>
      <c r="R669" s="2" t="inlineStr"/>
    </row>
    <row r="670" ht="15" customHeight="1">
      <c r="A670" t="inlineStr">
        <is>
          <t>A 2766-2024</t>
        </is>
      </c>
      <c r="B670" s="1" t="n">
        <v>45314.60950231482</v>
      </c>
      <c r="C670" s="1" t="n">
        <v>45989</v>
      </c>
      <c r="D670" t="inlineStr">
        <is>
          <t>VÄSTMANLANDS LÄN</t>
        </is>
      </c>
      <c r="E670" t="inlineStr">
        <is>
          <t>SALA</t>
        </is>
      </c>
      <c r="G670" t="n">
        <v>2.8</v>
      </c>
      <c r="H670" t="n">
        <v>0</v>
      </c>
      <c r="I670" t="n">
        <v>0</v>
      </c>
      <c r="J670" t="n">
        <v>0</v>
      </c>
      <c r="K670" t="n">
        <v>0</v>
      </c>
      <c r="L670" t="n">
        <v>0</v>
      </c>
      <c r="M670" t="n">
        <v>0</v>
      </c>
      <c r="N670" t="n">
        <v>0</v>
      </c>
      <c r="O670" t="n">
        <v>0</v>
      </c>
      <c r="P670" t="n">
        <v>0</v>
      </c>
      <c r="Q670" t="n">
        <v>0</v>
      </c>
      <c r="R670" s="2" t="inlineStr"/>
    </row>
    <row r="671" ht="15" customHeight="1">
      <c r="A671" t="inlineStr">
        <is>
          <t>A 60550-2024</t>
        </is>
      </c>
      <c r="B671" s="1" t="n">
        <v>45643</v>
      </c>
      <c r="C671" s="1" t="n">
        <v>45989</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14690-2025</t>
        </is>
      </c>
      <c r="B672" s="1" t="n">
        <v>45742.58212962963</v>
      </c>
      <c r="C672" s="1" t="n">
        <v>45989</v>
      </c>
      <c r="D672" t="inlineStr">
        <is>
          <t>VÄSTMANLANDS LÄN</t>
        </is>
      </c>
      <c r="E672" t="inlineStr">
        <is>
          <t>SALA</t>
        </is>
      </c>
      <c r="G672" t="n">
        <v>3.4</v>
      </c>
      <c r="H672" t="n">
        <v>0</v>
      </c>
      <c r="I672" t="n">
        <v>0</v>
      </c>
      <c r="J672" t="n">
        <v>0</v>
      </c>
      <c r="K672" t="n">
        <v>0</v>
      </c>
      <c r="L672" t="n">
        <v>0</v>
      </c>
      <c r="M672" t="n">
        <v>0</v>
      </c>
      <c r="N672" t="n">
        <v>0</v>
      </c>
      <c r="O672" t="n">
        <v>0</v>
      </c>
      <c r="P672" t="n">
        <v>0</v>
      </c>
      <c r="Q672" t="n">
        <v>0</v>
      </c>
      <c r="R672" s="2" t="inlineStr"/>
    </row>
    <row r="673" ht="15" customHeight="1">
      <c r="A673" t="inlineStr">
        <is>
          <t>A 24175-2024</t>
        </is>
      </c>
      <c r="B673" s="1" t="n">
        <v>45456</v>
      </c>
      <c r="C673" s="1" t="n">
        <v>45989</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45989</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54910-2023</t>
        </is>
      </c>
      <c r="B675" s="1" t="n">
        <v>45229</v>
      </c>
      <c r="C675" s="1" t="n">
        <v>45989</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19222-2025</t>
        </is>
      </c>
      <c r="B676" s="1" t="n">
        <v>45769</v>
      </c>
      <c r="C676" s="1" t="n">
        <v>45989</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19241-2025</t>
        </is>
      </c>
      <c r="B677" s="1" t="n">
        <v>45769</v>
      </c>
      <c r="C677" s="1" t="n">
        <v>45989</v>
      </c>
      <c r="D677" t="inlineStr">
        <is>
          <t>VÄSTMANLANDS LÄN</t>
        </is>
      </c>
      <c r="E677" t="inlineStr">
        <is>
          <t>SALA</t>
        </is>
      </c>
      <c r="G677" t="n">
        <v>3.6</v>
      </c>
      <c r="H677" t="n">
        <v>0</v>
      </c>
      <c r="I677" t="n">
        <v>0</v>
      </c>
      <c r="J677" t="n">
        <v>0</v>
      </c>
      <c r="K677" t="n">
        <v>0</v>
      </c>
      <c r="L677" t="n">
        <v>0</v>
      </c>
      <c r="M677" t="n">
        <v>0</v>
      </c>
      <c r="N677" t="n">
        <v>0</v>
      </c>
      <c r="O677" t="n">
        <v>0</v>
      </c>
      <c r="P677" t="n">
        <v>0</v>
      </c>
      <c r="Q677" t="n">
        <v>0</v>
      </c>
      <c r="R677" s="2" t="inlineStr"/>
    </row>
    <row r="678" ht="15" customHeight="1">
      <c r="A678" t="inlineStr">
        <is>
          <t>A 26416-2023</t>
        </is>
      </c>
      <c r="B678" s="1" t="n">
        <v>45092.38087962963</v>
      </c>
      <c r="C678" s="1" t="n">
        <v>45989</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26692-2023</t>
        </is>
      </c>
      <c r="B679" s="1" t="n">
        <v>45093.360625</v>
      </c>
      <c r="C679" s="1" t="n">
        <v>45989</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15681-2025</t>
        </is>
      </c>
      <c r="B680" s="1" t="n">
        <v>45748.45454861111</v>
      </c>
      <c r="C680" s="1" t="n">
        <v>45989</v>
      </c>
      <c r="D680" t="inlineStr">
        <is>
          <t>VÄSTMANLANDS LÄN</t>
        </is>
      </c>
      <c r="E680" t="inlineStr">
        <is>
          <t>SALA</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2925-2024</t>
        </is>
      </c>
      <c r="B681" s="1" t="n">
        <v>45315.58909722222</v>
      </c>
      <c r="C681" s="1" t="n">
        <v>45989</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44746-2024</t>
        </is>
      </c>
      <c r="B682" s="1" t="n">
        <v>45574.59813657407</v>
      </c>
      <c r="C682" s="1" t="n">
        <v>45989</v>
      </c>
      <c r="D682" t="inlineStr">
        <is>
          <t>VÄSTMANLANDS LÄN</t>
        </is>
      </c>
      <c r="E682" t="inlineStr">
        <is>
          <t>SALA</t>
        </is>
      </c>
      <c r="G682" t="n">
        <v>6.7</v>
      </c>
      <c r="H682" t="n">
        <v>0</v>
      </c>
      <c r="I682" t="n">
        <v>0</v>
      </c>
      <c r="J682" t="n">
        <v>0</v>
      </c>
      <c r="K682" t="n">
        <v>0</v>
      </c>
      <c r="L682" t="n">
        <v>0</v>
      </c>
      <c r="M682" t="n">
        <v>0</v>
      </c>
      <c r="N682" t="n">
        <v>0</v>
      </c>
      <c r="O682" t="n">
        <v>0</v>
      </c>
      <c r="P682" t="n">
        <v>0</v>
      </c>
      <c r="Q682" t="n">
        <v>0</v>
      </c>
      <c r="R682" s="2" t="inlineStr"/>
    </row>
    <row r="683" ht="15" customHeight="1">
      <c r="A683" t="inlineStr">
        <is>
          <t>A 44713-2023</t>
        </is>
      </c>
      <c r="B683" s="1" t="n">
        <v>45184</v>
      </c>
      <c r="C683" s="1" t="n">
        <v>45989</v>
      </c>
      <c r="D683" t="inlineStr">
        <is>
          <t>VÄSTMANLANDS LÄN</t>
        </is>
      </c>
      <c r="E683" t="inlineStr">
        <is>
          <t>SALA</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23431-2024</t>
        </is>
      </c>
      <c r="B684" s="1" t="n">
        <v>45453</v>
      </c>
      <c r="C684" s="1" t="n">
        <v>45989</v>
      </c>
      <c r="D684" t="inlineStr">
        <is>
          <t>VÄSTMANLANDS LÄN</t>
        </is>
      </c>
      <c r="E684" t="inlineStr">
        <is>
          <t>SALA</t>
        </is>
      </c>
      <c r="G684" t="n">
        <v>1.6</v>
      </c>
      <c r="H684" t="n">
        <v>0</v>
      </c>
      <c r="I684" t="n">
        <v>0</v>
      </c>
      <c r="J684" t="n">
        <v>0</v>
      </c>
      <c r="K684" t="n">
        <v>0</v>
      </c>
      <c r="L684" t="n">
        <v>0</v>
      </c>
      <c r="M684" t="n">
        <v>0</v>
      </c>
      <c r="N684" t="n">
        <v>0</v>
      </c>
      <c r="O684" t="n">
        <v>0</v>
      </c>
      <c r="P684" t="n">
        <v>0</v>
      </c>
      <c r="Q684" t="n">
        <v>0</v>
      </c>
      <c r="R684" s="2" t="inlineStr"/>
    </row>
    <row r="685" ht="15" customHeight="1">
      <c r="A685" t="inlineStr">
        <is>
          <t>A 21168-2025</t>
        </is>
      </c>
      <c r="B685" s="1" t="n">
        <v>45777</v>
      </c>
      <c r="C685" s="1" t="n">
        <v>45989</v>
      </c>
      <c r="D685" t="inlineStr">
        <is>
          <t>VÄSTMANLANDS LÄN</t>
        </is>
      </c>
      <c r="E685" t="inlineStr">
        <is>
          <t>SALA</t>
        </is>
      </c>
      <c r="G685" t="n">
        <v>4.5</v>
      </c>
      <c r="H685" t="n">
        <v>0</v>
      </c>
      <c r="I685" t="n">
        <v>0</v>
      </c>
      <c r="J685" t="n">
        <v>0</v>
      </c>
      <c r="K685" t="n">
        <v>0</v>
      </c>
      <c r="L685" t="n">
        <v>0</v>
      </c>
      <c r="M685" t="n">
        <v>0</v>
      </c>
      <c r="N685" t="n">
        <v>0</v>
      </c>
      <c r="O685" t="n">
        <v>0</v>
      </c>
      <c r="P685" t="n">
        <v>0</v>
      </c>
      <c r="Q685" t="n">
        <v>0</v>
      </c>
      <c r="R685" s="2" t="inlineStr"/>
    </row>
    <row r="686" ht="15" customHeight="1">
      <c r="A686" t="inlineStr">
        <is>
          <t>A 21751-2025</t>
        </is>
      </c>
      <c r="B686" s="1" t="n">
        <v>45783.61372685185</v>
      </c>
      <c r="C686" s="1" t="n">
        <v>45989</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21754-2025</t>
        </is>
      </c>
      <c r="B687" s="1" t="n">
        <v>45783.61837962963</v>
      </c>
      <c r="C687" s="1" t="n">
        <v>45989</v>
      </c>
      <c r="D687" t="inlineStr">
        <is>
          <t>VÄSTMANLANDS LÄN</t>
        </is>
      </c>
      <c r="E687" t="inlineStr">
        <is>
          <t>SALA</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37587-2024</t>
        </is>
      </c>
      <c r="B688" s="1" t="n">
        <v>45541</v>
      </c>
      <c r="C688" s="1" t="n">
        <v>45989</v>
      </c>
      <c r="D688" t="inlineStr">
        <is>
          <t>VÄSTMANLANDS LÄN</t>
        </is>
      </c>
      <c r="E688" t="inlineStr">
        <is>
          <t>SALA</t>
        </is>
      </c>
      <c r="G688" t="n">
        <v>1.2</v>
      </c>
      <c r="H688" t="n">
        <v>0</v>
      </c>
      <c r="I688" t="n">
        <v>0</v>
      </c>
      <c r="J688" t="n">
        <v>0</v>
      </c>
      <c r="K688" t="n">
        <v>0</v>
      </c>
      <c r="L688" t="n">
        <v>0</v>
      </c>
      <c r="M688" t="n">
        <v>0</v>
      </c>
      <c r="N688" t="n">
        <v>0</v>
      </c>
      <c r="O688" t="n">
        <v>0</v>
      </c>
      <c r="P688" t="n">
        <v>0</v>
      </c>
      <c r="Q688" t="n">
        <v>0</v>
      </c>
      <c r="R688" s="2" t="inlineStr"/>
    </row>
    <row r="689" ht="15" customHeight="1">
      <c r="A689" t="inlineStr">
        <is>
          <t>A 22353-2025</t>
        </is>
      </c>
      <c r="B689" s="1" t="n">
        <v>45786</v>
      </c>
      <c r="C689" s="1" t="n">
        <v>45989</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64724-2023</t>
        </is>
      </c>
      <c r="B690" s="1" t="n">
        <v>45281.7602662037</v>
      </c>
      <c r="C690" s="1" t="n">
        <v>45989</v>
      </c>
      <c r="D690" t="inlineStr">
        <is>
          <t>VÄSTMANLANDS LÄN</t>
        </is>
      </c>
      <c r="E690" t="inlineStr">
        <is>
          <t>SALA</t>
        </is>
      </c>
      <c r="G690" t="n">
        <v>2.3</v>
      </c>
      <c r="H690" t="n">
        <v>0</v>
      </c>
      <c r="I690" t="n">
        <v>0</v>
      </c>
      <c r="J690" t="n">
        <v>0</v>
      </c>
      <c r="K690" t="n">
        <v>0</v>
      </c>
      <c r="L690" t="n">
        <v>0</v>
      </c>
      <c r="M690" t="n">
        <v>0</v>
      </c>
      <c r="N690" t="n">
        <v>0</v>
      </c>
      <c r="O690" t="n">
        <v>0</v>
      </c>
      <c r="P690" t="n">
        <v>0</v>
      </c>
      <c r="Q690" t="n">
        <v>0</v>
      </c>
      <c r="R690" s="2" t="inlineStr"/>
    </row>
    <row r="691" ht="15" customHeight="1">
      <c r="A691" t="inlineStr">
        <is>
          <t>A 22370-2025</t>
        </is>
      </c>
      <c r="B691" s="1" t="n">
        <v>45786</v>
      </c>
      <c r="C691" s="1" t="n">
        <v>45989</v>
      </c>
      <c r="D691" t="inlineStr">
        <is>
          <t>VÄSTMANLANDS LÄN</t>
        </is>
      </c>
      <c r="E691" t="inlineStr">
        <is>
          <t>SALA</t>
        </is>
      </c>
      <c r="G691" t="n">
        <v>3.2</v>
      </c>
      <c r="H691" t="n">
        <v>0</v>
      </c>
      <c r="I691" t="n">
        <v>0</v>
      </c>
      <c r="J691" t="n">
        <v>0</v>
      </c>
      <c r="K691" t="n">
        <v>0</v>
      </c>
      <c r="L691" t="n">
        <v>0</v>
      </c>
      <c r="M691" t="n">
        <v>0</v>
      </c>
      <c r="N691" t="n">
        <v>0</v>
      </c>
      <c r="O691" t="n">
        <v>0</v>
      </c>
      <c r="P691" t="n">
        <v>0</v>
      </c>
      <c r="Q691" t="n">
        <v>0</v>
      </c>
      <c r="R691" s="2" t="inlineStr"/>
    </row>
    <row r="692" ht="15" customHeight="1">
      <c r="A692" t="inlineStr">
        <is>
          <t>A 22383-2025</t>
        </is>
      </c>
      <c r="B692" s="1" t="n">
        <v>45786</v>
      </c>
      <c r="C692" s="1" t="n">
        <v>45989</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7176-2023</t>
        </is>
      </c>
      <c r="B693" s="1" t="n">
        <v>44970</v>
      </c>
      <c r="C693" s="1" t="n">
        <v>45989</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22624-2025</t>
        </is>
      </c>
      <c r="B694" s="1" t="n">
        <v>45789.43327546296</v>
      </c>
      <c r="C694" s="1" t="n">
        <v>45989</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31405-2024</t>
        </is>
      </c>
      <c r="B695" s="1" t="n">
        <v>45505.5490625</v>
      </c>
      <c r="C695" s="1" t="n">
        <v>45989</v>
      </c>
      <c r="D695" t="inlineStr">
        <is>
          <t>VÄSTMANLANDS LÄN</t>
        </is>
      </c>
      <c r="E695" t="inlineStr">
        <is>
          <t>SALA</t>
        </is>
      </c>
      <c r="G695" t="n">
        <v>5.2</v>
      </c>
      <c r="H695" t="n">
        <v>0</v>
      </c>
      <c r="I695" t="n">
        <v>0</v>
      </c>
      <c r="J695" t="n">
        <v>0</v>
      </c>
      <c r="K695" t="n">
        <v>0</v>
      </c>
      <c r="L695" t="n">
        <v>0</v>
      </c>
      <c r="M695" t="n">
        <v>0</v>
      </c>
      <c r="N695" t="n">
        <v>0</v>
      </c>
      <c r="O695" t="n">
        <v>0</v>
      </c>
      <c r="P695" t="n">
        <v>0</v>
      </c>
      <c r="Q695" t="n">
        <v>0</v>
      </c>
      <c r="R695" s="2" t="inlineStr"/>
    </row>
    <row r="696" ht="15" customHeight="1">
      <c r="A696" t="inlineStr">
        <is>
          <t>A 22616-2025</t>
        </is>
      </c>
      <c r="B696" s="1" t="n">
        <v>45789.42752314815</v>
      </c>
      <c r="C696" s="1" t="n">
        <v>45989</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43600-2024</t>
        </is>
      </c>
      <c r="B697" s="1" t="n">
        <v>45569</v>
      </c>
      <c r="C697" s="1" t="n">
        <v>45989</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13130-2025</t>
        </is>
      </c>
      <c r="B698" s="1" t="n">
        <v>45734</v>
      </c>
      <c r="C698" s="1" t="n">
        <v>45989</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24169-2025</t>
        </is>
      </c>
      <c r="B699" s="1" t="n">
        <v>45796</v>
      </c>
      <c r="C699" s="1" t="n">
        <v>45989</v>
      </c>
      <c r="D699" t="inlineStr">
        <is>
          <t>VÄSTMANLANDS LÄN</t>
        </is>
      </c>
      <c r="E699" t="inlineStr">
        <is>
          <t>SALA</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22126-2025</t>
        </is>
      </c>
      <c r="B700" s="1" t="n">
        <v>45785</v>
      </c>
      <c r="C700" s="1" t="n">
        <v>45989</v>
      </c>
      <c r="D700" t="inlineStr">
        <is>
          <t>VÄSTMANLANDS LÄN</t>
        </is>
      </c>
      <c r="E700" t="inlineStr">
        <is>
          <t>SALA</t>
        </is>
      </c>
      <c r="G700" t="n">
        <v>10.6</v>
      </c>
      <c r="H700" t="n">
        <v>0</v>
      </c>
      <c r="I700" t="n">
        <v>0</v>
      </c>
      <c r="J700" t="n">
        <v>0</v>
      </c>
      <c r="K700" t="n">
        <v>0</v>
      </c>
      <c r="L700" t="n">
        <v>0</v>
      </c>
      <c r="M700" t="n">
        <v>0</v>
      </c>
      <c r="N700" t="n">
        <v>0</v>
      </c>
      <c r="O700" t="n">
        <v>0</v>
      </c>
      <c r="P700" t="n">
        <v>0</v>
      </c>
      <c r="Q700" t="n">
        <v>0</v>
      </c>
      <c r="R700" s="2" t="inlineStr"/>
    </row>
    <row r="701" ht="15" customHeight="1">
      <c r="A701" t="inlineStr">
        <is>
          <t>A 23810-2025</t>
        </is>
      </c>
      <c r="B701" s="1" t="n">
        <v>45793.56989583333</v>
      </c>
      <c r="C701" s="1" t="n">
        <v>45989</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24944-2023</t>
        </is>
      </c>
      <c r="B702" s="1" t="n">
        <v>45085</v>
      </c>
      <c r="C702" s="1" t="n">
        <v>45989</v>
      </c>
      <c r="D702" t="inlineStr">
        <is>
          <t>VÄSTMANLANDS LÄN</t>
        </is>
      </c>
      <c r="E702" t="inlineStr">
        <is>
          <t>SALA</t>
        </is>
      </c>
      <c r="G702" t="n">
        <v>3.8</v>
      </c>
      <c r="H702" t="n">
        <v>0</v>
      </c>
      <c r="I702" t="n">
        <v>0</v>
      </c>
      <c r="J702" t="n">
        <v>0</v>
      </c>
      <c r="K702" t="n">
        <v>0</v>
      </c>
      <c r="L702" t="n">
        <v>0</v>
      </c>
      <c r="M702" t="n">
        <v>0</v>
      </c>
      <c r="N702" t="n">
        <v>0</v>
      </c>
      <c r="O702" t="n">
        <v>0</v>
      </c>
      <c r="P702" t="n">
        <v>0</v>
      </c>
      <c r="Q702" t="n">
        <v>0</v>
      </c>
      <c r="R702" s="2" t="inlineStr"/>
    </row>
    <row r="703" ht="15" customHeight="1">
      <c r="A703" t="inlineStr">
        <is>
          <t>A 23804-2025</t>
        </is>
      </c>
      <c r="B703" s="1" t="n">
        <v>45793.55995370371</v>
      </c>
      <c r="C703" s="1" t="n">
        <v>45989</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11210-2025</t>
        </is>
      </c>
      <c r="B704" s="1" t="n">
        <v>45726</v>
      </c>
      <c r="C704" s="1" t="n">
        <v>45989</v>
      </c>
      <c r="D704" t="inlineStr">
        <is>
          <t>VÄSTMANLANDS LÄN</t>
        </is>
      </c>
      <c r="E704" t="inlineStr">
        <is>
          <t>SALA</t>
        </is>
      </c>
      <c r="G704" t="n">
        <v>4.1</v>
      </c>
      <c r="H704" t="n">
        <v>0</v>
      </c>
      <c r="I704" t="n">
        <v>0</v>
      </c>
      <c r="J704" t="n">
        <v>0</v>
      </c>
      <c r="K704" t="n">
        <v>0</v>
      </c>
      <c r="L704" t="n">
        <v>0</v>
      </c>
      <c r="M704" t="n">
        <v>0</v>
      </c>
      <c r="N704" t="n">
        <v>0</v>
      </c>
      <c r="O704" t="n">
        <v>0</v>
      </c>
      <c r="P704" t="n">
        <v>0</v>
      </c>
      <c r="Q704" t="n">
        <v>0</v>
      </c>
      <c r="R704" s="2" t="inlineStr"/>
    </row>
    <row r="705" ht="15" customHeight="1">
      <c r="A705" t="inlineStr">
        <is>
          <t>A 19297-2025</t>
        </is>
      </c>
      <c r="B705" s="1" t="n">
        <v>45769.56261574074</v>
      </c>
      <c r="C705" s="1" t="n">
        <v>45989</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c r="A706" t="inlineStr">
        <is>
          <t>A 24460-2025</t>
        </is>
      </c>
      <c r="B706" s="1" t="n">
        <v>45798</v>
      </c>
      <c r="C706" s="1" t="n">
        <v>45989</v>
      </c>
      <c r="D706" t="inlineStr">
        <is>
          <t>VÄSTMANLANDS LÄN</t>
        </is>
      </c>
      <c r="E706" t="inlineStr">
        <is>
          <t>SALA</t>
        </is>
      </c>
      <c r="F706" t="inlineStr">
        <is>
          <t>Bergvik skog öst AB</t>
        </is>
      </c>
      <c r="G706" t="n">
        <v>2.6</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2025-11-28T10:19:59Z</dcterms:created>
  <dcterms:modified xmlns:dcterms="http://purl.org/dc/terms/" xmlns:xsi="http://www.w3.org/2001/XMLSchema-instance" xsi:type="dcterms:W3CDTF">2025-11-28T10:20:00Z</dcterms:modified>
</cp:coreProperties>
</file>