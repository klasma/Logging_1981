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46126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46126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46126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46126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46126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3566-2024</t>
        </is>
      </c>
      <c r="B8" s="1" t="n">
        <v>45320.63596064815</v>
      </c>
      <c r="C8" s="1" t="n">
        <v>46126</v>
      </c>
      <c r="D8" t="inlineStr">
        <is>
          <t>VÄSTMANLANDS LÄN</t>
        </is>
      </c>
      <c r="E8" t="inlineStr">
        <is>
          <t>SALA</t>
        </is>
      </c>
      <c r="F8" t="inlineStr">
        <is>
          <t>Kommuner</t>
        </is>
      </c>
      <c r="G8" t="n">
        <v>4.3</v>
      </c>
      <c r="H8" t="n">
        <v>3</v>
      </c>
      <c r="I8" t="n">
        <v>1</v>
      </c>
      <c r="J8" t="n">
        <v>0</v>
      </c>
      <c r="K8" t="n">
        <v>2</v>
      </c>
      <c r="L8" t="n">
        <v>0</v>
      </c>
      <c r="M8" t="n">
        <v>0</v>
      </c>
      <c r="N8" t="n">
        <v>0</v>
      </c>
      <c r="O8" t="n">
        <v>2</v>
      </c>
      <c r="P8" t="n">
        <v>2</v>
      </c>
      <c r="Q8" t="n">
        <v>5</v>
      </c>
      <c r="R8" s="2" t="inlineStr">
        <is>
          <t>Knärot
Vågticka
Vedticka
Fläcknycklar
Mattlummer</t>
        </is>
      </c>
      <c r="S8">
        <f>HYPERLINK("https://klasma.github.io/Logging_1981/artfynd/A 3566-2024 artfynd.xlsx", "A 3566-2024")</f>
        <v/>
      </c>
      <c r="T8">
        <f>HYPERLINK("https://klasma.github.io/Logging_1981/kartor/A 3566-2024 karta.png", "A 3566-2024")</f>
        <v/>
      </c>
      <c r="U8">
        <f>HYPERLINK("https://klasma.github.io/Logging_1981/knärot/A 3566-2024 karta knärot.png", "A 3566-2024")</f>
        <v/>
      </c>
      <c r="V8">
        <f>HYPERLINK("https://klasma.github.io/Logging_1981/klagomål/A 3566-2024 FSC-klagomål.docx", "A 3566-2024")</f>
        <v/>
      </c>
      <c r="W8">
        <f>HYPERLINK("https://klasma.github.io/Logging_1981/klagomålsmail/A 3566-2024 FSC-klagomål mail.docx", "A 3566-2024")</f>
        <v/>
      </c>
      <c r="X8">
        <f>HYPERLINK("https://klasma.github.io/Logging_1981/tillsyn/A 3566-2024 tillsynsbegäran.docx", "A 3566-2024")</f>
        <v/>
      </c>
      <c r="Y8">
        <f>HYPERLINK("https://klasma.github.io/Logging_1981/tillsynsmail/A 3566-2024 tillsynsbegäran mail.docx", "A 3566-2024")</f>
        <v/>
      </c>
    </row>
    <row r="9" ht="15" customHeight="1">
      <c r="A9" t="inlineStr">
        <is>
          <t>A 1182-2022</t>
        </is>
      </c>
      <c r="B9" s="1" t="n">
        <v>44572</v>
      </c>
      <c r="C9" s="1" t="n">
        <v>46126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7643-2026</t>
        </is>
      </c>
      <c r="B10" s="1" t="n">
        <v>46062.37700231482</v>
      </c>
      <c r="C10" s="1" t="n">
        <v>46126</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53009-2024</t>
        </is>
      </c>
      <c r="B11" s="1" t="n">
        <v>45610</v>
      </c>
      <c r="C11" s="1" t="n">
        <v>46126</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34752-2023</t>
        </is>
      </c>
      <c r="B12" s="1" t="n">
        <v>45141</v>
      </c>
      <c r="C12" s="1" t="n">
        <v>46126</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46126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46126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46126</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46126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46126</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46126</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46126</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46126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46126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46126</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3930-2026</t>
        </is>
      </c>
      <c r="B23" s="1" t="n">
        <v>46043</v>
      </c>
      <c r="C23" s="1" t="n">
        <v>46126</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40493-2024</t>
        </is>
      </c>
      <c r="B24" s="1" t="n">
        <v>45555</v>
      </c>
      <c r="C24" s="1" t="n">
        <v>46126</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46126</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46126</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52909-2022</t>
        </is>
      </c>
      <c r="B27" s="1" t="n">
        <v>44875</v>
      </c>
      <c r="C27" s="1" t="n">
        <v>46126</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46126</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13029-2023</t>
        </is>
      </c>
      <c r="B29" s="1" t="n">
        <v>45001</v>
      </c>
      <c r="C29" s="1" t="n">
        <v>46126</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11846-2024</t>
        </is>
      </c>
      <c r="B30" s="1" t="n">
        <v>45376.4047337963</v>
      </c>
      <c r="C30" s="1" t="n">
        <v>46126</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46126</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24872-2025</t>
        </is>
      </c>
      <c r="B32" s="1" t="n">
        <v>45799.49038194444</v>
      </c>
      <c r="C32" s="1" t="n">
        <v>46126</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53048-2025</t>
        </is>
      </c>
      <c r="B33" s="1" t="n">
        <v>45958.36018518519</v>
      </c>
      <c r="C33" s="1" t="n">
        <v>46126</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46126</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63584-2025</t>
        </is>
      </c>
      <c r="B35" s="1" t="n">
        <v>46013.77002314815</v>
      </c>
      <c r="C35" s="1" t="n">
        <v>46126</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1500-2022</t>
        </is>
      </c>
      <c r="B36" s="1" t="n">
        <v>44573.54357638889</v>
      </c>
      <c r="C36" s="1" t="n">
        <v>46126</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14485-2026</t>
        </is>
      </c>
      <c r="B37" s="1" t="n">
        <v>46100.59055555556</v>
      </c>
      <c r="C37" s="1" t="n">
        <v>46126</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15102-2025</t>
        </is>
      </c>
      <c r="B38" s="1" t="n">
        <v>45744.34585648148</v>
      </c>
      <c r="C38" s="1" t="n">
        <v>46126</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46126</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46126</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7731-2023</t>
        </is>
      </c>
      <c r="B41" s="1" t="n">
        <v>44973</v>
      </c>
      <c r="C41" s="1" t="n">
        <v>46126</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38255-2025</t>
        </is>
      </c>
      <c r="B42" s="1" t="n">
        <v>45883.38020833334</v>
      </c>
      <c r="C42" s="1" t="n">
        <v>46126</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56704-2022</t>
        </is>
      </c>
      <c r="B43" s="1" t="n">
        <v>44893.78075231481</v>
      </c>
      <c r="C43" s="1" t="n">
        <v>46126</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60852-2024</t>
        </is>
      </c>
      <c r="B44" s="1" t="n">
        <v>45644</v>
      </c>
      <c r="C44" s="1" t="n">
        <v>46126</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12509-2023</t>
        </is>
      </c>
      <c r="B45" s="1" t="n">
        <v>44999.95988425926</v>
      </c>
      <c r="C45" s="1" t="n">
        <v>46126</v>
      </c>
      <c r="D45" t="inlineStr">
        <is>
          <t>VÄSTMANLANDS LÄN</t>
        </is>
      </c>
      <c r="E45" t="inlineStr">
        <is>
          <t>SALA</t>
        </is>
      </c>
      <c r="G45" t="n">
        <v>13.9</v>
      </c>
      <c r="H45" t="n">
        <v>1</v>
      </c>
      <c r="I45" t="n">
        <v>0</v>
      </c>
      <c r="J45" t="n">
        <v>0</v>
      </c>
      <c r="K45" t="n">
        <v>0</v>
      </c>
      <c r="L45" t="n">
        <v>0</v>
      </c>
      <c r="M45" t="n">
        <v>0</v>
      </c>
      <c r="N45" t="n">
        <v>0</v>
      </c>
      <c r="O45" t="n">
        <v>0</v>
      </c>
      <c r="P45" t="n">
        <v>0</v>
      </c>
      <c r="Q45" t="n">
        <v>1</v>
      </c>
      <c r="R45" s="2" t="inlineStr">
        <is>
          <t>Grönvit nattviol</t>
        </is>
      </c>
      <c r="S45">
        <f>HYPERLINK("https://klasma.github.io/Logging_1981/artfynd/A 12509-2023 artfynd.xlsx", "A 12509-2023")</f>
        <v/>
      </c>
      <c r="T45">
        <f>HYPERLINK("https://klasma.github.io/Logging_1981/kartor/A 12509-2023 karta.png", "A 12509-2023")</f>
        <v/>
      </c>
      <c r="V45">
        <f>HYPERLINK("https://klasma.github.io/Logging_1981/klagomål/A 12509-2023 FSC-klagomål.docx", "A 12509-2023")</f>
        <v/>
      </c>
      <c r="W45">
        <f>HYPERLINK("https://klasma.github.io/Logging_1981/klagomålsmail/A 12509-2023 FSC-klagomål mail.docx", "A 12509-2023")</f>
        <v/>
      </c>
      <c r="X45">
        <f>HYPERLINK("https://klasma.github.io/Logging_1981/tillsyn/A 12509-2023 tillsynsbegäran.docx", "A 12509-2023")</f>
        <v/>
      </c>
      <c r="Y45">
        <f>HYPERLINK("https://klasma.github.io/Logging_1981/tillsynsmail/A 12509-2023 tillsynsbegäran mail.docx", "A 12509-2023")</f>
        <v/>
      </c>
    </row>
    <row r="46" ht="15" customHeight="1">
      <c r="A46" t="inlineStr">
        <is>
          <t>A 55550-2023</t>
        </is>
      </c>
      <c r="B46" s="1" t="n">
        <v>45232</v>
      </c>
      <c r="C46" s="1" t="n">
        <v>46126</v>
      </c>
      <c r="D46" t="inlineStr">
        <is>
          <t>VÄSTMANLANDS LÄN</t>
        </is>
      </c>
      <c r="E46" t="inlineStr">
        <is>
          <t>SALA</t>
        </is>
      </c>
      <c r="G46" t="n">
        <v>9.9</v>
      </c>
      <c r="H46" t="n">
        <v>1</v>
      </c>
      <c r="I46" t="n">
        <v>0</v>
      </c>
      <c r="J46" t="n">
        <v>0</v>
      </c>
      <c r="K46" t="n">
        <v>1</v>
      </c>
      <c r="L46" t="n">
        <v>0</v>
      </c>
      <c r="M46" t="n">
        <v>0</v>
      </c>
      <c r="N46" t="n">
        <v>0</v>
      </c>
      <c r="O46" t="n">
        <v>1</v>
      </c>
      <c r="P46" t="n">
        <v>1</v>
      </c>
      <c r="Q46" t="n">
        <v>1</v>
      </c>
      <c r="R46" s="2" t="inlineStr">
        <is>
          <t>Knärot</t>
        </is>
      </c>
      <c r="S46">
        <f>HYPERLINK("https://klasma.github.io/Logging_1981/artfynd/A 55550-2023 artfynd.xlsx", "A 55550-2023")</f>
        <v/>
      </c>
      <c r="T46">
        <f>HYPERLINK("https://klasma.github.io/Logging_1981/kartor/A 55550-2023 karta.png", "A 55550-2023")</f>
        <v/>
      </c>
      <c r="U46">
        <f>HYPERLINK("https://klasma.github.io/Logging_1981/knärot/A 55550-2023 karta knärot.png", "A 55550-2023")</f>
        <v/>
      </c>
      <c r="V46">
        <f>HYPERLINK("https://klasma.github.io/Logging_1981/klagomål/A 55550-2023 FSC-klagomål.docx", "A 55550-2023")</f>
        <v/>
      </c>
      <c r="W46">
        <f>HYPERLINK("https://klasma.github.io/Logging_1981/klagomålsmail/A 55550-2023 FSC-klagomål mail.docx", "A 55550-2023")</f>
        <v/>
      </c>
      <c r="X46">
        <f>HYPERLINK("https://klasma.github.io/Logging_1981/tillsyn/A 55550-2023 tillsynsbegäran.docx", "A 55550-2023")</f>
        <v/>
      </c>
      <c r="Y46">
        <f>HYPERLINK("https://klasma.github.io/Logging_1981/tillsynsmail/A 55550-2023 tillsynsbegäran mail.docx", "A 55550-2023")</f>
        <v/>
      </c>
    </row>
    <row r="47" ht="15" customHeight="1">
      <c r="A47" t="inlineStr">
        <is>
          <t>A 21738-2025</t>
        </is>
      </c>
      <c r="B47" s="1" t="n">
        <v>45783.59173611111</v>
      </c>
      <c r="C47" s="1" t="n">
        <v>46126</v>
      </c>
      <c r="D47" t="inlineStr">
        <is>
          <t>VÄSTMANLANDS LÄN</t>
        </is>
      </c>
      <c r="E47" t="inlineStr">
        <is>
          <t>SALA</t>
        </is>
      </c>
      <c r="G47" t="n">
        <v>2.1</v>
      </c>
      <c r="H47" t="n">
        <v>0</v>
      </c>
      <c r="I47" t="n">
        <v>0</v>
      </c>
      <c r="J47" t="n">
        <v>1</v>
      </c>
      <c r="K47" t="n">
        <v>0</v>
      </c>
      <c r="L47" t="n">
        <v>0</v>
      </c>
      <c r="M47" t="n">
        <v>0</v>
      </c>
      <c r="N47" t="n">
        <v>0</v>
      </c>
      <c r="O47" t="n">
        <v>1</v>
      </c>
      <c r="P47" t="n">
        <v>0</v>
      </c>
      <c r="Q47" t="n">
        <v>1</v>
      </c>
      <c r="R47" s="2" t="inlineStr">
        <is>
          <t>Motaggsvamp</t>
        </is>
      </c>
      <c r="S47">
        <f>HYPERLINK("https://klasma.github.io/Logging_1981/artfynd/A 21738-2025 artfynd.xlsx", "A 21738-2025")</f>
        <v/>
      </c>
      <c r="T47">
        <f>HYPERLINK("https://klasma.github.io/Logging_1981/kartor/A 21738-2025 karta.png", "A 21738-2025")</f>
        <v/>
      </c>
      <c r="V47">
        <f>HYPERLINK("https://klasma.github.io/Logging_1981/klagomål/A 21738-2025 FSC-klagomål.docx", "A 21738-2025")</f>
        <v/>
      </c>
      <c r="W47">
        <f>HYPERLINK("https://klasma.github.io/Logging_1981/klagomålsmail/A 21738-2025 FSC-klagomål mail.docx", "A 21738-2025")</f>
        <v/>
      </c>
      <c r="X47">
        <f>HYPERLINK("https://klasma.github.io/Logging_1981/tillsyn/A 21738-2025 tillsynsbegäran.docx", "A 21738-2025")</f>
        <v/>
      </c>
      <c r="Y47">
        <f>HYPERLINK("https://klasma.github.io/Logging_1981/tillsynsmail/A 21738-2025 tillsynsbegäran mail.docx", "A 21738-2025")</f>
        <v/>
      </c>
    </row>
    <row r="48" ht="15" customHeight="1">
      <c r="A48" t="inlineStr">
        <is>
          <t>A 43175-2023</t>
        </is>
      </c>
      <c r="B48" s="1" t="n">
        <v>45183</v>
      </c>
      <c r="C48" s="1" t="n">
        <v>46126</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22950-2025</t>
        </is>
      </c>
      <c r="B49" s="1" t="n">
        <v>45790.50728009259</v>
      </c>
      <c r="C49" s="1" t="n">
        <v>46126</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48705-2025</t>
        </is>
      </c>
      <c r="B50" s="1" t="n">
        <v>45936.62290509259</v>
      </c>
      <c r="C50" s="1" t="n">
        <v>46126</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41270-2024</t>
        </is>
      </c>
      <c r="B51" s="1" t="n">
        <v>45559</v>
      </c>
      <c r="C51" s="1" t="n">
        <v>46126</v>
      </c>
      <c r="D51" t="inlineStr">
        <is>
          <t>VÄSTMANLANDS LÄN</t>
        </is>
      </c>
      <c r="E51" t="inlineStr">
        <is>
          <t>SALA</t>
        </is>
      </c>
      <c r="G51" t="n">
        <v>15.2</v>
      </c>
      <c r="H51" t="n">
        <v>1</v>
      </c>
      <c r="I51" t="n">
        <v>0</v>
      </c>
      <c r="J51" t="n">
        <v>1</v>
      </c>
      <c r="K51" t="n">
        <v>0</v>
      </c>
      <c r="L51" t="n">
        <v>0</v>
      </c>
      <c r="M51" t="n">
        <v>0</v>
      </c>
      <c r="N51" t="n">
        <v>0</v>
      </c>
      <c r="O51" t="n">
        <v>1</v>
      </c>
      <c r="P51" t="n">
        <v>0</v>
      </c>
      <c r="Q51" t="n">
        <v>1</v>
      </c>
      <c r="R51" s="2" t="inlineStr">
        <is>
          <t>Havsörn</t>
        </is>
      </c>
      <c r="S51">
        <f>HYPERLINK("https://klasma.github.io/Logging_1981/artfynd/A 41270-2024 artfynd.xlsx", "A 41270-2024")</f>
        <v/>
      </c>
      <c r="T51">
        <f>HYPERLINK("https://klasma.github.io/Logging_1981/kartor/A 41270-2024 karta.png", "A 41270-2024")</f>
        <v/>
      </c>
      <c r="V51">
        <f>HYPERLINK("https://klasma.github.io/Logging_1981/klagomål/A 41270-2024 FSC-klagomål.docx", "A 41270-2024")</f>
        <v/>
      </c>
      <c r="W51">
        <f>HYPERLINK("https://klasma.github.io/Logging_1981/klagomålsmail/A 41270-2024 FSC-klagomål mail.docx", "A 41270-2024")</f>
        <v/>
      </c>
      <c r="X51">
        <f>HYPERLINK("https://klasma.github.io/Logging_1981/tillsyn/A 41270-2024 tillsynsbegäran.docx", "A 41270-2024")</f>
        <v/>
      </c>
      <c r="Y51">
        <f>HYPERLINK("https://klasma.github.io/Logging_1981/tillsynsmail/A 41270-2024 tillsynsbegäran mail.docx", "A 41270-2024")</f>
        <v/>
      </c>
      <c r="Z51">
        <f>HYPERLINK("https://klasma.github.io/Logging_1981/fåglar/A 41270-2024 prioriterade fågelarter.docx", "A 41270-2024")</f>
        <v/>
      </c>
    </row>
    <row r="52" ht="15" customHeight="1">
      <c r="A52" t="inlineStr">
        <is>
          <t>A 50268-2025</t>
        </is>
      </c>
      <c r="B52" s="1" t="n">
        <v>45944.35162037037</v>
      </c>
      <c r="C52" s="1" t="n">
        <v>46126</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43068-2024</t>
        </is>
      </c>
      <c r="B53" s="1" t="n">
        <v>45567</v>
      </c>
      <c r="C53" s="1" t="n">
        <v>46126</v>
      </c>
      <c r="D53" t="inlineStr">
        <is>
          <t>VÄSTMANLANDS LÄN</t>
        </is>
      </c>
      <c r="E53" t="inlineStr">
        <is>
          <t>SALA</t>
        </is>
      </c>
      <c r="G53" t="n">
        <v>1.1</v>
      </c>
      <c r="H53" t="n">
        <v>0</v>
      </c>
      <c r="I53" t="n">
        <v>1</v>
      </c>
      <c r="J53" t="n">
        <v>0</v>
      </c>
      <c r="K53" t="n">
        <v>0</v>
      </c>
      <c r="L53" t="n">
        <v>0</v>
      </c>
      <c r="M53" t="n">
        <v>0</v>
      </c>
      <c r="N53" t="n">
        <v>0</v>
      </c>
      <c r="O53" t="n">
        <v>0</v>
      </c>
      <c r="P53" t="n">
        <v>0</v>
      </c>
      <c r="Q53" t="n">
        <v>1</v>
      </c>
      <c r="R53" s="2" t="inlineStr">
        <is>
          <t>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53052-2025</t>
        </is>
      </c>
      <c r="B54" s="1" t="n">
        <v>45958.36266203703</v>
      </c>
      <c r="C54" s="1" t="n">
        <v>46126</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14775-2023</t>
        </is>
      </c>
      <c r="B55" s="1" t="n">
        <v>45014</v>
      </c>
      <c r="C55" s="1" t="n">
        <v>46126</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32594-2025</t>
        </is>
      </c>
      <c r="B56" s="1" t="n">
        <v>45838</v>
      </c>
      <c r="C56" s="1" t="n">
        <v>46126</v>
      </c>
      <c r="D56" t="inlineStr">
        <is>
          <t>VÄSTMANLANDS LÄN</t>
        </is>
      </c>
      <c r="E56" t="inlineStr">
        <is>
          <t>SALA</t>
        </is>
      </c>
      <c r="F56" t="inlineStr">
        <is>
          <t>Bergvik skog öst AB</t>
        </is>
      </c>
      <c r="G56" t="n">
        <v>0.9</v>
      </c>
      <c r="H56" t="n">
        <v>1</v>
      </c>
      <c r="I56" t="n">
        <v>0</v>
      </c>
      <c r="J56" t="n">
        <v>0</v>
      </c>
      <c r="K56" t="n">
        <v>0</v>
      </c>
      <c r="L56" t="n">
        <v>0</v>
      </c>
      <c r="M56" t="n">
        <v>0</v>
      </c>
      <c r="N56" t="n">
        <v>0</v>
      </c>
      <c r="O56" t="n">
        <v>0</v>
      </c>
      <c r="P56" t="n">
        <v>0</v>
      </c>
      <c r="Q56" t="n">
        <v>1</v>
      </c>
      <c r="R56" s="2" t="inlineStr">
        <is>
          <t>Blåsippa</t>
        </is>
      </c>
      <c r="S56">
        <f>HYPERLINK("https://klasma.github.io/Logging_1981/artfynd/A 32594-2025 artfynd.xlsx", "A 32594-2025")</f>
        <v/>
      </c>
      <c r="T56">
        <f>HYPERLINK("https://klasma.github.io/Logging_1981/kartor/A 32594-2025 karta.png", "A 32594-2025")</f>
        <v/>
      </c>
      <c r="V56">
        <f>HYPERLINK("https://klasma.github.io/Logging_1981/klagomål/A 32594-2025 FSC-klagomål.docx", "A 32594-2025")</f>
        <v/>
      </c>
      <c r="W56">
        <f>HYPERLINK("https://klasma.github.io/Logging_1981/klagomålsmail/A 32594-2025 FSC-klagomål mail.docx", "A 32594-2025")</f>
        <v/>
      </c>
      <c r="X56">
        <f>HYPERLINK("https://klasma.github.io/Logging_1981/tillsyn/A 32594-2025 tillsynsbegäran.docx", "A 32594-2025")</f>
        <v/>
      </c>
      <c r="Y56">
        <f>HYPERLINK("https://klasma.github.io/Logging_1981/tillsynsmail/A 32594-2025 tillsynsbegäran mail.docx", "A 32594-2025")</f>
        <v/>
      </c>
    </row>
    <row r="57" ht="15" customHeight="1">
      <c r="A57" t="inlineStr">
        <is>
          <t>A 55995-2025</t>
        </is>
      </c>
      <c r="B57" s="1" t="n">
        <v>45973.56733796297</v>
      </c>
      <c r="C57" s="1" t="n">
        <v>46126</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22350-2024</t>
        </is>
      </c>
      <c r="B58" s="1" t="n">
        <v>45446</v>
      </c>
      <c r="C58" s="1" t="n">
        <v>46126</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Blåsippa</t>
        </is>
      </c>
      <c r="S58">
        <f>HYPERLINK("https://klasma.github.io/Logging_1981/artfynd/A 22350-2024 artfynd.xlsx", "A 22350-2024")</f>
        <v/>
      </c>
      <c r="T58">
        <f>HYPERLINK("https://klasma.github.io/Logging_1981/kartor/A 22350-2024 karta.png", "A 22350-2024")</f>
        <v/>
      </c>
      <c r="V58">
        <f>HYPERLINK("https://klasma.github.io/Logging_1981/klagomål/A 22350-2024 FSC-klagomål.docx", "A 22350-2024")</f>
        <v/>
      </c>
      <c r="W58">
        <f>HYPERLINK("https://klasma.github.io/Logging_1981/klagomålsmail/A 22350-2024 FSC-klagomål mail.docx", "A 22350-2024")</f>
        <v/>
      </c>
      <c r="X58">
        <f>HYPERLINK("https://klasma.github.io/Logging_1981/tillsyn/A 22350-2024 tillsynsbegäran.docx", "A 22350-2024")</f>
        <v/>
      </c>
      <c r="Y58">
        <f>HYPERLINK("https://klasma.github.io/Logging_1981/tillsynsmail/A 22350-2024 tillsynsbegäran mail.docx", "A 22350-2024")</f>
        <v/>
      </c>
    </row>
    <row r="59" ht="15" customHeight="1">
      <c r="A59" t="inlineStr">
        <is>
          <t>A 19361-2025</t>
        </is>
      </c>
      <c r="B59" s="1" t="n">
        <v>45769.63357638889</v>
      </c>
      <c r="C59" s="1" t="n">
        <v>46126</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46126</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46126</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14487-2026</t>
        </is>
      </c>
      <c r="B62" s="1" t="n">
        <v>46100.59162037037</v>
      </c>
      <c r="C62" s="1" t="n">
        <v>46126</v>
      </c>
      <c r="D62" t="inlineStr">
        <is>
          <t>VÄSTMANLANDS LÄN</t>
        </is>
      </c>
      <c r="E62" t="inlineStr">
        <is>
          <t>SALA</t>
        </is>
      </c>
      <c r="F62" t="inlineStr">
        <is>
          <t>Sveaskog</t>
        </is>
      </c>
      <c r="G62" t="n">
        <v>6.7</v>
      </c>
      <c r="H62" t="n">
        <v>0</v>
      </c>
      <c r="I62" t="n">
        <v>0</v>
      </c>
      <c r="J62" t="n">
        <v>1</v>
      </c>
      <c r="K62" t="n">
        <v>0</v>
      </c>
      <c r="L62" t="n">
        <v>0</v>
      </c>
      <c r="M62" t="n">
        <v>0</v>
      </c>
      <c r="N62" t="n">
        <v>0</v>
      </c>
      <c r="O62" t="n">
        <v>1</v>
      </c>
      <c r="P62" t="n">
        <v>0</v>
      </c>
      <c r="Q62" t="n">
        <v>1</v>
      </c>
      <c r="R62" s="2" t="inlineStr">
        <is>
          <t>Motaggsvamp</t>
        </is>
      </c>
      <c r="S62">
        <f>HYPERLINK("https://klasma.github.io/Logging_1981/artfynd/A 14487-2026 artfynd.xlsx", "A 14487-2026")</f>
        <v/>
      </c>
      <c r="T62">
        <f>HYPERLINK("https://klasma.github.io/Logging_1981/kartor/A 14487-2026 karta.png", "A 14487-2026")</f>
        <v/>
      </c>
      <c r="V62">
        <f>HYPERLINK("https://klasma.github.io/Logging_1981/klagomål/A 14487-2026 FSC-klagomål.docx", "A 14487-2026")</f>
        <v/>
      </c>
      <c r="W62">
        <f>HYPERLINK("https://klasma.github.io/Logging_1981/klagomålsmail/A 14487-2026 FSC-klagomål mail.docx", "A 14487-2026")</f>
        <v/>
      </c>
      <c r="X62">
        <f>HYPERLINK("https://klasma.github.io/Logging_1981/tillsyn/A 14487-2026 tillsynsbegäran.docx", "A 14487-2026")</f>
        <v/>
      </c>
      <c r="Y62">
        <f>HYPERLINK("https://klasma.github.io/Logging_1981/tillsynsmail/A 14487-2026 tillsynsbegäran mail.docx", "A 14487-2026")</f>
        <v/>
      </c>
    </row>
    <row r="63" ht="15" customHeight="1">
      <c r="A63" t="inlineStr">
        <is>
          <t>A 14488-2026</t>
        </is>
      </c>
      <c r="B63" s="1" t="n">
        <v>46100.59216435185</v>
      </c>
      <c r="C63" s="1" t="n">
        <v>46126</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7672-2026</t>
        </is>
      </c>
      <c r="B64" s="1" t="n">
        <v>46062.42077546296</v>
      </c>
      <c r="C64" s="1" t="n">
        <v>46126</v>
      </c>
      <c r="D64" t="inlineStr">
        <is>
          <t>VÄSTMANLANDS LÄN</t>
        </is>
      </c>
      <c r="E64" t="inlineStr">
        <is>
          <t>SALA</t>
        </is>
      </c>
      <c r="G64" t="n">
        <v>2.9</v>
      </c>
      <c r="H64" t="n">
        <v>1</v>
      </c>
      <c r="I64" t="n">
        <v>0</v>
      </c>
      <c r="J64" t="n">
        <v>0</v>
      </c>
      <c r="K64" t="n">
        <v>0</v>
      </c>
      <c r="L64" t="n">
        <v>0</v>
      </c>
      <c r="M64" t="n">
        <v>0</v>
      </c>
      <c r="N64" t="n">
        <v>0</v>
      </c>
      <c r="O64" t="n">
        <v>0</v>
      </c>
      <c r="P64" t="n">
        <v>0</v>
      </c>
      <c r="Q64" t="n">
        <v>1</v>
      </c>
      <c r="R64" s="2" t="inlineStr">
        <is>
          <t>Nattviol</t>
        </is>
      </c>
      <c r="S64">
        <f>HYPERLINK("https://klasma.github.io/Logging_1981/artfynd/A 7672-2026 artfynd.xlsx", "A 7672-2026")</f>
        <v/>
      </c>
      <c r="T64">
        <f>HYPERLINK("https://klasma.github.io/Logging_1981/kartor/A 7672-2026 karta.png", "A 7672-2026")</f>
        <v/>
      </c>
      <c r="V64">
        <f>HYPERLINK("https://klasma.github.io/Logging_1981/klagomål/A 7672-2026 FSC-klagomål.docx", "A 7672-2026")</f>
        <v/>
      </c>
      <c r="W64">
        <f>HYPERLINK("https://klasma.github.io/Logging_1981/klagomålsmail/A 7672-2026 FSC-klagomål mail.docx", "A 7672-2026")</f>
        <v/>
      </c>
      <c r="X64">
        <f>HYPERLINK("https://klasma.github.io/Logging_1981/tillsyn/A 7672-2026 tillsynsbegäran.docx", "A 7672-2026")</f>
        <v/>
      </c>
      <c r="Y64">
        <f>HYPERLINK("https://klasma.github.io/Logging_1981/tillsynsmail/A 7672-2026 tillsynsbegäran mail.docx", "A 7672-2026")</f>
        <v/>
      </c>
    </row>
    <row r="65" ht="15" customHeight="1">
      <c r="A65" t="inlineStr">
        <is>
          <t>A 29985-2022</t>
        </is>
      </c>
      <c r="B65" s="1" t="n">
        <v>44756</v>
      </c>
      <c r="C65" s="1" t="n">
        <v>46126</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7919-2022</t>
        </is>
      </c>
      <c r="B66" s="1" t="n">
        <v>44608</v>
      </c>
      <c r="C66" s="1" t="n">
        <v>46126</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46126</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73124-2021</t>
        </is>
      </c>
      <c r="B68" s="1" t="n">
        <v>44550</v>
      </c>
      <c r="C68" s="1" t="n">
        <v>46126</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46126</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46126</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46126</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46126</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28999-2022</t>
        </is>
      </c>
      <c r="B73" s="1" t="n">
        <v>44749</v>
      </c>
      <c r="C73" s="1" t="n">
        <v>46126</v>
      </c>
      <c r="D73" t="inlineStr">
        <is>
          <t>VÄSTMANLANDS LÄN</t>
        </is>
      </c>
      <c r="E73" t="inlineStr">
        <is>
          <t>SALA</t>
        </is>
      </c>
      <c r="G73" t="n">
        <v>5.7</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46126</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33762-2021</t>
        </is>
      </c>
      <c r="B75" s="1" t="n">
        <v>44378</v>
      </c>
      <c r="C75" s="1" t="n">
        <v>46126</v>
      </c>
      <c r="D75" t="inlineStr">
        <is>
          <t>VÄSTMANLANDS LÄN</t>
        </is>
      </c>
      <c r="E75" t="inlineStr">
        <is>
          <t>SALA</t>
        </is>
      </c>
      <c r="G75" t="n">
        <v>3.4</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46126</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46126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46126</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46126</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46126</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46126</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46126</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46126</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46126</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46126</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46126</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46126</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46126</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46126</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46126</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46126</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31387-2022</t>
        </is>
      </c>
      <c r="B92" s="1" t="n">
        <v>44774.62174768518</v>
      </c>
      <c r="C92" s="1" t="n">
        <v>46126</v>
      </c>
      <c r="D92" t="inlineStr">
        <is>
          <t>VÄSTMANLANDS LÄN</t>
        </is>
      </c>
      <c r="E92" t="inlineStr">
        <is>
          <t>SALA</t>
        </is>
      </c>
      <c r="G92" t="n">
        <v>5.8</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46126</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46126</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46126</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46126</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46126</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46126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46126</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46126</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46126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46126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46126</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46126</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46126</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46126</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46126</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46126</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46126</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46126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46126</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46126</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46126</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46126</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46126</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46126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46126</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46126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46126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46126</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46126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46126</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46126</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46126</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46126</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46126</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46126</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46126</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46126</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46126</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46126</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46126</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46126</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46126</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65213-2021</t>
        </is>
      </c>
      <c r="B135" s="1" t="n">
        <v>44515</v>
      </c>
      <c r="C135" s="1" t="n">
        <v>46126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46126</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46126</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46126</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46126</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46126</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65353-2021</t>
        </is>
      </c>
      <c r="B141" s="1" t="n">
        <v>44515</v>
      </c>
      <c r="C141" s="1" t="n">
        <v>46126</v>
      </c>
      <c r="D141" t="inlineStr">
        <is>
          <t>VÄSTMANLANDS LÄN</t>
        </is>
      </c>
      <c r="E141" t="inlineStr">
        <is>
          <t>SALA</t>
        </is>
      </c>
      <c r="G141" t="n">
        <v>1.5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46126</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10168-2022</t>
        </is>
      </c>
      <c r="B143" s="1" t="n">
        <v>44622.37693287037</v>
      </c>
      <c r="C143" s="1" t="n">
        <v>46126</v>
      </c>
      <c r="D143" t="inlineStr">
        <is>
          <t>VÄSTMANLANDS LÄN</t>
        </is>
      </c>
      <c r="E143" t="inlineStr">
        <is>
          <t>SALA</t>
        </is>
      </c>
      <c r="G143" t="n">
        <v>2.1</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46126</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21159-2022</t>
        </is>
      </c>
      <c r="B145" s="1" t="n">
        <v>44704</v>
      </c>
      <c r="C145" s="1" t="n">
        <v>46126</v>
      </c>
      <c r="D145" t="inlineStr">
        <is>
          <t>VÄSTMANLANDS LÄN</t>
        </is>
      </c>
      <c r="E145" t="inlineStr">
        <is>
          <t>SALA</t>
        </is>
      </c>
      <c r="G145" t="n">
        <v>1.4</v>
      </c>
      <c r="H145" t="n">
        <v>0</v>
      </c>
      <c r="I145" t="n">
        <v>0</v>
      </c>
      <c r="J145" t="n">
        <v>0</v>
      </c>
      <c r="K145" t="n">
        <v>0</v>
      </c>
      <c r="L145" t="n">
        <v>0</v>
      </c>
      <c r="M145" t="n">
        <v>0</v>
      </c>
      <c r="N145" t="n">
        <v>0</v>
      </c>
      <c r="O145" t="n">
        <v>0</v>
      </c>
      <c r="P145" t="n">
        <v>0</v>
      </c>
      <c r="Q145" t="n">
        <v>0</v>
      </c>
      <c r="R145" s="2" t="inlineStr"/>
    </row>
    <row r="146" ht="15" customHeight="1">
      <c r="A146" t="inlineStr">
        <is>
          <t>A 26570-2021</t>
        </is>
      </c>
      <c r="B146" s="1" t="n">
        <v>44348</v>
      </c>
      <c r="C146" s="1" t="n">
        <v>46126</v>
      </c>
      <c r="D146" t="inlineStr">
        <is>
          <t>VÄSTMANLANDS LÄN</t>
        </is>
      </c>
      <c r="E146" t="inlineStr">
        <is>
          <t>SALA</t>
        </is>
      </c>
      <c r="G146" t="n">
        <v>2.5</v>
      </c>
      <c r="H146" t="n">
        <v>0</v>
      </c>
      <c r="I146" t="n">
        <v>0</v>
      </c>
      <c r="J146" t="n">
        <v>0</v>
      </c>
      <c r="K146" t="n">
        <v>0</v>
      </c>
      <c r="L146" t="n">
        <v>0</v>
      </c>
      <c r="M146" t="n">
        <v>0</v>
      </c>
      <c r="N146" t="n">
        <v>0</v>
      </c>
      <c r="O146" t="n">
        <v>0</v>
      </c>
      <c r="P146" t="n">
        <v>0</v>
      </c>
      <c r="Q146" t="n">
        <v>0</v>
      </c>
      <c r="R146" s="2" t="inlineStr"/>
    </row>
    <row r="147" ht="15" customHeight="1">
      <c r="A147" t="inlineStr">
        <is>
          <t>A 22575-2022</t>
        </is>
      </c>
      <c r="B147" s="1" t="n">
        <v>44713</v>
      </c>
      <c r="C147" s="1" t="n">
        <v>46126</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40094-2022</t>
        </is>
      </c>
      <c r="B148" s="1" t="n">
        <v>44819</v>
      </c>
      <c r="C148" s="1" t="n">
        <v>46126</v>
      </c>
      <c r="D148" t="inlineStr">
        <is>
          <t>VÄSTMANLANDS LÄN</t>
        </is>
      </c>
      <c r="E148" t="inlineStr">
        <is>
          <t>SALA</t>
        </is>
      </c>
      <c r="G148" t="n">
        <v>1.7</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46126</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53630-2022</t>
        </is>
      </c>
      <c r="B150" s="1" t="n">
        <v>44879.87533564815</v>
      </c>
      <c r="C150" s="1" t="n">
        <v>46126</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29002-2022</t>
        </is>
      </c>
      <c r="B151" s="1" t="n">
        <v>44749</v>
      </c>
      <c r="C151" s="1" t="n">
        <v>46126</v>
      </c>
      <c r="D151" t="inlineStr">
        <is>
          <t>VÄSTMANLANDS LÄN</t>
        </is>
      </c>
      <c r="E151" t="inlineStr">
        <is>
          <t>SALA</t>
        </is>
      </c>
      <c r="G151" t="n">
        <v>5.4</v>
      </c>
      <c r="H151" t="n">
        <v>0</v>
      </c>
      <c r="I151" t="n">
        <v>0</v>
      </c>
      <c r="J151" t="n">
        <v>0</v>
      </c>
      <c r="K151" t="n">
        <v>0</v>
      </c>
      <c r="L151" t="n">
        <v>0</v>
      </c>
      <c r="M151" t="n">
        <v>0</v>
      </c>
      <c r="N151" t="n">
        <v>0</v>
      </c>
      <c r="O151" t="n">
        <v>0</v>
      </c>
      <c r="P151" t="n">
        <v>0</v>
      </c>
      <c r="Q151" t="n">
        <v>0</v>
      </c>
      <c r="R151" s="2" t="inlineStr"/>
    </row>
    <row r="152" ht="15" customHeight="1">
      <c r="A152" t="inlineStr">
        <is>
          <t>A 72405-2021</t>
        </is>
      </c>
      <c r="B152" s="1" t="n">
        <v>44545</v>
      </c>
      <c r="C152" s="1" t="n">
        <v>46126</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63290-2021</t>
        </is>
      </c>
      <c r="B153" s="1" t="n">
        <v>44505</v>
      </c>
      <c r="C153" s="1" t="n">
        <v>46126</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66830-2021</t>
        </is>
      </c>
      <c r="B154" s="1" t="n">
        <v>44522.40886574074</v>
      </c>
      <c r="C154" s="1" t="n">
        <v>46126</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28402-2022</t>
        </is>
      </c>
      <c r="B155" s="1" t="n">
        <v>44747</v>
      </c>
      <c r="C155" s="1" t="n">
        <v>46126</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41292-2021</t>
        </is>
      </c>
      <c r="B156" s="1" t="n">
        <v>44424</v>
      </c>
      <c r="C156" s="1" t="n">
        <v>46126</v>
      </c>
      <c r="D156" t="inlineStr">
        <is>
          <t>VÄSTMANLANDS LÄN</t>
        </is>
      </c>
      <c r="E156" t="inlineStr">
        <is>
          <t>SALA</t>
        </is>
      </c>
      <c r="G156" t="n">
        <v>0.3</v>
      </c>
      <c r="H156" t="n">
        <v>0</v>
      </c>
      <c r="I156" t="n">
        <v>0</v>
      </c>
      <c r="J156" t="n">
        <v>0</v>
      </c>
      <c r="K156" t="n">
        <v>0</v>
      </c>
      <c r="L156" t="n">
        <v>0</v>
      </c>
      <c r="M156" t="n">
        <v>0</v>
      </c>
      <c r="N156" t="n">
        <v>0</v>
      </c>
      <c r="O156" t="n">
        <v>0</v>
      </c>
      <c r="P156" t="n">
        <v>0</v>
      </c>
      <c r="Q156" t="n">
        <v>0</v>
      </c>
      <c r="R156" s="2" t="inlineStr"/>
    </row>
    <row r="157" ht="15" customHeight="1">
      <c r="A157" t="inlineStr">
        <is>
          <t>A 73606-2021</t>
        </is>
      </c>
      <c r="B157" s="1" t="n">
        <v>44552</v>
      </c>
      <c r="C157" s="1" t="n">
        <v>46126</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60328-2024</t>
        </is>
      </c>
      <c r="B158" s="1" t="n">
        <v>45643.38416666666</v>
      </c>
      <c r="C158" s="1" t="n">
        <v>46126</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53735-2022</t>
        </is>
      </c>
      <c r="B159" s="1" t="n">
        <v>44880.42752314815</v>
      </c>
      <c r="C159" s="1" t="n">
        <v>46126</v>
      </c>
      <c r="D159" t="inlineStr">
        <is>
          <t>VÄSTMANLANDS LÄN</t>
        </is>
      </c>
      <c r="E159" t="inlineStr">
        <is>
          <t>SALA</t>
        </is>
      </c>
      <c r="F159" t="inlineStr">
        <is>
          <t>Bergvik skog öst AB</t>
        </is>
      </c>
      <c r="G159" t="n">
        <v>1.8</v>
      </c>
      <c r="H159" t="n">
        <v>0</v>
      </c>
      <c r="I159" t="n">
        <v>0</v>
      </c>
      <c r="J159" t="n">
        <v>0</v>
      </c>
      <c r="K159" t="n">
        <v>0</v>
      </c>
      <c r="L159" t="n">
        <v>0</v>
      </c>
      <c r="M159" t="n">
        <v>0</v>
      </c>
      <c r="N159" t="n">
        <v>0</v>
      </c>
      <c r="O159" t="n">
        <v>0</v>
      </c>
      <c r="P159" t="n">
        <v>0</v>
      </c>
      <c r="Q159" t="n">
        <v>0</v>
      </c>
      <c r="R159" s="2" t="inlineStr"/>
    </row>
    <row r="160" ht="15" customHeight="1">
      <c r="A160" t="inlineStr">
        <is>
          <t>A 73519-2021</t>
        </is>
      </c>
      <c r="B160" s="1" t="n">
        <v>44551</v>
      </c>
      <c r="C160" s="1" t="n">
        <v>46126</v>
      </c>
      <c r="D160" t="inlineStr">
        <is>
          <t>VÄSTMANLANDS LÄN</t>
        </is>
      </c>
      <c r="E160" t="inlineStr">
        <is>
          <t>SALA</t>
        </is>
      </c>
      <c r="G160" t="n">
        <v>0.3</v>
      </c>
      <c r="H160" t="n">
        <v>0</v>
      </c>
      <c r="I160" t="n">
        <v>0</v>
      </c>
      <c r="J160" t="n">
        <v>0</v>
      </c>
      <c r="K160" t="n">
        <v>0</v>
      </c>
      <c r="L160" t="n">
        <v>0</v>
      </c>
      <c r="M160" t="n">
        <v>0</v>
      </c>
      <c r="N160" t="n">
        <v>0</v>
      </c>
      <c r="O160" t="n">
        <v>0</v>
      </c>
      <c r="P160" t="n">
        <v>0</v>
      </c>
      <c r="Q160" t="n">
        <v>0</v>
      </c>
      <c r="R160" s="2" t="inlineStr"/>
    </row>
    <row r="161" ht="15" customHeight="1">
      <c r="A161" t="inlineStr">
        <is>
          <t>A 37881-2021</t>
        </is>
      </c>
      <c r="B161" s="1" t="n">
        <v>44403</v>
      </c>
      <c r="C161" s="1" t="n">
        <v>46126</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57000-2021</t>
        </is>
      </c>
      <c r="B162" s="1" t="n">
        <v>44482.46760416667</v>
      </c>
      <c r="C162" s="1" t="n">
        <v>46126</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46126</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46126</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65856-2021</t>
        </is>
      </c>
      <c r="B165" s="1" t="n">
        <v>44517</v>
      </c>
      <c r="C165" s="1" t="n">
        <v>46126</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26579-2021</t>
        </is>
      </c>
      <c r="B166" s="1" t="n">
        <v>44348</v>
      </c>
      <c r="C166" s="1" t="n">
        <v>46126</v>
      </c>
      <c r="D166" t="inlineStr">
        <is>
          <t>VÄSTMANLANDS LÄN</t>
        </is>
      </c>
      <c r="E166" t="inlineStr">
        <is>
          <t>SALA</t>
        </is>
      </c>
      <c r="G166" t="n">
        <v>1.6</v>
      </c>
      <c r="H166" t="n">
        <v>0</v>
      </c>
      <c r="I166" t="n">
        <v>0</v>
      </c>
      <c r="J166" t="n">
        <v>0</v>
      </c>
      <c r="K166" t="n">
        <v>0</v>
      </c>
      <c r="L166" t="n">
        <v>0</v>
      </c>
      <c r="M166" t="n">
        <v>0</v>
      </c>
      <c r="N166" t="n">
        <v>0</v>
      </c>
      <c r="O166" t="n">
        <v>0</v>
      </c>
      <c r="P166" t="n">
        <v>0</v>
      </c>
      <c r="Q166" t="n">
        <v>0</v>
      </c>
      <c r="R166" s="2" t="inlineStr"/>
    </row>
    <row r="167" ht="15" customHeight="1">
      <c r="A167" t="inlineStr">
        <is>
          <t>A 44224-2022</t>
        </is>
      </c>
      <c r="B167" s="1" t="n">
        <v>44839.506875</v>
      </c>
      <c r="C167" s="1" t="n">
        <v>46126</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40113-2022</t>
        </is>
      </c>
      <c r="B168" s="1" t="n">
        <v>44819</v>
      </c>
      <c r="C168" s="1" t="n">
        <v>46126</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25603-2022</t>
        </is>
      </c>
      <c r="B169" s="1" t="n">
        <v>44732</v>
      </c>
      <c r="C169" s="1" t="n">
        <v>46126</v>
      </c>
      <c r="D169" t="inlineStr">
        <is>
          <t>VÄSTMANLANDS LÄN</t>
        </is>
      </c>
      <c r="E169" t="inlineStr">
        <is>
          <t>SALA</t>
        </is>
      </c>
      <c r="G169" t="n">
        <v>2</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46126</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64932-2021</t>
        </is>
      </c>
      <c r="B171" s="1" t="n">
        <v>44512</v>
      </c>
      <c r="C171" s="1" t="n">
        <v>46126</v>
      </c>
      <c r="D171" t="inlineStr">
        <is>
          <t>VÄSTMANLANDS LÄN</t>
        </is>
      </c>
      <c r="E171" t="inlineStr">
        <is>
          <t>SALA</t>
        </is>
      </c>
      <c r="G171" t="n">
        <v>0.8</v>
      </c>
      <c r="H171" t="n">
        <v>0</v>
      </c>
      <c r="I171" t="n">
        <v>0</v>
      </c>
      <c r="J171" t="n">
        <v>0</v>
      </c>
      <c r="K171" t="n">
        <v>0</v>
      </c>
      <c r="L171" t="n">
        <v>0</v>
      </c>
      <c r="M171" t="n">
        <v>0</v>
      </c>
      <c r="N171" t="n">
        <v>0</v>
      </c>
      <c r="O171" t="n">
        <v>0</v>
      </c>
      <c r="P171" t="n">
        <v>0</v>
      </c>
      <c r="Q171" t="n">
        <v>0</v>
      </c>
      <c r="R171" s="2" t="inlineStr"/>
    </row>
    <row r="172" ht="15" customHeight="1">
      <c r="A172" t="inlineStr">
        <is>
          <t>A 33273-2023</t>
        </is>
      </c>
      <c r="B172" s="1" t="n">
        <v>45127</v>
      </c>
      <c r="C172" s="1" t="n">
        <v>46126</v>
      </c>
      <c r="D172" t="inlineStr">
        <is>
          <t>VÄSTMANLANDS LÄN</t>
        </is>
      </c>
      <c r="E172" t="inlineStr">
        <is>
          <t>SALA</t>
        </is>
      </c>
      <c r="G172" t="n">
        <v>2.6</v>
      </c>
      <c r="H172" t="n">
        <v>0</v>
      </c>
      <c r="I172" t="n">
        <v>0</v>
      </c>
      <c r="J172" t="n">
        <v>0</v>
      </c>
      <c r="K172" t="n">
        <v>0</v>
      </c>
      <c r="L172" t="n">
        <v>0</v>
      </c>
      <c r="M172" t="n">
        <v>0</v>
      </c>
      <c r="N172" t="n">
        <v>0</v>
      </c>
      <c r="O172" t="n">
        <v>0</v>
      </c>
      <c r="P172" t="n">
        <v>0</v>
      </c>
      <c r="Q172" t="n">
        <v>0</v>
      </c>
      <c r="R172" s="2" t="inlineStr"/>
    </row>
    <row r="173" ht="15" customHeight="1">
      <c r="A173" t="inlineStr">
        <is>
          <t>A 53628-2022</t>
        </is>
      </c>
      <c r="B173" s="1" t="n">
        <v>44879.87171296297</v>
      </c>
      <c r="C173" s="1" t="n">
        <v>46126</v>
      </c>
      <c r="D173" t="inlineStr">
        <is>
          <t>VÄSTMANLANDS LÄN</t>
        </is>
      </c>
      <c r="E173" t="inlineStr">
        <is>
          <t>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23847-2022</t>
        </is>
      </c>
      <c r="B174" s="1" t="n">
        <v>44722</v>
      </c>
      <c r="C174" s="1" t="n">
        <v>46126</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56688-2024</t>
        </is>
      </c>
      <c r="B175" s="1" t="n">
        <v>45627.66478009259</v>
      </c>
      <c r="C175" s="1" t="n">
        <v>46126</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27261-2024</t>
        </is>
      </c>
      <c r="B176" s="1" t="n">
        <v>45471</v>
      </c>
      <c r="C176" s="1" t="n">
        <v>46126</v>
      </c>
      <c r="D176" t="inlineStr">
        <is>
          <t>VÄSTMANLANDS LÄN</t>
        </is>
      </c>
      <c r="E176" t="inlineStr">
        <is>
          <t>SALA</t>
        </is>
      </c>
      <c r="G176" t="n">
        <v>6.1</v>
      </c>
      <c r="H176" t="n">
        <v>0</v>
      </c>
      <c r="I176" t="n">
        <v>0</v>
      </c>
      <c r="J176" t="n">
        <v>0</v>
      </c>
      <c r="K176" t="n">
        <v>0</v>
      </c>
      <c r="L176" t="n">
        <v>0</v>
      </c>
      <c r="M176" t="n">
        <v>0</v>
      </c>
      <c r="N176" t="n">
        <v>0</v>
      </c>
      <c r="O176" t="n">
        <v>0</v>
      </c>
      <c r="P176" t="n">
        <v>0</v>
      </c>
      <c r="Q176" t="n">
        <v>0</v>
      </c>
      <c r="R176" s="2" t="inlineStr"/>
    </row>
    <row r="177" ht="15" customHeight="1">
      <c r="A177" t="inlineStr">
        <is>
          <t>A 30915-2021</t>
        </is>
      </c>
      <c r="B177" s="1" t="n">
        <v>44365</v>
      </c>
      <c r="C177" s="1" t="n">
        <v>46126</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30918-2021</t>
        </is>
      </c>
      <c r="B178" s="1" t="n">
        <v>44365.60569444444</v>
      </c>
      <c r="C178" s="1" t="n">
        <v>46126</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22562-2022</t>
        </is>
      </c>
      <c r="B179" s="1" t="n">
        <v>44713</v>
      </c>
      <c r="C179" s="1" t="n">
        <v>46126</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18713-2025</t>
        </is>
      </c>
      <c r="B180" s="1" t="n">
        <v>45763</v>
      </c>
      <c r="C180" s="1" t="n">
        <v>46126</v>
      </c>
      <c r="D180" t="inlineStr">
        <is>
          <t>VÄSTMANLANDS LÄN</t>
        </is>
      </c>
      <c r="E180" t="inlineStr">
        <is>
          <t>SALA</t>
        </is>
      </c>
      <c r="F180" t="inlineStr">
        <is>
          <t>Bergvik skog öst AB</t>
        </is>
      </c>
      <c r="G180" t="n">
        <v>11.6</v>
      </c>
      <c r="H180" t="n">
        <v>0</v>
      </c>
      <c r="I180" t="n">
        <v>0</v>
      </c>
      <c r="J180" t="n">
        <v>0</v>
      </c>
      <c r="K180" t="n">
        <v>0</v>
      </c>
      <c r="L180" t="n">
        <v>0</v>
      </c>
      <c r="M180" t="n">
        <v>0</v>
      </c>
      <c r="N180" t="n">
        <v>0</v>
      </c>
      <c r="O180" t="n">
        <v>0</v>
      </c>
      <c r="P180" t="n">
        <v>0</v>
      </c>
      <c r="Q180" t="n">
        <v>0</v>
      </c>
      <c r="R180" s="2" t="inlineStr"/>
    </row>
    <row r="181" ht="15" customHeight="1">
      <c r="A181" t="inlineStr">
        <is>
          <t>A 41876-2022</t>
        </is>
      </c>
      <c r="B181" s="1" t="n">
        <v>44829.97008101852</v>
      </c>
      <c r="C181" s="1" t="n">
        <v>46126</v>
      </c>
      <c r="D181" t="inlineStr">
        <is>
          <t>VÄSTMANLANDS LÄN</t>
        </is>
      </c>
      <c r="E181" t="inlineStr">
        <is>
          <t>SALA</t>
        </is>
      </c>
      <c r="G181" t="n">
        <v>3.6</v>
      </c>
      <c r="H181" t="n">
        <v>0</v>
      </c>
      <c r="I181" t="n">
        <v>0</v>
      </c>
      <c r="J181" t="n">
        <v>0</v>
      </c>
      <c r="K181" t="n">
        <v>0</v>
      </c>
      <c r="L181" t="n">
        <v>0</v>
      </c>
      <c r="M181" t="n">
        <v>0</v>
      </c>
      <c r="N181" t="n">
        <v>0</v>
      </c>
      <c r="O181" t="n">
        <v>0</v>
      </c>
      <c r="P181" t="n">
        <v>0</v>
      </c>
      <c r="Q181" t="n">
        <v>0</v>
      </c>
      <c r="R181" s="2" t="inlineStr"/>
    </row>
    <row r="182" ht="15" customHeight="1">
      <c r="A182" t="inlineStr">
        <is>
          <t>A 30904-2021</t>
        </is>
      </c>
      <c r="B182" s="1" t="n">
        <v>44365.5983449074</v>
      </c>
      <c r="C182" s="1" t="n">
        <v>46126</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67958-2021</t>
        </is>
      </c>
      <c r="B183" s="1" t="n">
        <v>44525</v>
      </c>
      <c r="C183" s="1" t="n">
        <v>46126</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67965-2021</t>
        </is>
      </c>
      <c r="B184" s="1" t="n">
        <v>44525</v>
      </c>
      <c r="C184" s="1" t="n">
        <v>46126</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46126</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45015-2022</t>
        </is>
      </c>
      <c r="B186" s="1" t="n">
        <v>44841.63766203704</v>
      </c>
      <c r="C186" s="1" t="n">
        <v>46126</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23180-2022</t>
        </is>
      </c>
      <c r="B187" s="1" t="n">
        <v>44719.79344907407</v>
      </c>
      <c r="C187" s="1" t="n">
        <v>46126</v>
      </c>
      <c r="D187" t="inlineStr">
        <is>
          <t>VÄSTMANLANDS LÄN</t>
        </is>
      </c>
      <c r="E187" t="inlineStr">
        <is>
          <t>SALA</t>
        </is>
      </c>
      <c r="G187" t="n">
        <v>1.2</v>
      </c>
      <c r="H187" t="n">
        <v>0</v>
      </c>
      <c r="I187" t="n">
        <v>0</v>
      </c>
      <c r="J187" t="n">
        <v>0</v>
      </c>
      <c r="K187" t="n">
        <v>0</v>
      </c>
      <c r="L187" t="n">
        <v>0</v>
      </c>
      <c r="M187" t="n">
        <v>0</v>
      </c>
      <c r="N187" t="n">
        <v>0</v>
      </c>
      <c r="O187" t="n">
        <v>0</v>
      </c>
      <c r="P187" t="n">
        <v>0</v>
      </c>
      <c r="Q187" t="n">
        <v>0</v>
      </c>
      <c r="R187" s="2" t="inlineStr"/>
    </row>
    <row r="188" ht="15" customHeight="1">
      <c r="A188" t="inlineStr">
        <is>
          <t>A 21053-2022</t>
        </is>
      </c>
      <c r="B188" s="1" t="n">
        <v>44704</v>
      </c>
      <c r="C188" s="1" t="n">
        <v>46126</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27486-2022</t>
        </is>
      </c>
      <c r="B189" s="1" t="n">
        <v>44742.60846064815</v>
      </c>
      <c r="C189" s="1" t="n">
        <v>46126</v>
      </c>
      <c r="D189" t="inlineStr">
        <is>
          <t>VÄSTMANLANDS LÄN</t>
        </is>
      </c>
      <c r="E189" t="inlineStr">
        <is>
          <t>SALA</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18340-2025</t>
        </is>
      </c>
      <c r="B190" s="1" t="n">
        <v>45762</v>
      </c>
      <c r="C190" s="1" t="n">
        <v>46126</v>
      </c>
      <c r="D190" t="inlineStr">
        <is>
          <t>VÄSTMANLANDS LÄN</t>
        </is>
      </c>
      <c r="E190" t="inlineStr">
        <is>
          <t>SALA</t>
        </is>
      </c>
      <c r="G190" t="n">
        <v>2.1</v>
      </c>
      <c r="H190" t="n">
        <v>0</v>
      </c>
      <c r="I190" t="n">
        <v>0</v>
      </c>
      <c r="J190" t="n">
        <v>0</v>
      </c>
      <c r="K190" t="n">
        <v>0</v>
      </c>
      <c r="L190" t="n">
        <v>0</v>
      </c>
      <c r="M190" t="n">
        <v>0</v>
      </c>
      <c r="N190" t="n">
        <v>0</v>
      </c>
      <c r="O190" t="n">
        <v>0</v>
      </c>
      <c r="P190" t="n">
        <v>0</v>
      </c>
      <c r="Q190" t="n">
        <v>0</v>
      </c>
      <c r="R190" s="2" t="inlineStr"/>
    </row>
    <row r="191" ht="15" customHeight="1">
      <c r="A191" t="inlineStr">
        <is>
          <t>A 6134-2024</t>
        </is>
      </c>
      <c r="B191" s="1" t="n">
        <v>45337</v>
      </c>
      <c r="C191" s="1" t="n">
        <v>46126</v>
      </c>
      <c r="D191" t="inlineStr">
        <is>
          <t>VÄSTMANLANDS LÄN</t>
        </is>
      </c>
      <c r="E191" t="inlineStr">
        <is>
          <t>SALA</t>
        </is>
      </c>
      <c r="G191" t="n">
        <v>1.8</v>
      </c>
      <c r="H191" t="n">
        <v>0</v>
      </c>
      <c r="I191" t="n">
        <v>0</v>
      </c>
      <c r="J191" t="n">
        <v>0</v>
      </c>
      <c r="K191" t="n">
        <v>0</v>
      </c>
      <c r="L191" t="n">
        <v>0</v>
      </c>
      <c r="M191" t="n">
        <v>0</v>
      </c>
      <c r="N191" t="n">
        <v>0</v>
      </c>
      <c r="O191" t="n">
        <v>0</v>
      </c>
      <c r="P191" t="n">
        <v>0</v>
      </c>
      <c r="Q191" t="n">
        <v>0</v>
      </c>
      <c r="R191" s="2" t="inlineStr"/>
    </row>
    <row r="192" ht="15" customHeight="1">
      <c r="A192" t="inlineStr">
        <is>
          <t>A 16638-2023</t>
        </is>
      </c>
      <c r="B192" s="1" t="n">
        <v>45027</v>
      </c>
      <c r="C192" s="1" t="n">
        <v>46126</v>
      </c>
      <c r="D192" t="inlineStr">
        <is>
          <t>VÄSTMANLANDS LÄN</t>
        </is>
      </c>
      <c r="E192" t="inlineStr">
        <is>
          <t>SALA</t>
        </is>
      </c>
      <c r="G192" t="n">
        <v>14.8</v>
      </c>
      <c r="H192" t="n">
        <v>0</v>
      </c>
      <c r="I192" t="n">
        <v>0</v>
      </c>
      <c r="J192" t="n">
        <v>0</v>
      </c>
      <c r="K192" t="n">
        <v>0</v>
      </c>
      <c r="L192" t="n">
        <v>0</v>
      </c>
      <c r="M192" t="n">
        <v>0</v>
      </c>
      <c r="N192" t="n">
        <v>0</v>
      </c>
      <c r="O192" t="n">
        <v>0</v>
      </c>
      <c r="P192" t="n">
        <v>0</v>
      </c>
      <c r="Q192" t="n">
        <v>0</v>
      </c>
      <c r="R192" s="2" t="inlineStr"/>
    </row>
    <row r="193" ht="15" customHeight="1">
      <c r="A193" t="inlineStr">
        <is>
          <t>A 52827-2024</t>
        </is>
      </c>
      <c r="B193" s="1" t="n">
        <v>45610</v>
      </c>
      <c r="C193" s="1" t="n">
        <v>46126</v>
      </c>
      <c r="D193" t="inlineStr">
        <is>
          <t>VÄSTMANLANDS LÄN</t>
        </is>
      </c>
      <c r="E193" t="inlineStr">
        <is>
          <t>SALA</t>
        </is>
      </c>
      <c r="G193" t="n">
        <v>0.2</v>
      </c>
      <c r="H193" t="n">
        <v>0</v>
      </c>
      <c r="I193" t="n">
        <v>0</v>
      </c>
      <c r="J193" t="n">
        <v>0</v>
      </c>
      <c r="K193" t="n">
        <v>0</v>
      </c>
      <c r="L193" t="n">
        <v>0</v>
      </c>
      <c r="M193" t="n">
        <v>0</v>
      </c>
      <c r="N193" t="n">
        <v>0</v>
      </c>
      <c r="O193" t="n">
        <v>0</v>
      </c>
      <c r="P193" t="n">
        <v>0</v>
      </c>
      <c r="Q193" t="n">
        <v>0</v>
      </c>
      <c r="R193" s="2" t="inlineStr"/>
    </row>
    <row r="194" ht="15" customHeight="1">
      <c r="A194" t="inlineStr">
        <is>
          <t>A 53166-2024</t>
        </is>
      </c>
      <c r="B194" s="1" t="n">
        <v>45611</v>
      </c>
      <c r="C194" s="1" t="n">
        <v>46126</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11244-2024</t>
        </is>
      </c>
      <c r="B195" s="1" t="n">
        <v>45371</v>
      </c>
      <c r="C195" s="1" t="n">
        <v>46126</v>
      </c>
      <c r="D195" t="inlineStr">
        <is>
          <t>VÄSTMANLANDS LÄN</t>
        </is>
      </c>
      <c r="E195" t="inlineStr">
        <is>
          <t>SALA</t>
        </is>
      </c>
      <c r="G195" t="n">
        <v>1.2</v>
      </c>
      <c r="H195" t="n">
        <v>0</v>
      </c>
      <c r="I195" t="n">
        <v>0</v>
      </c>
      <c r="J195" t="n">
        <v>0</v>
      </c>
      <c r="K195" t="n">
        <v>0</v>
      </c>
      <c r="L195" t="n">
        <v>0</v>
      </c>
      <c r="M195" t="n">
        <v>0</v>
      </c>
      <c r="N195" t="n">
        <v>0</v>
      </c>
      <c r="O195" t="n">
        <v>0</v>
      </c>
      <c r="P195" t="n">
        <v>0</v>
      </c>
      <c r="Q195" t="n">
        <v>0</v>
      </c>
      <c r="R195" s="2" t="inlineStr"/>
    </row>
    <row r="196" ht="15" customHeight="1">
      <c r="A196" t="inlineStr">
        <is>
          <t>A 62654-2022</t>
        </is>
      </c>
      <c r="B196" s="1" t="n">
        <v>44917</v>
      </c>
      <c r="C196" s="1" t="n">
        <v>46126</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39597-2022</t>
        </is>
      </c>
      <c r="B197" s="1" t="n">
        <v>44818</v>
      </c>
      <c r="C197" s="1" t="n">
        <v>46126</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6135-2023</t>
        </is>
      </c>
      <c r="B198" s="1" t="n">
        <v>44964.62628472222</v>
      </c>
      <c r="C198" s="1" t="n">
        <v>46126</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53864-2022</t>
        </is>
      </c>
      <c r="B199" s="1" t="n">
        <v>44880.64016203704</v>
      </c>
      <c r="C199" s="1" t="n">
        <v>46126</v>
      </c>
      <c r="D199" t="inlineStr">
        <is>
          <t>VÄSTMANLANDS LÄN</t>
        </is>
      </c>
      <c r="E199" t="inlineStr">
        <is>
          <t>SALA</t>
        </is>
      </c>
      <c r="G199" t="n">
        <v>5.9</v>
      </c>
      <c r="H199" t="n">
        <v>0</v>
      </c>
      <c r="I199" t="n">
        <v>0</v>
      </c>
      <c r="J199" t="n">
        <v>0</v>
      </c>
      <c r="K199" t="n">
        <v>0</v>
      </c>
      <c r="L199" t="n">
        <v>0</v>
      </c>
      <c r="M199" t="n">
        <v>0</v>
      </c>
      <c r="N199" t="n">
        <v>0</v>
      </c>
      <c r="O199" t="n">
        <v>0</v>
      </c>
      <c r="P199" t="n">
        <v>0</v>
      </c>
      <c r="Q199" t="n">
        <v>0</v>
      </c>
      <c r="R199" s="2" t="inlineStr"/>
    </row>
    <row r="200" ht="15" customHeight="1">
      <c r="A200" t="inlineStr">
        <is>
          <t>A 27255-2023</t>
        </is>
      </c>
      <c r="B200" s="1" t="n">
        <v>45096</v>
      </c>
      <c r="C200" s="1" t="n">
        <v>46126</v>
      </c>
      <c r="D200" t="inlineStr">
        <is>
          <t>VÄSTMANLANDS LÄN</t>
        </is>
      </c>
      <c r="E200" t="inlineStr">
        <is>
          <t>SALA</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25860-2024</t>
        </is>
      </c>
      <c r="B201" s="1" t="n">
        <v>45467.46278935186</v>
      </c>
      <c r="C201" s="1" t="n">
        <v>46126</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17117-2023</t>
        </is>
      </c>
      <c r="B202" s="1" t="n">
        <v>45034</v>
      </c>
      <c r="C202" s="1" t="n">
        <v>46126</v>
      </c>
      <c r="D202" t="inlineStr">
        <is>
          <t>VÄSTMANLANDS LÄN</t>
        </is>
      </c>
      <c r="E202" t="inlineStr">
        <is>
          <t>SALA</t>
        </is>
      </c>
      <c r="G202" t="n">
        <v>0.4</v>
      </c>
      <c r="H202" t="n">
        <v>0</v>
      </c>
      <c r="I202" t="n">
        <v>0</v>
      </c>
      <c r="J202" t="n">
        <v>0</v>
      </c>
      <c r="K202" t="n">
        <v>0</v>
      </c>
      <c r="L202" t="n">
        <v>0</v>
      </c>
      <c r="M202" t="n">
        <v>0</v>
      </c>
      <c r="N202" t="n">
        <v>0</v>
      </c>
      <c r="O202" t="n">
        <v>0</v>
      </c>
      <c r="P202" t="n">
        <v>0</v>
      </c>
      <c r="Q202" t="n">
        <v>0</v>
      </c>
      <c r="R202" s="2" t="inlineStr"/>
    </row>
    <row r="203" ht="15" customHeight="1">
      <c r="A203" t="inlineStr">
        <is>
          <t>A 59909-2024</t>
        </is>
      </c>
      <c r="B203" s="1" t="n">
        <v>45641</v>
      </c>
      <c r="C203" s="1" t="n">
        <v>46126</v>
      </c>
      <c r="D203" t="inlineStr">
        <is>
          <t>VÄSTMANLANDS LÄN</t>
        </is>
      </c>
      <c r="E203" t="inlineStr">
        <is>
          <t>SALA</t>
        </is>
      </c>
      <c r="G203" t="n">
        <v>2.1</v>
      </c>
      <c r="H203" t="n">
        <v>0</v>
      </c>
      <c r="I203" t="n">
        <v>0</v>
      </c>
      <c r="J203" t="n">
        <v>0</v>
      </c>
      <c r="K203" t="n">
        <v>0</v>
      </c>
      <c r="L203" t="n">
        <v>0</v>
      </c>
      <c r="M203" t="n">
        <v>0</v>
      </c>
      <c r="N203" t="n">
        <v>0</v>
      </c>
      <c r="O203" t="n">
        <v>0</v>
      </c>
      <c r="P203" t="n">
        <v>0</v>
      </c>
      <c r="Q203" t="n">
        <v>0</v>
      </c>
      <c r="R203" s="2" t="inlineStr"/>
    </row>
    <row r="204" ht="15" customHeight="1">
      <c r="A204" t="inlineStr">
        <is>
          <t>A 22026-2021</t>
        </is>
      </c>
      <c r="B204" s="1" t="n">
        <v>44323</v>
      </c>
      <c r="C204" s="1" t="n">
        <v>46126</v>
      </c>
      <c r="D204" t="inlineStr">
        <is>
          <t>VÄSTMANLANDS LÄN</t>
        </is>
      </c>
      <c r="E204" t="inlineStr">
        <is>
          <t>SALA</t>
        </is>
      </c>
      <c r="G204" t="n">
        <v>2.9</v>
      </c>
      <c r="H204" t="n">
        <v>0</v>
      </c>
      <c r="I204" t="n">
        <v>0</v>
      </c>
      <c r="J204" t="n">
        <v>0</v>
      </c>
      <c r="K204" t="n">
        <v>0</v>
      </c>
      <c r="L204" t="n">
        <v>0</v>
      </c>
      <c r="M204" t="n">
        <v>0</v>
      </c>
      <c r="N204" t="n">
        <v>0</v>
      </c>
      <c r="O204" t="n">
        <v>0</v>
      </c>
      <c r="P204" t="n">
        <v>0</v>
      </c>
      <c r="Q204" t="n">
        <v>0</v>
      </c>
      <c r="R204" s="2" t="inlineStr"/>
    </row>
    <row r="205" ht="15" customHeight="1">
      <c r="A205" t="inlineStr">
        <is>
          <t>A 30028-2024</t>
        </is>
      </c>
      <c r="B205" s="1" t="n">
        <v>45485</v>
      </c>
      <c r="C205" s="1" t="n">
        <v>46126</v>
      </c>
      <c r="D205" t="inlineStr">
        <is>
          <t>VÄSTMANLANDS LÄN</t>
        </is>
      </c>
      <c r="E205" t="inlineStr">
        <is>
          <t>SALA</t>
        </is>
      </c>
      <c r="G205" t="n">
        <v>2.6</v>
      </c>
      <c r="H205" t="n">
        <v>0</v>
      </c>
      <c r="I205" t="n">
        <v>0</v>
      </c>
      <c r="J205" t="n">
        <v>0</v>
      </c>
      <c r="K205" t="n">
        <v>0</v>
      </c>
      <c r="L205" t="n">
        <v>0</v>
      </c>
      <c r="M205" t="n">
        <v>0</v>
      </c>
      <c r="N205" t="n">
        <v>0</v>
      </c>
      <c r="O205" t="n">
        <v>0</v>
      </c>
      <c r="P205" t="n">
        <v>0</v>
      </c>
      <c r="Q205" t="n">
        <v>0</v>
      </c>
      <c r="R205" s="2" t="inlineStr"/>
    </row>
    <row r="206" ht="15" customHeight="1">
      <c r="A206" t="inlineStr">
        <is>
          <t>A 33309-2022</t>
        </is>
      </c>
      <c r="B206" s="1" t="n">
        <v>44788.40986111111</v>
      </c>
      <c r="C206" s="1" t="n">
        <v>46126</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60034-2024</t>
        </is>
      </c>
      <c r="B207" s="1" t="n">
        <v>45642.46261574074</v>
      </c>
      <c r="C207" s="1" t="n">
        <v>46126</v>
      </c>
      <c r="D207" t="inlineStr">
        <is>
          <t>VÄSTMANLANDS LÄN</t>
        </is>
      </c>
      <c r="E207" t="inlineStr">
        <is>
          <t>SALA</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7377-2023</t>
        </is>
      </c>
      <c r="B208" s="1" t="n">
        <v>44971</v>
      </c>
      <c r="C208" s="1" t="n">
        <v>46126</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3810-2023</t>
        </is>
      </c>
      <c r="B209" s="1" t="n">
        <v>44951.60454861111</v>
      </c>
      <c r="C209" s="1" t="n">
        <v>46126</v>
      </c>
      <c r="D209" t="inlineStr">
        <is>
          <t>VÄSTMANLANDS LÄN</t>
        </is>
      </c>
      <c r="E209" t="inlineStr">
        <is>
          <t>SALA</t>
        </is>
      </c>
      <c r="G209" t="n">
        <v>4.2</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46126</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73673-2021</t>
        </is>
      </c>
      <c r="B211" s="1" t="n">
        <v>44552.46501157407</v>
      </c>
      <c r="C211" s="1" t="n">
        <v>46126</v>
      </c>
      <c r="D211" t="inlineStr">
        <is>
          <t>VÄSTMANLANDS LÄN</t>
        </is>
      </c>
      <c r="E211" t="inlineStr">
        <is>
          <t>SALA</t>
        </is>
      </c>
      <c r="G211" t="n">
        <v>11.4</v>
      </c>
      <c r="H211" t="n">
        <v>0</v>
      </c>
      <c r="I211" t="n">
        <v>0</v>
      </c>
      <c r="J211" t="n">
        <v>0</v>
      </c>
      <c r="K211" t="n">
        <v>0</v>
      </c>
      <c r="L211" t="n">
        <v>0</v>
      </c>
      <c r="M211" t="n">
        <v>0</v>
      </c>
      <c r="N211" t="n">
        <v>0</v>
      </c>
      <c r="O211" t="n">
        <v>0</v>
      </c>
      <c r="P211" t="n">
        <v>0</v>
      </c>
      <c r="Q211" t="n">
        <v>0</v>
      </c>
      <c r="R211" s="2" t="inlineStr"/>
    </row>
    <row r="212" ht="15" customHeight="1">
      <c r="A212" t="inlineStr">
        <is>
          <t>A 16160-2024</t>
        </is>
      </c>
      <c r="B212" s="1" t="n">
        <v>45406</v>
      </c>
      <c r="C212" s="1" t="n">
        <v>46126</v>
      </c>
      <c r="D212" t="inlineStr">
        <is>
          <t>VÄSTMANLANDS LÄN</t>
        </is>
      </c>
      <c r="E212" t="inlineStr">
        <is>
          <t>SALA</t>
        </is>
      </c>
      <c r="G212" t="n">
        <v>1.1</v>
      </c>
      <c r="H212" t="n">
        <v>0</v>
      </c>
      <c r="I212" t="n">
        <v>0</v>
      </c>
      <c r="J212" t="n">
        <v>0</v>
      </c>
      <c r="K212" t="n">
        <v>0</v>
      </c>
      <c r="L212" t="n">
        <v>0</v>
      </c>
      <c r="M212" t="n">
        <v>0</v>
      </c>
      <c r="N212" t="n">
        <v>0</v>
      </c>
      <c r="O212" t="n">
        <v>0</v>
      </c>
      <c r="P212" t="n">
        <v>0</v>
      </c>
      <c r="Q212" t="n">
        <v>0</v>
      </c>
      <c r="R212" s="2" t="inlineStr"/>
    </row>
    <row r="213" ht="15" customHeight="1">
      <c r="A213" t="inlineStr">
        <is>
          <t>A 38574-2025</t>
        </is>
      </c>
      <c r="B213" s="1" t="n">
        <v>45884.46390046296</v>
      </c>
      <c r="C213" s="1" t="n">
        <v>46126</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24755-2021</t>
        </is>
      </c>
      <c r="B214" s="1" t="n">
        <v>44340</v>
      </c>
      <c r="C214" s="1" t="n">
        <v>46126</v>
      </c>
      <c r="D214" t="inlineStr">
        <is>
          <t>VÄSTMANLANDS LÄN</t>
        </is>
      </c>
      <c r="E214" t="inlineStr">
        <is>
          <t>SALA</t>
        </is>
      </c>
      <c r="G214" t="n">
        <v>1.2</v>
      </c>
      <c r="H214" t="n">
        <v>0</v>
      </c>
      <c r="I214" t="n">
        <v>0</v>
      </c>
      <c r="J214" t="n">
        <v>0</v>
      </c>
      <c r="K214" t="n">
        <v>0</v>
      </c>
      <c r="L214" t="n">
        <v>0</v>
      </c>
      <c r="M214" t="n">
        <v>0</v>
      </c>
      <c r="N214" t="n">
        <v>0</v>
      </c>
      <c r="O214" t="n">
        <v>0</v>
      </c>
      <c r="P214" t="n">
        <v>0</v>
      </c>
      <c r="Q214" t="n">
        <v>0</v>
      </c>
      <c r="R214" s="2" t="inlineStr"/>
    </row>
    <row r="215" ht="15" customHeight="1">
      <c r="A215" t="inlineStr">
        <is>
          <t>A 34867-2023</t>
        </is>
      </c>
      <c r="B215" s="1" t="n">
        <v>45142.33481481481</v>
      </c>
      <c r="C215" s="1" t="n">
        <v>46126</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40597-2022</t>
        </is>
      </c>
      <c r="B216" s="1" t="n">
        <v>44823.84862268518</v>
      </c>
      <c r="C216" s="1" t="n">
        <v>46126</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38294-2025</t>
        </is>
      </c>
      <c r="B217" s="1" t="n">
        <v>45883.44854166666</v>
      </c>
      <c r="C217" s="1" t="n">
        <v>46126</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7196-2025</t>
        </is>
      </c>
      <c r="B218" s="1" t="n">
        <v>45702</v>
      </c>
      <c r="C218" s="1" t="n">
        <v>46126</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6183-2025</t>
        </is>
      </c>
      <c r="B219" s="1" t="n">
        <v>45698</v>
      </c>
      <c r="C219" s="1" t="n">
        <v>46126</v>
      </c>
      <c r="D219" t="inlineStr">
        <is>
          <t>VÄSTMANLANDS LÄN</t>
        </is>
      </c>
      <c r="E219" t="inlineStr">
        <is>
          <t>SALA</t>
        </is>
      </c>
      <c r="F219" t="inlineStr">
        <is>
          <t>Bergvik skog öst AB</t>
        </is>
      </c>
      <c r="G219" t="n">
        <v>2.3</v>
      </c>
      <c r="H219" t="n">
        <v>0</v>
      </c>
      <c r="I219" t="n">
        <v>0</v>
      </c>
      <c r="J219" t="n">
        <v>0</v>
      </c>
      <c r="K219" t="n">
        <v>0</v>
      </c>
      <c r="L219" t="n">
        <v>0</v>
      </c>
      <c r="M219" t="n">
        <v>0</v>
      </c>
      <c r="N219" t="n">
        <v>0</v>
      </c>
      <c r="O219" t="n">
        <v>0</v>
      </c>
      <c r="P219" t="n">
        <v>0</v>
      </c>
      <c r="Q219" t="n">
        <v>0</v>
      </c>
      <c r="R219" s="2" t="inlineStr"/>
    </row>
    <row r="220" ht="15" customHeight="1">
      <c r="A220" t="inlineStr">
        <is>
          <t>A 25748-2022</t>
        </is>
      </c>
      <c r="B220" s="1" t="n">
        <v>44732</v>
      </c>
      <c r="C220" s="1" t="n">
        <v>46126</v>
      </c>
      <c r="D220" t="inlineStr">
        <is>
          <t>VÄSTMANLANDS LÄN</t>
        </is>
      </c>
      <c r="E220" t="inlineStr">
        <is>
          <t>SALA</t>
        </is>
      </c>
      <c r="G220" t="n">
        <v>7.7</v>
      </c>
      <c r="H220" t="n">
        <v>0</v>
      </c>
      <c r="I220" t="n">
        <v>0</v>
      </c>
      <c r="J220" t="n">
        <v>0</v>
      </c>
      <c r="K220" t="n">
        <v>0</v>
      </c>
      <c r="L220" t="n">
        <v>0</v>
      </c>
      <c r="M220" t="n">
        <v>0</v>
      </c>
      <c r="N220" t="n">
        <v>0</v>
      </c>
      <c r="O220" t="n">
        <v>0</v>
      </c>
      <c r="P220" t="n">
        <v>0</v>
      </c>
      <c r="Q220" t="n">
        <v>0</v>
      </c>
      <c r="R220" s="2" t="inlineStr"/>
    </row>
    <row r="221" ht="15" customHeight="1">
      <c r="A221" t="inlineStr">
        <is>
          <t>A 52503-2024</t>
        </is>
      </c>
      <c r="B221" s="1" t="n">
        <v>45609.58806712963</v>
      </c>
      <c r="C221" s="1" t="n">
        <v>46126</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49512-2024</t>
        </is>
      </c>
      <c r="B222" s="1" t="n">
        <v>45591</v>
      </c>
      <c r="C222" s="1" t="n">
        <v>46126</v>
      </c>
      <c r="D222" t="inlineStr">
        <is>
          <t>VÄSTMANLANDS LÄN</t>
        </is>
      </c>
      <c r="E222" t="inlineStr">
        <is>
          <t>SALA</t>
        </is>
      </c>
      <c r="G222" t="n">
        <v>8.1</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46126</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40871-2021</t>
        </is>
      </c>
      <c r="B224" s="1" t="n">
        <v>44421</v>
      </c>
      <c r="C224" s="1" t="n">
        <v>46126</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19803-2024</t>
        </is>
      </c>
      <c r="B225" s="1" t="n">
        <v>45432</v>
      </c>
      <c r="C225" s="1" t="n">
        <v>46126</v>
      </c>
      <c r="D225" t="inlineStr">
        <is>
          <t>VÄSTMANLANDS LÄN</t>
        </is>
      </c>
      <c r="E225" t="inlineStr">
        <is>
          <t>SALA</t>
        </is>
      </c>
      <c r="G225" t="n">
        <v>3.1</v>
      </c>
      <c r="H225" t="n">
        <v>0</v>
      </c>
      <c r="I225" t="n">
        <v>0</v>
      </c>
      <c r="J225" t="n">
        <v>0</v>
      </c>
      <c r="K225" t="n">
        <v>0</v>
      </c>
      <c r="L225" t="n">
        <v>0</v>
      </c>
      <c r="M225" t="n">
        <v>0</v>
      </c>
      <c r="N225" t="n">
        <v>0</v>
      </c>
      <c r="O225" t="n">
        <v>0</v>
      </c>
      <c r="P225" t="n">
        <v>0</v>
      </c>
      <c r="Q225" t="n">
        <v>0</v>
      </c>
      <c r="R225" s="2" t="inlineStr"/>
    </row>
    <row r="226" ht="15" customHeight="1">
      <c r="A226" t="inlineStr">
        <is>
          <t>A 13128-2023</t>
        </is>
      </c>
      <c r="B226" s="1" t="n">
        <v>45002</v>
      </c>
      <c r="C226" s="1" t="n">
        <v>46126</v>
      </c>
      <c r="D226" t="inlineStr">
        <is>
          <t>VÄSTMANLANDS LÄN</t>
        </is>
      </c>
      <c r="E226" t="inlineStr">
        <is>
          <t>SALA</t>
        </is>
      </c>
      <c r="G226" t="n">
        <v>7.9</v>
      </c>
      <c r="H226" t="n">
        <v>0</v>
      </c>
      <c r="I226" t="n">
        <v>0</v>
      </c>
      <c r="J226" t="n">
        <v>0</v>
      </c>
      <c r="K226" t="n">
        <v>0</v>
      </c>
      <c r="L226" t="n">
        <v>0</v>
      </c>
      <c r="M226" t="n">
        <v>0</v>
      </c>
      <c r="N226" t="n">
        <v>0</v>
      </c>
      <c r="O226" t="n">
        <v>0</v>
      </c>
      <c r="P226" t="n">
        <v>0</v>
      </c>
      <c r="Q226" t="n">
        <v>0</v>
      </c>
      <c r="R226" s="2" t="inlineStr"/>
    </row>
    <row r="227" ht="15" customHeight="1">
      <c r="A227" t="inlineStr">
        <is>
          <t>A 37958-2024</t>
        </is>
      </c>
      <c r="B227" s="1" t="n">
        <v>45544</v>
      </c>
      <c r="C227" s="1" t="n">
        <v>46126</v>
      </c>
      <c r="D227" t="inlineStr">
        <is>
          <t>VÄSTMANLANDS LÄN</t>
        </is>
      </c>
      <c r="E227" t="inlineStr">
        <is>
          <t>SALA</t>
        </is>
      </c>
      <c r="G227" t="n">
        <v>5.6</v>
      </c>
      <c r="H227" t="n">
        <v>0</v>
      </c>
      <c r="I227" t="n">
        <v>0</v>
      </c>
      <c r="J227" t="n">
        <v>0</v>
      </c>
      <c r="K227" t="n">
        <v>0</v>
      </c>
      <c r="L227" t="n">
        <v>0</v>
      </c>
      <c r="M227" t="n">
        <v>0</v>
      </c>
      <c r="N227" t="n">
        <v>0</v>
      </c>
      <c r="O227" t="n">
        <v>0</v>
      </c>
      <c r="P227" t="n">
        <v>0</v>
      </c>
      <c r="Q227" t="n">
        <v>0</v>
      </c>
      <c r="R227" s="2" t="inlineStr"/>
    </row>
    <row r="228" ht="15" customHeight="1">
      <c r="A228" t="inlineStr">
        <is>
          <t>A 18431-2023</t>
        </is>
      </c>
      <c r="B228" s="1" t="n">
        <v>45042</v>
      </c>
      <c r="C228" s="1" t="n">
        <v>46126</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31000-2022</t>
        </is>
      </c>
      <c r="B229" s="1" t="n">
        <v>44768</v>
      </c>
      <c r="C229" s="1" t="n">
        <v>46126</v>
      </c>
      <c r="D229" t="inlineStr">
        <is>
          <t>VÄSTMANLANDS LÄN</t>
        </is>
      </c>
      <c r="E229" t="inlineStr">
        <is>
          <t>SALA</t>
        </is>
      </c>
      <c r="G229" t="n">
        <v>5.7</v>
      </c>
      <c r="H229" t="n">
        <v>0</v>
      </c>
      <c r="I229" t="n">
        <v>0</v>
      </c>
      <c r="J229" t="n">
        <v>0</v>
      </c>
      <c r="K229" t="n">
        <v>0</v>
      </c>
      <c r="L229" t="n">
        <v>0</v>
      </c>
      <c r="M229" t="n">
        <v>0</v>
      </c>
      <c r="N229" t="n">
        <v>0</v>
      </c>
      <c r="O229" t="n">
        <v>0</v>
      </c>
      <c r="P229" t="n">
        <v>0</v>
      </c>
      <c r="Q229" t="n">
        <v>0</v>
      </c>
      <c r="R229" s="2" t="inlineStr"/>
    </row>
    <row r="230" ht="15" customHeight="1">
      <c r="A230" t="inlineStr">
        <is>
          <t>A 24864-2024</t>
        </is>
      </c>
      <c r="B230" s="1" t="n">
        <v>45461.48888888889</v>
      </c>
      <c r="C230" s="1" t="n">
        <v>46126</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57650-2024</t>
        </is>
      </c>
      <c r="B231" s="1" t="n">
        <v>45630</v>
      </c>
      <c r="C231" s="1" t="n">
        <v>46126</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1118-2024</t>
        </is>
      </c>
      <c r="B232" s="1" t="n">
        <v>45302</v>
      </c>
      <c r="C232" s="1" t="n">
        <v>46126</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63933-2023</t>
        </is>
      </c>
      <c r="B233" s="1" t="n">
        <v>45278</v>
      </c>
      <c r="C233" s="1" t="n">
        <v>46126</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10255-2024</t>
        </is>
      </c>
      <c r="B234" s="1" t="n">
        <v>45365</v>
      </c>
      <c r="C234" s="1" t="n">
        <v>46126</v>
      </c>
      <c r="D234" t="inlineStr">
        <is>
          <t>VÄSTMANLANDS LÄN</t>
        </is>
      </c>
      <c r="E234" t="inlineStr">
        <is>
          <t>SALA</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39182-2025</t>
        </is>
      </c>
      <c r="B235" s="1" t="n">
        <v>45888.66204861111</v>
      </c>
      <c r="C235" s="1" t="n">
        <v>46126</v>
      </c>
      <c r="D235" t="inlineStr">
        <is>
          <t>VÄSTMANLANDS LÄN</t>
        </is>
      </c>
      <c r="E235" t="inlineStr">
        <is>
          <t>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37190-2024</t>
        </is>
      </c>
      <c r="B236" s="1" t="n">
        <v>45539</v>
      </c>
      <c r="C236" s="1" t="n">
        <v>46126</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46279-2021</t>
        </is>
      </c>
      <c r="B237" s="1" t="n">
        <v>44442.57797453704</v>
      </c>
      <c r="C237" s="1" t="n">
        <v>46126</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39439-2021</t>
        </is>
      </c>
      <c r="B238" s="1" t="n">
        <v>44414</v>
      </c>
      <c r="C238" s="1" t="n">
        <v>46126</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28696-2023</t>
        </is>
      </c>
      <c r="B239" s="1" t="n">
        <v>45103.71759259259</v>
      </c>
      <c r="C239" s="1" t="n">
        <v>46126</v>
      </c>
      <c r="D239" t="inlineStr">
        <is>
          <t>VÄSTMANLANDS LÄN</t>
        </is>
      </c>
      <c r="E239" t="inlineStr">
        <is>
          <t>SALA</t>
        </is>
      </c>
      <c r="F239" t="inlineStr">
        <is>
          <t>Kommuner</t>
        </is>
      </c>
      <c r="G239" t="n">
        <v>5.9</v>
      </c>
      <c r="H239" t="n">
        <v>0</v>
      </c>
      <c r="I239" t="n">
        <v>0</v>
      </c>
      <c r="J239" t="n">
        <v>0</v>
      </c>
      <c r="K239" t="n">
        <v>0</v>
      </c>
      <c r="L239" t="n">
        <v>0</v>
      </c>
      <c r="M239" t="n">
        <v>0</v>
      </c>
      <c r="N239" t="n">
        <v>0</v>
      </c>
      <c r="O239" t="n">
        <v>0</v>
      </c>
      <c r="P239" t="n">
        <v>0</v>
      </c>
      <c r="Q239" t="n">
        <v>0</v>
      </c>
      <c r="R239" s="2" t="inlineStr"/>
    </row>
    <row r="240" ht="15" customHeight="1">
      <c r="A240" t="inlineStr">
        <is>
          <t>A 31864-2025</t>
        </is>
      </c>
      <c r="B240" s="1" t="n">
        <v>45834.63819444444</v>
      </c>
      <c r="C240" s="1" t="n">
        <v>46126</v>
      </c>
      <c r="D240" t="inlineStr">
        <is>
          <t>VÄSTMANLANDS LÄN</t>
        </is>
      </c>
      <c r="E240" t="inlineStr">
        <is>
          <t>SALA</t>
        </is>
      </c>
      <c r="G240" t="n">
        <v>6.3</v>
      </c>
      <c r="H240" t="n">
        <v>0</v>
      </c>
      <c r="I240" t="n">
        <v>0</v>
      </c>
      <c r="J240" t="n">
        <v>0</v>
      </c>
      <c r="K240" t="n">
        <v>0</v>
      </c>
      <c r="L240" t="n">
        <v>0</v>
      </c>
      <c r="M240" t="n">
        <v>0</v>
      </c>
      <c r="N240" t="n">
        <v>0</v>
      </c>
      <c r="O240" t="n">
        <v>0</v>
      </c>
      <c r="P240" t="n">
        <v>0</v>
      </c>
      <c r="Q240" t="n">
        <v>0</v>
      </c>
      <c r="R240" s="2" t="inlineStr"/>
    </row>
    <row r="241" ht="15" customHeight="1">
      <c r="A241" t="inlineStr">
        <is>
          <t>A 31072-2021</t>
        </is>
      </c>
      <c r="B241" s="1" t="n">
        <v>44368</v>
      </c>
      <c r="C241" s="1" t="n">
        <v>46126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39167-2025</t>
        </is>
      </c>
      <c r="B242" s="1" t="n">
        <v>45888</v>
      </c>
      <c r="C242" s="1" t="n">
        <v>46126</v>
      </c>
      <c r="D242" t="inlineStr">
        <is>
          <t>VÄSTMANLANDS LÄN</t>
        </is>
      </c>
      <c r="E242" t="inlineStr">
        <is>
          <t>SALA</t>
        </is>
      </c>
      <c r="G242" t="n">
        <v>5.5</v>
      </c>
      <c r="H242" t="n">
        <v>0</v>
      </c>
      <c r="I242" t="n">
        <v>0</v>
      </c>
      <c r="J242" t="n">
        <v>0</v>
      </c>
      <c r="K242" t="n">
        <v>0</v>
      </c>
      <c r="L242" t="n">
        <v>0</v>
      </c>
      <c r="M242" t="n">
        <v>0</v>
      </c>
      <c r="N242" t="n">
        <v>0</v>
      </c>
      <c r="O242" t="n">
        <v>0</v>
      </c>
      <c r="P242" t="n">
        <v>0</v>
      </c>
      <c r="Q242" t="n">
        <v>0</v>
      </c>
      <c r="R242" s="2" t="inlineStr"/>
    </row>
    <row r="243" ht="15" customHeight="1">
      <c r="A243" t="inlineStr">
        <is>
          <t>A 16543-2023</t>
        </is>
      </c>
      <c r="B243" s="1" t="n">
        <v>45029</v>
      </c>
      <c r="C243" s="1" t="n">
        <v>46126</v>
      </c>
      <c r="D243" t="inlineStr">
        <is>
          <t>VÄSTMANLANDS LÄN</t>
        </is>
      </c>
      <c r="E243" t="inlineStr">
        <is>
          <t>SALA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11389-2024</t>
        </is>
      </c>
      <c r="B244" s="1" t="n">
        <v>45372.45016203704</v>
      </c>
      <c r="C244" s="1" t="n">
        <v>46126</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56706-2022</t>
        </is>
      </c>
      <c r="B245" s="1" t="n">
        <v>44893.78893518518</v>
      </c>
      <c r="C245" s="1" t="n">
        <v>46126</v>
      </c>
      <c r="D245" t="inlineStr">
        <is>
          <t>VÄSTMANLANDS LÄN</t>
        </is>
      </c>
      <c r="E245" t="inlineStr">
        <is>
          <t>SALA</t>
        </is>
      </c>
      <c r="G245" t="n">
        <v>4.5</v>
      </c>
      <c r="H245" t="n">
        <v>0</v>
      </c>
      <c r="I245" t="n">
        <v>0</v>
      </c>
      <c r="J245" t="n">
        <v>0</v>
      </c>
      <c r="K245" t="n">
        <v>0</v>
      </c>
      <c r="L245" t="n">
        <v>0</v>
      </c>
      <c r="M245" t="n">
        <v>0</v>
      </c>
      <c r="N245" t="n">
        <v>0</v>
      </c>
      <c r="O245" t="n">
        <v>0</v>
      </c>
      <c r="P245" t="n">
        <v>0</v>
      </c>
      <c r="Q245" t="n">
        <v>0</v>
      </c>
      <c r="R245" s="2" t="inlineStr"/>
    </row>
    <row r="246" ht="15" customHeight="1">
      <c r="A246" t="inlineStr">
        <is>
          <t>A 56707-2022</t>
        </is>
      </c>
      <c r="B246" s="1" t="n">
        <v>44893.79412037037</v>
      </c>
      <c r="C246" s="1" t="n">
        <v>46126</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22523-2023</t>
        </is>
      </c>
      <c r="B247" s="1" t="n">
        <v>45069</v>
      </c>
      <c r="C247" s="1" t="n">
        <v>46126</v>
      </c>
      <c r="D247" t="inlineStr">
        <is>
          <t>VÄSTMANLANDS LÄN</t>
        </is>
      </c>
      <c r="E247" t="inlineStr">
        <is>
          <t>SALA</t>
        </is>
      </c>
      <c r="G247" t="n">
        <v>2.4</v>
      </c>
      <c r="H247" t="n">
        <v>0</v>
      </c>
      <c r="I247" t="n">
        <v>0</v>
      </c>
      <c r="J247" t="n">
        <v>0</v>
      </c>
      <c r="K247" t="n">
        <v>0</v>
      </c>
      <c r="L247" t="n">
        <v>0</v>
      </c>
      <c r="M247" t="n">
        <v>0</v>
      </c>
      <c r="N247" t="n">
        <v>0</v>
      </c>
      <c r="O247" t="n">
        <v>0</v>
      </c>
      <c r="P247" t="n">
        <v>0</v>
      </c>
      <c r="Q247" t="n">
        <v>0</v>
      </c>
      <c r="R247" s="2" t="inlineStr"/>
    </row>
    <row r="248" ht="15" customHeight="1">
      <c r="A248" t="inlineStr">
        <is>
          <t>A 31950-2023</t>
        </is>
      </c>
      <c r="B248" s="1" t="n">
        <v>45107</v>
      </c>
      <c r="C248" s="1" t="n">
        <v>46126</v>
      </c>
      <c r="D248" t="inlineStr">
        <is>
          <t>VÄSTMANLANDS LÄN</t>
        </is>
      </c>
      <c r="E248" t="inlineStr">
        <is>
          <t>SALA</t>
        </is>
      </c>
      <c r="G248" t="n">
        <v>0.1</v>
      </c>
      <c r="H248" t="n">
        <v>0</v>
      </c>
      <c r="I248" t="n">
        <v>0</v>
      </c>
      <c r="J248" t="n">
        <v>0</v>
      </c>
      <c r="K248" t="n">
        <v>0</v>
      </c>
      <c r="L248" t="n">
        <v>0</v>
      </c>
      <c r="M248" t="n">
        <v>0</v>
      </c>
      <c r="N248" t="n">
        <v>0</v>
      </c>
      <c r="O248" t="n">
        <v>0</v>
      </c>
      <c r="P248" t="n">
        <v>0</v>
      </c>
      <c r="Q248" t="n">
        <v>0</v>
      </c>
      <c r="R248" s="2" t="inlineStr"/>
    </row>
    <row r="249" ht="15" customHeight="1">
      <c r="A249" t="inlineStr">
        <is>
          <t>A 30971-2022</t>
        </is>
      </c>
      <c r="B249" s="1" t="n">
        <v>44768.46725694444</v>
      </c>
      <c r="C249" s="1" t="n">
        <v>46126</v>
      </c>
      <c r="D249" t="inlineStr">
        <is>
          <t>VÄSTMANLANDS LÄN</t>
        </is>
      </c>
      <c r="E249" t="inlineStr">
        <is>
          <t>SALA</t>
        </is>
      </c>
      <c r="G249" t="n">
        <v>2.4</v>
      </c>
      <c r="H249" t="n">
        <v>0</v>
      </c>
      <c r="I249" t="n">
        <v>0</v>
      </c>
      <c r="J249" t="n">
        <v>0</v>
      </c>
      <c r="K249" t="n">
        <v>0</v>
      </c>
      <c r="L249" t="n">
        <v>0</v>
      </c>
      <c r="M249" t="n">
        <v>0</v>
      </c>
      <c r="N249" t="n">
        <v>0</v>
      </c>
      <c r="O249" t="n">
        <v>0</v>
      </c>
      <c r="P249" t="n">
        <v>0</v>
      </c>
      <c r="Q249" t="n">
        <v>0</v>
      </c>
      <c r="R249" s="2" t="inlineStr"/>
    </row>
    <row r="250" ht="15" customHeight="1">
      <c r="A250" t="inlineStr">
        <is>
          <t>A 4663-2022</t>
        </is>
      </c>
      <c r="B250" s="1" t="n">
        <v>44592.45429398148</v>
      </c>
      <c r="C250" s="1" t="n">
        <v>46126</v>
      </c>
      <c r="D250" t="inlineStr">
        <is>
          <t>VÄSTMANLANDS LÄN</t>
        </is>
      </c>
      <c r="E250" t="inlineStr">
        <is>
          <t>SALA</t>
        </is>
      </c>
      <c r="G250" t="n">
        <v>2.5</v>
      </c>
      <c r="H250" t="n">
        <v>0</v>
      </c>
      <c r="I250" t="n">
        <v>0</v>
      </c>
      <c r="J250" t="n">
        <v>0</v>
      </c>
      <c r="K250" t="n">
        <v>0</v>
      </c>
      <c r="L250" t="n">
        <v>0</v>
      </c>
      <c r="M250" t="n">
        <v>0</v>
      </c>
      <c r="N250" t="n">
        <v>0</v>
      </c>
      <c r="O250" t="n">
        <v>0</v>
      </c>
      <c r="P250" t="n">
        <v>0</v>
      </c>
      <c r="Q250" t="n">
        <v>0</v>
      </c>
      <c r="R250" s="2" t="inlineStr"/>
    </row>
    <row r="251" ht="15" customHeight="1">
      <c r="A251" t="inlineStr">
        <is>
          <t>A 52498-2022</t>
        </is>
      </c>
      <c r="B251" s="1" t="n">
        <v>44874.50152777778</v>
      </c>
      <c r="C251" s="1" t="n">
        <v>46126</v>
      </c>
      <c r="D251" t="inlineStr">
        <is>
          <t>VÄSTMANLANDS LÄN</t>
        </is>
      </c>
      <c r="E251" t="inlineStr">
        <is>
          <t>SALA</t>
        </is>
      </c>
      <c r="G251" t="n">
        <v>2.1</v>
      </c>
      <c r="H251" t="n">
        <v>0</v>
      </c>
      <c r="I251" t="n">
        <v>0</v>
      </c>
      <c r="J251" t="n">
        <v>0</v>
      </c>
      <c r="K251" t="n">
        <v>0</v>
      </c>
      <c r="L251" t="n">
        <v>0</v>
      </c>
      <c r="M251" t="n">
        <v>0</v>
      </c>
      <c r="N251" t="n">
        <v>0</v>
      </c>
      <c r="O251" t="n">
        <v>0</v>
      </c>
      <c r="P251" t="n">
        <v>0</v>
      </c>
      <c r="Q251" t="n">
        <v>0</v>
      </c>
      <c r="R251" s="2" t="inlineStr"/>
    </row>
    <row r="252" ht="15" customHeight="1">
      <c r="A252" t="inlineStr">
        <is>
          <t>A 6132-2025</t>
        </is>
      </c>
      <c r="B252" s="1" t="n">
        <v>45698</v>
      </c>
      <c r="C252" s="1" t="n">
        <v>46126</v>
      </c>
      <c r="D252" t="inlineStr">
        <is>
          <t>VÄSTMANLANDS LÄN</t>
        </is>
      </c>
      <c r="E252" t="inlineStr">
        <is>
          <t>SALA</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31859-2023</t>
        </is>
      </c>
      <c r="B253" s="1" t="n">
        <v>45118</v>
      </c>
      <c r="C253" s="1" t="n">
        <v>46126</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c r="U253">
        <f>HYPERLINK("https://klasma.github.io/Logging_1981/knärot/A 31859-2023 karta knärot.png", "A 31859-2023")</f>
        <v/>
      </c>
      <c r="V253">
        <f>HYPERLINK("https://klasma.github.io/Logging_1981/klagomål/A 31859-2023 FSC-klagomål.docx", "A 31859-2023")</f>
        <v/>
      </c>
      <c r="W253">
        <f>HYPERLINK("https://klasma.github.io/Logging_1981/klagomålsmail/A 31859-2023 FSC-klagomål mail.docx", "A 31859-2023")</f>
        <v/>
      </c>
      <c r="X253">
        <f>HYPERLINK("https://klasma.github.io/Logging_1981/tillsyn/A 31859-2023 tillsynsbegäran.docx", "A 31859-2023")</f>
        <v/>
      </c>
      <c r="Y253">
        <f>HYPERLINK("https://klasma.github.io/Logging_1981/tillsynsmail/A 31859-2023 tillsynsbegäran mail.docx", "A 31859-2023")</f>
        <v/>
      </c>
    </row>
    <row r="254" ht="15" customHeight="1">
      <c r="A254" t="inlineStr">
        <is>
          <t>A 61681-2024</t>
        </is>
      </c>
      <c r="B254" s="1" t="n">
        <v>45647</v>
      </c>
      <c r="C254" s="1" t="n">
        <v>46126</v>
      </c>
      <c r="D254" t="inlineStr">
        <is>
          <t>VÄSTMANLANDS LÄN</t>
        </is>
      </c>
      <c r="E254" t="inlineStr">
        <is>
          <t>SALA</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54960-2024</t>
        </is>
      </c>
      <c r="B255" s="1" t="n">
        <v>45619.85208333333</v>
      </c>
      <c r="C255" s="1" t="n">
        <v>46126</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2900-2023</t>
        </is>
      </c>
      <c r="B256" s="1" t="n">
        <v>44943</v>
      </c>
      <c r="C256" s="1" t="n">
        <v>46126</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31082-2021</t>
        </is>
      </c>
      <c r="B257" s="1" t="n">
        <v>44368</v>
      </c>
      <c r="C257" s="1" t="n">
        <v>46126</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20352-2022</t>
        </is>
      </c>
      <c r="B258" s="1" t="n">
        <v>44699.37318287037</v>
      </c>
      <c r="C258" s="1" t="n">
        <v>46126</v>
      </c>
      <c r="D258" t="inlineStr">
        <is>
          <t>VÄSTMANLANDS LÄN</t>
        </is>
      </c>
      <c r="E258" t="inlineStr">
        <is>
          <t>SALA</t>
        </is>
      </c>
      <c r="G258" t="n">
        <v>1.3</v>
      </c>
      <c r="H258" t="n">
        <v>0</v>
      </c>
      <c r="I258" t="n">
        <v>0</v>
      </c>
      <c r="J258" t="n">
        <v>0</v>
      </c>
      <c r="K258" t="n">
        <v>0</v>
      </c>
      <c r="L258" t="n">
        <v>0</v>
      </c>
      <c r="M258" t="n">
        <v>0</v>
      </c>
      <c r="N258" t="n">
        <v>0</v>
      </c>
      <c r="O258" t="n">
        <v>0</v>
      </c>
      <c r="P258" t="n">
        <v>0</v>
      </c>
      <c r="Q258" t="n">
        <v>0</v>
      </c>
      <c r="R258" s="2" t="inlineStr"/>
    </row>
    <row r="259" ht="15" customHeight="1">
      <c r="A259" t="inlineStr">
        <is>
          <t>A 60730-2023</t>
        </is>
      </c>
      <c r="B259" s="1" t="n">
        <v>45260</v>
      </c>
      <c r="C259" s="1" t="n">
        <v>46126</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60731-2023</t>
        </is>
      </c>
      <c r="B260" s="1" t="n">
        <v>45260</v>
      </c>
      <c r="C260" s="1" t="n">
        <v>46126</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40556-2025</t>
        </is>
      </c>
      <c r="B261" s="1" t="n">
        <v>45896.44944444444</v>
      </c>
      <c r="C261" s="1" t="n">
        <v>46126</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16693-2023</t>
        </is>
      </c>
      <c r="B262" s="1" t="n">
        <v>45028</v>
      </c>
      <c r="C262" s="1" t="n">
        <v>46126</v>
      </c>
      <c r="D262" t="inlineStr">
        <is>
          <t>VÄSTMANLANDS LÄN</t>
        </is>
      </c>
      <c r="E262" t="inlineStr">
        <is>
          <t>SALA</t>
        </is>
      </c>
      <c r="G262" t="n">
        <v>1.5</v>
      </c>
      <c r="H262" t="n">
        <v>0</v>
      </c>
      <c r="I262" t="n">
        <v>0</v>
      </c>
      <c r="J262" t="n">
        <v>0</v>
      </c>
      <c r="K262" t="n">
        <v>0</v>
      </c>
      <c r="L262" t="n">
        <v>0</v>
      </c>
      <c r="M262" t="n">
        <v>0</v>
      </c>
      <c r="N262" t="n">
        <v>0</v>
      </c>
      <c r="O262" t="n">
        <v>0</v>
      </c>
      <c r="P262" t="n">
        <v>0</v>
      </c>
      <c r="Q262" t="n">
        <v>0</v>
      </c>
      <c r="R262" s="2" t="inlineStr"/>
    </row>
    <row r="263" ht="15" customHeight="1">
      <c r="A263" t="inlineStr">
        <is>
          <t>A 40559-2025</t>
        </is>
      </c>
      <c r="B263" s="1" t="n">
        <v>45896.45037037037</v>
      </c>
      <c r="C263" s="1" t="n">
        <v>46126</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23182-2022</t>
        </is>
      </c>
      <c r="B264" s="1" t="n">
        <v>44719.79707175926</v>
      </c>
      <c r="C264" s="1" t="n">
        <v>46126</v>
      </c>
      <c r="D264" t="inlineStr">
        <is>
          <t>VÄSTMANLANDS LÄN</t>
        </is>
      </c>
      <c r="E264" t="inlineStr">
        <is>
          <t>SALA</t>
        </is>
      </c>
      <c r="G264" t="n">
        <v>1.2</v>
      </c>
      <c r="H264" t="n">
        <v>0</v>
      </c>
      <c r="I264" t="n">
        <v>0</v>
      </c>
      <c r="J264" t="n">
        <v>0</v>
      </c>
      <c r="K264" t="n">
        <v>0</v>
      </c>
      <c r="L264" t="n">
        <v>0</v>
      </c>
      <c r="M264" t="n">
        <v>0</v>
      </c>
      <c r="N264" t="n">
        <v>0</v>
      </c>
      <c r="O264" t="n">
        <v>0</v>
      </c>
      <c r="P264" t="n">
        <v>0</v>
      </c>
      <c r="Q264" t="n">
        <v>0</v>
      </c>
      <c r="R264" s="2" t="inlineStr"/>
    </row>
    <row r="265" ht="15" customHeight="1">
      <c r="A265" t="inlineStr">
        <is>
          <t>A 27657-2023</t>
        </is>
      </c>
      <c r="B265" s="1" t="n">
        <v>45097.76631944445</v>
      </c>
      <c r="C265" s="1" t="n">
        <v>46126</v>
      </c>
      <c r="D265" t="inlineStr">
        <is>
          <t>VÄSTMANLANDS LÄN</t>
        </is>
      </c>
      <c r="E265" t="inlineStr">
        <is>
          <t>SALA</t>
        </is>
      </c>
      <c r="G265" t="n">
        <v>0.1</v>
      </c>
      <c r="H265" t="n">
        <v>0</v>
      </c>
      <c r="I265" t="n">
        <v>0</v>
      </c>
      <c r="J265" t="n">
        <v>0</v>
      </c>
      <c r="K265" t="n">
        <v>0</v>
      </c>
      <c r="L265" t="n">
        <v>0</v>
      </c>
      <c r="M265" t="n">
        <v>0</v>
      </c>
      <c r="N265" t="n">
        <v>0</v>
      </c>
      <c r="O265" t="n">
        <v>0</v>
      </c>
      <c r="P265" t="n">
        <v>0</v>
      </c>
      <c r="Q265" t="n">
        <v>0</v>
      </c>
      <c r="R265" s="2" t="inlineStr"/>
    </row>
    <row r="266" ht="15" customHeight="1">
      <c r="A266" t="inlineStr">
        <is>
          <t>A 2766-2024</t>
        </is>
      </c>
      <c r="B266" s="1" t="n">
        <v>45314.60950231482</v>
      </c>
      <c r="C266" s="1" t="n">
        <v>46126</v>
      </c>
      <c r="D266" t="inlineStr">
        <is>
          <t>VÄSTMANLANDS LÄN</t>
        </is>
      </c>
      <c r="E266" t="inlineStr">
        <is>
          <t>SALA</t>
        </is>
      </c>
      <c r="G266" t="n">
        <v>2.8</v>
      </c>
      <c r="H266" t="n">
        <v>0</v>
      </c>
      <c r="I266" t="n">
        <v>0</v>
      </c>
      <c r="J266" t="n">
        <v>0</v>
      </c>
      <c r="K266" t="n">
        <v>0</v>
      </c>
      <c r="L266" t="n">
        <v>0</v>
      </c>
      <c r="M266" t="n">
        <v>0</v>
      </c>
      <c r="N266" t="n">
        <v>0</v>
      </c>
      <c r="O266" t="n">
        <v>0</v>
      </c>
      <c r="P266" t="n">
        <v>0</v>
      </c>
      <c r="Q266" t="n">
        <v>0</v>
      </c>
      <c r="R266" s="2" t="inlineStr"/>
    </row>
    <row r="267" ht="15" customHeight="1">
      <c r="A267" t="inlineStr">
        <is>
          <t>A 40620-2025</t>
        </is>
      </c>
      <c r="B267" s="1" t="n">
        <v>45896.58609953704</v>
      </c>
      <c r="C267" s="1" t="n">
        <v>46126</v>
      </c>
      <c r="D267" t="inlineStr">
        <is>
          <t>VÄSTMANLANDS LÄN</t>
        </is>
      </c>
      <c r="E267" t="inlineStr">
        <is>
          <t>SALA</t>
        </is>
      </c>
      <c r="G267" t="n">
        <v>6.7</v>
      </c>
      <c r="H267" t="n">
        <v>0</v>
      </c>
      <c r="I267" t="n">
        <v>0</v>
      </c>
      <c r="J267" t="n">
        <v>0</v>
      </c>
      <c r="K267" t="n">
        <v>0</v>
      </c>
      <c r="L267" t="n">
        <v>0</v>
      </c>
      <c r="M267" t="n">
        <v>0</v>
      </c>
      <c r="N267" t="n">
        <v>0</v>
      </c>
      <c r="O267" t="n">
        <v>0</v>
      </c>
      <c r="P267" t="n">
        <v>0</v>
      </c>
      <c r="Q267" t="n">
        <v>0</v>
      </c>
      <c r="R267" s="2" t="inlineStr"/>
    </row>
    <row r="268" ht="15" customHeight="1">
      <c r="A268" t="inlineStr">
        <is>
          <t>A 60550-2024</t>
        </is>
      </c>
      <c r="B268" s="1" t="n">
        <v>45643</v>
      </c>
      <c r="C268" s="1" t="n">
        <v>46126</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14690-2025</t>
        </is>
      </c>
      <c r="B269" s="1" t="n">
        <v>45742.58212962963</v>
      </c>
      <c r="C269" s="1" t="n">
        <v>46126</v>
      </c>
      <c r="D269" t="inlineStr">
        <is>
          <t>VÄSTMANLANDS LÄN</t>
        </is>
      </c>
      <c r="E269" t="inlineStr">
        <is>
          <t>SALA</t>
        </is>
      </c>
      <c r="G269" t="n">
        <v>3.4</v>
      </c>
      <c r="H269" t="n">
        <v>0</v>
      </c>
      <c r="I269" t="n">
        <v>0</v>
      </c>
      <c r="J269" t="n">
        <v>0</v>
      </c>
      <c r="K269" t="n">
        <v>0</v>
      </c>
      <c r="L269" t="n">
        <v>0</v>
      </c>
      <c r="M269" t="n">
        <v>0</v>
      </c>
      <c r="N269" t="n">
        <v>0</v>
      </c>
      <c r="O269" t="n">
        <v>0</v>
      </c>
      <c r="P269" t="n">
        <v>0</v>
      </c>
      <c r="Q269" t="n">
        <v>0</v>
      </c>
      <c r="R269" s="2" t="inlineStr"/>
    </row>
    <row r="270" ht="15" customHeight="1">
      <c r="A270" t="inlineStr">
        <is>
          <t>A 24175-2024</t>
        </is>
      </c>
      <c r="B270" s="1" t="n">
        <v>45456</v>
      </c>
      <c r="C270" s="1" t="n">
        <v>46126</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62449-2023</t>
        </is>
      </c>
      <c r="B271" s="1" t="n">
        <v>45268.49008101852</v>
      </c>
      <c r="C271" s="1" t="n">
        <v>46126</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54910-2023</t>
        </is>
      </c>
      <c r="B272" s="1" t="n">
        <v>45229</v>
      </c>
      <c r="C272" s="1" t="n">
        <v>46126</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35976-2024</t>
        </is>
      </c>
      <c r="B273" s="1" t="n">
        <v>45533.49555555556</v>
      </c>
      <c r="C273" s="1" t="n">
        <v>46126</v>
      </c>
      <c r="D273" t="inlineStr">
        <is>
          <t>VÄSTMANLANDS LÄN</t>
        </is>
      </c>
      <c r="E273" t="inlineStr">
        <is>
          <t>SALA</t>
        </is>
      </c>
      <c r="G273" t="n">
        <v>2.3</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46126</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19222-2025</t>
        </is>
      </c>
      <c r="B275" s="1" t="n">
        <v>45769</v>
      </c>
      <c r="C275" s="1" t="n">
        <v>46126</v>
      </c>
      <c r="D275" t="inlineStr">
        <is>
          <t>VÄSTMANLANDS LÄN</t>
        </is>
      </c>
      <c r="E275" t="inlineStr">
        <is>
          <t>SALA</t>
        </is>
      </c>
      <c r="G275" t="n">
        <v>1.8</v>
      </c>
      <c r="H275" t="n">
        <v>0</v>
      </c>
      <c r="I275" t="n">
        <v>0</v>
      </c>
      <c r="J275" t="n">
        <v>0</v>
      </c>
      <c r="K275" t="n">
        <v>0</v>
      </c>
      <c r="L275" t="n">
        <v>0</v>
      </c>
      <c r="M275" t="n">
        <v>0</v>
      </c>
      <c r="N275" t="n">
        <v>0</v>
      </c>
      <c r="O275" t="n">
        <v>0</v>
      </c>
      <c r="P275" t="n">
        <v>0</v>
      </c>
      <c r="Q275" t="n">
        <v>0</v>
      </c>
      <c r="R275" s="2" t="inlineStr"/>
    </row>
    <row r="276" ht="15" customHeight="1">
      <c r="A276" t="inlineStr">
        <is>
          <t>A 19241-2025</t>
        </is>
      </c>
      <c r="B276" s="1" t="n">
        <v>45769</v>
      </c>
      <c r="C276" s="1" t="n">
        <v>46126</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57371-2022</t>
        </is>
      </c>
      <c r="B277" s="1" t="n">
        <v>44896.43832175926</v>
      </c>
      <c r="C277" s="1" t="n">
        <v>46126</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41431-2025</t>
        </is>
      </c>
      <c r="B278" s="1" t="n">
        <v>45901.39347222223</v>
      </c>
      <c r="C278" s="1" t="n">
        <v>46126</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41414-2025</t>
        </is>
      </c>
      <c r="B279" s="1" t="n">
        <v>45901.360625</v>
      </c>
      <c r="C279" s="1" t="n">
        <v>46126</v>
      </c>
      <c r="D279" t="inlineStr">
        <is>
          <t>VÄSTMANLANDS LÄN</t>
        </is>
      </c>
      <c r="E279" t="inlineStr">
        <is>
          <t>SALA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53164-2024</t>
        </is>
      </c>
      <c r="B280" s="1" t="n">
        <v>45611.64887731482</v>
      </c>
      <c r="C280" s="1" t="n">
        <v>46126</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26416-2023</t>
        </is>
      </c>
      <c r="B281" s="1" t="n">
        <v>45092.38087962963</v>
      </c>
      <c r="C281" s="1" t="n">
        <v>46126</v>
      </c>
      <c r="D281" t="inlineStr">
        <is>
          <t>VÄSTMANLANDS LÄN</t>
        </is>
      </c>
      <c r="E281" t="inlineStr">
        <is>
          <t>SALA</t>
        </is>
      </c>
      <c r="G281" t="n">
        <v>2.9</v>
      </c>
      <c r="H281" t="n">
        <v>0</v>
      </c>
      <c r="I281" t="n">
        <v>0</v>
      </c>
      <c r="J281" t="n">
        <v>0</v>
      </c>
      <c r="K281" t="n">
        <v>0</v>
      </c>
      <c r="L281" t="n">
        <v>0</v>
      </c>
      <c r="M281" t="n">
        <v>0</v>
      </c>
      <c r="N281" t="n">
        <v>0</v>
      </c>
      <c r="O281" t="n">
        <v>0</v>
      </c>
      <c r="P281" t="n">
        <v>0</v>
      </c>
      <c r="Q281" t="n">
        <v>0</v>
      </c>
      <c r="R281" s="2" t="inlineStr"/>
    </row>
    <row r="282" ht="15" customHeight="1">
      <c r="A282" t="inlineStr">
        <is>
          <t>A 71471-2021</t>
        </is>
      </c>
      <c r="B282" s="1" t="n">
        <v>44540.53421296296</v>
      </c>
      <c r="C282" s="1" t="n">
        <v>46126</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8775-2024</t>
        </is>
      </c>
      <c r="B283" s="1" t="n">
        <v>45356</v>
      </c>
      <c r="C283" s="1" t="n">
        <v>46126</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26692-2023</t>
        </is>
      </c>
      <c r="B284" s="1" t="n">
        <v>45093.360625</v>
      </c>
      <c r="C284" s="1" t="n">
        <v>46126</v>
      </c>
      <c r="D284" t="inlineStr">
        <is>
          <t>VÄSTMANLANDS LÄN</t>
        </is>
      </c>
      <c r="E284" t="inlineStr">
        <is>
          <t>SALA</t>
        </is>
      </c>
      <c r="G284" t="n">
        <v>1.8</v>
      </c>
      <c r="H284" t="n">
        <v>0</v>
      </c>
      <c r="I284" t="n">
        <v>0</v>
      </c>
      <c r="J284" t="n">
        <v>0</v>
      </c>
      <c r="K284" t="n">
        <v>0</v>
      </c>
      <c r="L284" t="n">
        <v>0</v>
      </c>
      <c r="M284" t="n">
        <v>0</v>
      </c>
      <c r="N284" t="n">
        <v>0</v>
      </c>
      <c r="O284" t="n">
        <v>0</v>
      </c>
      <c r="P284" t="n">
        <v>0</v>
      </c>
      <c r="Q284" t="n">
        <v>0</v>
      </c>
      <c r="R284" s="2" t="inlineStr"/>
    </row>
    <row r="285" ht="15" customHeight="1">
      <c r="A285" t="inlineStr">
        <is>
          <t>A 61717-2024</t>
        </is>
      </c>
      <c r="B285" s="1" t="n">
        <v>45648</v>
      </c>
      <c r="C285" s="1" t="n">
        <v>46126</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15681-2025</t>
        </is>
      </c>
      <c r="B286" s="1" t="n">
        <v>45748.45454861111</v>
      </c>
      <c r="C286" s="1" t="n">
        <v>46126</v>
      </c>
      <c r="D286" t="inlineStr">
        <is>
          <t>VÄSTMANLANDS LÄN</t>
        </is>
      </c>
      <c r="E286" t="inlineStr">
        <is>
          <t>SALA</t>
        </is>
      </c>
      <c r="F286" t="inlineStr">
        <is>
          <t>Bergvik skog öst AB</t>
        </is>
      </c>
      <c r="G286" t="n">
        <v>4.3</v>
      </c>
      <c r="H286" t="n">
        <v>0</v>
      </c>
      <c r="I286" t="n">
        <v>0</v>
      </c>
      <c r="J286" t="n">
        <v>0</v>
      </c>
      <c r="K286" t="n">
        <v>0</v>
      </c>
      <c r="L286" t="n">
        <v>0</v>
      </c>
      <c r="M286" t="n">
        <v>0</v>
      </c>
      <c r="N286" t="n">
        <v>0</v>
      </c>
      <c r="O286" t="n">
        <v>0</v>
      </c>
      <c r="P286" t="n">
        <v>0</v>
      </c>
      <c r="Q286" t="n">
        <v>0</v>
      </c>
      <c r="R286" s="2" t="inlineStr"/>
    </row>
    <row r="287" ht="15" customHeight="1">
      <c r="A287" t="inlineStr">
        <is>
          <t>A 39011-2023</t>
        </is>
      </c>
      <c r="B287" s="1" t="n">
        <v>45162</v>
      </c>
      <c r="C287" s="1" t="n">
        <v>46126</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46126</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56547-2022</t>
        </is>
      </c>
      <c r="B289" s="1" t="n">
        <v>44893.48284722222</v>
      </c>
      <c r="C289" s="1" t="n">
        <v>46126</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2925-2024</t>
        </is>
      </c>
      <c r="B290" s="1" t="n">
        <v>45315.58909722222</v>
      </c>
      <c r="C290" s="1" t="n">
        <v>46126</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56916-2022</t>
        </is>
      </c>
      <c r="B291" s="1" t="n">
        <v>44888</v>
      </c>
      <c r="C291" s="1" t="n">
        <v>46126</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56548-2024</t>
        </is>
      </c>
      <c r="B292" s="1" t="n">
        <v>45625</v>
      </c>
      <c r="C292" s="1" t="n">
        <v>46126</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47086-2022</t>
        </is>
      </c>
      <c r="B293" s="1" t="n">
        <v>44852</v>
      </c>
      <c r="C293" s="1" t="n">
        <v>46126</v>
      </c>
      <c r="D293" t="inlineStr">
        <is>
          <t>VÄSTMANLANDS LÄN</t>
        </is>
      </c>
      <c r="E293" t="inlineStr">
        <is>
          <t>SALA</t>
        </is>
      </c>
      <c r="G293" t="n">
        <v>12.5</v>
      </c>
      <c r="H293" t="n">
        <v>0</v>
      </c>
      <c r="I293" t="n">
        <v>0</v>
      </c>
      <c r="J293" t="n">
        <v>0</v>
      </c>
      <c r="K293" t="n">
        <v>0</v>
      </c>
      <c r="L293" t="n">
        <v>0</v>
      </c>
      <c r="M293" t="n">
        <v>0</v>
      </c>
      <c r="N293" t="n">
        <v>0</v>
      </c>
      <c r="O293" t="n">
        <v>0</v>
      </c>
      <c r="P293" t="n">
        <v>0</v>
      </c>
      <c r="Q293" t="n">
        <v>0</v>
      </c>
      <c r="R293" s="2" t="inlineStr"/>
    </row>
    <row r="294" ht="15" customHeight="1">
      <c r="A294" t="inlineStr">
        <is>
          <t>A 44746-2024</t>
        </is>
      </c>
      <c r="B294" s="1" t="n">
        <v>45574.59813657407</v>
      </c>
      <c r="C294" s="1" t="n">
        <v>46126</v>
      </c>
      <c r="D294" t="inlineStr">
        <is>
          <t>VÄSTMANLANDS LÄN</t>
        </is>
      </c>
      <c r="E294" t="inlineStr">
        <is>
          <t>SALA</t>
        </is>
      </c>
      <c r="G294" t="n">
        <v>6.7</v>
      </c>
      <c r="H294" t="n">
        <v>0</v>
      </c>
      <c r="I294" t="n">
        <v>0</v>
      </c>
      <c r="J294" t="n">
        <v>0</v>
      </c>
      <c r="K294" t="n">
        <v>0</v>
      </c>
      <c r="L294" t="n">
        <v>0</v>
      </c>
      <c r="M294" t="n">
        <v>0</v>
      </c>
      <c r="N294" t="n">
        <v>0</v>
      </c>
      <c r="O294" t="n">
        <v>0</v>
      </c>
      <c r="P294" t="n">
        <v>0</v>
      </c>
      <c r="Q294" t="n">
        <v>0</v>
      </c>
      <c r="R294" s="2" t="inlineStr"/>
    </row>
    <row r="295" ht="15" customHeight="1">
      <c r="A295" t="inlineStr">
        <is>
          <t>A 44713-2023</t>
        </is>
      </c>
      <c r="B295" s="1" t="n">
        <v>45184</v>
      </c>
      <c r="C295" s="1" t="n">
        <v>46126</v>
      </c>
      <c r="D295" t="inlineStr">
        <is>
          <t>VÄSTMANLANDS LÄN</t>
        </is>
      </c>
      <c r="E295" t="inlineStr">
        <is>
          <t>SALA</t>
        </is>
      </c>
      <c r="F295" t="inlineStr">
        <is>
          <t>Kyrkan</t>
        </is>
      </c>
      <c r="G295" t="n">
        <v>7.6</v>
      </c>
      <c r="H295" t="n">
        <v>0</v>
      </c>
      <c r="I295" t="n">
        <v>0</v>
      </c>
      <c r="J295" t="n">
        <v>0</v>
      </c>
      <c r="K295" t="n">
        <v>0</v>
      </c>
      <c r="L295" t="n">
        <v>0</v>
      </c>
      <c r="M295" t="n">
        <v>0</v>
      </c>
      <c r="N295" t="n">
        <v>0</v>
      </c>
      <c r="O295" t="n">
        <v>0</v>
      </c>
      <c r="P295" t="n">
        <v>0</v>
      </c>
      <c r="Q295" t="n">
        <v>0</v>
      </c>
      <c r="R295" s="2" t="inlineStr"/>
    </row>
    <row r="296" ht="15" customHeight="1">
      <c r="A296" t="inlineStr">
        <is>
          <t>A 42421-2025</t>
        </is>
      </c>
      <c r="B296" s="1" t="n">
        <v>45905.40067129629</v>
      </c>
      <c r="C296" s="1" t="n">
        <v>46126</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23431-2024</t>
        </is>
      </c>
      <c r="B297" s="1" t="n">
        <v>45453</v>
      </c>
      <c r="C297" s="1" t="n">
        <v>46126</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43028-2025</t>
        </is>
      </c>
      <c r="B298" s="1" t="n">
        <v>45909.53472222222</v>
      </c>
      <c r="C298" s="1" t="n">
        <v>46126</v>
      </c>
      <c r="D298" t="inlineStr">
        <is>
          <t>VÄSTMANLANDS LÄN</t>
        </is>
      </c>
      <c r="E298" t="inlineStr">
        <is>
          <t>SALA</t>
        </is>
      </c>
      <c r="G298" t="n">
        <v>3.8</v>
      </c>
      <c r="H298" t="n">
        <v>0</v>
      </c>
      <c r="I298" t="n">
        <v>0</v>
      </c>
      <c r="J298" t="n">
        <v>0</v>
      </c>
      <c r="K298" t="n">
        <v>0</v>
      </c>
      <c r="L298" t="n">
        <v>0</v>
      </c>
      <c r="M298" t="n">
        <v>0</v>
      </c>
      <c r="N298" t="n">
        <v>0</v>
      </c>
      <c r="O298" t="n">
        <v>0</v>
      </c>
      <c r="P298" t="n">
        <v>0</v>
      </c>
      <c r="Q298" t="n">
        <v>0</v>
      </c>
      <c r="R298" s="2" t="inlineStr"/>
    </row>
    <row r="299" ht="15" customHeight="1">
      <c r="A299" t="inlineStr">
        <is>
          <t>A 43328-2025</t>
        </is>
      </c>
      <c r="B299" s="1" t="n">
        <v>45910</v>
      </c>
      <c r="C299" s="1" t="n">
        <v>46126</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21168-2025</t>
        </is>
      </c>
      <c r="B300" s="1" t="n">
        <v>45777</v>
      </c>
      <c r="C300" s="1" t="n">
        <v>46126</v>
      </c>
      <c r="D300" t="inlineStr">
        <is>
          <t>VÄSTMANLANDS LÄN</t>
        </is>
      </c>
      <c r="E300" t="inlineStr">
        <is>
          <t>SALA</t>
        </is>
      </c>
      <c r="G300" t="n">
        <v>4.5</v>
      </c>
      <c r="H300" t="n">
        <v>0</v>
      </c>
      <c r="I300" t="n">
        <v>0</v>
      </c>
      <c r="J300" t="n">
        <v>0</v>
      </c>
      <c r="K300" t="n">
        <v>0</v>
      </c>
      <c r="L300" t="n">
        <v>0</v>
      </c>
      <c r="M300" t="n">
        <v>0</v>
      </c>
      <c r="N300" t="n">
        <v>0</v>
      </c>
      <c r="O300" t="n">
        <v>0</v>
      </c>
      <c r="P300" t="n">
        <v>0</v>
      </c>
      <c r="Q300" t="n">
        <v>0</v>
      </c>
      <c r="R300" s="2" t="inlineStr"/>
    </row>
    <row r="301" ht="15" customHeight="1">
      <c r="A301" t="inlineStr">
        <is>
          <t>A 43031-2025</t>
        </is>
      </c>
      <c r="B301" s="1" t="n">
        <v>45909.53856481481</v>
      </c>
      <c r="C301" s="1" t="n">
        <v>46126</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17495-2024</t>
        </is>
      </c>
      <c r="B302" s="1" t="n">
        <v>45415</v>
      </c>
      <c r="C302" s="1" t="n">
        <v>46126</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37263-2025</t>
        </is>
      </c>
      <c r="B303" s="1" t="n">
        <v>45876.4584837963</v>
      </c>
      <c r="C303" s="1" t="n">
        <v>46126</v>
      </c>
      <c r="D303" t="inlineStr">
        <is>
          <t>VÄSTMANLANDS LÄN</t>
        </is>
      </c>
      <c r="E303" t="inlineStr">
        <is>
          <t>SALA</t>
        </is>
      </c>
      <c r="G303" t="n">
        <v>2.3</v>
      </c>
      <c r="H303" t="n">
        <v>0</v>
      </c>
      <c r="I303" t="n">
        <v>0</v>
      </c>
      <c r="J303" t="n">
        <v>0</v>
      </c>
      <c r="K303" t="n">
        <v>0</v>
      </c>
      <c r="L303" t="n">
        <v>0</v>
      </c>
      <c r="M303" t="n">
        <v>0</v>
      </c>
      <c r="N303" t="n">
        <v>0</v>
      </c>
      <c r="O303" t="n">
        <v>0</v>
      </c>
      <c r="P303" t="n">
        <v>0</v>
      </c>
      <c r="Q303" t="n">
        <v>0</v>
      </c>
      <c r="R303" s="2" t="inlineStr"/>
    </row>
    <row r="304" ht="15" customHeight="1">
      <c r="A304" t="inlineStr">
        <is>
          <t>A 40554-2025</t>
        </is>
      </c>
      <c r="B304" s="1" t="n">
        <v>45896.44506944445</v>
      </c>
      <c r="C304" s="1" t="n">
        <v>46126</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43129-2025</t>
        </is>
      </c>
      <c r="B305" s="1" t="n">
        <v>45909</v>
      </c>
      <c r="C305" s="1" t="n">
        <v>46126</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43130-2025</t>
        </is>
      </c>
      <c r="B306" s="1" t="n">
        <v>45909</v>
      </c>
      <c r="C306" s="1" t="n">
        <v>46126</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43128-2025</t>
        </is>
      </c>
      <c r="B307" s="1" t="n">
        <v>45909</v>
      </c>
      <c r="C307" s="1" t="n">
        <v>46126</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43127-2025</t>
        </is>
      </c>
      <c r="B308" s="1" t="n">
        <v>45909</v>
      </c>
      <c r="C308" s="1" t="n">
        <v>46126</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45313-2024</t>
        </is>
      </c>
      <c r="B309" s="1" t="n">
        <v>45576</v>
      </c>
      <c r="C309" s="1" t="n">
        <v>46126</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56535-2022</t>
        </is>
      </c>
      <c r="B310" s="1" t="n">
        <v>44893.47173611111</v>
      </c>
      <c r="C310" s="1" t="n">
        <v>46126</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47909-2022</t>
        </is>
      </c>
      <c r="B311" s="1" t="n">
        <v>44855</v>
      </c>
      <c r="C311" s="1" t="n">
        <v>46126</v>
      </c>
      <c r="D311" t="inlineStr">
        <is>
          <t>VÄSTMANLANDS LÄN</t>
        </is>
      </c>
      <c r="E311" t="inlineStr">
        <is>
          <t>SALA</t>
        </is>
      </c>
      <c r="F311" t="inlineStr">
        <is>
          <t>Bergvik skog öst AB</t>
        </is>
      </c>
      <c r="G311" t="n">
        <v>2</v>
      </c>
      <c r="H311" t="n">
        <v>0</v>
      </c>
      <c r="I311" t="n">
        <v>0</v>
      </c>
      <c r="J311" t="n">
        <v>0</v>
      </c>
      <c r="K311" t="n">
        <v>0</v>
      </c>
      <c r="L311" t="n">
        <v>0</v>
      </c>
      <c r="M311" t="n">
        <v>0</v>
      </c>
      <c r="N311" t="n">
        <v>0</v>
      </c>
      <c r="O311" t="n">
        <v>0</v>
      </c>
      <c r="P311" t="n">
        <v>0</v>
      </c>
      <c r="Q311" t="n">
        <v>0</v>
      </c>
      <c r="R311" s="2" t="inlineStr"/>
    </row>
    <row r="312" ht="15" customHeight="1">
      <c r="A312" t="inlineStr">
        <is>
          <t>A 52630-2022</t>
        </is>
      </c>
      <c r="B312" s="1" t="n">
        <v>44874</v>
      </c>
      <c r="C312" s="1" t="n">
        <v>46126</v>
      </c>
      <c r="D312" t="inlineStr">
        <is>
          <t>VÄSTMANLANDS LÄN</t>
        </is>
      </c>
      <c r="E312" t="inlineStr">
        <is>
          <t>SALA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56687-2024</t>
        </is>
      </c>
      <c r="B313" s="1" t="n">
        <v>45627.63271990741</v>
      </c>
      <c r="C313" s="1" t="n">
        <v>46126</v>
      </c>
      <c r="D313" t="inlineStr">
        <is>
          <t>VÄSTMANLANDS LÄN</t>
        </is>
      </c>
      <c r="E313" t="inlineStr">
        <is>
          <t>SALA</t>
        </is>
      </c>
      <c r="G313" t="n">
        <v>1.2</v>
      </c>
      <c r="H313" t="n">
        <v>0</v>
      </c>
      <c r="I313" t="n">
        <v>0</v>
      </c>
      <c r="J313" t="n">
        <v>0</v>
      </c>
      <c r="K313" t="n">
        <v>0</v>
      </c>
      <c r="L313" t="n">
        <v>0</v>
      </c>
      <c r="M313" t="n">
        <v>0</v>
      </c>
      <c r="N313" t="n">
        <v>0</v>
      </c>
      <c r="O313" t="n">
        <v>0</v>
      </c>
      <c r="P313" t="n">
        <v>0</v>
      </c>
      <c r="Q313" t="n">
        <v>0</v>
      </c>
      <c r="R313" s="2" t="inlineStr"/>
    </row>
    <row r="314" ht="15" customHeight="1">
      <c r="A314" t="inlineStr">
        <is>
          <t>A 21751-2025</t>
        </is>
      </c>
      <c r="B314" s="1" t="n">
        <v>45783.61372685185</v>
      </c>
      <c r="C314" s="1" t="n">
        <v>46126</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61715-2024</t>
        </is>
      </c>
      <c r="B315" s="1" t="n">
        <v>45648.89519675926</v>
      </c>
      <c r="C315" s="1" t="n">
        <v>46126</v>
      </c>
      <c r="D315" t="inlineStr">
        <is>
          <t>VÄSTMANLANDS LÄN</t>
        </is>
      </c>
      <c r="E315" t="inlineStr">
        <is>
          <t>SALA</t>
        </is>
      </c>
      <c r="G315" t="n">
        <v>2.5</v>
      </c>
      <c r="H315" t="n">
        <v>0</v>
      </c>
      <c r="I315" t="n">
        <v>0</v>
      </c>
      <c r="J315" t="n">
        <v>0</v>
      </c>
      <c r="K315" t="n">
        <v>0</v>
      </c>
      <c r="L315" t="n">
        <v>0</v>
      </c>
      <c r="M315" t="n">
        <v>0</v>
      </c>
      <c r="N315" t="n">
        <v>0</v>
      </c>
      <c r="O315" t="n">
        <v>0</v>
      </c>
      <c r="P315" t="n">
        <v>0</v>
      </c>
      <c r="Q315" t="n">
        <v>0</v>
      </c>
      <c r="R315" s="2" t="inlineStr"/>
    </row>
    <row r="316" ht="15" customHeight="1">
      <c r="A316" t="inlineStr">
        <is>
          <t>A 21754-2025</t>
        </is>
      </c>
      <c r="B316" s="1" t="n">
        <v>45783.61837962963</v>
      </c>
      <c r="C316" s="1" t="n">
        <v>46126</v>
      </c>
      <c r="D316" t="inlineStr">
        <is>
          <t>VÄSTMANLANDS LÄN</t>
        </is>
      </c>
      <c r="E316" t="inlineStr">
        <is>
          <t>SALA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44100-2025</t>
        </is>
      </c>
      <c r="B317" s="1" t="n">
        <v>45915.56707175926</v>
      </c>
      <c r="C317" s="1" t="n">
        <v>46126</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16404-2022</t>
        </is>
      </c>
      <c r="B318" s="1" t="n">
        <v>44671</v>
      </c>
      <c r="C318" s="1" t="n">
        <v>46126</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37587-2024</t>
        </is>
      </c>
      <c r="B319" s="1" t="n">
        <v>45541</v>
      </c>
      <c r="C319" s="1" t="n">
        <v>46126</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6097-2022</t>
        </is>
      </c>
      <c r="B320" s="1" t="n">
        <v>44599</v>
      </c>
      <c r="C320" s="1" t="n">
        <v>46126</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44486-2025</t>
        </is>
      </c>
      <c r="B321" s="1" t="n">
        <v>45916.65517361111</v>
      </c>
      <c r="C321" s="1" t="n">
        <v>46126</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10559-2024</t>
        </is>
      </c>
      <c r="B322" s="1" t="n">
        <v>45366</v>
      </c>
      <c r="C322" s="1" t="n">
        <v>46126</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44524-2025</t>
        </is>
      </c>
      <c r="B323" s="1" t="n">
        <v>45916.72920138889</v>
      </c>
      <c r="C323" s="1" t="n">
        <v>46126</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22353-2025</t>
        </is>
      </c>
      <c r="B324" s="1" t="n">
        <v>45786</v>
      </c>
      <c r="C324" s="1" t="n">
        <v>46126</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64724-2023</t>
        </is>
      </c>
      <c r="B325" s="1" t="n">
        <v>45281.7602662037</v>
      </c>
      <c r="C325" s="1" t="n">
        <v>46126</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46126</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60545-2024</t>
        </is>
      </c>
      <c r="B327" s="1" t="n">
        <v>45643</v>
      </c>
      <c r="C327" s="1" t="n">
        <v>46126</v>
      </c>
      <c r="D327" t="inlineStr">
        <is>
          <t>VÄSTMANLANDS LÄN</t>
        </is>
      </c>
      <c r="E327" t="inlineStr">
        <is>
          <t>SALA</t>
        </is>
      </c>
      <c r="G327" t="n">
        <v>3.3</v>
      </c>
      <c r="H327" t="n">
        <v>0</v>
      </c>
      <c r="I327" t="n">
        <v>0</v>
      </c>
      <c r="J327" t="n">
        <v>0</v>
      </c>
      <c r="K327" t="n">
        <v>0</v>
      </c>
      <c r="L327" t="n">
        <v>0</v>
      </c>
      <c r="M327" t="n">
        <v>0</v>
      </c>
      <c r="N327" t="n">
        <v>0</v>
      </c>
      <c r="O327" t="n">
        <v>0</v>
      </c>
      <c r="P327" t="n">
        <v>0</v>
      </c>
      <c r="Q327" t="n">
        <v>0</v>
      </c>
      <c r="R327" s="2" t="inlineStr"/>
    </row>
    <row r="328" ht="15" customHeight="1">
      <c r="A328" t="inlineStr">
        <is>
          <t>A 60547-2024</t>
        </is>
      </c>
      <c r="B328" s="1" t="n">
        <v>45643</v>
      </c>
      <c r="C328" s="1" t="n">
        <v>46126</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22370-2025</t>
        </is>
      </c>
      <c r="B329" s="1" t="n">
        <v>45786</v>
      </c>
      <c r="C329" s="1" t="n">
        <v>46126</v>
      </c>
      <c r="D329" t="inlineStr">
        <is>
          <t>VÄSTMANLANDS LÄN</t>
        </is>
      </c>
      <c r="E329" t="inlineStr">
        <is>
          <t>SALA</t>
        </is>
      </c>
      <c r="G329" t="n">
        <v>3.2</v>
      </c>
      <c r="H329" t="n">
        <v>0</v>
      </c>
      <c r="I329" t="n">
        <v>0</v>
      </c>
      <c r="J329" t="n">
        <v>0</v>
      </c>
      <c r="K329" t="n">
        <v>0</v>
      </c>
      <c r="L329" t="n">
        <v>0</v>
      </c>
      <c r="M329" t="n">
        <v>0</v>
      </c>
      <c r="N329" t="n">
        <v>0</v>
      </c>
      <c r="O329" t="n">
        <v>0</v>
      </c>
      <c r="P329" t="n">
        <v>0</v>
      </c>
      <c r="Q329" t="n">
        <v>0</v>
      </c>
      <c r="R329" s="2" t="inlineStr"/>
    </row>
    <row r="330" ht="15" customHeight="1">
      <c r="A330" t="inlineStr">
        <is>
          <t>A 22383-2025</t>
        </is>
      </c>
      <c r="B330" s="1" t="n">
        <v>45786</v>
      </c>
      <c r="C330" s="1" t="n">
        <v>46126</v>
      </c>
      <c r="D330" t="inlineStr">
        <is>
          <t>VÄSTMANLANDS LÄN</t>
        </is>
      </c>
      <c r="E330" t="inlineStr">
        <is>
          <t>SALA</t>
        </is>
      </c>
      <c r="G330" t="n">
        <v>2.2</v>
      </c>
      <c r="H330" t="n">
        <v>0</v>
      </c>
      <c r="I330" t="n">
        <v>0</v>
      </c>
      <c r="J330" t="n">
        <v>0</v>
      </c>
      <c r="K330" t="n">
        <v>0</v>
      </c>
      <c r="L330" t="n">
        <v>0</v>
      </c>
      <c r="M330" t="n">
        <v>0</v>
      </c>
      <c r="N330" t="n">
        <v>0</v>
      </c>
      <c r="O330" t="n">
        <v>0</v>
      </c>
      <c r="P330" t="n">
        <v>0</v>
      </c>
      <c r="Q330" t="n">
        <v>0</v>
      </c>
      <c r="R330" s="2" t="inlineStr"/>
    </row>
    <row r="331" ht="15" customHeight="1">
      <c r="A331" t="inlineStr">
        <is>
          <t>A 15965-2024</t>
        </is>
      </c>
      <c r="B331" s="1" t="n">
        <v>45405.55740740741</v>
      </c>
      <c r="C331" s="1" t="n">
        <v>46126</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1196-2023</t>
        </is>
      </c>
      <c r="B332" s="1" t="n">
        <v>44935.82290509259</v>
      </c>
      <c r="C332" s="1" t="n">
        <v>46126</v>
      </c>
      <c r="D332" t="inlineStr">
        <is>
          <t>VÄSTMANLANDS LÄN</t>
        </is>
      </c>
      <c r="E332" t="inlineStr">
        <is>
          <t>SALA</t>
        </is>
      </c>
      <c r="G332" t="n">
        <v>4.1</v>
      </c>
      <c r="H332" t="n">
        <v>0</v>
      </c>
      <c r="I332" t="n">
        <v>0</v>
      </c>
      <c r="J332" t="n">
        <v>0</v>
      </c>
      <c r="K332" t="n">
        <v>0</v>
      </c>
      <c r="L332" t="n">
        <v>0</v>
      </c>
      <c r="M332" t="n">
        <v>0</v>
      </c>
      <c r="N332" t="n">
        <v>0</v>
      </c>
      <c r="O332" t="n">
        <v>0</v>
      </c>
      <c r="P332" t="n">
        <v>0</v>
      </c>
      <c r="Q332" t="n">
        <v>0</v>
      </c>
      <c r="R332" s="2" t="inlineStr"/>
    </row>
    <row r="333" ht="15" customHeight="1">
      <c r="A333" t="inlineStr">
        <is>
          <t>A 988-2025</t>
        </is>
      </c>
      <c r="B333" s="1" t="n">
        <v>45666.44038194444</v>
      </c>
      <c r="C333" s="1" t="n">
        <v>46126</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7176-2023</t>
        </is>
      </c>
      <c r="B334" s="1" t="n">
        <v>44970</v>
      </c>
      <c r="C334" s="1" t="n">
        <v>46126</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62651-2022</t>
        </is>
      </c>
      <c r="B335" s="1" t="n">
        <v>44917</v>
      </c>
      <c r="C335" s="1" t="n">
        <v>46126</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54836-2024</t>
        </is>
      </c>
      <c r="B336" s="1" t="n">
        <v>45618</v>
      </c>
      <c r="C336" s="1" t="n">
        <v>46126</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13987-2023</t>
        </is>
      </c>
      <c r="B337" s="1" t="n">
        <v>45007</v>
      </c>
      <c r="C337" s="1" t="n">
        <v>46126</v>
      </c>
      <c r="D337" t="inlineStr">
        <is>
          <t>VÄSTMANLANDS LÄN</t>
        </is>
      </c>
      <c r="E337" t="inlineStr">
        <is>
          <t>SALA</t>
        </is>
      </c>
      <c r="G337" t="n">
        <v>3.2</v>
      </c>
      <c r="H337" t="n">
        <v>0</v>
      </c>
      <c r="I337" t="n">
        <v>0</v>
      </c>
      <c r="J337" t="n">
        <v>0</v>
      </c>
      <c r="K337" t="n">
        <v>0</v>
      </c>
      <c r="L337" t="n">
        <v>0</v>
      </c>
      <c r="M337" t="n">
        <v>0</v>
      </c>
      <c r="N337" t="n">
        <v>0</v>
      </c>
      <c r="O337" t="n">
        <v>0</v>
      </c>
      <c r="P337" t="n">
        <v>0</v>
      </c>
      <c r="Q337" t="n">
        <v>0</v>
      </c>
      <c r="R337" s="2" t="inlineStr"/>
    </row>
    <row r="338" ht="15" customHeight="1">
      <c r="A338" t="inlineStr">
        <is>
          <t>A 13990-2023</t>
        </is>
      </c>
      <c r="B338" s="1" t="n">
        <v>45007</v>
      </c>
      <c r="C338" s="1" t="n">
        <v>46126</v>
      </c>
      <c r="D338" t="inlineStr">
        <is>
          <t>VÄSTMANLANDS LÄN</t>
        </is>
      </c>
      <c r="E338" t="inlineStr">
        <is>
          <t>SALA</t>
        </is>
      </c>
      <c r="G338" t="n">
        <v>2.6</v>
      </c>
      <c r="H338" t="n">
        <v>0</v>
      </c>
      <c r="I338" t="n">
        <v>0</v>
      </c>
      <c r="J338" t="n">
        <v>0</v>
      </c>
      <c r="K338" t="n">
        <v>0</v>
      </c>
      <c r="L338" t="n">
        <v>0</v>
      </c>
      <c r="M338" t="n">
        <v>0</v>
      </c>
      <c r="N338" t="n">
        <v>0</v>
      </c>
      <c r="O338" t="n">
        <v>0</v>
      </c>
      <c r="P338" t="n">
        <v>0</v>
      </c>
      <c r="Q338" t="n">
        <v>0</v>
      </c>
      <c r="R338" s="2" t="inlineStr"/>
    </row>
    <row r="339" ht="15" customHeight="1">
      <c r="A339" t="inlineStr">
        <is>
          <t>A 22624-2025</t>
        </is>
      </c>
      <c r="B339" s="1" t="n">
        <v>45789.43327546296</v>
      </c>
      <c r="C339" s="1" t="n">
        <v>46126</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51464-2024</t>
        </is>
      </c>
      <c r="B340" s="1" t="n">
        <v>45604.49768518518</v>
      </c>
      <c r="C340" s="1" t="n">
        <v>46126</v>
      </c>
      <c r="D340" t="inlineStr">
        <is>
          <t>VÄSTMANLANDS LÄN</t>
        </is>
      </c>
      <c r="E340" t="inlineStr">
        <is>
          <t>SALA</t>
        </is>
      </c>
      <c r="G340" t="n">
        <v>3.9</v>
      </c>
      <c r="H340" t="n">
        <v>0</v>
      </c>
      <c r="I340" t="n">
        <v>0</v>
      </c>
      <c r="J340" t="n">
        <v>0</v>
      </c>
      <c r="K340" t="n">
        <v>0</v>
      </c>
      <c r="L340" t="n">
        <v>0</v>
      </c>
      <c r="M340" t="n">
        <v>0</v>
      </c>
      <c r="N340" t="n">
        <v>0</v>
      </c>
      <c r="O340" t="n">
        <v>0</v>
      </c>
      <c r="P340" t="n">
        <v>0</v>
      </c>
      <c r="Q340" t="n">
        <v>0</v>
      </c>
      <c r="R340" s="2" t="inlineStr"/>
    </row>
    <row r="341" ht="15" customHeight="1">
      <c r="A341" t="inlineStr">
        <is>
          <t>A 45371-2025</t>
        </is>
      </c>
      <c r="B341" s="1" t="n">
        <v>45922.39001157408</v>
      </c>
      <c r="C341" s="1" t="n">
        <v>46126</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45177-2025</t>
        </is>
      </c>
      <c r="B342" s="1" t="n">
        <v>45919.52444444445</v>
      </c>
      <c r="C342" s="1" t="n">
        <v>46126</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1128-2025</t>
        </is>
      </c>
      <c r="B343" s="1" t="n">
        <v>45666.68469907407</v>
      </c>
      <c r="C343" s="1" t="n">
        <v>46126</v>
      </c>
      <c r="D343" t="inlineStr">
        <is>
          <t>VÄSTMANLANDS LÄN</t>
        </is>
      </c>
      <c r="E343" t="inlineStr">
        <is>
          <t>SALA</t>
        </is>
      </c>
      <c r="G343" t="n">
        <v>2.5</v>
      </c>
      <c r="H343" t="n">
        <v>0</v>
      </c>
      <c r="I343" t="n">
        <v>0</v>
      </c>
      <c r="J343" t="n">
        <v>0</v>
      </c>
      <c r="K343" t="n">
        <v>0</v>
      </c>
      <c r="L343" t="n">
        <v>0</v>
      </c>
      <c r="M343" t="n">
        <v>0</v>
      </c>
      <c r="N343" t="n">
        <v>0</v>
      </c>
      <c r="O343" t="n">
        <v>0</v>
      </c>
      <c r="P343" t="n">
        <v>0</v>
      </c>
      <c r="Q343" t="n">
        <v>0</v>
      </c>
      <c r="R343" s="2" t="inlineStr"/>
    </row>
    <row r="344" ht="15" customHeight="1">
      <c r="A344" t="inlineStr">
        <is>
          <t>A 31405-2024</t>
        </is>
      </c>
      <c r="B344" s="1" t="n">
        <v>45505.5490625</v>
      </c>
      <c r="C344" s="1" t="n">
        <v>46126</v>
      </c>
      <c r="D344" t="inlineStr">
        <is>
          <t>VÄSTMANLANDS LÄN</t>
        </is>
      </c>
      <c r="E344" t="inlineStr">
        <is>
          <t>SALA</t>
        </is>
      </c>
      <c r="G344" t="n">
        <v>5.2</v>
      </c>
      <c r="H344" t="n">
        <v>0</v>
      </c>
      <c r="I344" t="n">
        <v>0</v>
      </c>
      <c r="J344" t="n">
        <v>0</v>
      </c>
      <c r="K344" t="n">
        <v>0</v>
      </c>
      <c r="L344" t="n">
        <v>0</v>
      </c>
      <c r="M344" t="n">
        <v>0</v>
      </c>
      <c r="N344" t="n">
        <v>0</v>
      </c>
      <c r="O344" t="n">
        <v>0</v>
      </c>
      <c r="P344" t="n">
        <v>0</v>
      </c>
      <c r="Q344" t="n">
        <v>0</v>
      </c>
      <c r="R344" s="2" t="inlineStr"/>
    </row>
    <row r="345" ht="15" customHeight="1">
      <c r="A345" t="inlineStr">
        <is>
          <t>A 43176-2023</t>
        </is>
      </c>
      <c r="B345" s="1" t="n">
        <v>45183</v>
      </c>
      <c r="C345" s="1" t="n">
        <v>46126</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73835-2021</t>
        </is>
      </c>
      <c r="B346" s="1" t="n">
        <v>44552.92112268518</v>
      </c>
      <c r="C346" s="1" t="n">
        <v>46126</v>
      </c>
      <c r="D346" t="inlineStr">
        <is>
          <t>VÄSTMANLANDS LÄN</t>
        </is>
      </c>
      <c r="E346" t="inlineStr">
        <is>
          <t>SALA</t>
        </is>
      </c>
      <c r="G346" t="n">
        <v>2</v>
      </c>
      <c r="H346" t="n">
        <v>0</v>
      </c>
      <c r="I346" t="n">
        <v>0</v>
      </c>
      <c r="J346" t="n">
        <v>0</v>
      </c>
      <c r="K346" t="n">
        <v>0</v>
      </c>
      <c r="L346" t="n">
        <v>0</v>
      </c>
      <c r="M346" t="n">
        <v>0</v>
      </c>
      <c r="N346" t="n">
        <v>0</v>
      </c>
      <c r="O346" t="n">
        <v>0</v>
      </c>
      <c r="P346" t="n">
        <v>0</v>
      </c>
      <c r="Q346" t="n">
        <v>0</v>
      </c>
      <c r="R346" s="2" t="inlineStr"/>
    </row>
    <row r="347" ht="15" customHeight="1">
      <c r="A347" t="inlineStr">
        <is>
          <t>A 60379-2022</t>
        </is>
      </c>
      <c r="B347" s="1" t="n">
        <v>44910</v>
      </c>
      <c r="C347" s="1" t="n">
        <v>46126</v>
      </c>
      <c r="D347" t="inlineStr">
        <is>
          <t>VÄSTMANLANDS LÄN</t>
        </is>
      </c>
      <c r="E347" t="inlineStr">
        <is>
          <t>SALA</t>
        </is>
      </c>
      <c r="F347" t="inlineStr">
        <is>
          <t>Kyrkan</t>
        </is>
      </c>
      <c r="G347" t="n">
        <v>2.5</v>
      </c>
      <c r="H347" t="n">
        <v>0</v>
      </c>
      <c r="I347" t="n">
        <v>0</v>
      </c>
      <c r="J347" t="n">
        <v>0</v>
      </c>
      <c r="K347" t="n">
        <v>0</v>
      </c>
      <c r="L347" t="n">
        <v>0</v>
      </c>
      <c r="M347" t="n">
        <v>0</v>
      </c>
      <c r="N347" t="n">
        <v>0</v>
      </c>
      <c r="O347" t="n">
        <v>0</v>
      </c>
      <c r="P347" t="n">
        <v>0</v>
      </c>
      <c r="Q347" t="n">
        <v>0</v>
      </c>
      <c r="R347" s="2" t="inlineStr"/>
    </row>
    <row r="348" ht="15" customHeight="1">
      <c r="A348" t="inlineStr">
        <is>
          <t>A 22616-2025</t>
        </is>
      </c>
      <c r="B348" s="1" t="n">
        <v>45789.42752314815</v>
      </c>
      <c r="C348" s="1" t="n">
        <v>46126</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43600-2024</t>
        </is>
      </c>
      <c r="B349" s="1" t="n">
        <v>45569</v>
      </c>
      <c r="C349" s="1" t="n">
        <v>46126</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13130-2025</t>
        </is>
      </c>
      <c r="B350" s="1" t="n">
        <v>45734</v>
      </c>
      <c r="C350" s="1" t="n">
        <v>46126</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1638-2023</t>
        </is>
      </c>
      <c r="B351" s="1" t="n">
        <v>44937</v>
      </c>
      <c r="C351" s="1" t="n">
        <v>46126</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7953-2024</t>
        </is>
      </c>
      <c r="B352" s="1" t="n">
        <v>45350</v>
      </c>
      <c r="C352" s="1" t="n">
        <v>46126</v>
      </c>
      <c r="D352" t="inlineStr">
        <is>
          <t>VÄSTMANLANDS LÄN</t>
        </is>
      </c>
      <c r="E352" t="inlineStr">
        <is>
          <t>SALA</t>
        </is>
      </c>
      <c r="G352" t="n">
        <v>2.6</v>
      </c>
      <c r="H352" t="n">
        <v>0</v>
      </c>
      <c r="I352" t="n">
        <v>0</v>
      </c>
      <c r="J352" t="n">
        <v>0</v>
      </c>
      <c r="K352" t="n">
        <v>0</v>
      </c>
      <c r="L352" t="n">
        <v>0</v>
      </c>
      <c r="M352" t="n">
        <v>0</v>
      </c>
      <c r="N352" t="n">
        <v>0</v>
      </c>
      <c r="O352" t="n">
        <v>0</v>
      </c>
      <c r="P352" t="n">
        <v>0</v>
      </c>
      <c r="Q352" t="n">
        <v>0</v>
      </c>
      <c r="R352" s="2" t="inlineStr"/>
    </row>
    <row r="353" ht="15" customHeight="1">
      <c r="A353" t="inlineStr">
        <is>
          <t>A 5032-2025</t>
        </is>
      </c>
      <c r="B353" s="1" t="n">
        <v>45691</v>
      </c>
      <c r="C353" s="1" t="n">
        <v>46126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5477-2024</t>
        </is>
      </c>
      <c r="B354" s="1" t="n">
        <v>45333.67833333334</v>
      </c>
      <c r="C354" s="1" t="n">
        <v>46126</v>
      </c>
      <c r="D354" t="inlineStr">
        <is>
          <t>VÄSTMANLANDS LÄN</t>
        </is>
      </c>
      <c r="E354" t="inlineStr">
        <is>
          <t>SALA</t>
        </is>
      </c>
      <c r="G354" t="n">
        <v>2.3</v>
      </c>
      <c r="H354" t="n">
        <v>0</v>
      </c>
      <c r="I354" t="n">
        <v>0</v>
      </c>
      <c r="J354" t="n">
        <v>0</v>
      </c>
      <c r="K354" t="n">
        <v>0</v>
      </c>
      <c r="L354" t="n">
        <v>0</v>
      </c>
      <c r="M354" t="n">
        <v>0</v>
      </c>
      <c r="N354" t="n">
        <v>0</v>
      </c>
      <c r="O354" t="n">
        <v>0</v>
      </c>
      <c r="P354" t="n">
        <v>0</v>
      </c>
      <c r="Q354" t="n">
        <v>0</v>
      </c>
      <c r="R354" s="2" t="inlineStr"/>
    </row>
    <row r="355" ht="15" customHeight="1">
      <c r="A355" t="inlineStr">
        <is>
          <t>A 45914-2025</t>
        </is>
      </c>
      <c r="B355" s="1" t="n">
        <v>45923.82582175926</v>
      </c>
      <c r="C355" s="1" t="n">
        <v>46126</v>
      </c>
      <c r="D355" t="inlineStr">
        <is>
          <t>VÄSTMANLANDS LÄN</t>
        </is>
      </c>
      <c r="E355" t="inlineStr">
        <is>
          <t>SALA</t>
        </is>
      </c>
      <c r="F355" t="inlineStr">
        <is>
          <t>Kommuner</t>
        </is>
      </c>
      <c r="G355" t="n">
        <v>18.2</v>
      </c>
      <c r="H355" t="n">
        <v>0</v>
      </c>
      <c r="I355" t="n">
        <v>0</v>
      </c>
      <c r="J355" t="n">
        <v>0</v>
      </c>
      <c r="K355" t="n">
        <v>0</v>
      </c>
      <c r="L355" t="n">
        <v>0</v>
      </c>
      <c r="M355" t="n">
        <v>0</v>
      </c>
      <c r="N355" t="n">
        <v>0</v>
      </c>
      <c r="O355" t="n">
        <v>0</v>
      </c>
      <c r="P355" t="n">
        <v>0</v>
      </c>
      <c r="Q355" t="n">
        <v>0</v>
      </c>
      <c r="R355" s="2" t="inlineStr"/>
    </row>
    <row r="356" ht="15" customHeight="1">
      <c r="A356" t="inlineStr">
        <is>
          <t>A 45909-2025</t>
        </is>
      </c>
      <c r="B356" s="1" t="n">
        <v>45923.75078703704</v>
      </c>
      <c r="C356" s="1" t="n">
        <v>46126</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46597-2025</t>
        </is>
      </c>
      <c r="B357" s="1" t="n">
        <v>45926.40113425926</v>
      </c>
      <c r="C357" s="1" t="n">
        <v>46126</v>
      </c>
      <c r="D357" t="inlineStr">
        <is>
          <t>VÄSTMANLANDS LÄN</t>
        </is>
      </c>
      <c r="E357" t="inlineStr">
        <is>
          <t>SALA</t>
        </is>
      </c>
      <c r="G357" t="n">
        <v>3.4</v>
      </c>
      <c r="H357" t="n">
        <v>0</v>
      </c>
      <c r="I357" t="n">
        <v>0</v>
      </c>
      <c r="J357" t="n">
        <v>0</v>
      </c>
      <c r="K357" t="n">
        <v>0</v>
      </c>
      <c r="L357" t="n">
        <v>0</v>
      </c>
      <c r="M357" t="n">
        <v>0</v>
      </c>
      <c r="N357" t="n">
        <v>0</v>
      </c>
      <c r="O357" t="n">
        <v>0</v>
      </c>
      <c r="P357" t="n">
        <v>0</v>
      </c>
      <c r="Q357" t="n">
        <v>0</v>
      </c>
      <c r="R357" s="2" t="inlineStr"/>
    </row>
    <row r="358" ht="15" customHeight="1">
      <c r="A358" t="inlineStr">
        <is>
          <t>A 26507-2023</t>
        </is>
      </c>
      <c r="B358" s="1" t="n">
        <v>45092</v>
      </c>
      <c r="C358" s="1" t="n">
        <v>46126</v>
      </c>
      <c r="D358" t="inlineStr">
        <is>
          <t>VÄSTMANLANDS LÄN</t>
        </is>
      </c>
      <c r="E358" t="inlineStr">
        <is>
          <t>SALA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6032-2025</t>
        </is>
      </c>
      <c r="B359" s="1" t="n">
        <v>45695.6371875</v>
      </c>
      <c r="C359" s="1" t="n">
        <v>46126</v>
      </c>
      <c r="D359" t="inlineStr">
        <is>
          <t>VÄSTMANLANDS LÄN</t>
        </is>
      </c>
      <c r="E359" t="inlineStr">
        <is>
          <t>SALA</t>
        </is>
      </c>
      <c r="F359" t="inlineStr">
        <is>
          <t>Bergvik skog öst AB</t>
        </is>
      </c>
      <c r="G359" t="n">
        <v>8.1</v>
      </c>
      <c r="H359" t="n">
        <v>0</v>
      </c>
      <c r="I359" t="n">
        <v>0</v>
      </c>
      <c r="J359" t="n">
        <v>0</v>
      </c>
      <c r="K359" t="n">
        <v>0</v>
      </c>
      <c r="L359" t="n">
        <v>0</v>
      </c>
      <c r="M359" t="n">
        <v>0</v>
      </c>
      <c r="N359" t="n">
        <v>0</v>
      </c>
      <c r="O359" t="n">
        <v>0</v>
      </c>
      <c r="P359" t="n">
        <v>0</v>
      </c>
      <c r="Q359" t="n">
        <v>0</v>
      </c>
      <c r="R359" s="2" t="inlineStr"/>
    </row>
    <row r="360" ht="15" customHeight="1">
      <c r="A360" t="inlineStr">
        <is>
          <t>A 34814-2021</t>
        </is>
      </c>
      <c r="B360" s="1" t="n">
        <v>44383</v>
      </c>
      <c r="C360" s="1" t="n">
        <v>46126</v>
      </c>
      <c r="D360" t="inlineStr">
        <is>
          <t>VÄSTMANLANDS LÄN</t>
        </is>
      </c>
      <c r="E360" t="inlineStr">
        <is>
          <t>SALA</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54118-2023</t>
        </is>
      </c>
      <c r="B361" s="1" t="n">
        <v>45232</v>
      </c>
      <c r="C361" s="1" t="n">
        <v>46126</v>
      </c>
      <c r="D361" t="inlineStr">
        <is>
          <t>VÄSTMANLANDS LÄN</t>
        </is>
      </c>
      <c r="E361" t="inlineStr">
        <is>
          <t>SALA</t>
        </is>
      </c>
      <c r="G361" t="n">
        <v>1.1</v>
      </c>
      <c r="H361" t="n">
        <v>0</v>
      </c>
      <c r="I361" t="n">
        <v>0</v>
      </c>
      <c r="J361" t="n">
        <v>0</v>
      </c>
      <c r="K361" t="n">
        <v>0</v>
      </c>
      <c r="L361" t="n">
        <v>0</v>
      </c>
      <c r="M361" t="n">
        <v>0</v>
      </c>
      <c r="N361" t="n">
        <v>0</v>
      </c>
      <c r="O361" t="n">
        <v>0</v>
      </c>
      <c r="P361" t="n">
        <v>0</v>
      </c>
      <c r="Q361" t="n">
        <v>0</v>
      </c>
      <c r="R361" s="2" t="inlineStr"/>
    </row>
    <row r="362" ht="15" customHeight="1">
      <c r="A362" t="inlineStr">
        <is>
          <t>A 35462-2024</t>
        </is>
      </c>
      <c r="B362" s="1" t="n">
        <v>45531</v>
      </c>
      <c r="C362" s="1" t="n">
        <v>46126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24169-2025</t>
        </is>
      </c>
      <c r="B363" s="1" t="n">
        <v>45796</v>
      </c>
      <c r="C363" s="1" t="n">
        <v>46126</v>
      </c>
      <c r="D363" t="inlineStr">
        <is>
          <t>VÄSTMANLANDS LÄN</t>
        </is>
      </c>
      <c r="E363" t="inlineStr">
        <is>
          <t>SALA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22126-2025</t>
        </is>
      </c>
      <c r="B364" s="1" t="n">
        <v>45785</v>
      </c>
      <c r="C364" s="1" t="n">
        <v>46126</v>
      </c>
      <c r="D364" t="inlineStr">
        <is>
          <t>VÄSTMANLANDS LÄN</t>
        </is>
      </c>
      <c r="E364" t="inlineStr">
        <is>
          <t>SALA</t>
        </is>
      </c>
      <c r="G364" t="n">
        <v>10.6</v>
      </c>
      <c r="H364" t="n">
        <v>0</v>
      </c>
      <c r="I364" t="n">
        <v>0</v>
      </c>
      <c r="J364" t="n">
        <v>0</v>
      </c>
      <c r="K364" t="n">
        <v>0</v>
      </c>
      <c r="L364" t="n">
        <v>0</v>
      </c>
      <c r="M364" t="n">
        <v>0</v>
      </c>
      <c r="N364" t="n">
        <v>0</v>
      </c>
      <c r="O364" t="n">
        <v>0</v>
      </c>
      <c r="P364" t="n">
        <v>0</v>
      </c>
      <c r="Q364" t="n">
        <v>0</v>
      </c>
      <c r="R364" s="2" t="inlineStr"/>
    </row>
    <row r="365" ht="15" customHeight="1">
      <c r="A365" t="inlineStr">
        <is>
          <t>A 23810-2025</t>
        </is>
      </c>
      <c r="B365" s="1" t="n">
        <v>45793.56989583333</v>
      </c>
      <c r="C365" s="1" t="n">
        <v>46126</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46661-2025</t>
        </is>
      </c>
      <c r="B366" s="1" t="n">
        <v>45926</v>
      </c>
      <c r="C366" s="1" t="n">
        <v>46126</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24944-2023</t>
        </is>
      </c>
      <c r="B367" s="1" t="n">
        <v>45085</v>
      </c>
      <c r="C367" s="1" t="n">
        <v>46126</v>
      </c>
      <c r="D367" t="inlineStr">
        <is>
          <t>VÄSTMANLANDS LÄN</t>
        </is>
      </c>
      <c r="E367" t="inlineStr">
        <is>
          <t>SALA</t>
        </is>
      </c>
      <c r="G367" t="n">
        <v>3.8</v>
      </c>
      <c r="H367" t="n">
        <v>0</v>
      </c>
      <c r="I367" t="n">
        <v>0</v>
      </c>
      <c r="J367" t="n">
        <v>0</v>
      </c>
      <c r="K367" t="n">
        <v>0</v>
      </c>
      <c r="L367" t="n">
        <v>0</v>
      </c>
      <c r="M367" t="n">
        <v>0</v>
      </c>
      <c r="N367" t="n">
        <v>0</v>
      </c>
      <c r="O367" t="n">
        <v>0</v>
      </c>
      <c r="P367" t="n">
        <v>0</v>
      </c>
      <c r="Q367" t="n">
        <v>0</v>
      </c>
      <c r="R367" s="2" t="inlineStr"/>
    </row>
    <row r="368" ht="15" customHeight="1">
      <c r="A368" t="inlineStr">
        <is>
          <t>A 36393-2023</t>
        </is>
      </c>
      <c r="B368" s="1" t="n">
        <v>45152</v>
      </c>
      <c r="C368" s="1" t="n">
        <v>46126</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45790-2023</t>
        </is>
      </c>
      <c r="B369" s="1" t="n">
        <v>45195.45958333334</v>
      </c>
      <c r="C369" s="1" t="n">
        <v>46126</v>
      </c>
      <c r="D369" t="inlineStr">
        <is>
          <t>VÄSTMANLANDS LÄN</t>
        </is>
      </c>
      <c r="E369" t="inlineStr">
        <is>
          <t>SALA</t>
        </is>
      </c>
      <c r="G369" t="n">
        <v>5.7</v>
      </c>
      <c r="H369" t="n">
        <v>0</v>
      </c>
      <c r="I369" t="n">
        <v>0</v>
      </c>
      <c r="J369" t="n">
        <v>0</v>
      </c>
      <c r="K369" t="n">
        <v>0</v>
      </c>
      <c r="L369" t="n">
        <v>0</v>
      </c>
      <c r="M369" t="n">
        <v>0</v>
      </c>
      <c r="N369" t="n">
        <v>0</v>
      </c>
      <c r="O369" t="n">
        <v>0</v>
      </c>
      <c r="P369" t="n">
        <v>0</v>
      </c>
      <c r="Q369" t="n">
        <v>0</v>
      </c>
      <c r="R369" s="2" t="inlineStr"/>
    </row>
    <row r="370" ht="15" customHeight="1">
      <c r="A370" t="inlineStr">
        <is>
          <t>A 23804-2025</t>
        </is>
      </c>
      <c r="B370" s="1" t="n">
        <v>45793.55995370371</v>
      </c>
      <c r="C370" s="1" t="n">
        <v>46126</v>
      </c>
      <c r="D370" t="inlineStr">
        <is>
          <t>VÄSTMANLANDS LÄN</t>
        </is>
      </c>
      <c r="E370" t="inlineStr">
        <is>
          <t>SALA</t>
        </is>
      </c>
      <c r="G370" t="n">
        <v>1.9</v>
      </c>
      <c r="H370" t="n">
        <v>0</v>
      </c>
      <c r="I370" t="n">
        <v>0</v>
      </c>
      <c r="J370" t="n">
        <v>0</v>
      </c>
      <c r="K370" t="n">
        <v>0</v>
      </c>
      <c r="L370" t="n">
        <v>0</v>
      </c>
      <c r="M370" t="n">
        <v>0</v>
      </c>
      <c r="N370" t="n">
        <v>0</v>
      </c>
      <c r="O370" t="n">
        <v>0</v>
      </c>
      <c r="P370" t="n">
        <v>0</v>
      </c>
      <c r="Q370" t="n">
        <v>0</v>
      </c>
      <c r="R370" s="2" t="inlineStr"/>
    </row>
    <row r="371" ht="15" customHeight="1">
      <c r="A371" t="inlineStr">
        <is>
          <t>A 56949-2023</t>
        </is>
      </c>
      <c r="B371" s="1" t="n">
        <v>45244.61589120371</v>
      </c>
      <c r="C371" s="1" t="n">
        <v>46126</v>
      </c>
      <c r="D371" t="inlineStr">
        <is>
          <t>VÄSTMANLANDS LÄN</t>
        </is>
      </c>
      <c r="E371" t="inlineStr">
        <is>
          <t>SALA</t>
        </is>
      </c>
      <c r="G371" t="n">
        <v>4.7</v>
      </c>
      <c r="H371" t="n">
        <v>0</v>
      </c>
      <c r="I371" t="n">
        <v>0</v>
      </c>
      <c r="J371" t="n">
        <v>0</v>
      </c>
      <c r="K371" t="n">
        <v>0</v>
      </c>
      <c r="L371" t="n">
        <v>0</v>
      </c>
      <c r="M371" t="n">
        <v>0</v>
      </c>
      <c r="N371" t="n">
        <v>0</v>
      </c>
      <c r="O371" t="n">
        <v>0</v>
      </c>
      <c r="P371" t="n">
        <v>0</v>
      </c>
      <c r="Q371" t="n">
        <v>0</v>
      </c>
      <c r="R371" s="2" t="inlineStr"/>
    </row>
    <row r="372" ht="15" customHeight="1">
      <c r="A372" t="inlineStr">
        <is>
          <t>A 11210-2025</t>
        </is>
      </c>
      <c r="B372" s="1" t="n">
        <v>45726</v>
      </c>
      <c r="C372" s="1" t="n">
        <v>46126</v>
      </c>
      <c r="D372" t="inlineStr">
        <is>
          <t>VÄSTMANLANDS LÄN</t>
        </is>
      </c>
      <c r="E372" t="inlineStr">
        <is>
          <t>SALA</t>
        </is>
      </c>
      <c r="G372" t="n">
        <v>4.1</v>
      </c>
      <c r="H372" t="n">
        <v>0</v>
      </c>
      <c r="I372" t="n">
        <v>0</v>
      </c>
      <c r="J372" t="n">
        <v>0</v>
      </c>
      <c r="K372" t="n">
        <v>0</v>
      </c>
      <c r="L372" t="n">
        <v>0</v>
      </c>
      <c r="M372" t="n">
        <v>0</v>
      </c>
      <c r="N372" t="n">
        <v>0</v>
      </c>
      <c r="O372" t="n">
        <v>0</v>
      </c>
      <c r="P372" t="n">
        <v>0</v>
      </c>
      <c r="Q372" t="n">
        <v>0</v>
      </c>
      <c r="R372" s="2" t="inlineStr"/>
    </row>
    <row r="373" ht="15" customHeight="1">
      <c r="A373" t="inlineStr">
        <is>
          <t>A 46915-2025</t>
        </is>
      </c>
      <c r="B373" s="1" t="n">
        <v>45929.42114583333</v>
      </c>
      <c r="C373" s="1" t="n">
        <v>46126</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19297-2025</t>
        </is>
      </c>
      <c r="B374" s="1" t="n">
        <v>45769.56261574074</v>
      </c>
      <c r="C374" s="1" t="n">
        <v>46126</v>
      </c>
      <c r="D374" t="inlineStr">
        <is>
          <t>VÄSTMANLANDS LÄN</t>
        </is>
      </c>
      <c r="E374" t="inlineStr">
        <is>
          <t>SALA</t>
        </is>
      </c>
      <c r="G374" t="n">
        <v>0.8</v>
      </c>
      <c r="H374" t="n">
        <v>0</v>
      </c>
      <c r="I374" t="n">
        <v>0</v>
      </c>
      <c r="J374" t="n">
        <v>0</v>
      </c>
      <c r="K374" t="n">
        <v>0</v>
      </c>
      <c r="L374" t="n">
        <v>0</v>
      </c>
      <c r="M374" t="n">
        <v>0</v>
      </c>
      <c r="N374" t="n">
        <v>0</v>
      </c>
      <c r="O374" t="n">
        <v>0</v>
      </c>
      <c r="P374" t="n">
        <v>0</v>
      </c>
      <c r="Q374" t="n">
        <v>0</v>
      </c>
      <c r="R374" s="2" t="inlineStr"/>
    </row>
    <row r="375" ht="15" customHeight="1">
      <c r="A375" t="inlineStr">
        <is>
          <t>A 40214-2023</t>
        </is>
      </c>
      <c r="B375" s="1" t="n">
        <v>45169.45173611111</v>
      </c>
      <c r="C375" s="1" t="n">
        <v>46126</v>
      </c>
      <c r="D375" t="inlineStr">
        <is>
          <t>VÄSTMANLANDS LÄN</t>
        </is>
      </c>
      <c r="E375" t="inlineStr">
        <is>
          <t>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35016-2024</t>
        </is>
      </c>
      <c r="B376" s="1" t="n">
        <v>45527.59115740741</v>
      </c>
      <c r="C376" s="1" t="n">
        <v>46126</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24460-2025</t>
        </is>
      </c>
      <c r="B377" s="1" t="n">
        <v>45798</v>
      </c>
      <c r="C377" s="1" t="n">
        <v>46126</v>
      </c>
      <c r="D377" t="inlineStr">
        <is>
          <t>VÄSTMANLANDS LÄN</t>
        </is>
      </c>
      <c r="E377" t="inlineStr">
        <is>
          <t>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48057-2025</t>
        </is>
      </c>
      <c r="B378" s="1" t="n">
        <v>45932.67947916667</v>
      </c>
      <c r="C378" s="1" t="n">
        <v>46126</v>
      </c>
      <c r="D378" t="inlineStr">
        <is>
          <t>VÄSTMANLANDS LÄN</t>
        </is>
      </c>
      <c r="E378" t="inlineStr">
        <is>
          <t>SALA</t>
        </is>
      </c>
      <c r="G378" t="n">
        <v>4.3</v>
      </c>
      <c r="H378" t="n">
        <v>0</v>
      </c>
      <c r="I378" t="n">
        <v>0</v>
      </c>
      <c r="J378" t="n">
        <v>0</v>
      </c>
      <c r="K378" t="n">
        <v>0</v>
      </c>
      <c r="L378" t="n">
        <v>0</v>
      </c>
      <c r="M378" t="n">
        <v>0</v>
      </c>
      <c r="N378" t="n">
        <v>0</v>
      </c>
      <c r="O378" t="n">
        <v>0</v>
      </c>
      <c r="P378" t="n">
        <v>0</v>
      </c>
      <c r="Q378" t="n">
        <v>0</v>
      </c>
      <c r="R378" s="2" t="inlineStr"/>
    </row>
    <row r="379" ht="15" customHeight="1">
      <c r="A379" t="inlineStr">
        <is>
          <t>A 37612-2024</t>
        </is>
      </c>
      <c r="B379" s="1" t="n">
        <v>45541</v>
      </c>
      <c r="C379" s="1" t="n">
        <v>46126</v>
      </c>
      <c r="D379" t="inlineStr">
        <is>
          <t>VÄSTMANLANDS LÄN</t>
        </is>
      </c>
      <c r="E379" t="inlineStr">
        <is>
          <t>SALA</t>
        </is>
      </c>
      <c r="G379" t="n">
        <v>2.2</v>
      </c>
      <c r="H379" t="n">
        <v>0</v>
      </c>
      <c r="I379" t="n">
        <v>0</v>
      </c>
      <c r="J379" t="n">
        <v>0</v>
      </c>
      <c r="K379" t="n">
        <v>0</v>
      </c>
      <c r="L379" t="n">
        <v>0</v>
      </c>
      <c r="M379" t="n">
        <v>0</v>
      </c>
      <c r="N379" t="n">
        <v>0</v>
      </c>
      <c r="O379" t="n">
        <v>0</v>
      </c>
      <c r="P379" t="n">
        <v>0</v>
      </c>
      <c r="Q379" t="n">
        <v>0</v>
      </c>
      <c r="R379" s="2" t="inlineStr"/>
    </row>
    <row r="380" ht="15" customHeight="1">
      <c r="A380" t="inlineStr">
        <is>
          <t>A 37615-2024</t>
        </is>
      </c>
      <c r="B380" s="1" t="n">
        <v>45541.50673611111</v>
      </c>
      <c r="C380" s="1" t="n">
        <v>46126</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5728-2022</t>
        </is>
      </c>
      <c r="B381" s="1" t="n">
        <v>44596.42082175926</v>
      </c>
      <c r="C381" s="1" t="n">
        <v>46126</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47577-2025</t>
        </is>
      </c>
      <c r="B382" s="1" t="n">
        <v>45931.4047337963</v>
      </c>
      <c r="C382" s="1" t="n">
        <v>46126</v>
      </c>
      <c r="D382" t="inlineStr">
        <is>
          <t>VÄSTMANLANDS LÄN</t>
        </is>
      </c>
      <c r="E382" t="inlineStr">
        <is>
          <t>SALA</t>
        </is>
      </c>
      <c r="G382" t="n">
        <v>3.7</v>
      </c>
      <c r="H382" t="n">
        <v>0</v>
      </c>
      <c r="I382" t="n">
        <v>0</v>
      </c>
      <c r="J382" t="n">
        <v>0</v>
      </c>
      <c r="K382" t="n">
        <v>0</v>
      </c>
      <c r="L382" t="n">
        <v>0</v>
      </c>
      <c r="M382" t="n">
        <v>0</v>
      </c>
      <c r="N382" t="n">
        <v>0</v>
      </c>
      <c r="O382" t="n">
        <v>0</v>
      </c>
      <c r="P382" t="n">
        <v>0</v>
      </c>
      <c r="Q382" t="n">
        <v>0</v>
      </c>
      <c r="R382" s="2" t="inlineStr"/>
    </row>
    <row r="383" ht="15" customHeight="1">
      <c r="A383" t="inlineStr">
        <is>
          <t>A 55065-2024</t>
        </is>
      </c>
      <c r="B383" s="1" t="n">
        <v>45618</v>
      </c>
      <c r="C383" s="1" t="n">
        <v>46126</v>
      </c>
      <c r="D383" t="inlineStr">
        <is>
          <t>VÄSTMANLANDS LÄN</t>
        </is>
      </c>
      <c r="E383" t="inlineStr">
        <is>
          <t>SALA</t>
        </is>
      </c>
      <c r="G383" t="n">
        <v>3.5</v>
      </c>
      <c r="H383" t="n">
        <v>0</v>
      </c>
      <c r="I383" t="n">
        <v>0</v>
      </c>
      <c r="J383" t="n">
        <v>0</v>
      </c>
      <c r="K383" t="n">
        <v>0</v>
      </c>
      <c r="L383" t="n">
        <v>0</v>
      </c>
      <c r="M383" t="n">
        <v>0</v>
      </c>
      <c r="N383" t="n">
        <v>0</v>
      </c>
      <c r="O383" t="n">
        <v>0</v>
      </c>
      <c r="P383" t="n">
        <v>0</v>
      </c>
      <c r="Q383" t="n">
        <v>0</v>
      </c>
      <c r="R383" s="2" t="inlineStr"/>
    </row>
    <row r="384" ht="15" customHeight="1">
      <c r="A384" t="inlineStr">
        <is>
          <t>A 24463-2025</t>
        </is>
      </c>
      <c r="B384" s="1" t="n">
        <v>45798</v>
      </c>
      <c r="C384" s="1" t="n">
        <v>46126</v>
      </c>
      <c r="D384" t="inlineStr">
        <is>
          <t>VÄSTMANLANDS LÄN</t>
        </is>
      </c>
      <c r="E384" t="inlineStr">
        <is>
          <t>SALA</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19751-2022</t>
        </is>
      </c>
      <c r="B385" s="1" t="n">
        <v>44694</v>
      </c>
      <c r="C385" s="1" t="n">
        <v>46126</v>
      </c>
      <c r="D385" t="inlineStr">
        <is>
          <t>VÄSTMANLANDS LÄN</t>
        </is>
      </c>
      <c r="E385" t="inlineStr">
        <is>
          <t>SALA</t>
        </is>
      </c>
      <c r="G385" t="n">
        <v>2.7</v>
      </c>
      <c r="H385" t="n">
        <v>0</v>
      </c>
      <c r="I385" t="n">
        <v>0</v>
      </c>
      <c r="J385" t="n">
        <v>0</v>
      </c>
      <c r="K385" t="n">
        <v>0</v>
      </c>
      <c r="L385" t="n">
        <v>0</v>
      </c>
      <c r="M385" t="n">
        <v>0</v>
      </c>
      <c r="N385" t="n">
        <v>0</v>
      </c>
      <c r="O385" t="n">
        <v>0</v>
      </c>
      <c r="P385" t="n">
        <v>0</v>
      </c>
      <c r="Q385" t="n">
        <v>0</v>
      </c>
      <c r="R385" s="2" t="inlineStr"/>
    </row>
    <row r="386" ht="15" customHeight="1">
      <c r="A386" t="inlineStr">
        <is>
          <t>A 48710-2025</t>
        </is>
      </c>
      <c r="B386" s="1" t="n">
        <v>45936.63184027778</v>
      </c>
      <c r="C386" s="1" t="n">
        <v>46126</v>
      </c>
      <c r="D386" t="inlineStr">
        <is>
          <t>VÄSTMANLANDS LÄN</t>
        </is>
      </c>
      <c r="E386" t="inlineStr">
        <is>
          <t>SALA</t>
        </is>
      </c>
      <c r="G386" t="n">
        <v>2.7</v>
      </c>
      <c r="H386" t="n">
        <v>0</v>
      </c>
      <c r="I386" t="n">
        <v>0</v>
      </c>
      <c r="J386" t="n">
        <v>0</v>
      </c>
      <c r="K386" t="n">
        <v>0</v>
      </c>
      <c r="L386" t="n">
        <v>0</v>
      </c>
      <c r="M386" t="n">
        <v>0</v>
      </c>
      <c r="N386" t="n">
        <v>0</v>
      </c>
      <c r="O386" t="n">
        <v>0</v>
      </c>
      <c r="P386" t="n">
        <v>0</v>
      </c>
      <c r="Q386" t="n">
        <v>0</v>
      </c>
      <c r="R386" s="2" t="inlineStr"/>
    </row>
    <row r="387" ht="15" customHeight="1">
      <c r="A387" t="inlineStr">
        <is>
          <t>A 24907-2025</t>
        </is>
      </c>
      <c r="B387" s="1" t="n">
        <v>45799</v>
      </c>
      <c r="C387" s="1" t="n">
        <v>46126</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24910-2025</t>
        </is>
      </c>
      <c r="B388" s="1" t="n">
        <v>45799.53775462963</v>
      </c>
      <c r="C388" s="1" t="n">
        <v>46126</v>
      </c>
      <c r="D388" t="inlineStr">
        <is>
          <t>VÄSTMANLANDS LÄN</t>
        </is>
      </c>
      <c r="E388" t="inlineStr">
        <is>
          <t>SALA</t>
        </is>
      </c>
      <c r="G388" t="n">
        <v>3.5</v>
      </c>
      <c r="H388" t="n">
        <v>0</v>
      </c>
      <c r="I388" t="n">
        <v>0</v>
      </c>
      <c r="J388" t="n">
        <v>0</v>
      </c>
      <c r="K388" t="n">
        <v>0</v>
      </c>
      <c r="L388" t="n">
        <v>0</v>
      </c>
      <c r="M388" t="n">
        <v>0</v>
      </c>
      <c r="N388" t="n">
        <v>0</v>
      </c>
      <c r="O388" t="n">
        <v>0</v>
      </c>
      <c r="P388" t="n">
        <v>0</v>
      </c>
      <c r="Q388" t="n">
        <v>0</v>
      </c>
      <c r="R388" s="2" t="inlineStr"/>
    </row>
    <row r="389" ht="15" customHeight="1">
      <c r="A389" t="inlineStr">
        <is>
          <t>A 6312-2025</t>
        </is>
      </c>
      <c r="B389" s="1" t="n">
        <v>45698</v>
      </c>
      <c r="C389" s="1" t="n">
        <v>46126</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46126</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55035-2023</t>
        </is>
      </c>
      <c r="B391" s="1" t="n">
        <v>45229</v>
      </c>
      <c r="C391" s="1" t="n">
        <v>46126</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10909-2024</t>
        </is>
      </c>
      <c r="B392" s="1" t="n">
        <v>45370</v>
      </c>
      <c r="C392" s="1" t="n">
        <v>46126</v>
      </c>
      <c r="D392" t="inlineStr">
        <is>
          <t>VÄSTMANLANDS LÄN</t>
        </is>
      </c>
      <c r="E392" t="inlineStr">
        <is>
          <t>SALA</t>
        </is>
      </c>
      <c r="G392" t="n">
        <v>3.3</v>
      </c>
      <c r="H392" t="n">
        <v>0</v>
      </c>
      <c r="I392" t="n">
        <v>0</v>
      </c>
      <c r="J392" t="n">
        <v>0</v>
      </c>
      <c r="K392" t="n">
        <v>0</v>
      </c>
      <c r="L392" t="n">
        <v>0</v>
      </c>
      <c r="M392" t="n">
        <v>0</v>
      </c>
      <c r="N392" t="n">
        <v>0</v>
      </c>
      <c r="O392" t="n">
        <v>0</v>
      </c>
      <c r="P392" t="n">
        <v>0</v>
      </c>
      <c r="Q392" t="n">
        <v>0</v>
      </c>
      <c r="R392" s="2" t="inlineStr"/>
    </row>
    <row r="393" ht="15" customHeight="1">
      <c r="A393" t="inlineStr">
        <is>
          <t>A 48910-2025</t>
        </is>
      </c>
      <c r="B393" s="1" t="n">
        <v>45937.48649305556</v>
      </c>
      <c r="C393" s="1" t="n">
        <v>46126</v>
      </c>
      <c r="D393" t="inlineStr">
        <is>
          <t>VÄSTMANLANDS LÄN</t>
        </is>
      </c>
      <c r="E393" t="inlineStr">
        <is>
          <t>SALA</t>
        </is>
      </c>
      <c r="G393" t="n">
        <v>7.8</v>
      </c>
      <c r="H393" t="n">
        <v>0</v>
      </c>
      <c r="I393" t="n">
        <v>0</v>
      </c>
      <c r="J393" t="n">
        <v>0</v>
      </c>
      <c r="K393" t="n">
        <v>0</v>
      </c>
      <c r="L393" t="n">
        <v>0</v>
      </c>
      <c r="M393" t="n">
        <v>0</v>
      </c>
      <c r="N393" t="n">
        <v>0</v>
      </c>
      <c r="O393" t="n">
        <v>0</v>
      </c>
      <c r="P393" t="n">
        <v>0</v>
      </c>
      <c r="Q393" t="n">
        <v>0</v>
      </c>
      <c r="R393" s="2" t="inlineStr"/>
    </row>
    <row r="394" ht="15" customHeight="1">
      <c r="A394" t="inlineStr">
        <is>
          <t>A 49640-2025</t>
        </is>
      </c>
      <c r="B394" s="1" t="n">
        <v>45939.61459490741</v>
      </c>
      <c r="C394" s="1" t="n">
        <v>46126</v>
      </c>
      <c r="D394" t="inlineStr">
        <is>
          <t>VÄSTMANLANDS LÄN</t>
        </is>
      </c>
      <c r="E394" t="inlineStr">
        <is>
          <t>SALA</t>
        </is>
      </c>
      <c r="F394" t="inlineStr">
        <is>
          <t>Kommuner</t>
        </is>
      </c>
      <c r="G394" t="n">
        <v>18.8</v>
      </c>
      <c r="H394" t="n">
        <v>0</v>
      </c>
      <c r="I394" t="n">
        <v>0</v>
      </c>
      <c r="J394" t="n">
        <v>0</v>
      </c>
      <c r="K394" t="n">
        <v>0</v>
      </c>
      <c r="L394" t="n">
        <v>0</v>
      </c>
      <c r="M394" t="n">
        <v>0</v>
      </c>
      <c r="N394" t="n">
        <v>0</v>
      </c>
      <c r="O394" t="n">
        <v>0</v>
      </c>
      <c r="P394" t="n">
        <v>0</v>
      </c>
      <c r="Q394" t="n">
        <v>0</v>
      </c>
      <c r="R394" s="2" t="inlineStr"/>
    </row>
    <row r="395" ht="15" customHeight="1">
      <c r="A395" t="inlineStr">
        <is>
          <t>A 52500-2024</t>
        </is>
      </c>
      <c r="B395" s="1" t="n">
        <v>45609</v>
      </c>
      <c r="C395" s="1" t="n">
        <v>46126</v>
      </c>
      <c r="D395" t="inlineStr">
        <is>
          <t>VÄSTMANLANDS LÄN</t>
        </is>
      </c>
      <c r="E395" t="inlineStr">
        <is>
          <t>SALA</t>
        </is>
      </c>
      <c r="G395" t="n">
        <v>1.3</v>
      </c>
      <c r="H395" t="n">
        <v>0</v>
      </c>
      <c r="I395" t="n">
        <v>0</v>
      </c>
      <c r="J395" t="n">
        <v>0</v>
      </c>
      <c r="K395" t="n">
        <v>0</v>
      </c>
      <c r="L395" t="n">
        <v>0</v>
      </c>
      <c r="M395" t="n">
        <v>0</v>
      </c>
      <c r="N395" t="n">
        <v>0</v>
      </c>
      <c r="O395" t="n">
        <v>0</v>
      </c>
      <c r="P395" t="n">
        <v>0</v>
      </c>
      <c r="Q395" t="n">
        <v>0</v>
      </c>
      <c r="R395" s="2" t="inlineStr"/>
    </row>
    <row r="396" ht="15" customHeight="1">
      <c r="A396" t="inlineStr">
        <is>
          <t>A 11696-2025</t>
        </is>
      </c>
      <c r="B396" s="1" t="n">
        <v>45727</v>
      </c>
      <c r="C396" s="1" t="n">
        <v>46126</v>
      </c>
      <c r="D396" t="inlineStr">
        <is>
          <t>VÄSTMANLANDS LÄN</t>
        </is>
      </c>
      <c r="E396" t="inlineStr">
        <is>
          <t>SALA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49585-2025</t>
        </is>
      </c>
      <c r="B397" s="1" t="n">
        <v>45939.5043287037</v>
      </c>
      <c r="C397" s="1" t="n">
        <v>46126</v>
      </c>
      <c r="D397" t="inlineStr">
        <is>
          <t>VÄSTMANLANDS LÄN</t>
        </is>
      </c>
      <c r="E397" t="inlineStr">
        <is>
          <t>SALA</t>
        </is>
      </c>
      <c r="G397" t="n">
        <v>2.2</v>
      </c>
      <c r="H397" t="n">
        <v>0</v>
      </c>
      <c r="I397" t="n">
        <v>0</v>
      </c>
      <c r="J397" t="n">
        <v>0</v>
      </c>
      <c r="K397" t="n">
        <v>0</v>
      </c>
      <c r="L397" t="n">
        <v>0</v>
      </c>
      <c r="M397" t="n">
        <v>0</v>
      </c>
      <c r="N397" t="n">
        <v>0</v>
      </c>
      <c r="O397" t="n">
        <v>0</v>
      </c>
      <c r="P397" t="n">
        <v>0</v>
      </c>
      <c r="Q397" t="n">
        <v>0</v>
      </c>
      <c r="R397" s="2" t="inlineStr"/>
    </row>
    <row r="398" ht="15" customHeight="1">
      <c r="A398" t="inlineStr">
        <is>
          <t>A 7950-2025</t>
        </is>
      </c>
      <c r="B398" s="1" t="n">
        <v>45707.41799768519</v>
      </c>
      <c r="C398" s="1" t="n">
        <v>46126</v>
      </c>
      <c r="D398" t="inlineStr">
        <is>
          <t>VÄSTMANLANDS LÄN</t>
        </is>
      </c>
      <c r="E398" t="inlineStr">
        <is>
          <t>SALA</t>
        </is>
      </c>
      <c r="G398" t="n">
        <v>3.2</v>
      </c>
      <c r="H398" t="n">
        <v>0</v>
      </c>
      <c r="I398" t="n">
        <v>0</v>
      </c>
      <c r="J398" t="n">
        <v>0</v>
      </c>
      <c r="K398" t="n">
        <v>0</v>
      </c>
      <c r="L398" t="n">
        <v>0</v>
      </c>
      <c r="M398" t="n">
        <v>0</v>
      </c>
      <c r="N398" t="n">
        <v>0</v>
      </c>
      <c r="O398" t="n">
        <v>0</v>
      </c>
      <c r="P398" t="n">
        <v>0</v>
      </c>
      <c r="Q398" t="n">
        <v>0</v>
      </c>
      <c r="R398" s="2" t="inlineStr"/>
    </row>
    <row r="399" ht="15" customHeight="1">
      <c r="A399" t="inlineStr">
        <is>
          <t>A 50128-2025</t>
        </is>
      </c>
      <c r="B399" s="1" t="n">
        <v>45943.55318287037</v>
      </c>
      <c r="C399" s="1" t="n">
        <v>46126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50249-2025</t>
        </is>
      </c>
      <c r="B400" s="1" t="n">
        <v>45944.31508101852</v>
      </c>
      <c r="C400" s="1" t="n">
        <v>46126</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50119-2025</t>
        </is>
      </c>
      <c r="B401" s="1" t="n">
        <v>45943.54883101852</v>
      </c>
      <c r="C401" s="1" t="n">
        <v>46126</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50059-2025</t>
        </is>
      </c>
      <c r="B402" s="1" t="n">
        <v>45943.44125</v>
      </c>
      <c r="C402" s="1" t="n">
        <v>46126</v>
      </c>
      <c r="D402" t="inlineStr">
        <is>
          <t>VÄSTMANLANDS LÄN</t>
        </is>
      </c>
      <c r="E402" t="inlineStr">
        <is>
          <t>SALA</t>
        </is>
      </c>
      <c r="G402" t="n">
        <v>4.4</v>
      </c>
      <c r="H402" t="n">
        <v>0</v>
      </c>
      <c r="I402" t="n">
        <v>0</v>
      </c>
      <c r="J402" t="n">
        <v>0</v>
      </c>
      <c r="K402" t="n">
        <v>0</v>
      </c>
      <c r="L402" t="n">
        <v>0</v>
      </c>
      <c r="M402" t="n">
        <v>0</v>
      </c>
      <c r="N402" t="n">
        <v>0</v>
      </c>
      <c r="O402" t="n">
        <v>0</v>
      </c>
      <c r="P402" t="n">
        <v>0</v>
      </c>
      <c r="Q402" t="n">
        <v>0</v>
      </c>
      <c r="R402" s="2" t="inlineStr"/>
    </row>
    <row r="403" ht="15" customHeight="1">
      <c r="A403" t="inlineStr">
        <is>
          <t>A 16328-2025</t>
        </is>
      </c>
      <c r="B403" s="1" t="n">
        <v>45751</v>
      </c>
      <c r="C403" s="1" t="n">
        <v>46126</v>
      </c>
      <c r="D403" t="inlineStr">
        <is>
          <t>VÄSTMANLANDS LÄN</t>
        </is>
      </c>
      <c r="E403" t="inlineStr">
        <is>
          <t>SALA</t>
        </is>
      </c>
      <c r="G403" t="n">
        <v>2.9</v>
      </c>
      <c r="H403" t="n">
        <v>0</v>
      </c>
      <c r="I403" t="n">
        <v>0</v>
      </c>
      <c r="J403" t="n">
        <v>0</v>
      </c>
      <c r="K403" t="n">
        <v>0</v>
      </c>
      <c r="L403" t="n">
        <v>0</v>
      </c>
      <c r="M403" t="n">
        <v>0</v>
      </c>
      <c r="N403" t="n">
        <v>0</v>
      </c>
      <c r="O403" t="n">
        <v>0</v>
      </c>
      <c r="P403" t="n">
        <v>0</v>
      </c>
      <c r="Q403" t="n">
        <v>0</v>
      </c>
      <c r="R403" s="2" t="inlineStr"/>
    </row>
    <row r="404" ht="15" customHeight="1">
      <c r="A404" t="inlineStr">
        <is>
          <t>A 26661-2025</t>
        </is>
      </c>
      <c r="B404" s="1" t="n">
        <v>45810</v>
      </c>
      <c r="C404" s="1" t="n">
        <v>46126</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31609-2024</t>
        </is>
      </c>
      <c r="B405" s="1" t="n">
        <v>45506</v>
      </c>
      <c r="C405" s="1" t="n">
        <v>46126</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35410-2022</t>
        </is>
      </c>
      <c r="B406" s="1" t="n">
        <v>44798.62576388889</v>
      </c>
      <c r="C406" s="1" t="n">
        <v>46126</v>
      </c>
      <c r="D406" t="inlineStr">
        <is>
          <t>VÄSTMANLANDS LÄN</t>
        </is>
      </c>
      <c r="E406" t="inlineStr">
        <is>
          <t>SALA</t>
        </is>
      </c>
      <c r="G406" t="n">
        <v>1.6</v>
      </c>
      <c r="H406" t="n">
        <v>0</v>
      </c>
      <c r="I406" t="n">
        <v>0</v>
      </c>
      <c r="J406" t="n">
        <v>0</v>
      </c>
      <c r="K406" t="n">
        <v>0</v>
      </c>
      <c r="L406" t="n">
        <v>0</v>
      </c>
      <c r="M406" t="n">
        <v>0</v>
      </c>
      <c r="N406" t="n">
        <v>0</v>
      </c>
      <c r="O406" t="n">
        <v>0</v>
      </c>
      <c r="P406" t="n">
        <v>0</v>
      </c>
      <c r="Q406" t="n">
        <v>0</v>
      </c>
      <c r="R406" s="2" t="inlineStr"/>
    </row>
    <row r="407" ht="15" customHeight="1">
      <c r="A407" t="inlineStr">
        <is>
          <t>A 43509-2021</t>
        </is>
      </c>
      <c r="B407" s="1" t="n">
        <v>44433</v>
      </c>
      <c r="C407" s="1" t="n">
        <v>46126</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28193-2025</t>
        </is>
      </c>
      <c r="B408" s="1" t="n">
        <v>45818.425625</v>
      </c>
      <c r="C408" s="1" t="n">
        <v>46126</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27981-2025</t>
        </is>
      </c>
      <c r="B409" s="1" t="n">
        <v>45817.57471064815</v>
      </c>
      <c r="C409" s="1" t="n">
        <v>46126</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51626-2025</t>
        </is>
      </c>
      <c r="B410" s="1" t="n">
        <v>45951.41769675926</v>
      </c>
      <c r="C410" s="1" t="n">
        <v>46126</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51690-2025</t>
        </is>
      </c>
      <c r="B411" s="1" t="n">
        <v>45951.53462962963</v>
      </c>
      <c r="C411" s="1" t="n">
        <v>46126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28278-2025</t>
        </is>
      </c>
      <c r="B412" s="1" t="n">
        <v>45818.58454861111</v>
      </c>
      <c r="C412" s="1" t="n">
        <v>46126</v>
      </c>
      <c r="D412" t="inlineStr">
        <is>
          <t>VÄSTMANLANDS LÄN</t>
        </is>
      </c>
      <c r="E412" t="inlineStr">
        <is>
          <t>SALA</t>
        </is>
      </c>
      <c r="G412" t="n">
        <v>7.6</v>
      </c>
      <c r="H412" t="n">
        <v>0</v>
      </c>
      <c r="I412" t="n">
        <v>0</v>
      </c>
      <c r="J412" t="n">
        <v>0</v>
      </c>
      <c r="K412" t="n">
        <v>0</v>
      </c>
      <c r="L412" t="n">
        <v>0</v>
      </c>
      <c r="M412" t="n">
        <v>0</v>
      </c>
      <c r="N412" t="n">
        <v>0</v>
      </c>
      <c r="O412" t="n">
        <v>0</v>
      </c>
      <c r="P412" t="n">
        <v>0</v>
      </c>
      <c r="Q412" t="n">
        <v>0</v>
      </c>
      <c r="R412" s="2" t="inlineStr"/>
    </row>
    <row r="413" ht="15" customHeight="1">
      <c r="A413" t="inlineStr">
        <is>
          <t>A 51809-2025</t>
        </is>
      </c>
      <c r="B413" s="1" t="n">
        <v>45951.80116898148</v>
      </c>
      <c r="C413" s="1" t="n">
        <v>46126</v>
      </c>
      <c r="D413" t="inlineStr">
        <is>
          <t>VÄSTMANLANDS LÄN</t>
        </is>
      </c>
      <c r="E413" t="inlineStr">
        <is>
          <t>SALA</t>
        </is>
      </c>
      <c r="F413" t="inlineStr">
        <is>
          <t>Kommuner</t>
        </is>
      </c>
      <c r="G413" t="n">
        <v>3.5</v>
      </c>
      <c r="H413" t="n">
        <v>0</v>
      </c>
      <c r="I413" t="n">
        <v>0</v>
      </c>
      <c r="J413" t="n">
        <v>0</v>
      </c>
      <c r="K413" t="n">
        <v>0</v>
      </c>
      <c r="L413" t="n">
        <v>0</v>
      </c>
      <c r="M413" t="n">
        <v>0</v>
      </c>
      <c r="N413" t="n">
        <v>0</v>
      </c>
      <c r="O413" t="n">
        <v>0</v>
      </c>
      <c r="P413" t="n">
        <v>0</v>
      </c>
      <c r="Q413" t="n">
        <v>0</v>
      </c>
      <c r="R413" s="2" t="inlineStr"/>
    </row>
    <row r="414" ht="15" customHeight="1">
      <c r="A414" t="inlineStr">
        <is>
          <t>A 27989-2025</t>
        </is>
      </c>
      <c r="B414" s="1" t="n">
        <v>45817.58716435185</v>
      </c>
      <c r="C414" s="1" t="n">
        <v>46126</v>
      </c>
      <c r="D414" t="inlineStr">
        <is>
          <t>VÄSTMANLANDS LÄN</t>
        </is>
      </c>
      <c r="E414" t="inlineStr">
        <is>
          <t>SALA</t>
        </is>
      </c>
      <c r="G414" t="n">
        <v>1.9</v>
      </c>
      <c r="H414" t="n">
        <v>0</v>
      </c>
      <c r="I414" t="n">
        <v>0</v>
      </c>
      <c r="J414" t="n">
        <v>0</v>
      </c>
      <c r="K414" t="n">
        <v>0</v>
      </c>
      <c r="L414" t="n">
        <v>0</v>
      </c>
      <c r="M414" t="n">
        <v>0</v>
      </c>
      <c r="N414" t="n">
        <v>0</v>
      </c>
      <c r="O414" t="n">
        <v>0</v>
      </c>
      <c r="P414" t="n">
        <v>0</v>
      </c>
      <c r="Q414" t="n">
        <v>0</v>
      </c>
      <c r="R414" s="2" t="inlineStr"/>
    </row>
    <row r="415" ht="15" customHeight="1">
      <c r="A415" t="inlineStr">
        <is>
          <t>A 51803-2025</t>
        </is>
      </c>
      <c r="B415" s="1" t="n">
        <v>45951.76818287037</v>
      </c>
      <c r="C415" s="1" t="n">
        <v>46126</v>
      </c>
      <c r="D415" t="inlineStr">
        <is>
          <t>VÄSTMANLANDS LÄN</t>
        </is>
      </c>
      <c r="E415" t="inlineStr">
        <is>
          <t>SALA</t>
        </is>
      </c>
      <c r="F415" t="inlineStr">
        <is>
          <t>Kommuner</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51805-2025</t>
        </is>
      </c>
      <c r="B416" s="1" t="n">
        <v>45951.78359953704</v>
      </c>
      <c r="C416" s="1" t="n">
        <v>46126</v>
      </c>
      <c r="D416" t="inlineStr">
        <is>
          <t>VÄSTMANLANDS LÄN</t>
        </is>
      </c>
      <c r="E416" t="inlineStr">
        <is>
          <t>SALA</t>
        </is>
      </c>
      <c r="F416" t="inlineStr">
        <is>
          <t>Kommuner</t>
        </is>
      </c>
      <c r="G416" t="n">
        <v>1.3</v>
      </c>
      <c r="H416" t="n">
        <v>0</v>
      </c>
      <c r="I416" t="n">
        <v>0</v>
      </c>
      <c r="J416" t="n">
        <v>0</v>
      </c>
      <c r="K416" t="n">
        <v>0</v>
      </c>
      <c r="L416" t="n">
        <v>0</v>
      </c>
      <c r="M416" t="n">
        <v>0</v>
      </c>
      <c r="N416" t="n">
        <v>0</v>
      </c>
      <c r="O416" t="n">
        <v>0</v>
      </c>
      <c r="P416" t="n">
        <v>0</v>
      </c>
      <c r="Q416" t="n">
        <v>0</v>
      </c>
      <c r="R416" s="2" t="inlineStr"/>
    </row>
    <row r="417" ht="15" customHeight="1">
      <c r="A417" t="inlineStr">
        <is>
          <t>A 28284-2025</t>
        </is>
      </c>
      <c r="B417" s="1" t="n">
        <v>45818.58893518519</v>
      </c>
      <c r="C417" s="1" t="n">
        <v>46126</v>
      </c>
      <c r="D417" t="inlineStr">
        <is>
          <t>VÄSTMANLANDS LÄN</t>
        </is>
      </c>
      <c r="E417" t="inlineStr">
        <is>
          <t>SALA</t>
        </is>
      </c>
      <c r="G417" t="n">
        <v>2.4</v>
      </c>
      <c r="H417" t="n">
        <v>0</v>
      </c>
      <c r="I417" t="n">
        <v>0</v>
      </c>
      <c r="J417" t="n">
        <v>0</v>
      </c>
      <c r="K417" t="n">
        <v>0</v>
      </c>
      <c r="L417" t="n">
        <v>0</v>
      </c>
      <c r="M417" t="n">
        <v>0</v>
      </c>
      <c r="N417" t="n">
        <v>0</v>
      </c>
      <c r="O417" t="n">
        <v>0</v>
      </c>
      <c r="P417" t="n">
        <v>0</v>
      </c>
      <c r="Q417" t="n">
        <v>0</v>
      </c>
      <c r="R417" s="2" t="inlineStr"/>
    </row>
    <row r="418" ht="15" customHeight="1">
      <c r="A418" t="inlineStr">
        <is>
          <t>A 51804-2025</t>
        </is>
      </c>
      <c r="B418" s="1" t="n">
        <v>45951.77697916667</v>
      </c>
      <c r="C418" s="1" t="n">
        <v>46126</v>
      </c>
      <c r="D418" t="inlineStr">
        <is>
          <t>VÄSTMANLANDS LÄN</t>
        </is>
      </c>
      <c r="E418" t="inlineStr">
        <is>
          <t>SALA</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51808-2025</t>
        </is>
      </c>
      <c r="B419" s="1" t="n">
        <v>45951.79302083333</v>
      </c>
      <c r="C419" s="1" t="n">
        <v>46126</v>
      </c>
      <c r="D419" t="inlineStr">
        <is>
          <t>VÄSTMANLANDS LÄN</t>
        </is>
      </c>
      <c r="E419" t="inlineStr">
        <is>
          <t>SALA</t>
        </is>
      </c>
      <c r="F419" t="inlineStr">
        <is>
          <t>Kommuner</t>
        </is>
      </c>
      <c r="G419" t="n">
        <v>3</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46126</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13746-2025</t>
        </is>
      </c>
      <c r="B421" s="1" t="n">
        <v>45737.40944444444</v>
      </c>
      <c r="C421" s="1" t="n">
        <v>46126</v>
      </c>
      <c r="D421" t="inlineStr">
        <is>
          <t>VÄSTMANLANDS LÄN</t>
        </is>
      </c>
      <c r="E421" t="inlineStr">
        <is>
          <t>SALA</t>
        </is>
      </c>
      <c r="G421" t="n">
        <v>2.1</v>
      </c>
      <c r="H421" t="n">
        <v>0</v>
      </c>
      <c r="I421" t="n">
        <v>0</v>
      </c>
      <c r="J421" t="n">
        <v>0</v>
      </c>
      <c r="K421" t="n">
        <v>0</v>
      </c>
      <c r="L421" t="n">
        <v>0</v>
      </c>
      <c r="M421" t="n">
        <v>0</v>
      </c>
      <c r="N421" t="n">
        <v>0</v>
      </c>
      <c r="O421" t="n">
        <v>0</v>
      </c>
      <c r="P421" t="n">
        <v>0</v>
      </c>
      <c r="Q421" t="n">
        <v>0</v>
      </c>
      <c r="R421" s="2" t="inlineStr"/>
    </row>
    <row r="422" ht="15" customHeight="1">
      <c r="A422" t="inlineStr">
        <is>
          <t>A 28632-2025</t>
        </is>
      </c>
      <c r="B422" s="1" t="n">
        <v>45819.62344907408</v>
      </c>
      <c r="C422" s="1" t="n">
        <v>46126</v>
      </c>
      <c r="D422" t="inlineStr">
        <is>
          <t>VÄSTMANLANDS LÄN</t>
        </is>
      </c>
      <c r="E422" t="inlineStr">
        <is>
          <t>SALA</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25897-2024</t>
        </is>
      </c>
      <c r="B423" s="1" t="n">
        <v>45467.54435185185</v>
      </c>
      <c r="C423" s="1" t="n">
        <v>46126</v>
      </c>
      <c r="D423" t="inlineStr">
        <is>
          <t>VÄSTMANLANDS LÄN</t>
        </is>
      </c>
      <c r="E423" t="inlineStr">
        <is>
          <t>SALA</t>
        </is>
      </c>
      <c r="G423" t="n">
        <v>9.9</v>
      </c>
      <c r="H423" t="n">
        <v>0</v>
      </c>
      <c r="I423" t="n">
        <v>0</v>
      </c>
      <c r="J423" t="n">
        <v>0</v>
      </c>
      <c r="K423" t="n">
        <v>0</v>
      </c>
      <c r="L423" t="n">
        <v>0</v>
      </c>
      <c r="M423" t="n">
        <v>0</v>
      </c>
      <c r="N423" t="n">
        <v>0</v>
      </c>
      <c r="O423" t="n">
        <v>0</v>
      </c>
      <c r="P423" t="n">
        <v>0</v>
      </c>
      <c r="Q423" t="n">
        <v>0</v>
      </c>
      <c r="R423" s="2" t="inlineStr"/>
    </row>
    <row r="424" ht="15" customHeight="1">
      <c r="A424" t="inlineStr">
        <is>
          <t>A 28628-2025</t>
        </is>
      </c>
      <c r="B424" s="1" t="n">
        <v>45819.62158564815</v>
      </c>
      <c r="C424" s="1" t="n">
        <v>46126</v>
      </c>
      <c r="D424" t="inlineStr">
        <is>
          <t>VÄSTMANLANDS LÄN</t>
        </is>
      </c>
      <c r="E424" t="inlineStr">
        <is>
          <t>SALA</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28630-2025</t>
        </is>
      </c>
      <c r="B425" s="1" t="n">
        <v>45819.62274305556</v>
      </c>
      <c r="C425" s="1" t="n">
        <v>46126</v>
      </c>
      <c r="D425" t="inlineStr">
        <is>
          <t>VÄSTMANLANDS LÄN</t>
        </is>
      </c>
      <c r="E425" t="inlineStr">
        <is>
          <t>SALA</t>
        </is>
      </c>
      <c r="F425" t="inlineStr">
        <is>
          <t>Sveaskog</t>
        </is>
      </c>
      <c r="G425" t="n">
        <v>9</v>
      </c>
      <c r="H425" t="n">
        <v>0</v>
      </c>
      <c r="I425" t="n">
        <v>0</v>
      </c>
      <c r="J425" t="n">
        <v>0</v>
      </c>
      <c r="K425" t="n">
        <v>0</v>
      </c>
      <c r="L425" t="n">
        <v>0</v>
      </c>
      <c r="M425" t="n">
        <v>0</v>
      </c>
      <c r="N425" t="n">
        <v>0</v>
      </c>
      <c r="O425" t="n">
        <v>0</v>
      </c>
      <c r="P425" t="n">
        <v>0</v>
      </c>
      <c r="Q425" t="n">
        <v>0</v>
      </c>
      <c r="R425" s="2" t="inlineStr"/>
    </row>
    <row r="426" ht="15" customHeight="1">
      <c r="A426" t="inlineStr">
        <is>
          <t>A 28837-2025</t>
        </is>
      </c>
      <c r="B426" s="1" t="n">
        <v>45820.56243055555</v>
      </c>
      <c r="C426" s="1" t="n">
        <v>46126</v>
      </c>
      <c r="D426" t="inlineStr">
        <is>
          <t>VÄSTMANLANDS LÄN</t>
        </is>
      </c>
      <c r="E426" t="inlineStr">
        <is>
          <t>SALA</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28849-2025</t>
        </is>
      </c>
      <c r="B427" s="1" t="n">
        <v>45820</v>
      </c>
      <c r="C427" s="1" t="n">
        <v>46126</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23222-2023</t>
        </is>
      </c>
      <c r="B428" s="1" t="n">
        <v>45075</v>
      </c>
      <c r="C428" s="1" t="n">
        <v>46126</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23224-2023</t>
        </is>
      </c>
      <c r="B429" s="1" t="n">
        <v>45075.65040509259</v>
      </c>
      <c r="C429" s="1" t="n">
        <v>46126</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50479-2022</t>
        </is>
      </c>
      <c r="B430" s="1" t="n">
        <v>44861</v>
      </c>
      <c r="C430" s="1" t="n">
        <v>46126</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29085-2025</t>
        </is>
      </c>
      <c r="B431" s="1" t="n">
        <v>45821</v>
      </c>
      <c r="C431" s="1" t="n">
        <v>46126</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14919-2025</t>
        </is>
      </c>
      <c r="B432" s="1" t="n">
        <v>45743.54256944444</v>
      </c>
      <c r="C432" s="1" t="n">
        <v>46126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14920-2025</t>
        </is>
      </c>
      <c r="B433" s="1" t="n">
        <v>45743</v>
      </c>
      <c r="C433" s="1" t="n">
        <v>46126</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60541-2024</t>
        </is>
      </c>
      <c r="B434" s="1" t="n">
        <v>45643</v>
      </c>
      <c r="C434" s="1" t="n">
        <v>46126</v>
      </c>
      <c r="D434" t="inlineStr">
        <is>
          <t>VÄSTMANLANDS LÄN</t>
        </is>
      </c>
      <c r="E434" t="inlineStr">
        <is>
          <t>SALA</t>
        </is>
      </c>
      <c r="G434" t="n">
        <v>10.6</v>
      </c>
      <c r="H434" t="n">
        <v>0</v>
      </c>
      <c r="I434" t="n">
        <v>0</v>
      </c>
      <c r="J434" t="n">
        <v>0</v>
      </c>
      <c r="K434" t="n">
        <v>0</v>
      </c>
      <c r="L434" t="n">
        <v>0</v>
      </c>
      <c r="M434" t="n">
        <v>0</v>
      </c>
      <c r="N434" t="n">
        <v>0</v>
      </c>
      <c r="O434" t="n">
        <v>0</v>
      </c>
      <c r="P434" t="n">
        <v>0</v>
      </c>
      <c r="Q434" t="n">
        <v>0</v>
      </c>
      <c r="R434" s="2" t="inlineStr"/>
    </row>
    <row r="435" ht="15" customHeight="1">
      <c r="A435" t="inlineStr">
        <is>
          <t>A 29826-2025</t>
        </is>
      </c>
      <c r="B435" s="1" t="n">
        <v>45825.85761574074</v>
      </c>
      <c r="C435" s="1" t="n">
        <v>46126</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53744-2025</t>
        </is>
      </c>
      <c r="B436" s="1" t="n">
        <v>45960.64863425926</v>
      </c>
      <c r="C436" s="1" t="n">
        <v>46126</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53725-2025</t>
        </is>
      </c>
      <c r="B437" s="1" t="n">
        <v>45960.63394675926</v>
      </c>
      <c r="C437" s="1" t="n">
        <v>46126</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13855-2023</t>
        </is>
      </c>
      <c r="B438" s="1" t="n">
        <v>45007</v>
      </c>
      <c r="C438" s="1" t="n">
        <v>46126</v>
      </c>
      <c r="D438" t="inlineStr">
        <is>
          <t>VÄSTMANLANDS LÄN</t>
        </is>
      </c>
      <c r="E438" t="inlineStr">
        <is>
          <t>SALA</t>
        </is>
      </c>
      <c r="G438" t="n">
        <v>2.9</v>
      </c>
      <c r="H438" t="n">
        <v>0</v>
      </c>
      <c r="I438" t="n">
        <v>0</v>
      </c>
      <c r="J438" t="n">
        <v>0</v>
      </c>
      <c r="K438" t="n">
        <v>0</v>
      </c>
      <c r="L438" t="n">
        <v>0</v>
      </c>
      <c r="M438" t="n">
        <v>0</v>
      </c>
      <c r="N438" t="n">
        <v>0</v>
      </c>
      <c r="O438" t="n">
        <v>0</v>
      </c>
      <c r="P438" t="n">
        <v>0</v>
      </c>
      <c r="Q438" t="n">
        <v>0</v>
      </c>
      <c r="R438" s="2" t="inlineStr"/>
    </row>
    <row r="439" ht="15" customHeight="1">
      <c r="A439" t="inlineStr">
        <is>
          <t>A 53724-2025</t>
        </is>
      </c>
      <c r="B439" s="1" t="n">
        <v>45960.63174768518</v>
      </c>
      <c r="C439" s="1" t="n">
        <v>46126</v>
      </c>
      <c r="D439" t="inlineStr">
        <is>
          <t>VÄSTMANLANDS LÄN</t>
        </is>
      </c>
      <c r="E439" t="inlineStr">
        <is>
          <t>SALA</t>
        </is>
      </c>
      <c r="G439" t="n">
        <v>2.8</v>
      </c>
      <c r="H439" t="n">
        <v>0</v>
      </c>
      <c r="I439" t="n">
        <v>0</v>
      </c>
      <c r="J439" t="n">
        <v>0</v>
      </c>
      <c r="K439" t="n">
        <v>0</v>
      </c>
      <c r="L439" t="n">
        <v>0</v>
      </c>
      <c r="M439" t="n">
        <v>0</v>
      </c>
      <c r="N439" t="n">
        <v>0</v>
      </c>
      <c r="O439" t="n">
        <v>0</v>
      </c>
      <c r="P439" t="n">
        <v>0</v>
      </c>
      <c r="Q439" t="n">
        <v>0</v>
      </c>
      <c r="R439" s="2" t="inlineStr"/>
    </row>
    <row r="440" ht="15" customHeight="1">
      <c r="A440" t="inlineStr">
        <is>
          <t>A 29691-2025</t>
        </is>
      </c>
      <c r="B440" s="1" t="n">
        <v>45825.53645833334</v>
      </c>
      <c r="C440" s="1" t="n">
        <v>46126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38636-2024</t>
        </is>
      </c>
      <c r="B441" s="1" t="n">
        <v>45546</v>
      </c>
      <c r="C441" s="1" t="n">
        <v>46126</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54201-2025</t>
        </is>
      </c>
      <c r="B442" s="1" t="n">
        <v>45964.58055555556</v>
      </c>
      <c r="C442" s="1" t="n">
        <v>46126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54344-2025</t>
        </is>
      </c>
      <c r="B443" s="1" t="n">
        <v>45965.36462962963</v>
      </c>
      <c r="C443" s="1" t="n">
        <v>46126</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18877-2023</t>
        </is>
      </c>
      <c r="B444" s="1" t="n">
        <v>45044</v>
      </c>
      <c r="C444" s="1" t="n">
        <v>46126</v>
      </c>
      <c r="D444" t="inlineStr">
        <is>
          <t>VÄSTMANLANDS LÄN</t>
        </is>
      </c>
      <c r="E444" t="inlineStr">
        <is>
          <t>SALA</t>
        </is>
      </c>
      <c r="F444" t="inlineStr">
        <is>
          <t>Kommuner</t>
        </is>
      </c>
      <c r="G444" t="n">
        <v>4.4</v>
      </c>
      <c r="H444" t="n">
        <v>0</v>
      </c>
      <c r="I444" t="n">
        <v>0</v>
      </c>
      <c r="J444" t="n">
        <v>0</v>
      </c>
      <c r="K444" t="n">
        <v>0</v>
      </c>
      <c r="L444" t="n">
        <v>0</v>
      </c>
      <c r="M444" t="n">
        <v>0</v>
      </c>
      <c r="N444" t="n">
        <v>0</v>
      </c>
      <c r="O444" t="n">
        <v>0</v>
      </c>
      <c r="P444" t="n">
        <v>0</v>
      </c>
      <c r="Q444" t="n">
        <v>0</v>
      </c>
      <c r="R444" s="2" t="inlineStr"/>
    </row>
    <row r="445" ht="15" customHeight="1">
      <c r="A445" t="inlineStr">
        <is>
          <t>A 55556-2023</t>
        </is>
      </c>
      <c r="B445" s="1" t="n">
        <v>45232</v>
      </c>
      <c r="C445" s="1" t="n">
        <v>46126</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30874-2025</t>
        </is>
      </c>
      <c r="B446" s="1" t="n">
        <v>45832.34430555555</v>
      </c>
      <c r="C446" s="1" t="n">
        <v>46126</v>
      </c>
      <c r="D446" t="inlineStr">
        <is>
          <t>VÄSTMANLANDS LÄN</t>
        </is>
      </c>
      <c r="E446" t="inlineStr">
        <is>
          <t>SALA</t>
        </is>
      </c>
      <c r="G446" t="n">
        <v>8.4</v>
      </c>
      <c r="H446" t="n">
        <v>0</v>
      </c>
      <c r="I446" t="n">
        <v>0</v>
      </c>
      <c r="J446" t="n">
        <v>0</v>
      </c>
      <c r="K446" t="n">
        <v>0</v>
      </c>
      <c r="L446" t="n">
        <v>0</v>
      </c>
      <c r="M446" t="n">
        <v>0</v>
      </c>
      <c r="N446" t="n">
        <v>0</v>
      </c>
      <c r="O446" t="n">
        <v>0</v>
      </c>
      <c r="P446" t="n">
        <v>0</v>
      </c>
      <c r="Q446" t="n">
        <v>0</v>
      </c>
      <c r="R446" s="2" t="inlineStr"/>
    </row>
    <row r="447" ht="15" customHeight="1">
      <c r="A447" t="inlineStr">
        <is>
          <t>A 34494-2023</t>
        </is>
      </c>
      <c r="B447" s="1" t="n">
        <v>45133</v>
      </c>
      <c r="C447" s="1" t="n">
        <v>46126</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30899-2025</t>
        </is>
      </c>
      <c r="B448" s="1" t="n">
        <v>45832.35767361111</v>
      </c>
      <c r="C448" s="1" t="n">
        <v>46126</v>
      </c>
      <c r="D448" t="inlineStr">
        <is>
          <t>VÄSTMANLANDS LÄN</t>
        </is>
      </c>
      <c r="E448" t="inlineStr">
        <is>
          <t>SALA</t>
        </is>
      </c>
      <c r="G448" t="n">
        <v>3.1</v>
      </c>
      <c r="H448" t="n">
        <v>0</v>
      </c>
      <c r="I448" t="n">
        <v>0</v>
      </c>
      <c r="J448" t="n">
        <v>0</v>
      </c>
      <c r="K448" t="n">
        <v>0</v>
      </c>
      <c r="L448" t="n">
        <v>0</v>
      </c>
      <c r="M448" t="n">
        <v>0</v>
      </c>
      <c r="N448" t="n">
        <v>0</v>
      </c>
      <c r="O448" t="n">
        <v>0</v>
      </c>
      <c r="P448" t="n">
        <v>0</v>
      </c>
      <c r="Q448" t="n">
        <v>0</v>
      </c>
      <c r="R448" s="2" t="inlineStr"/>
    </row>
    <row r="449" ht="15" customHeight="1">
      <c r="A449" t="inlineStr">
        <is>
          <t>A 54590-2025</t>
        </is>
      </c>
      <c r="B449" s="1" t="n">
        <v>45965.74199074074</v>
      </c>
      <c r="C449" s="1" t="n">
        <v>46126</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30866-2025</t>
        </is>
      </c>
      <c r="B450" s="1" t="n">
        <v>45832.3246875</v>
      </c>
      <c r="C450" s="1" t="n">
        <v>46126</v>
      </c>
      <c r="D450" t="inlineStr">
        <is>
          <t>VÄSTMANLANDS LÄN</t>
        </is>
      </c>
      <c r="E450" t="inlineStr">
        <is>
          <t>SALA</t>
        </is>
      </c>
      <c r="G450" t="n">
        <v>14.3</v>
      </c>
      <c r="H450" t="n">
        <v>0</v>
      </c>
      <c r="I450" t="n">
        <v>0</v>
      </c>
      <c r="J450" t="n">
        <v>0</v>
      </c>
      <c r="K450" t="n">
        <v>0</v>
      </c>
      <c r="L450" t="n">
        <v>0</v>
      </c>
      <c r="M450" t="n">
        <v>0</v>
      </c>
      <c r="N450" t="n">
        <v>0</v>
      </c>
      <c r="O450" t="n">
        <v>0</v>
      </c>
      <c r="P450" t="n">
        <v>0</v>
      </c>
      <c r="Q450" t="n">
        <v>0</v>
      </c>
      <c r="R450" s="2" t="inlineStr"/>
    </row>
    <row r="451" ht="15" customHeight="1">
      <c r="A451" t="inlineStr">
        <is>
          <t>A 31065-2025</t>
        </is>
      </c>
      <c r="B451" s="1" t="n">
        <v>45832.57571759259</v>
      </c>
      <c r="C451" s="1" t="n">
        <v>46126</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54893-2025</t>
        </is>
      </c>
      <c r="B452" s="1" t="n">
        <v>45967.36383101852</v>
      </c>
      <c r="C452" s="1" t="n">
        <v>46126</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31612-2025</t>
        </is>
      </c>
      <c r="B453" s="1" t="n">
        <v>45833.80056712963</v>
      </c>
      <c r="C453" s="1" t="n">
        <v>46126</v>
      </c>
      <c r="D453" t="inlineStr">
        <is>
          <t>VÄSTMANLANDS LÄN</t>
        </is>
      </c>
      <c r="E453" t="inlineStr">
        <is>
          <t>SALA</t>
        </is>
      </c>
      <c r="G453" t="n">
        <v>6.3</v>
      </c>
      <c r="H453" t="n">
        <v>0</v>
      </c>
      <c r="I453" t="n">
        <v>0</v>
      </c>
      <c r="J453" t="n">
        <v>0</v>
      </c>
      <c r="K453" t="n">
        <v>0</v>
      </c>
      <c r="L453" t="n">
        <v>0</v>
      </c>
      <c r="M453" t="n">
        <v>0</v>
      </c>
      <c r="N453" t="n">
        <v>0</v>
      </c>
      <c r="O453" t="n">
        <v>0</v>
      </c>
      <c r="P453" t="n">
        <v>0</v>
      </c>
      <c r="Q453" t="n">
        <v>0</v>
      </c>
      <c r="R453" s="2" t="inlineStr"/>
    </row>
    <row r="454" ht="15" customHeight="1">
      <c r="A454" t="inlineStr">
        <is>
          <t>A 31748-2025</t>
        </is>
      </c>
      <c r="B454" s="1" t="n">
        <v>45834</v>
      </c>
      <c r="C454" s="1" t="n">
        <v>46126</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31288-2025</t>
        </is>
      </c>
      <c r="B455" s="1" t="n">
        <v>45833</v>
      </c>
      <c r="C455" s="1" t="n">
        <v>46126</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31771-2025</t>
        </is>
      </c>
      <c r="B456" s="1" t="n">
        <v>45834.50910879629</v>
      </c>
      <c r="C456" s="1" t="n">
        <v>46126</v>
      </c>
      <c r="D456" t="inlineStr">
        <is>
          <t>VÄSTMANLANDS LÄN</t>
        </is>
      </c>
      <c r="E456" t="inlineStr">
        <is>
          <t>SALA</t>
        </is>
      </c>
      <c r="G456" t="n">
        <v>5.1</v>
      </c>
      <c r="H456" t="n">
        <v>0</v>
      </c>
      <c r="I456" t="n">
        <v>0</v>
      </c>
      <c r="J456" t="n">
        <v>0</v>
      </c>
      <c r="K456" t="n">
        <v>0</v>
      </c>
      <c r="L456" t="n">
        <v>0</v>
      </c>
      <c r="M456" t="n">
        <v>0</v>
      </c>
      <c r="N456" t="n">
        <v>0</v>
      </c>
      <c r="O456" t="n">
        <v>0</v>
      </c>
      <c r="P456" t="n">
        <v>0</v>
      </c>
      <c r="Q456" t="n">
        <v>0</v>
      </c>
      <c r="R456" s="2" t="inlineStr"/>
    </row>
    <row r="457" ht="15" customHeight="1">
      <c r="A457" t="inlineStr">
        <is>
          <t>A 13752-2025</t>
        </is>
      </c>
      <c r="B457" s="1" t="n">
        <v>45737.41416666667</v>
      </c>
      <c r="C457" s="1" t="n">
        <v>46126</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19033-2025</t>
        </is>
      </c>
      <c r="B458" s="1" t="n">
        <v>45764.65796296296</v>
      </c>
      <c r="C458" s="1" t="n">
        <v>46126</v>
      </c>
      <c r="D458" t="inlineStr">
        <is>
          <t>VÄSTMANLANDS LÄN</t>
        </is>
      </c>
      <c r="E458" t="inlineStr">
        <is>
          <t>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31554-2025</t>
        </is>
      </c>
      <c r="B459" s="1" t="n">
        <v>45833</v>
      </c>
      <c r="C459" s="1" t="n">
        <v>46126</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31762-2025</t>
        </is>
      </c>
      <c r="B460" s="1" t="n">
        <v>45834.49288194445</v>
      </c>
      <c r="C460" s="1" t="n">
        <v>46126</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31608-2025</t>
        </is>
      </c>
      <c r="B461" s="1" t="n">
        <v>45833</v>
      </c>
      <c r="C461" s="1" t="n">
        <v>46126</v>
      </c>
      <c r="D461" t="inlineStr">
        <is>
          <t>VÄSTMANLANDS LÄN</t>
        </is>
      </c>
      <c r="E461" t="inlineStr">
        <is>
          <t>SALA</t>
        </is>
      </c>
      <c r="G461" t="n">
        <v>6.1</v>
      </c>
      <c r="H461" t="n">
        <v>0</v>
      </c>
      <c r="I461" t="n">
        <v>0</v>
      </c>
      <c r="J461" t="n">
        <v>0</v>
      </c>
      <c r="K461" t="n">
        <v>0</v>
      </c>
      <c r="L461" t="n">
        <v>0</v>
      </c>
      <c r="M461" t="n">
        <v>0</v>
      </c>
      <c r="N461" t="n">
        <v>0</v>
      </c>
      <c r="O461" t="n">
        <v>0</v>
      </c>
      <c r="P461" t="n">
        <v>0</v>
      </c>
      <c r="Q461" t="n">
        <v>0</v>
      </c>
      <c r="R461" s="2" t="inlineStr"/>
    </row>
    <row r="462" ht="15" customHeight="1">
      <c r="A462" t="inlineStr">
        <is>
          <t>A 31610-2025</t>
        </is>
      </c>
      <c r="B462" s="1" t="n">
        <v>45833.78650462963</v>
      </c>
      <c r="C462" s="1" t="n">
        <v>46126</v>
      </c>
      <c r="D462" t="inlineStr">
        <is>
          <t>VÄSTMANLANDS LÄN</t>
        </is>
      </c>
      <c r="E462" t="inlineStr">
        <is>
          <t>SALA</t>
        </is>
      </c>
      <c r="G462" t="n">
        <v>8</v>
      </c>
      <c r="H462" t="n">
        <v>0</v>
      </c>
      <c r="I462" t="n">
        <v>0</v>
      </c>
      <c r="J462" t="n">
        <v>0</v>
      </c>
      <c r="K462" t="n">
        <v>0</v>
      </c>
      <c r="L462" t="n">
        <v>0</v>
      </c>
      <c r="M462" t="n">
        <v>0</v>
      </c>
      <c r="N462" t="n">
        <v>0</v>
      </c>
      <c r="O462" t="n">
        <v>0</v>
      </c>
      <c r="P462" t="n">
        <v>0</v>
      </c>
      <c r="Q462" t="n">
        <v>0</v>
      </c>
      <c r="R462" s="2" t="inlineStr"/>
    </row>
    <row r="463" ht="15" customHeight="1">
      <c r="A463" t="inlineStr">
        <is>
          <t>A 31296-2025</t>
        </is>
      </c>
      <c r="B463" s="1" t="n">
        <v>45833.36765046296</v>
      </c>
      <c r="C463" s="1" t="n">
        <v>46126</v>
      </c>
      <c r="D463" t="inlineStr">
        <is>
          <t>VÄSTMANLANDS LÄN</t>
        </is>
      </c>
      <c r="E463" t="inlineStr">
        <is>
          <t>SALA</t>
        </is>
      </c>
      <c r="G463" t="n">
        <v>3.7</v>
      </c>
      <c r="H463" t="n">
        <v>0</v>
      </c>
      <c r="I463" t="n">
        <v>0</v>
      </c>
      <c r="J463" t="n">
        <v>0</v>
      </c>
      <c r="K463" t="n">
        <v>0</v>
      </c>
      <c r="L463" t="n">
        <v>0</v>
      </c>
      <c r="M463" t="n">
        <v>0</v>
      </c>
      <c r="N463" t="n">
        <v>0</v>
      </c>
      <c r="O463" t="n">
        <v>0</v>
      </c>
      <c r="P463" t="n">
        <v>0</v>
      </c>
      <c r="Q463" t="n">
        <v>0</v>
      </c>
      <c r="R463" s="2" t="inlineStr"/>
    </row>
    <row r="464" ht="15" customHeight="1">
      <c r="A464" t="inlineStr">
        <is>
          <t>A 31573-2025</t>
        </is>
      </c>
      <c r="B464" s="1" t="n">
        <v>45833</v>
      </c>
      <c r="C464" s="1" t="n">
        <v>46126</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32201-2025</t>
        </is>
      </c>
      <c r="B465" s="1" t="n">
        <v>45835</v>
      </c>
      <c r="C465" s="1" t="n">
        <v>46126</v>
      </c>
      <c r="D465" t="inlineStr">
        <is>
          <t>VÄSTMANLANDS LÄN</t>
        </is>
      </c>
      <c r="E465" t="inlineStr">
        <is>
          <t>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32205-2025</t>
        </is>
      </c>
      <c r="B466" s="1" t="n">
        <v>45835</v>
      </c>
      <c r="C466" s="1" t="n">
        <v>46126</v>
      </c>
      <c r="D466" t="inlineStr">
        <is>
          <t>VÄSTMANLANDS LÄN</t>
        </is>
      </c>
      <c r="E466" t="inlineStr">
        <is>
          <t>SALA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32210-2025</t>
        </is>
      </c>
      <c r="B467" s="1" t="n">
        <v>45835</v>
      </c>
      <c r="C467" s="1" t="n">
        <v>46126</v>
      </c>
      <c r="D467" t="inlineStr">
        <is>
          <t>VÄSTMANLANDS LÄN</t>
        </is>
      </c>
      <c r="E467" t="inlineStr">
        <is>
          <t>SALA</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19398-2025</t>
        </is>
      </c>
      <c r="B468" s="1" t="n">
        <v>45769</v>
      </c>
      <c r="C468" s="1" t="n">
        <v>46126</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55997-2025</t>
        </is>
      </c>
      <c r="B469" s="1" t="n">
        <v>45973.56833333334</v>
      </c>
      <c r="C469" s="1" t="n">
        <v>46126</v>
      </c>
      <c r="D469" t="inlineStr">
        <is>
          <t>VÄSTMANLANDS LÄN</t>
        </is>
      </c>
      <c r="E469" t="inlineStr">
        <is>
          <t>SALA</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32286-2025</t>
        </is>
      </c>
      <c r="B470" s="1" t="n">
        <v>45835</v>
      </c>
      <c r="C470" s="1" t="n">
        <v>46126</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32207-2025</t>
        </is>
      </c>
      <c r="B471" s="1" t="n">
        <v>45835</v>
      </c>
      <c r="C471" s="1" t="n">
        <v>46126</v>
      </c>
      <c r="D471" t="inlineStr">
        <is>
          <t>VÄSTMANLANDS LÄN</t>
        </is>
      </c>
      <c r="E471" t="inlineStr">
        <is>
          <t>SALA</t>
        </is>
      </c>
      <c r="F471" t="inlineStr">
        <is>
          <t>Bergvik skog öst AB</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55714-2025</t>
        </is>
      </c>
      <c r="B472" s="1" t="n">
        <v>45972.49131944445</v>
      </c>
      <c r="C472" s="1" t="n">
        <v>46126</v>
      </c>
      <c r="D472" t="inlineStr">
        <is>
          <t>VÄSTMANLANDS LÄN</t>
        </is>
      </c>
      <c r="E472" t="inlineStr">
        <is>
          <t>SALA</t>
        </is>
      </c>
      <c r="G472" t="n">
        <v>6.6</v>
      </c>
      <c r="H472" t="n">
        <v>0</v>
      </c>
      <c r="I472" t="n">
        <v>0</v>
      </c>
      <c r="J472" t="n">
        <v>0</v>
      </c>
      <c r="K472" t="n">
        <v>0</v>
      </c>
      <c r="L472" t="n">
        <v>0</v>
      </c>
      <c r="M472" t="n">
        <v>0</v>
      </c>
      <c r="N472" t="n">
        <v>0</v>
      </c>
      <c r="O472" t="n">
        <v>0</v>
      </c>
      <c r="P472" t="n">
        <v>0</v>
      </c>
      <c r="Q472" t="n">
        <v>0</v>
      </c>
      <c r="R472" s="2" t="inlineStr"/>
    </row>
    <row r="473" ht="15" customHeight="1">
      <c r="A473" t="inlineStr">
        <is>
          <t>A 56614-2025</t>
        </is>
      </c>
      <c r="B473" s="1" t="n">
        <v>45975.59288194445</v>
      </c>
      <c r="C473" s="1" t="n">
        <v>46126</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56611-2025</t>
        </is>
      </c>
      <c r="B474" s="1" t="n">
        <v>45975</v>
      </c>
      <c r="C474" s="1" t="n">
        <v>46126</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32902-2025</t>
        </is>
      </c>
      <c r="B475" s="1" t="n">
        <v>45839</v>
      </c>
      <c r="C475" s="1" t="n">
        <v>46126</v>
      </c>
      <c r="D475" t="inlineStr">
        <is>
          <t>VÄSTMANLANDS LÄN</t>
        </is>
      </c>
      <c r="E475" t="inlineStr">
        <is>
          <t>SALA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22921-2023</t>
        </is>
      </c>
      <c r="B476" s="1" t="n">
        <v>45070</v>
      </c>
      <c r="C476" s="1" t="n">
        <v>46126</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57014-2025</t>
        </is>
      </c>
      <c r="B477" s="1" t="n">
        <v>45978</v>
      </c>
      <c r="C477" s="1" t="n">
        <v>46126</v>
      </c>
      <c r="D477" t="inlineStr">
        <is>
          <t>VÄSTMANLANDS LÄN</t>
        </is>
      </c>
      <c r="E477" t="inlineStr">
        <is>
          <t>SALA</t>
        </is>
      </c>
      <c r="G477" t="n">
        <v>2.2</v>
      </c>
      <c r="H477" t="n">
        <v>0</v>
      </c>
      <c r="I477" t="n">
        <v>0</v>
      </c>
      <c r="J477" t="n">
        <v>0</v>
      </c>
      <c r="K477" t="n">
        <v>0</v>
      </c>
      <c r="L477" t="n">
        <v>0</v>
      </c>
      <c r="M477" t="n">
        <v>0</v>
      </c>
      <c r="N477" t="n">
        <v>0</v>
      </c>
      <c r="O477" t="n">
        <v>0</v>
      </c>
      <c r="P477" t="n">
        <v>0</v>
      </c>
      <c r="Q477" t="n">
        <v>0</v>
      </c>
      <c r="R477" s="2" t="inlineStr"/>
    </row>
    <row r="478" ht="15" customHeight="1">
      <c r="A478" t="inlineStr">
        <is>
          <t>A 56502-2025</t>
        </is>
      </c>
      <c r="B478" s="1" t="n">
        <v>45975</v>
      </c>
      <c r="C478" s="1" t="n">
        <v>46126</v>
      </c>
      <c r="D478" t="inlineStr">
        <is>
          <t>VÄSTMANLANDS LÄN</t>
        </is>
      </c>
      <c r="E478" t="inlineStr">
        <is>
          <t>SALA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56593-2025</t>
        </is>
      </c>
      <c r="B479" s="1" t="n">
        <v>45975</v>
      </c>
      <c r="C479" s="1" t="n">
        <v>46126</v>
      </c>
      <c r="D479" t="inlineStr">
        <is>
          <t>VÄSTMANLANDS LÄN</t>
        </is>
      </c>
      <c r="E479" t="inlineStr">
        <is>
          <t>SALA</t>
        </is>
      </c>
      <c r="F479" t="inlineStr">
        <is>
          <t>Kyrkan</t>
        </is>
      </c>
      <c r="G479" t="n">
        <v>0.1</v>
      </c>
      <c r="H479" t="n">
        <v>0</v>
      </c>
      <c r="I479" t="n">
        <v>0</v>
      </c>
      <c r="J479" t="n">
        <v>0</v>
      </c>
      <c r="K479" t="n">
        <v>0</v>
      </c>
      <c r="L479" t="n">
        <v>0</v>
      </c>
      <c r="M479" t="n">
        <v>0</v>
      </c>
      <c r="N479" t="n">
        <v>0</v>
      </c>
      <c r="O479" t="n">
        <v>0</v>
      </c>
      <c r="P479" t="n">
        <v>0</v>
      </c>
      <c r="Q479" t="n">
        <v>0</v>
      </c>
      <c r="R479" s="2" t="inlineStr"/>
    </row>
    <row r="480" ht="15" customHeight="1">
      <c r="A480" t="inlineStr">
        <is>
          <t>A 16133-2025</t>
        </is>
      </c>
      <c r="B480" s="1" t="n">
        <v>45750</v>
      </c>
      <c r="C480" s="1" t="n">
        <v>46126</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56645-2025</t>
        </is>
      </c>
      <c r="B481" s="1" t="n">
        <v>45975.63063657407</v>
      </c>
      <c r="C481" s="1" t="n">
        <v>46126</v>
      </c>
      <c r="D481" t="inlineStr">
        <is>
          <t>VÄSTMANLANDS LÄN</t>
        </is>
      </c>
      <c r="E481" t="inlineStr">
        <is>
          <t>SALA</t>
        </is>
      </c>
      <c r="F481" t="inlineStr">
        <is>
          <t>Bergvik skog öst AB</t>
        </is>
      </c>
      <c r="G481" t="n">
        <v>5.3</v>
      </c>
      <c r="H481" t="n">
        <v>0</v>
      </c>
      <c r="I481" t="n">
        <v>0</v>
      </c>
      <c r="J481" t="n">
        <v>0</v>
      </c>
      <c r="K481" t="n">
        <v>0</v>
      </c>
      <c r="L481" t="n">
        <v>0</v>
      </c>
      <c r="M481" t="n">
        <v>0</v>
      </c>
      <c r="N481" t="n">
        <v>0</v>
      </c>
      <c r="O481" t="n">
        <v>0</v>
      </c>
      <c r="P481" t="n">
        <v>0</v>
      </c>
      <c r="Q481" t="n">
        <v>0</v>
      </c>
      <c r="R481" s="2" t="inlineStr"/>
    </row>
    <row r="482" ht="15" customHeight="1">
      <c r="A482" t="inlineStr">
        <is>
          <t>A 57412-2025</t>
        </is>
      </c>
      <c r="B482" s="1" t="n">
        <v>45980.44883101852</v>
      </c>
      <c r="C482" s="1" t="n">
        <v>46126</v>
      </c>
      <c r="D482" t="inlineStr">
        <is>
          <t>VÄSTMANLANDS LÄN</t>
        </is>
      </c>
      <c r="E482" t="inlineStr">
        <is>
          <t>SALA</t>
        </is>
      </c>
      <c r="F482" t="inlineStr">
        <is>
          <t>Bergvik skog öst AB</t>
        </is>
      </c>
      <c r="G482" t="n">
        <v>4.5</v>
      </c>
      <c r="H482" t="n">
        <v>0</v>
      </c>
      <c r="I482" t="n">
        <v>0</v>
      </c>
      <c r="J482" t="n">
        <v>0</v>
      </c>
      <c r="K482" t="n">
        <v>0</v>
      </c>
      <c r="L482" t="n">
        <v>0</v>
      </c>
      <c r="M482" t="n">
        <v>0</v>
      </c>
      <c r="N482" t="n">
        <v>0</v>
      </c>
      <c r="O482" t="n">
        <v>0</v>
      </c>
      <c r="P482" t="n">
        <v>0</v>
      </c>
      <c r="Q482" t="n">
        <v>0</v>
      </c>
      <c r="R482" s="2" t="inlineStr"/>
    </row>
    <row r="483" ht="15" customHeight="1">
      <c r="A483" t="inlineStr">
        <is>
          <t>A 6127-2025</t>
        </is>
      </c>
      <c r="B483" s="1" t="n">
        <v>45698</v>
      </c>
      <c r="C483" s="1" t="n">
        <v>46126</v>
      </c>
      <c r="D483" t="inlineStr">
        <is>
          <t>VÄSTMANLANDS LÄN</t>
        </is>
      </c>
      <c r="E483" t="inlineStr">
        <is>
          <t>SALA</t>
        </is>
      </c>
      <c r="F483" t="inlineStr">
        <is>
          <t>Bergvik skog öst AB</t>
        </is>
      </c>
      <c r="G483" t="n">
        <v>4.3</v>
      </c>
      <c r="H483" t="n">
        <v>0</v>
      </c>
      <c r="I483" t="n">
        <v>0</v>
      </c>
      <c r="J483" t="n">
        <v>0</v>
      </c>
      <c r="K483" t="n">
        <v>0</v>
      </c>
      <c r="L483" t="n">
        <v>0</v>
      </c>
      <c r="M483" t="n">
        <v>0</v>
      </c>
      <c r="N483" t="n">
        <v>0</v>
      </c>
      <c r="O483" t="n">
        <v>0</v>
      </c>
      <c r="P483" t="n">
        <v>0</v>
      </c>
      <c r="Q483" t="n">
        <v>0</v>
      </c>
      <c r="R483" s="2" t="inlineStr"/>
    </row>
    <row r="484" ht="15" customHeight="1">
      <c r="A484" t="inlineStr">
        <is>
          <t>A 15272-2025</t>
        </is>
      </c>
      <c r="B484" s="1" t="n">
        <v>45744</v>
      </c>
      <c r="C484" s="1" t="n">
        <v>46126</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57414-2025</t>
        </is>
      </c>
      <c r="B485" s="1" t="n">
        <v>45980.45003472222</v>
      </c>
      <c r="C485" s="1" t="n">
        <v>46126</v>
      </c>
      <c r="D485" t="inlineStr">
        <is>
          <t>VÄSTMANLANDS LÄN</t>
        </is>
      </c>
      <c r="E485" t="inlineStr">
        <is>
          <t>SALA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57415-2025</t>
        </is>
      </c>
      <c r="B486" s="1" t="n">
        <v>45980.45099537037</v>
      </c>
      <c r="C486" s="1" t="n">
        <v>46126</v>
      </c>
      <c r="D486" t="inlineStr">
        <is>
          <t>VÄSTMANLANDS LÄN</t>
        </is>
      </c>
      <c r="E486" t="inlineStr">
        <is>
          <t>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34069-2025</t>
        </is>
      </c>
      <c r="B487" s="1" t="n">
        <v>45845.43560185185</v>
      </c>
      <c r="C487" s="1" t="n">
        <v>46126</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c r="U487">
        <f>HYPERLINK("https://klasma.github.io/Logging_1981/knärot/A 34069-2025 karta knärot.png", "A 34069-2025")</f>
        <v/>
      </c>
      <c r="V487">
        <f>HYPERLINK("https://klasma.github.io/Logging_1981/klagomål/A 34069-2025 FSC-klagomål.docx", "A 34069-2025")</f>
        <v/>
      </c>
      <c r="W487">
        <f>HYPERLINK("https://klasma.github.io/Logging_1981/klagomålsmail/A 34069-2025 FSC-klagomål mail.docx", "A 34069-2025")</f>
        <v/>
      </c>
      <c r="X487">
        <f>HYPERLINK("https://klasma.github.io/Logging_1981/tillsyn/A 34069-2025 tillsynsbegäran.docx", "A 34069-2025")</f>
        <v/>
      </c>
      <c r="Y487">
        <f>HYPERLINK("https://klasma.github.io/Logging_1981/tillsynsmail/A 34069-2025 tillsynsbegäran mail.docx", "A 34069-2025")</f>
        <v/>
      </c>
    </row>
    <row r="488" ht="15" customHeight="1">
      <c r="A488" t="inlineStr">
        <is>
          <t>A 24248-2023</t>
        </is>
      </c>
      <c r="B488" s="1" t="n">
        <v>45079</v>
      </c>
      <c r="C488" s="1" t="n">
        <v>46126</v>
      </c>
      <c r="D488" t="inlineStr">
        <is>
          <t>VÄSTMANLANDS LÄN</t>
        </is>
      </c>
      <c r="E488" t="inlineStr">
        <is>
          <t>SALA</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38195-2021</t>
        </is>
      </c>
      <c r="B489" s="1" t="n">
        <v>44405</v>
      </c>
      <c r="C489" s="1" t="n">
        <v>46126</v>
      </c>
      <c r="D489" t="inlineStr">
        <is>
          <t>VÄSTMANLANDS LÄN</t>
        </is>
      </c>
      <c r="E489" t="inlineStr">
        <is>
          <t>SALA</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27228-2023</t>
        </is>
      </c>
      <c r="B490" s="1" t="n">
        <v>45096.59189814814</v>
      </c>
      <c r="C490" s="1" t="n">
        <v>46126</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58357-2025</t>
        </is>
      </c>
      <c r="B491" s="1" t="n">
        <v>45985.51518518518</v>
      </c>
      <c r="C491" s="1" t="n">
        <v>46126</v>
      </c>
      <c r="D491" t="inlineStr">
        <is>
          <t>VÄSTMANLANDS LÄN</t>
        </is>
      </c>
      <c r="E491" t="inlineStr">
        <is>
          <t>SALA</t>
        </is>
      </c>
      <c r="G491" t="n">
        <v>3</v>
      </c>
      <c r="H491" t="n">
        <v>0</v>
      </c>
      <c r="I491" t="n">
        <v>0</v>
      </c>
      <c r="J491" t="n">
        <v>0</v>
      </c>
      <c r="K491" t="n">
        <v>0</v>
      </c>
      <c r="L491" t="n">
        <v>0</v>
      </c>
      <c r="M491" t="n">
        <v>0</v>
      </c>
      <c r="N491" t="n">
        <v>0</v>
      </c>
      <c r="O491" t="n">
        <v>0</v>
      </c>
      <c r="P491" t="n">
        <v>0</v>
      </c>
      <c r="Q491" t="n">
        <v>0</v>
      </c>
      <c r="R491" s="2" t="inlineStr"/>
    </row>
    <row r="492" ht="15" customHeight="1">
      <c r="A492" t="inlineStr">
        <is>
          <t>A 55760-2025</t>
        </is>
      </c>
      <c r="B492" s="1" t="n">
        <v>45972</v>
      </c>
      <c r="C492" s="1" t="n">
        <v>46126</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58365-2025</t>
        </is>
      </c>
      <c r="B493" s="1" t="n">
        <v>45985.52288194445</v>
      </c>
      <c r="C493" s="1" t="n">
        <v>46126</v>
      </c>
      <c r="D493" t="inlineStr">
        <is>
          <t>VÄSTMANLANDS LÄN</t>
        </is>
      </c>
      <c r="E493" t="inlineStr">
        <is>
          <t>SALA</t>
        </is>
      </c>
      <c r="G493" t="n">
        <v>3.9</v>
      </c>
      <c r="H493" t="n">
        <v>0</v>
      </c>
      <c r="I493" t="n">
        <v>0</v>
      </c>
      <c r="J493" t="n">
        <v>0</v>
      </c>
      <c r="K493" t="n">
        <v>0</v>
      </c>
      <c r="L493" t="n">
        <v>0</v>
      </c>
      <c r="M493" t="n">
        <v>0</v>
      </c>
      <c r="N493" t="n">
        <v>0</v>
      </c>
      <c r="O493" t="n">
        <v>0</v>
      </c>
      <c r="P493" t="n">
        <v>0</v>
      </c>
      <c r="Q493" t="n">
        <v>0</v>
      </c>
      <c r="R493" s="2" t="inlineStr"/>
    </row>
    <row r="494" ht="15" customHeight="1">
      <c r="A494" t="inlineStr">
        <is>
          <t>A 15744-2025</t>
        </is>
      </c>
      <c r="B494" s="1" t="n">
        <v>45748</v>
      </c>
      <c r="C494" s="1" t="n">
        <v>46126</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58282-2025</t>
        </is>
      </c>
      <c r="B495" s="1" t="n">
        <v>45985.44309027777</v>
      </c>
      <c r="C495" s="1" t="n">
        <v>46126</v>
      </c>
      <c r="D495" t="inlineStr">
        <is>
          <t>VÄSTMANLANDS LÄN</t>
        </is>
      </c>
      <c r="E495" t="inlineStr">
        <is>
          <t>SALA</t>
        </is>
      </c>
      <c r="G495" t="n">
        <v>8.9</v>
      </c>
      <c r="H495" t="n">
        <v>0</v>
      </c>
      <c r="I495" t="n">
        <v>0</v>
      </c>
      <c r="J495" t="n">
        <v>0</v>
      </c>
      <c r="K495" t="n">
        <v>0</v>
      </c>
      <c r="L495" t="n">
        <v>0</v>
      </c>
      <c r="M495" t="n">
        <v>0</v>
      </c>
      <c r="N495" t="n">
        <v>0</v>
      </c>
      <c r="O495" t="n">
        <v>0</v>
      </c>
      <c r="P495" t="n">
        <v>0</v>
      </c>
      <c r="Q495" t="n">
        <v>0</v>
      </c>
      <c r="R495" s="2" t="inlineStr"/>
    </row>
    <row r="496" ht="15" customHeight="1">
      <c r="A496" t="inlineStr">
        <is>
          <t>A 58359-2025</t>
        </is>
      </c>
      <c r="B496" s="1" t="n">
        <v>45985.51594907408</v>
      </c>
      <c r="C496" s="1" t="n">
        <v>46126</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58364-2025</t>
        </is>
      </c>
      <c r="B497" s="1" t="n">
        <v>45985.5228125</v>
      </c>
      <c r="C497" s="1" t="n">
        <v>46126</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53838-2022</t>
        </is>
      </c>
      <c r="B498" s="1" t="n">
        <v>44880.59363425926</v>
      </c>
      <c r="C498" s="1" t="n">
        <v>46126</v>
      </c>
      <c r="D498" t="inlineStr">
        <is>
          <t>VÄSTMANLANDS LÄN</t>
        </is>
      </c>
      <c r="E498" t="inlineStr">
        <is>
          <t>SALA</t>
        </is>
      </c>
      <c r="G498" t="n">
        <v>3.9</v>
      </c>
      <c r="H498" t="n">
        <v>0</v>
      </c>
      <c r="I498" t="n">
        <v>0</v>
      </c>
      <c r="J498" t="n">
        <v>0</v>
      </c>
      <c r="K498" t="n">
        <v>0</v>
      </c>
      <c r="L498" t="n">
        <v>0</v>
      </c>
      <c r="M498" t="n">
        <v>0</v>
      </c>
      <c r="N498" t="n">
        <v>0</v>
      </c>
      <c r="O498" t="n">
        <v>0</v>
      </c>
      <c r="P498" t="n">
        <v>0</v>
      </c>
      <c r="Q498" t="n">
        <v>0</v>
      </c>
      <c r="R498" s="2" t="inlineStr"/>
    </row>
    <row r="499" ht="15" customHeight="1">
      <c r="A499" t="inlineStr">
        <is>
          <t>A 51247-2025</t>
        </is>
      </c>
      <c r="B499" s="1" t="n">
        <v>45947.86487268518</v>
      </c>
      <c r="C499" s="1" t="n">
        <v>46126</v>
      </c>
      <c r="D499" t="inlineStr">
        <is>
          <t>VÄSTMANLANDS LÄN</t>
        </is>
      </c>
      <c r="E499" t="inlineStr">
        <is>
          <t>SALA</t>
        </is>
      </c>
      <c r="G499" t="n">
        <v>10.4</v>
      </c>
      <c r="H499" t="n">
        <v>0</v>
      </c>
      <c r="I499" t="n">
        <v>0</v>
      </c>
      <c r="J499" t="n">
        <v>0</v>
      </c>
      <c r="K499" t="n">
        <v>0</v>
      </c>
      <c r="L499" t="n">
        <v>0</v>
      </c>
      <c r="M499" t="n">
        <v>0</v>
      </c>
      <c r="N499" t="n">
        <v>0</v>
      </c>
      <c r="O499" t="n">
        <v>0</v>
      </c>
      <c r="P499" t="n">
        <v>0</v>
      </c>
      <c r="Q499" t="n">
        <v>0</v>
      </c>
      <c r="R499" s="2" t="inlineStr"/>
    </row>
    <row r="500" ht="15" customHeight="1">
      <c r="A500" t="inlineStr">
        <is>
          <t>A 25260-2023</t>
        </is>
      </c>
      <c r="B500" s="1" t="n">
        <v>45086</v>
      </c>
      <c r="C500" s="1" t="n">
        <v>46126</v>
      </c>
      <c r="D500" t="inlineStr">
        <is>
          <t>VÄSTMANLANDS LÄN</t>
        </is>
      </c>
      <c r="E500" t="inlineStr">
        <is>
          <t>SALA</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16769-2024</t>
        </is>
      </c>
      <c r="B501" s="1" t="n">
        <v>45411.38738425926</v>
      </c>
      <c r="C501" s="1" t="n">
        <v>46126</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35715-2025</t>
        </is>
      </c>
      <c r="B502" s="1" t="n">
        <v>45860.42148148148</v>
      </c>
      <c r="C502" s="1" t="n">
        <v>46126</v>
      </c>
      <c r="D502" t="inlineStr">
        <is>
          <t>VÄSTMANLANDS LÄN</t>
        </is>
      </c>
      <c r="E502" t="inlineStr">
        <is>
          <t>SALA</t>
        </is>
      </c>
      <c r="G502" t="n">
        <v>3.8</v>
      </c>
      <c r="H502" t="n">
        <v>0</v>
      </c>
      <c r="I502" t="n">
        <v>0</v>
      </c>
      <c r="J502" t="n">
        <v>0</v>
      </c>
      <c r="K502" t="n">
        <v>0</v>
      </c>
      <c r="L502" t="n">
        <v>0</v>
      </c>
      <c r="M502" t="n">
        <v>0</v>
      </c>
      <c r="N502" t="n">
        <v>0</v>
      </c>
      <c r="O502" t="n">
        <v>0</v>
      </c>
      <c r="P502" t="n">
        <v>0</v>
      </c>
      <c r="Q502" t="n">
        <v>0</v>
      </c>
      <c r="R502" s="2" t="inlineStr"/>
    </row>
    <row r="503" ht="15" customHeight="1">
      <c r="A503" t="inlineStr">
        <is>
          <t>A 35651-2025</t>
        </is>
      </c>
      <c r="B503" s="1" t="n">
        <v>45859.52435185185</v>
      </c>
      <c r="C503" s="1" t="n">
        <v>46126</v>
      </c>
      <c r="D503" t="inlineStr">
        <is>
          <t>VÄSTMANLANDS LÄN</t>
        </is>
      </c>
      <c r="E503" t="inlineStr">
        <is>
          <t>SALA</t>
        </is>
      </c>
      <c r="G503" t="n">
        <v>6.3</v>
      </c>
      <c r="H503" t="n">
        <v>0</v>
      </c>
      <c r="I503" t="n">
        <v>0</v>
      </c>
      <c r="J503" t="n">
        <v>0</v>
      </c>
      <c r="K503" t="n">
        <v>0</v>
      </c>
      <c r="L503" t="n">
        <v>0</v>
      </c>
      <c r="M503" t="n">
        <v>0</v>
      </c>
      <c r="N503" t="n">
        <v>0</v>
      </c>
      <c r="O503" t="n">
        <v>0</v>
      </c>
      <c r="P503" t="n">
        <v>0</v>
      </c>
      <c r="Q503" t="n">
        <v>0</v>
      </c>
      <c r="R503" s="2" t="inlineStr"/>
    </row>
    <row r="504" ht="15" customHeight="1">
      <c r="A504" t="inlineStr">
        <is>
          <t>A 59817-2025</t>
        </is>
      </c>
      <c r="B504" s="1" t="n">
        <v>45992.63711805556</v>
      </c>
      <c r="C504" s="1" t="n">
        <v>46126</v>
      </c>
      <c r="D504" t="inlineStr">
        <is>
          <t>VÄSTMANLANDS LÄN</t>
        </is>
      </c>
      <c r="E504" t="inlineStr">
        <is>
          <t>SALA</t>
        </is>
      </c>
      <c r="G504" t="n">
        <v>6.9</v>
      </c>
      <c r="H504" t="n">
        <v>0</v>
      </c>
      <c r="I504" t="n">
        <v>0</v>
      </c>
      <c r="J504" t="n">
        <v>0</v>
      </c>
      <c r="K504" t="n">
        <v>0</v>
      </c>
      <c r="L504" t="n">
        <v>0</v>
      </c>
      <c r="M504" t="n">
        <v>0</v>
      </c>
      <c r="N504" t="n">
        <v>0</v>
      </c>
      <c r="O504" t="n">
        <v>0</v>
      </c>
      <c r="P504" t="n">
        <v>0</v>
      </c>
      <c r="Q504" t="n">
        <v>0</v>
      </c>
      <c r="R504" s="2" t="inlineStr"/>
    </row>
    <row r="505" ht="15" customHeight="1">
      <c r="A505" t="inlineStr">
        <is>
          <t>A 35775-2025</t>
        </is>
      </c>
      <c r="B505" s="1" t="n">
        <v>45860</v>
      </c>
      <c r="C505" s="1" t="n">
        <v>46126</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35774-2025</t>
        </is>
      </c>
      <c r="B506" s="1" t="n">
        <v>45860.68780092592</v>
      </c>
      <c r="C506" s="1" t="n">
        <v>46126</v>
      </c>
      <c r="D506" t="inlineStr">
        <is>
          <t>VÄSTMANLANDS LÄN</t>
        </is>
      </c>
      <c r="E506" t="inlineStr">
        <is>
          <t>SALA</t>
        </is>
      </c>
      <c r="G506" t="n">
        <v>6.5</v>
      </c>
      <c r="H506" t="n">
        <v>0</v>
      </c>
      <c r="I506" t="n">
        <v>0</v>
      </c>
      <c r="J506" t="n">
        <v>0</v>
      </c>
      <c r="K506" t="n">
        <v>0</v>
      </c>
      <c r="L506" t="n">
        <v>0</v>
      </c>
      <c r="M506" t="n">
        <v>0</v>
      </c>
      <c r="N506" t="n">
        <v>0</v>
      </c>
      <c r="O506" t="n">
        <v>0</v>
      </c>
      <c r="P506" t="n">
        <v>0</v>
      </c>
      <c r="Q506" t="n">
        <v>0</v>
      </c>
      <c r="R506" s="2" t="inlineStr"/>
    </row>
    <row r="507" ht="15" customHeight="1">
      <c r="A507" t="inlineStr">
        <is>
          <t>A 35776-2025</t>
        </is>
      </c>
      <c r="B507" s="1" t="n">
        <v>45860.69211805556</v>
      </c>
      <c r="C507" s="1" t="n">
        <v>46126</v>
      </c>
      <c r="D507" t="inlineStr">
        <is>
          <t>VÄSTMANLANDS LÄN</t>
        </is>
      </c>
      <c r="E507" t="inlineStr">
        <is>
          <t>SALA</t>
        </is>
      </c>
      <c r="G507" t="n">
        <v>14.2</v>
      </c>
      <c r="H507" t="n">
        <v>0</v>
      </c>
      <c r="I507" t="n">
        <v>0</v>
      </c>
      <c r="J507" t="n">
        <v>0</v>
      </c>
      <c r="K507" t="n">
        <v>0</v>
      </c>
      <c r="L507" t="n">
        <v>0</v>
      </c>
      <c r="M507" t="n">
        <v>0</v>
      </c>
      <c r="N507" t="n">
        <v>0</v>
      </c>
      <c r="O507" t="n">
        <v>0</v>
      </c>
      <c r="P507" t="n">
        <v>0</v>
      </c>
      <c r="Q507" t="n">
        <v>0</v>
      </c>
      <c r="R507" s="2" t="inlineStr"/>
    </row>
    <row r="508" ht="15" customHeight="1">
      <c r="A508" t="inlineStr">
        <is>
          <t>A 35779-2025</t>
        </is>
      </c>
      <c r="B508" s="1" t="n">
        <v>45860.69495370371</v>
      </c>
      <c r="C508" s="1" t="n">
        <v>46126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59390-2025</t>
        </is>
      </c>
      <c r="B509" s="1" t="n">
        <v>45989.4640162037</v>
      </c>
      <c r="C509" s="1" t="n">
        <v>46126</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59385-2025</t>
        </is>
      </c>
      <c r="B510" s="1" t="n">
        <v>45989.45746527778</v>
      </c>
      <c r="C510" s="1" t="n">
        <v>46126</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36049-2025</t>
        </is>
      </c>
      <c r="B511" s="1" t="n">
        <v>45866.37065972222</v>
      </c>
      <c r="C511" s="1" t="n">
        <v>46126</v>
      </c>
      <c r="D511" t="inlineStr">
        <is>
          <t>VÄSTMANLANDS LÄN</t>
        </is>
      </c>
      <c r="E511" t="inlineStr">
        <is>
          <t>SALA</t>
        </is>
      </c>
      <c r="F511" t="inlineStr">
        <is>
          <t>Kommuner</t>
        </is>
      </c>
      <c r="G511" t="n">
        <v>1.9</v>
      </c>
      <c r="H511" t="n">
        <v>0</v>
      </c>
      <c r="I511" t="n">
        <v>0</v>
      </c>
      <c r="J511" t="n">
        <v>0</v>
      </c>
      <c r="K511" t="n">
        <v>0</v>
      </c>
      <c r="L511" t="n">
        <v>0</v>
      </c>
      <c r="M511" t="n">
        <v>0</v>
      </c>
      <c r="N511" t="n">
        <v>0</v>
      </c>
      <c r="O511" t="n">
        <v>0</v>
      </c>
      <c r="P511" t="n">
        <v>0</v>
      </c>
      <c r="Q511" t="n">
        <v>0</v>
      </c>
      <c r="R511" s="2" t="inlineStr"/>
    </row>
    <row r="512" ht="15" customHeight="1">
      <c r="A512" t="inlineStr">
        <is>
          <t>A 60017-2025</t>
        </is>
      </c>
      <c r="B512" s="1" t="n">
        <v>45993.59998842593</v>
      </c>
      <c r="C512" s="1" t="n">
        <v>46126</v>
      </c>
      <c r="D512" t="inlineStr">
        <is>
          <t>VÄSTMANLANDS LÄN</t>
        </is>
      </c>
      <c r="E512" t="inlineStr">
        <is>
          <t>SALA</t>
        </is>
      </c>
      <c r="G512" t="n">
        <v>4.4</v>
      </c>
      <c r="H512" t="n">
        <v>0</v>
      </c>
      <c r="I512" t="n">
        <v>0</v>
      </c>
      <c r="J512" t="n">
        <v>0</v>
      </c>
      <c r="K512" t="n">
        <v>0</v>
      </c>
      <c r="L512" t="n">
        <v>0</v>
      </c>
      <c r="M512" t="n">
        <v>0</v>
      </c>
      <c r="N512" t="n">
        <v>0</v>
      </c>
      <c r="O512" t="n">
        <v>0</v>
      </c>
      <c r="P512" t="n">
        <v>0</v>
      </c>
      <c r="Q512" t="n">
        <v>0</v>
      </c>
      <c r="R512" s="2" t="inlineStr"/>
    </row>
    <row r="513" ht="15" customHeight="1">
      <c r="A513" t="inlineStr">
        <is>
          <t>A 60249-2023</t>
        </is>
      </c>
      <c r="B513" s="1" t="n">
        <v>45258</v>
      </c>
      <c r="C513" s="1" t="n">
        <v>46126</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14271-2025</t>
        </is>
      </c>
      <c r="B514" s="1" t="n">
        <v>45740.64129629629</v>
      </c>
      <c r="C514" s="1" t="n">
        <v>46126</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36031-2025</t>
        </is>
      </c>
      <c r="B515" s="1" t="n">
        <v>45865.46111111111</v>
      </c>
      <c r="C515" s="1" t="n">
        <v>46126</v>
      </c>
      <c r="D515" t="inlineStr">
        <is>
          <t>VÄSTMANLANDS LÄN</t>
        </is>
      </c>
      <c r="E515" t="inlineStr">
        <is>
          <t>SALA</t>
        </is>
      </c>
      <c r="G515" t="n">
        <v>7.2</v>
      </c>
      <c r="H515" t="n">
        <v>0</v>
      </c>
      <c r="I515" t="n">
        <v>0</v>
      </c>
      <c r="J515" t="n">
        <v>0</v>
      </c>
      <c r="K515" t="n">
        <v>0</v>
      </c>
      <c r="L515" t="n">
        <v>0</v>
      </c>
      <c r="M515" t="n">
        <v>0</v>
      </c>
      <c r="N515" t="n">
        <v>0</v>
      </c>
      <c r="O515" t="n">
        <v>0</v>
      </c>
      <c r="P515" t="n">
        <v>0</v>
      </c>
      <c r="Q515" t="n">
        <v>0</v>
      </c>
      <c r="R515" s="2" t="inlineStr"/>
    </row>
    <row r="516" ht="15" customHeight="1">
      <c r="A516" t="inlineStr">
        <is>
          <t>A 36060-2025</t>
        </is>
      </c>
      <c r="B516" s="1" t="n">
        <v>45866.39469907407</v>
      </c>
      <c r="C516" s="1" t="n">
        <v>46126</v>
      </c>
      <c r="D516" t="inlineStr">
        <is>
          <t>VÄSTMANLANDS LÄN</t>
        </is>
      </c>
      <c r="E516" t="inlineStr">
        <is>
          <t>SALA</t>
        </is>
      </c>
      <c r="F516" t="inlineStr">
        <is>
          <t>Kommuner</t>
        </is>
      </c>
      <c r="G516" t="n">
        <v>4.3</v>
      </c>
      <c r="H516" t="n">
        <v>0</v>
      </c>
      <c r="I516" t="n">
        <v>0</v>
      </c>
      <c r="J516" t="n">
        <v>0</v>
      </c>
      <c r="K516" t="n">
        <v>0</v>
      </c>
      <c r="L516" t="n">
        <v>0</v>
      </c>
      <c r="M516" t="n">
        <v>0</v>
      </c>
      <c r="N516" t="n">
        <v>0</v>
      </c>
      <c r="O516" t="n">
        <v>0</v>
      </c>
      <c r="P516" t="n">
        <v>0</v>
      </c>
      <c r="Q516" t="n">
        <v>0</v>
      </c>
      <c r="R516" s="2" t="inlineStr"/>
    </row>
    <row r="517" ht="15" customHeight="1">
      <c r="A517" t="inlineStr">
        <is>
          <t>A 60258-2025</t>
        </is>
      </c>
      <c r="B517" s="1" t="n">
        <v>45994.6064699074</v>
      </c>
      <c r="C517" s="1" t="n">
        <v>46126</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60241-2025</t>
        </is>
      </c>
      <c r="B518" s="1" t="n">
        <v>45994.58454861111</v>
      </c>
      <c r="C518" s="1" t="n">
        <v>46126</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59870-2025</t>
        </is>
      </c>
      <c r="B519" s="1" t="n">
        <v>45992.92226851852</v>
      </c>
      <c r="C519" s="1" t="n">
        <v>46126</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60259-2025</t>
        </is>
      </c>
      <c r="B520" s="1" t="n">
        <v>45994.60913194445</v>
      </c>
      <c r="C520" s="1" t="n">
        <v>46126</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60246-2025</t>
        </is>
      </c>
      <c r="B521" s="1" t="n">
        <v>45994.58931712963</v>
      </c>
      <c r="C521" s="1" t="n">
        <v>46126</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36032-2025</t>
        </is>
      </c>
      <c r="B522" s="1" t="n">
        <v>45865.48740740741</v>
      </c>
      <c r="C522" s="1" t="n">
        <v>46126</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69232-2021</t>
        </is>
      </c>
      <c r="B523" s="1" t="n">
        <v>44531.39696759259</v>
      </c>
      <c r="C523" s="1" t="n">
        <v>46126</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36043-2025</t>
        </is>
      </c>
      <c r="B524" s="1" t="n">
        <v>45866.35333333333</v>
      </c>
      <c r="C524" s="1" t="n">
        <v>46126</v>
      </c>
      <c r="D524" t="inlineStr">
        <is>
          <t>VÄSTMANLANDS LÄN</t>
        </is>
      </c>
      <c r="E524" t="inlineStr">
        <is>
          <t>SALA</t>
        </is>
      </c>
      <c r="F524" t="inlineStr">
        <is>
          <t>Kommuner</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36045-2025</t>
        </is>
      </c>
      <c r="B525" s="1" t="n">
        <v>45866.36200231482</v>
      </c>
      <c r="C525" s="1" t="n">
        <v>46126</v>
      </c>
      <c r="D525" t="inlineStr">
        <is>
          <t>VÄSTMANLANDS LÄN</t>
        </is>
      </c>
      <c r="E525" t="inlineStr">
        <is>
          <t>SALA</t>
        </is>
      </c>
      <c r="F525" t="inlineStr">
        <is>
          <t>Kommuner</t>
        </is>
      </c>
      <c r="G525" t="n">
        <v>1.7</v>
      </c>
      <c r="H525" t="n">
        <v>0</v>
      </c>
      <c r="I525" t="n">
        <v>0</v>
      </c>
      <c r="J525" t="n">
        <v>0</v>
      </c>
      <c r="K525" t="n">
        <v>0</v>
      </c>
      <c r="L525" t="n">
        <v>0</v>
      </c>
      <c r="M525" t="n">
        <v>0</v>
      </c>
      <c r="N525" t="n">
        <v>0</v>
      </c>
      <c r="O525" t="n">
        <v>0</v>
      </c>
      <c r="P525" t="n">
        <v>0</v>
      </c>
      <c r="Q525" t="n">
        <v>0</v>
      </c>
      <c r="R525" s="2" t="inlineStr"/>
    </row>
    <row r="526" ht="15" customHeight="1">
      <c r="A526" t="inlineStr">
        <is>
          <t>A 60254-2025</t>
        </is>
      </c>
      <c r="B526" s="1" t="n">
        <v>45994.60146990741</v>
      </c>
      <c r="C526" s="1" t="n">
        <v>46126</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59926-2025</t>
        </is>
      </c>
      <c r="B527" s="1" t="n">
        <v>45993.39221064815</v>
      </c>
      <c r="C527" s="1" t="n">
        <v>46126</v>
      </c>
      <c r="D527" t="inlineStr">
        <is>
          <t>VÄSTMANLANDS LÄN</t>
        </is>
      </c>
      <c r="E527" t="inlineStr">
        <is>
          <t>SALA</t>
        </is>
      </c>
      <c r="G527" t="n">
        <v>7.1</v>
      </c>
      <c r="H527" t="n">
        <v>0</v>
      </c>
      <c r="I527" t="n">
        <v>0</v>
      </c>
      <c r="J527" t="n">
        <v>0</v>
      </c>
      <c r="K527" t="n">
        <v>0</v>
      </c>
      <c r="L527" t="n">
        <v>0</v>
      </c>
      <c r="M527" t="n">
        <v>0</v>
      </c>
      <c r="N527" t="n">
        <v>0</v>
      </c>
      <c r="O527" t="n">
        <v>0</v>
      </c>
      <c r="P527" t="n">
        <v>0</v>
      </c>
      <c r="Q527" t="n">
        <v>0</v>
      </c>
      <c r="R527" s="2" t="inlineStr"/>
    </row>
    <row r="528" ht="15" customHeight="1">
      <c r="A528" t="inlineStr">
        <is>
          <t>A 28328-2023</t>
        </is>
      </c>
      <c r="B528" s="1" t="n">
        <v>45099.71063657408</v>
      </c>
      <c r="C528" s="1" t="n">
        <v>46126</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17985-2025</t>
        </is>
      </c>
      <c r="B529" s="1" t="n">
        <v>45761</v>
      </c>
      <c r="C529" s="1" t="n">
        <v>46126</v>
      </c>
      <c r="D529" t="inlineStr">
        <is>
          <t>VÄSTMANLANDS LÄN</t>
        </is>
      </c>
      <c r="E529" t="inlineStr">
        <is>
          <t>SALA</t>
        </is>
      </c>
      <c r="G529" t="n">
        <v>12.5</v>
      </c>
      <c r="H529" t="n">
        <v>0</v>
      </c>
      <c r="I529" t="n">
        <v>0</v>
      </c>
      <c r="J529" t="n">
        <v>0</v>
      </c>
      <c r="K529" t="n">
        <v>0</v>
      </c>
      <c r="L529" t="n">
        <v>0</v>
      </c>
      <c r="M529" t="n">
        <v>0</v>
      </c>
      <c r="N529" t="n">
        <v>0</v>
      </c>
      <c r="O529" t="n">
        <v>0</v>
      </c>
      <c r="P529" t="n">
        <v>0</v>
      </c>
      <c r="Q529" t="n">
        <v>0</v>
      </c>
      <c r="R529" s="2" t="inlineStr"/>
    </row>
    <row r="530" ht="15" customHeight="1">
      <c r="A530" t="inlineStr">
        <is>
          <t>A 31869-2025</t>
        </is>
      </c>
      <c r="B530" s="1" t="n">
        <v>45834.64555555556</v>
      </c>
      <c r="C530" s="1" t="n">
        <v>46126</v>
      </c>
      <c r="D530" t="inlineStr">
        <is>
          <t>VÄSTMANLANDS LÄN</t>
        </is>
      </c>
      <c r="E530" t="inlineStr">
        <is>
          <t>SALA</t>
        </is>
      </c>
      <c r="G530" t="n">
        <v>17.5</v>
      </c>
      <c r="H530" t="n">
        <v>0</v>
      </c>
      <c r="I530" t="n">
        <v>0</v>
      </c>
      <c r="J530" t="n">
        <v>0</v>
      </c>
      <c r="K530" t="n">
        <v>0</v>
      </c>
      <c r="L530" t="n">
        <v>0</v>
      </c>
      <c r="M530" t="n">
        <v>0</v>
      </c>
      <c r="N530" t="n">
        <v>0</v>
      </c>
      <c r="O530" t="n">
        <v>0</v>
      </c>
      <c r="P530" t="n">
        <v>0</v>
      </c>
      <c r="Q530" t="n">
        <v>0</v>
      </c>
      <c r="R530" s="2" t="inlineStr"/>
    </row>
    <row r="531" ht="15" customHeight="1">
      <c r="A531" t="inlineStr">
        <is>
          <t>A 31863-2025</t>
        </is>
      </c>
      <c r="B531" s="1" t="n">
        <v>45834.63303240741</v>
      </c>
      <c r="C531" s="1" t="n">
        <v>46126</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60629-2025</t>
        </is>
      </c>
      <c r="B532" s="1" t="n">
        <v>45996.41972222222</v>
      </c>
      <c r="C532" s="1" t="n">
        <v>46126</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17766-2025</t>
        </is>
      </c>
      <c r="B533" s="1" t="n">
        <v>45758</v>
      </c>
      <c r="C533" s="1" t="n">
        <v>46126</v>
      </c>
      <c r="D533" t="inlineStr">
        <is>
          <t>VÄSTMANLANDS LÄN</t>
        </is>
      </c>
      <c r="E533" t="inlineStr">
        <is>
          <t>SALA</t>
        </is>
      </c>
      <c r="G533" t="n">
        <v>16.5</v>
      </c>
      <c r="H533" t="n">
        <v>0</v>
      </c>
      <c r="I533" t="n">
        <v>0</v>
      </c>
      <c r="J533" t="n">
        <v>0</v>
      </c>
      <c r="K533" t="n">
        <v>0</v>
      </c>
      <c r="L533" t="n">
        <v>0</v>
      </c>
      <c r="M533" t="n">
        <v>0</v>
      </c>
      <c r="N533" t="n">
        <v>0</v>
      </c>
      <c r="O533" t="n">
        <v>0</v>
      </c>
      <c r="P533" t="n">
        <v>0</v>
      </c>
      <c r="Q533" t="n">
        <v>0</v>
      </c>
      <c r="R533" s="2" t="inlineStr"/>
    </row>
    <row r="534" ht="15" customHeight="1">
      <c r="A534" t="inlineStr">
        <is>
          <t>A 7664-2023</t>
        </is>
      </c>
      <c r="B534" s="1" t="n">
        <v>44972</v>
      </c>
      <c r="C534" s="1" t="n">
        <v>46126</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3546-2025</t>
        </is>
      </c>
      <c r="B535" s="1" t="n">
        <v>45680</v>
      </c>
      <c r="C535" s="1" t="n">
        <v>46126</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40085-2024</t>
        </is>
      </c>
      <c r="B536" s="1" t="n">
        <v>45554</v>
      </c>
      <c r="C536" s="1" t="n">
        <v>46126</v>
      </c>
      <c r="D536" t="inlineStr">
        <is>
          <t>VÄSTMANLANDS LÄN</t>
        </is>
      </c>
      <c r="E536" t="inlineStr">
        <is>
          <t>SALA</t>
        </is>
      </c>
      <c r="G536" t="n">
        <v>2.8</v>
      </c>
      <c r="H536" t="n">
        <v>0</v>
      </c>
      <c r="I536" t="n">
        <v>0</v>
      </c>
      <c r="J536" t="n">
        <v>0</v>
      </c>
      <c r="K536" t="n">
        <v>0</v>
      </c>
      <c r="L536" t="n">
        <v>0</v>
      </c>
      <c r="M536" t="n">
        <v>0</v>
      </c>
      <c r="N536" t="n">
        <v>0</v>
      </c>
      <c r="O536" t="n">
        <v>0</v>
      </c>
      <c r="P536" t="n">
        <v>0</v>
      </c>
      <c r="Q536" t="n">
        <v>0</v>
      </c>
      <c r="R536" s="2" t="inlineStr"/>
    </row>
    <row r="537" ht="15" customHeight="1">
      <c r="A537" t="inlineStr">
        <is>
          <t>A 18158-2025</t>
        </is>
      </c>
      <c r="B537" s="1" t="n">
        <v>45761</v>
      </c>
      <c r="C537" s="1" t="n">
        <v>46126</v>
      </c>
      <c r="D537" t="inlineStr">
        <is>
          <t>VÄSTMANLANDS LÄN</t>
        </is>
      </c>
      <c r="E537" t="inlineStr">
        <is>
          <t>SALA</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49661-2024</t>
        </is>
      </c>
      <c r="B538" s="1" t="n">
        <v>45596</v>
      </c>
      <c r="C538" s="1" t="n">
        <v>46126</v>
      </c>
      <c r="D538" t="inlineStr">
        <is>
          <t>VÄSTMANLANDS LÄN</t>
        </is>
      </c>
      <c r="E538" t="inlineStr">
        <is>
          <t>SALA</t>
        </is>
      </c>
      <c r="G538" t="n">
        <v>6.7</v>
      </c>
      <c r="H538" t="n">
        <v>0</v>
      </c>
      <c r="I538" t="n">
        <v>0</v>
      </c>
      <c r="J538" t="n">
        <v>0</v>
      </c>
      <c r="K538" t="n">
        <v>0</v>
      </c>
      <c r="L538" t="n">
        <v>0</v>
      </c>
      <c r="M538" t="n">
        <v>0</v>
      </c>
      <c r="N538" t="n">
        <v>0</v>
      </c>
      <c r="O538" t="n">
        <v>0</v>
      </c>
      <c r="P538" t="n">
        <v>0</v>
      </c>
      <c r="Q538" t="n">
        <v>0</v>
      </c>
      <c r="R538" s="2" t="inlineStr"/>
    </row>
    <row r="539" ht="15" customHeight="1">
      <c r="A539" t="inlineStr">
        <is>
          <t>A 37017-2025</t>
        </is>
      </c>
      <c r="B539" s="1" t="n">
        <v>45874</v>
      </c>
      <c r="C539" s="1" t="n">
        <v>46126</v>
      </c>
      <c r="D539" t="inlineStr">
        <is>
          <t>VÄSTMANLANDS LÄN</t>
        </is>
      </c>
      <c r="E539" t="inlineStr">
        <is>
          <t>SALA</t>
        </is>
      </c>
      <c r="G539" t="n">
        <v>11.1</v>
      </c>
      <c r="H539" t="n">
        <v>0</v>
      </c>
      <c r="I539" t="n">
        <v>0</v>
      </c>
      <c r="J539" t="n">
        <v>0</v>
      </c>
      <c r="K539" t="n">
        <v>0</v>
      </c>
      <c r="L539" t="n">
        <v>0</v>
      </c>
      <c r="M539" t="n">
        <v>0</v>
      </c>
      <c r="N539" t="n">
        <v>0</v>
      </c>
      <c r="O539" t="n">
        <v>0</v>
      </c>
      <c r="P539" t="n">
        <v>0</v>
      </c>
      <c r="Q539" t="n">
        <v>0</v>
      </c>
      <c r="R539" s="2" t="inlineStr"/>
    </row>
    <row r="540" ht="15" customHeight="1">
      <c r="A540" t="inlineStr">
        <is>
          <t>A 37103-2025</t>
        </is>
      </c>
      <c r="B540" s="1" t="n">
        <v>45875.47743055555</v>
      </c>
      <c r="C540" s="1" t="n">
        <v>46126</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61522-2025</t>
        </is>
      </c>
      <c r="B541" s="1" t="n">
        <v>46001.68684027778</v>
      </c>
      <c r="C541" s="1" t="n">
        <v>46126</v>
      </c>
      <c r="D541" t="inlineStr">
        <is>
          <t>VÄSTMANLANDS LÄN</t>
        </is>
      </c>
      <c r="E541" t="inlineStr">
        <is>
          <t>SALA</t>
        </is>
      </c>
      <c r="G541" t="n">
        <v>5.7</v>
      </c>
      <c r="H541" t="n">
        <v>0</v>
      </c>
      <c r="I541" t="n">
        <v>0</v>
      </c>
      <c r="J541" t="n">
        <v>0</v>
      </c>
      <c r="K541" t="n">
        <v>0</v>
      </c>
      <c r="L541" t="n">
        <v>0</v>
      </c>
      <c r="M541" t="n">
        <v>0</v>
      </c>
      <c r="N541" t="n">
        <v>0</v>
      </c>
      <c r="O541" t="n">
        <v>0</v>
      </c>
      <c r="P541" t="n">
        <v>0</v>
      </c>
      <c r="Q541" t="n">
        <v>0</v>
      </c>
      <c r="R541" s="2" t="inlineStr"/>
    </row>
    <row r="542" ht="15" customHeight="1">
      <c r="A542" t="inlineStr">
        <is>
          <t>A 37246-2025</t>
        </is>
      </c>
      <c r="B542" s="1" t="n">
        <v>45876.39435185185</v>
      </c>
      <c r="C542" s="1" t="n">
        <v>46126</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35519-2024</t>
        </is>
      </c>
      <c r="B543" s="1" t="n">
        <v>45531</v>
      </c>
      <c r="C543" s="1" t="n">
        <v>46126</v>
      </c>
      <c r="D543" t="inlineStr">
        <is>
          <t>VÄSTMANLANDS LÄN</t>
        </is>
      </c>
      <c r="E543" t="inlineStr">
        <is>
          <t>SALA</t>
        </is>
      </c>
      <c r="G543" t="n">
        <v>1.8</v>
      </c>
      <c r="H543" t="n">
        <v>0</v>
      </c>
      <c r="I543" t="n">
        <v>0</v>
      </c>
      <c r="J543" t="n">
        <v>0</v>
      </c>
      <c r="K543" t="n">
        <v>0</v>
      </c>
      <c r="L543" t="n">
        <v>0</v>
      </c>
      <c r="M543" t="n">
        <v>0</v>
      </c>
      <c r="N543" t="n">
        <v>0</v>
      </c>
      <c r="O543" t="n">
        <v>0</v>
      </c>
      <c r="P543" t="n">
        <v>0</v>
      </c>
      <c r="Q543" t="n">
        <v>0</v>
      </c>
      <c r="R543" s="2" t="inlineStr"/>
    </row>
    <row r="544" ht="15" customHeight="1">
      <c r="A544" t="inlineStr">
        <is>
          <t>A 37590-2025</t>
        </is>
      </c>
      <c r="B544" s="1" t="n">
        <v>45880.41138888889</v>
      </c>
      <c r="C544" s="1" t="n">
        <v>46126</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37593-2025</t>
        </is>
      </c>
      <c r="B545" s="1" t="n">
        <v>45880.41325231481</v>
      </c>
      <c r="C545" s="1" t="n">
        <v>46126</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62523-2025</t>
        </is>
      </c>
      <c r="B546" s="1" t="n">
        <v>46007.61512731481</v>
      </c>
      <c r="C546" s="1" t="n">
        <v>46126</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43359-2024</t>
        </is>
      </c>
      <c r="B547" s="1" t="n">
        <v>45568.57724537037</v>
      </c>
      <c r="C547" s="1" t="n">
        <v>46126</v>
      </c>
      <c r="D547" t="inlineStr">
        <is>
          <t>VÄSTMANLANDS LÄN</t>
        </is>
      </c>
      <c r="E547" t="inlineStr">
        <is>
          <t>SALA</t>
        </is>
      </c>
      <c r="G547" t="n">
        <v>1.6</v>
      </c>
      <c r="H547" t="n">
        <v>0</v>
      </c>
      <c r="I547" t="n">
        <v>0</v>
      </c>
      <c r="J547" t="n">
        <v>0</v>
      </c>
      <c r="K547" t="n">
        <v>0</v>
      </c>
      <c r="L547" t="n">
        <v>0</v>
      </c>
      <c r="M547" t="n">
        <v>0</v>
      </c>
      <c r="N547" t="n">
        <v>0</v>
      </c>
      <c r="O547" t="n">
        <v>0</v>
      </c>
      <c r="P547" t="n">
        <v>0</v>
      </c>
      <c r="Q547" t="n">
        <v>0</v>
      </c>
      <c r="R547" s="2" t="inlineStr"/>
    </row>
    <row r="548" ht="15" customHeight="1">
      <c r="A548" t="inlineStr">
        <is>
          <t>A 54347-2024</t>
        </is>
      </c>
      <c r="B548" s="1" t="n">
        <v>45617.39325231482</v>
      </c>
      <c r="C548" s="1" t="n">
        <v>46126</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29972-2025</t>
        </is>
      </c>
      <c r="B549" s="1" t="n">
        <v>45826</v>
      </c>
      <c r="C549" s="1" t="n">
        <v>46126</v>
      </c>
      <c r="D549" t="inlineStr">
        <is>
          <t>VÄSTMANLANDS LÄN</t>
        </is>
      </c>
      <c r="E549" t="inlineStr">
        <is>
          <t>SALA</t>
        </is>
      </c>
      <c r="G549" t="n">
        <v>2.7</v>
      </c>
      <c r="H549" t="n">
        <v>0</v>
      </c>
      <c r="I549" t="n">
        <v>0</v>
      </c>
      <c r="J549" t="n">
        <v>0</v>
      </c>
      <c r="K549" t="n">
        <v>0</v>
      </c>
      <c r="L549" t="n">
        <v>0</v>
      </c>
      <c r="M549" t="n">
        <v>0</v>
      </c>
      <c r="N549" t="n">
        <v>0</v>
      </c>
      <c r="O549" t="n">
        <v>0</v>
      </c>
      <c r="P549" t="n">
        <v>0</v>
      </c>
      <c r="Q549" t="n">
        <v>0</v>
      </c>
      <c r="R549" s="2" t="inlineStr"/>
    </row>
    <row r="550" ht="15" customHeight="1">
      <c r="A550" t="inlineStr">
        <is>
          <t>A 63055-2025</t>
        </is>
      </c>
      <c r="B550" s="1" t="n">
        <v>46009.63619212963</v>
      </c>
      <c r="C550" s="1" t="n">
        <v>46126</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13022-2023</t>
        </is>
      </c>
      <c r="B551" s="1" t="n">
        <v>45002.33291666667</v>
      </c>
      <c r="C551" s="1" t="n">
        <v>46126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63353-2025</t>
        </is>
      </c>
      <c r="B552" s="1" t="n">
        <v>46010.66670138889</v>
      </c>
      <c r="C552" s="1" t="n">
        <v>46126</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35003-2024</t>
        </is>
      </c>
      <c r="B553" s="1" t="n">
        <v>45527.56790509259</v>
      </c>
      <c r="C553" s="1" t="n">
        <v>46126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63051-2025</t>
        </is>
      </c>
      <c r="B554" s="1" t="n">
        <v>46009.63134259259</v>
      </c>
      <c r="C554" s="1" t="n">
        <v>46126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63046-2025</t>
        </is>
      </c>
      <c r="B555" s="1" t="n">
        <v>46009.62373842593</v>
      </c>
      <c r="C555" s="1" t="n">
        <v>46126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63269-2025</t>
        </is>
      </c>
      <c r="B556" s="1" t="n">
        <v>46010</v>
      </c>
      <c r="C556" s="1" t="n">
        <v>46126</v>
      </c>
      <c r="D556" t="inlineStr">
        <is>
          <t>VÄSTMANLANDS LÄN</t>
        </is>
      </c>
      <c r="E556" t="inlineStr">
        <is>
          <t>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66307-2021</t>
        </is>
      </c>
      <c r="B557" s="1" t="n">
        <v>44518.48670138889</v>
      </c>
      <c r="C557" s="1" t="n">
        <v>46126</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6030-2024</t>
        </is>
      </c>
      <c r="B558" s="1" t="n">
        <v>45336.62782407407</v>
      </c>
      <c r="C558" s="1" t="n">
        <v>46126</v>
      </c>
      <c r="D558" t="inlineStr">
        <is>
          <t>VÄSTMANLANDS LÄN</t>
        </is>
      </c>
      <c r="E558" t="inlineStr">
        <is>
          <t>SALA</t>
        </is>
      </c>
      <c r="G558" t="n">
        <v>3.9</v>
      </c>
      <c r="H558" t="n">
        <v>0</v>
      </c>
      <c r="I558" t="n">
        <v>0</v>
      </c>
      <c r="J558" t="n">
        <v>0</v>
      </c>
      <c r="K558" t="n">
        <v>0</v>
      </c>
      <c r="L558" t="n">
        <v>0</v>
      </c>
      <c r="M558" t="n">
        <v>0</v>
      </c>
      <c r="N558" t="n">
        <v>0</v>
      </c>
      <c r="O558" t="n">
        <v>0</v>
      </c>
      <c r="P558" t="n">
        <v>0</v>
      </c>
      <c r="Q558" t="n">
        <v>0</v>
      </c>
      <c r="R558" s="2" t="inlineStr"/>
    </row>
    <row r="559" ht="15" customHeight="1">
      <c r="A559" t="inlineStr">
        <is>
          <t>A 26761-2023</t>
        </is>
      </c>
      <c r="B559" s="1" t="n">
        <v>45093</v>
      </c>
      <c r="C559" s="1" t="n">
        <v>46126</v>
      </c>
      <c r="D559" t="inlineStr">
        <is>
          <t>VÄSTMANLANDS LÄN</t>
        </is>
      </c>
      <c r="E559" t="inlineStr">
        <is>
          <t>SALA</t>
        </is>
      </c>
      <c r="G559" t="n">
        <v>4.3</v>
      </c>
      <c r="H559" t="n">
        <v>0</v>
      </c>
      <c r="I559" t="n">
        <v>0</v>
      </c>
      <c r="J559" t="n">
        <v>0</v>
      </c>
      <c r="K559" t="n">
        <v>0</v>
      </c>
      <c r="L559" t="n">
        <v>0</v>
      </c>
      <c r="M559" t="n">
        <v>0</v>
      </c>
      <c r="N559" t="n">
        <v>0</v>
      </c>
      <c r="O559" t="n">
        <v>0</v>
      </c>
      <c r="P559" t="n">
        <v>0</v>
      </c>
      <c r="Q559" t="n">
        <v>0</v>
      </c>
      <c r="R559" s="2" t="inlineStr"/>
    </row>
    <row r="560" ht="15" customHeight="1">
      <c r="A560" t="inlineStr">
        <is>
          <t>A 61892-2021</t>
        </is>
      </c>
      <c r="B560" s="1" t="n">
        <v>44502</v>
      </c>
      <c r="C560" s="1" t="n">
        <v>46126</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17722-2025</t>
        </is>
      </c>
      <c r="B561" s="1" t="n">
        <v>45758</v>
      </c>
      <c r="C561" s="1" t="n">
        <v>46126</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7772-2023</t>
        </is>
      </c>
      <c r="B562" s="1" t="n">
        <v>44973.40076388889</v>
      </c>
      <c r="C562" s="1" t="n">
        <v>46126</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63749-2025</t>
        </is>
      </c>
      <c r="B563" s="1" t="n">
        <v>46017.75243055556</v>
      </c>
      <c r="C563" s="1" t="n">
        <v>46126</v>
      </c>
      <c r="D563" t="inlineStr">
        <is>
          <t>VÄSTMANLANDS LÄN</t>
        </is>
      </c>
      <c r="E563" t="inlineStr">
        <is>
          <t>SALA</t>
        </is>
      </c>
      <c r="G563" t="n">
        <v>1.5</v>
      </c>
      <c r="H563" t="n">
        <v>0</v>
      </c>
      <c r="I563" t="n">
        <v>0</v>
      </c>
      <c r="J563" t="n">
        <v>0</v>
      </c>
      <c r="K563" t="n">
        <v>0</v>
      </c>
      <c r="L563" t="n">
        <v>0</v>
      </c>
      <c r="M563" t="n">
        <v>0</v>
      </c>
      <c r="N563" t="n">
        <v>0</v>
      </c>
      <c r="O563" t="n">
        <v>0</v>
      </c>
      <c r="P563" t="n">
        <v>0</v>
      </c>
      <c r="Q563" t="n">
        <v>0</v>
      </c>
      <c r="R563" s="2" t="inlineStr"/>
    </row>
    <row r="564" ht="15" customHeight="1">
      <c r="A564" t="inlineStr">
        <is>
          <t>A 63748-2025</t>
        </is>
      </c>
      <c r="B564" s="1" t="n">
        <v>46017.71640046296</v>
      </c>
      <c r="C564" s="1" t="n">
        <v>46126</v>
      </c>
      <c r="D564" t="inlineStr">
        <is>
          <t>VÄSTMANLANDS LÄN</t>
        </is>
      </c>
      <c r="E564" t="inlineStr">
        <is>
          <t>SALA</t>
        </is>
      </c>
      <c r="G564" t="n">
        <v>1.6</v>
      </c>
      <c r="H564" t="n">
        <v>0</v>
      </c>
      <c r="I564" t="n">
        <v>0</v>
      </c>
      <c r="J564" t="n">
        <v>0</v>
      </c>
      <c r="K564" t="n">
        <v>0</v>
      </c>
      <c r="L564" t="n">
        <v>0</v>
      </c>
      <c r="M564" t="n">
        <v>0</v>
      </c>
      <c r="N564" t="n">
        <v>0</v>
      </c>
      <c r="O564" t="n">
        <v>0</v>
      </c>
      <c r="P564" t="n">
        <v>0</v>
      </c>
      <c r="Q564" t="n">
        <v>0</v>
      </c>
      <c r="R564" s="2" t="inlineStr"/>
    </row>
    <row r="565" ht="15" customHeight="1">
      <c r="A565" t="inlineStr">
        <is>
          <t>A 42416-2022</t>
        </is>
      </c>
      <c r="B565" s="1" t="n">
        <v>44831</v>
      </c>
      <c r="C565" s="1" t="n">
        <v>46126</v>
      </c>
      <c r="D565" t="inlineStr">
        <is>
          <t>VÄSTMANLANDS LÄN</t>
        </is>
      </c>
      <c r="E565" t="inlineStr">
        <is>
          <t>SALA</t>
        </is>
      </c>
      <c r="G565" t="n">
        <v>2.2</v>
      </c>
      <c r="H565" t="n">
        <v>0</v>
      </c>
      <c r="I565" t="n">
        <v>0</v>
      </c>
      <c r="J565" t="n">
        <v>0</v>
      </c>
      <c r="K565" t="n">
        <v>0</v>
      </c>
      <c r="L565" t="n">
        <v>0</v>
      </c>
      <c r="M565" t="n">
        <v>0</v>
      </c>
      <c r="N565" t="n">
        <v>0</v>
      </c>
      <c r="O565" t="n">
        <v>0</v>
      </c>
      <c r="P565" t="n">
        <v>0</v>
      </c>
      <c r="Q565" t="n">
        <v>0</v>
      </c>
      <c r="R565" s="2" t="inlineStr"/>
    </row>
    <row r="566" ht="15" customHeight="1">
      <c r="A566" t="inlineStr">
        <is>
          <t>A 19381-2025</t>
        </is>
      </c>
      <c r="B566" s="1" t="n">
        <v>45769</v>
      </c>
      <c r="C566" s="1" t="n">
        <v>46126</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48688-2024</t>
        </is>
      </c>
      <c r="B567" s="1" t="n">
        <v>45593.50541666667</v>
      </c>
      <c r="C567" s="1" t="n">
        <v>46126</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910-2026</t>
        </is>
      </c>
      <c r="B568" s="1" t="n">
        <v>46030.4771412037</v>
      </c>
      <c r="C568" s="1" t="n">
        <v>46126</v>
      </c>
      <c r="D568" t="inlineStr">
        <is>
          <t>VÄSTMANLANDS LÄN</t>
        </is>
      </c>
      <c r="E568" t="inlineStr">
        <is>
          <t>SALA</t>
        </is>
      </c>
      <c r="G568" t="n">
        <v>1.4</v>
      </c>
      <c r="H568" t="n">
        <v>0</v>
      </c>
      <c r="I568" t="n">
        <v>0</v>
      </c>
      <c r="J568" t="n">
        <v>0</v>
      </c>
      <c r="K568" t="n">
        <v>0</v>
      </c>
      <c r="L568" t="n">
        <v>0</v>
      </c>
      <c r="M568" t="n">
        <v>0</v>
      </c>
      <c r="N568" t="n">
        <v>0</v>
      </c>
      <c r="O568" t="n">
        <v>0</v>
      </c>
      <c r="P568" t="n">
        <v>0</v>
      </c>
      <c r="Q568" t="n">
        <v>0</v>
      </c>
      <c r="R568" s="2" t="inlineStr"/>
    </row>
    <row r="569" ht="15" customHeight="1">
      <c r="A569" t="inlineStr">
        <is>
          <t>A 45187-2024</t>
        </is>
      </c>
      <c r="B569" s="1" t="n">
        <v>45575</v>
      </c>
      <c r="C569" s="1" t="n">
        <v>46126</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15968-2024</t>
        </is>
      </c>
      <c r="B570" s="1" t="n">
        <v>45405.56021990741</v>
      </c>
      <c r="C570" s="1" t="n">
        <v>46126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914-2026</t>
        </is>
      </c>
      <c r="B571" s="1" t="n">
        <v>46030.47952546296</v>
      </c>
      <c r="C571" s="1" t="n">
        <v>46126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948-2026</t>
        </is>
      </c>
      <c r="B572" s="1" t="n">
        <v>46030.53986111111</v>
      </c>
      <c r="C572" s="1" t="n">
        <v>46126</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3733-2023</t>
        </is>
      </c>
      <c r="B573" s="1" t="n">
        <v>44951.42501157407</v>
      </c>
      <c r="C573" s="1" t="n">
        <v>46126</v>
      </c>
      <c r="D573" t="inlineStr">
        <is>
          <t>VÄSTMANLANDS LÄN</t>
        </is>
      </c>
      <c r="E573" t="inlineStr">
        <is>
          <t>SALA</t>
        </is>
      </c>
      <c r="G573" t="n">
        <v>3.1</v>
      </c>
      <c r="H573" t="n">
        <v>0</v>
      </c>
      <c r="I573" t="n">
        <v>0</v>
      </c>
      <c r="J573" t="n">
        <v>0</v>
      </c>
      <c r="K573" t="n">
        <v>0</v>
      </c>
      <c r="L573" t="n">
        <v>0</v>
      </c>
      <c r="M573" t="n">
        <v>0</v>
      </c>
      <c r="N573" t="n">
        <v>0</v>
      </c>
      <c r="O573" t="n">
        <v>0</v>
      </c>
      <c r="P573" t="n">
        <v>0</v>
      </c>
      <c r="Q573" t="n">
        <v>0</v>
      </c>
      <c r="R573" s="2" t="inlineStr"/>
    </row>
    <row r="574" ht="15" customHeight="1">
      <c r="A574" t="inlineStr">
        <is>
          <t>A 44544-2024</t>
        </is>
      </c>
      <c r="B574" s="1" t="n">
        <v>45574.46119212963</v>
      </c>
      <c r="C574" s="1" t="n">
        <v>46126</v>
      </c>
      <c r="D574" t="inlineStr">
        <is>
          <t>VÄSTMANLANDS LÄN</t>
        </is>
      </c>
      <c r="E574" t="inlineStr">
        <is>
          <t>SALA</t>
        </is>
      </c>
      <c r="G574" t="n">
        <v>3.3</v>
      </c>
      <c r="H574" t="n">
        <v>0</v>
      </c>
      <c r="I574" t="n">
        <v>0</v>
      </c>
      <c r="J574" t="n">
        <v>0</v>
      </c>
      <c r="K574" t="n">
        <v>0</v>
      </c>
      <c r="L574" t="n">
        <v>0</v>
      </c>
      <c r="M574" t="n">
        <v>0</v>
      </c>
      <c r="N574" t="n">
        <v>0</v>
      </c>
      <c r="O574" t="n">
        <v>0</v>
      </c>
      <c r="P574" t="n">
        <v>0</v>
      </c>
      <c r="Q574" t="n">
        <v>0</v>
      </c>
      <c r="R574" s="2" t="inlineStr"/>
    </row>
    <row r="575" ht="15" customHeight="1">
      <c r="A575" t="inlineStr">
        <is>
          <t>A 64729-2023</t>
        </is>
      </c>
      <c r="B575" s="1" t="n">
        <v>45281</v>
      </c>
      <c r="C575" s="1" t="n">
        <v>46126</v>
      </c>
      <c r="D575" t="inlineStr">
        <is>
          <t>VÄSTMANLANDS LÄN</t>
        </is>
      </c>
      <c r="E575" t="inlineStr">
        <is>
          <t>SALA</t>
        </is>
      </c>
      <c r="G575" t="n">
        <v>1.8</v>
      </c>
      <c r="H575" t="n">
        <v>0</v>
      </c>
      <c r="I575" t="n">
        <v>0</v>
      </c>
      <c r="J575" t="n">
        <v>0</v>
      </c>
      <c r="K575" t="n">
        <v>0</v>
      </c>
      <c r="L575" t="n">
        <v>0</v>
      </c>
      <c r="M575" t="n">
        <v>0</v>
      </c>
      <c r="N575" t="n">
        <v>0</v>
      </c>
      <c r="O575" t="n">
        <v>0</v>
      </c>
      <c r="P575" t="n">
        <v>0</v>
      </c>
      <c r="Q575" t="n">
        <v>0</v>
      </c>
      <c r="R575" s="2" t="inlineStr"/>
    </row>
    <row r="576" ht="15" customHeight="1">
      <c r="A576" t="inlineStr">
        <is>
          <t>A 1705-2026</t>
        </is>
      </c>
      <c r="B576" s="1" t="n">
        <v>46034.59930555556</v>
      </c>
      <c r="C576" s="1" t="n">
        <v>46126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68864-2021</t>
        </is>
      </c>
      <c r="B577" s="1" t="n">
        <v>44530</v>
      </c>
      <c r="C577" s="1" t="n">
        <v>46126</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64925-2023</t>
        </is>
      </c>
      <c r="B578" s="1" t="n">
        <v>45282</v>
      </c>
      <c r="C578" s="1" t="n">
        <v>46126</v>
      </c>
      <c r="D578" t="inlineStr">
        <is>
          <t>VÄSTMANLANDS LÄN</t>
        </is>
      </c>
      <c r="E578" t="inlineStr">
        <is>
          <t>SALA</t>
        </is>
      </c>
      <c r="G578" t="n">
        <v>2.5</v>
      </c>
      <c r="H578" t="n">
        <v>0</v>
      </c>
      <c r="I578" t="n">
        <v>0</v>
      </c>
      <c r="J578" t="n">
        <v>0</v>
      </c>
      <c r="K578" t="n">
        <v>0</v>
      </c>
      <c r="L578" t="n">
        <v>0</v>
      </c>
      <c r="M578" t="n">
        <v>0</v>
      </c>
      <c r="N578" t="n">
        <v>0</v>
      </c>
      <c r="O578" t="n">
        <v>0</v>
      </c>
      <c r="P578" t="n">
        <v>0</v>
      </c>
      <c r="Q578" t="n">
        <v>0</v>
      </c>
      <c r="R578" s="2" t="inlineStr"/>
    </row>
    <row r="579" ht="15" customHeight="1">
      <c r="A579" t="inlineStr">
        <is>
          <t>A 48570-2024</t>
        </is>
      </c>
      <c r="B579" s="1" t="n">
        <v>45591</v>
      </c>
      <c r="C579" s="1" t="n">
        <v>46126</v>
      </c>
      <c r="D579" t="inlineStr">
        <is>
          <t>VÄSTMANLANDS LÄN</t>
        </is>
      </c>
      <c r="E579" t="inlineStr">
        <is>
          <t>SALA</t>
        </is>
      </c>
      <c r="G579" t="n">
        <v>3</v>
      </c>
      <c r="H579" t="n">
        <v>0</v>
      </c>
      <c r="I579" t="n">
        <v>0</v>
      </c>
      <c r="J579" t="n">
        <v>0</v>
      </c>
      <c r="K579" t="n">
        <v>0</v>
      </c>
      <c r="L579" t="n">
        <v>0</v>
      </c>
      <c r="M579" t="n">
        <v>0</v>
      </c>
      <c r="N579" t="n">
        <v>0</v>
      </c>
      <c r="O579" t="n">
        <v>0</v>
      </c>
      <c r="P579" t="n">
        <v>0</v>
      </c>
      <c r="Q579" t="n">
        <v>0</v>
      </c>
      <c r="R579" s="2" t="inlineStr"/>
    </row>
    <row r="580" ht="15" customHeight="1">
      <c r="A580" t="inlineStr">
        <is>
          <t>A 61517-2024</t>
        </is>
      </c>
      <c r="B580" s="1" t="n">
        <v>45645</v>
      </c>
      <c r="C580" s="1" t="n">
        <v>46126</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16760-2024</t>
        </is>
      </c>
      <c r="B581" s="1" t="n">
        <v>45411</v>
      </c>
      <c r="C581" s="1" t="n">
        <v>46126</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54603-2024</t>
        </is>
      </c>
      <c r="B582" s="1" t="n">
        <v>45617.68224537037</v>
      </c>
      <c r="C582" s="1" t="n">
        <v>46126</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18762-2024</t>
        </is>
      </c>
      <c r="B583" s="1" t="n">
        <v>45426.55240740741</v>
      </c>
      <c r="C583" s="1" t="n">
        <v>46126</v>
      </c>
      <c r="D583" t="inlineStr">
        <is>
          <t>VÄSTMANLANDS LÄN</t>
        </is>
      </c>
      <c r="E583" t="inlineStr">
        <is>
          <t>SALA</t>
        </is>
      </c>
      <c r="G583" t="n">
        <v>6.2</v>
      </c>
      <c r="H583" t="n">
        <v>0</v>
      </c>
      <c r="I583" t="n">
        <v>0</v>
      </c>
      <c r="J583" t="n">
        <v>0</v>
      </c>
      <c r="K583" t="n">
        <v>0</v>
      </c>
      <c r="L583" t="n">
        <v>0</v>
      </c>
      <c r="M583" t="n">
        <v>0</v>
      </c>
      <c r="N583" t="n">
        <v>0</v>
      </c>
      <c r="O583" t="n">
        <v>0</v>
      </c>
      <c r="P583" t="n">
        <v>0</v>
      </c>
      <c r="Q583" t="n">
        <v>0</v>
      </c>
      <c r="R583" s="2" t="inlineStr"/>
    </row>
    <row r="584" ht="15" customHeight="1">
      <c r="A584" t="inlineStr">
        <is>
          <t>A 17120-2023</t>
        </is>
      </c>
      <c r="B584" s="1" t="n">
        <v>45034</v>
      </c>
      <c r="C584" s="1" t="n">
        <v>46126</v>
      </c>
      <c r="D584" t="inlineStr">
        <is>
          <t>VÄSTMANLANDS LÄN</t>
        </is>
      </c>
      <c r="E584" t="inlineStr">
        <is>
          <t>SALA</t>
        </is>
      </c>
      <c r="G584" t="n">
        <v>0.1</v>
      </c>
      <c r="H584" t="n">
        <v>0</v>
      </c>
      <c r="I584" t="n">
        <v>0</v>
      </c>
      <c r="J584" t="n">
        <v>0</v>
      </c>
      <c r="K584" t="n">
        <v>0</v>
      </c>
      <c r="L584" t="n">
        <v>0</v>
      </c>
      <c r="M584" t="n">
        <v>0</v>
      </c>
      <c r="N584" t="n">
        <v>0</v>
      </c>
      <c r="O584" t="n">
        <v>0</v>
      </c>
      <c r="P584" t="n">
        <v>0</v>
      </c>
      <c r="Q584" t="n">
        <v>0</v>
      </c>
      <c r="R584" s="2" t="inlineStr"/>
    </row>
    <row r="585" ht="15" customHeight="1">
      <c r="A585" t="inlineStr">
        <is>
          <t>A 42938-2023</t>
        </is>
      </c>
      <c r="B585" s="1" t="n">
        <v>45179</v>
      </c>
      <c r="C585" s="1" t="n">
        <v>46126</v>
      </c>
      <c r="D585" t="inlineStr">
        <is>
          <t>VÄSTMANLANDS LÄN</t>
        </is>
      </c>
      <c r="E585" t="inlineStr">
        <is>
          <t>SALA</t>
        </is>
      </c>
      <c r="G585" t="n">
        <v>10.9</v>
      </c>
      <c r="H585" t="n">
        <v>0</v>
      </c>
      <c r="I585" t="n">
        <v>0</v>
      </c>
      <c r="J585" t="n">
        <v>0</v>
      </c>
      <c r="K585" t="n">
        <v>0</v>
      </c>
      <c r="L585" t="n">
        <v>0</v>
      </c>
      <c r="M585" t="n">
        <v>0</v>
      </c>
      <c r="N585" t="n">
        <v>0</v>
      </c>
      <c r="O585" t="n">
        <v>0</v>
      </c>
      <c r="P585" t="n">
        <v>0</v>
      </c>
      <c r="Q585" t="n">
        <v>0</v>
      </c>
      <c r="R585" s="2" t="inlineStr"/>
    </row>
    <row r="586" ht="15" customHeight="1">
      <c r="A586" t="inlineStr">
        <is>
          <t>A 42984-2023</t>
        </is>
      </c>
      <c r="B586" s="1" t="n">
        <v>45179</v>
      </c>
      <c r="C586" s="1" t="n">
        <v>46126</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15972-2024</t>
        </is>
      </c>
      <c r="B587" s="1" t="n">
        <v>45405.56498842593</v>
      </c>
      <c r="C587" s="1" t="n">
        <v>46126</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39714-2023</t>
        </is>
      </c>
      <c r="B588" s="1" t="n">
        <v>45167.62133101852</v>
      </c>
      <c r="C588" s="1" t="n">
        <v>46126</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11799-2026</t>
        </is>
      </c>
      <c r="B589" s="1" t="n">
        <v>46085.34180555555</v>
      </c>
      <c r="C589" s="1" t="n">
        <v>46126</v>
      </c>
      <c r="D589" t="inlineStr">
        <is>
          <t>VÄSTMANLANDS LÄN</t>
        </is>
      </c>
      <c r="E589" t="inlineStr">
        <is>
          <t>SALA</t>
        </is>
      </c>
      <c r="G589" t="n">
        <v>3.6</v>
      </c>
      <c r="H589" t="n">
        <v>0</v>
      </c>
      <c r="I589" t="n">
        <v>0</v>
      </c>
      <c r="J589" t="n">
        <v>0</v>
      </c>
      <c r="K589" t="n">
        <v>0</v>
      </c>
      <c r="L589" t="n">
        <v>0</v>
      </c>
      <c r="M589" t="n">
        <v>0</v>
      </c>
      <c r="N589" t="n">
        <v>0</v>
      </c>
      <c r="O589" t="n">
        <v>0</v>
      </c>
      <c r="P589" t="n">
        <v>0</v>
      </c>
      <c r="Q589" t="n">
        <v>0</v>
      </c>
      <c r="R589" s="2" t="inlineStr"/>
    </row>
    <row r="590" ht="15" customHeight="1">
      <c r="A590" t="inlineStr">
        <is>
          <t>A 33527-2023</t>
        </is>
      </c>
      <c r="B590" s="1" t="n">
        <v>45131</v>
      </c>
      <c r="C590" s="1" t="n">
        <v>46126</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4681-2026</t>
        </is>
      </c>
      <c r="B591" s="1" t="n">
        <v>46048.43016203704</v>
      </c>
      <c r="C591" s="1" t="n">
        <v>46126</v>
      </c>
      <c r="D591" t="inlineStr">
        <is>
          <t>VÄSTMANLANDS LÄN</t>
        </is>
      </c>
      <c r="E591" t="inlineStr">
        <is>
          <t>SALA</t>
        </is>
      </c>
      <c r="G591" t="n">
        <v>2.5</v>
      </c>
      <c r="H591" t="n">
        <v>0</v>
      </c>
      <c r="I591" t="n">
        <v>0</v>
      </c>
      <c r="J591" t="n">
        <v>0</v>
      </c>
      <c r="K591" t="n">
        <v>0</v>
      </c>
      <c r="L591" t="n">
        <v>0</v>
      </c>
      <c r="M591" t="n">
        <v>0</v>
      </c>
      <c r="N591" t="n">
        <v>0</v>
      </c>
      <c r="O591" t="n">
        <v>0</v>
      </c>
      <c r="P591" t="n">
        <v>0</v>
      </c>
      <c r="Q591" t="n">
        <v>0</v>
      </c>
      <c r="R591" s="2" t="inlineStr"/>
    </row>
    <row r="592" ht="15" customHeight="1">
      <c r="A592" t="inlineStr">
        <is>
          <t>A 4664-2026</t>
        </is>
      </c>
      <c r="B592" s="1" t="n">
        <v>46048.41061342593</v>
      </c>
      <c r="C592" s="1" t="n">
        <v>46126</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10913-2025</t>
        </is>
      </c>
      <c r="B593" s="1" t="n">
        <v>45722.73423611111</v>
      </c>
      <c r="C593" s="1" t="n">
        <v>46126</v>
      </c>
      <c r="D593" t="inlineStr">
        <is>
          <t>VÄSTMANLANDS LÄN</t>
        </is>
      </c>
      <c r="E593" t="inlineStr">
        <is>
          <t>SALA</t>
        </is>
      </c>
      <c r="G593" t="n">
        <v>7.6</v>
      </c>
      <c r="H593" t="n">
        <v>0</v>
      </c>
      <c r="I593" t="n">
        <v>0</v>
      </c>
      <c r="J593" t="n">
        <v>0</v>
      </c>
      <c r="K593" t="n">
        <v>0</v>
      </c>
      <c r="L593" t="n">
        <v>0</v>
      </c>
      <c r="M593" t="n">
        <v>0</v>
      </c>
      <c r="N593" t="n">
        <v>0</v>
      </c>
      <c r="O593" t="n">
        <v>0</v>
      </c>
      <c r="P593" t="n">
        <v>0</v>
      </c>
      <c r="Q593" t="n">
        <v>0</v>
      </c>
      <c r="R593" s="2" t="inlineStr"/>
    </row>
    <row r="594" ht="15" customHeight="1">
      <c r="A594" t="inlineStr">
        <is>
          <t>A 12497-2026</t>
        </is>
      </c>
      <c r="B594" s="1" t="n">
        <v>46090.57240740741</v>
      </c>
      <c r="C594" s="1" t="n">
        <v>46126</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58107-2021</t>
        </is>
      </c>
      <c r="B595" s="1" t="n">
        <v>44487</v>
      </c>
      <c r="C595" s="1" t="n">
        <v>46126</v>
      </c>
      <c r="D595" t="inlineStr">
        <is>
          <t>VÄSTMANLANDS LÄN</t>
        </is>
      </c>
      <c r="E595" t="inlineStr">
        <is>
          <t>SALA</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4712-2026</t>
        </is>
      </c>
      <c r="B596" s="1" t="n">
        <v>46048.46082175926</v>
      </c>
      <c r="C596" s="1" t="n">
        <v>46126</v>
      </c>
      <c r="D596" t="inlineStr">
        <is>
          <t>VÄSTMANLANDS LÄN</t>
        </is>
      </c>
      <c r="E596" t="inlineStr">
        <is>
          <t>SALA</t>
        </is>
      </c>
      <c r="G596" t="n">
        <v>4.1</v>
      </c>
      <c r="H596" t="n">
        <v>0</v>
      </c>
      <c r="I596" t="n">
        <v>0</v>
      </c>
      <c r="J596" t="n">
        <v>0</v>
      </c>
      <c r="K596" t="n">
        <v>0</v>
      </c>
      <c r="L596" t="n">
        <v>0</v>
      </c>
      <c r="M596" t="n">
        <v>0</v>
      </c>
      <c r="N596" t="n">
        <v>0</v>
      </c>
      <c r="O596" t="n">
        <v>0</v>
      </c>
      <c r="P596" t="n">
        <v>0</v>
      </c>
      <c r="Q596" t="n">
        <v>0</v>
      </c>
      <c r="R596" s="2" t="inlineStr"/>
    </row>
    <row r="597" ht="15" customHeight="1">
      <c r="A597" t="inlineStr">
        <is>
          <t>A 2927-2024</t>
        </is>
      </c>
      <c r="B597" s="1" t="n">
        <v>45315.58989583333</v>
      </c>
      <c r="C597" s="1" t="n">
        <v>46126</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37183-2024</t>
        </is>
      </c>
      <c r="B598" s="1" t="n">
        <v>45539</v>
      </c>
      <c r="C598" s="1" t="n">
        <v>46126</v>
      </c>
      <c r="D598" t="inlineStr">
        <is>
          <t>VÄSTMANLANDS LÄN</t>
        </is>
      </c>
      <c r="E598" t="inlineStr">
        <is>
          <t>SALA</t>
        </is>
      </c>
      <c r="G598" t="n">
        <v>1.2</v>
      </c>
      <c r="H598" t="n">
        <v>0</v>
      </c>
      <c r="I598" t="n">
        <v>0</v>
      </c>
      <c r="J598" t="n">
        <v>0</v>
      </c>
      <c r="K598" t="n">
        <v>0</v>
      </c>
      <c r="L598" t="n">
        <v>0</v>
      </c>
      <c r="M598" t="n">
        <v>0</v>
      </c>
      <c r="N598" t="n">
        <v>0</v>
      </c>
      <c r="O598" t="n">
        <v>0</v>
      </c>
      <c r="P598" t="n">
        <v>0</v>
      </c>
      <c r="Q598" t="n">
        <v>0</v>
      </c>
      <c r="R598" s="2" t="inlineStr"/>
    </row>
    <row r="599" ht="15" customHeight="1">
      <c r="A599" t="inlineStr">
        <is>
          <t>A 4624-2026</t>
        </is>
      </c>
      <c r="B599" s="1" t="n">
        <v>46048.38107638889</v>
      </c>
      <c r="C599" s="1" t="n">
        <v>46126</v>
      </c>
      <c r="D599" t="inlineStr">
        <is>
          <t>VÄSTMANLANDS LÄN</t>
        </is>
      </c>
      <c r="E599" t="inlineStr">
        <is>
          <t>SALA</t>
        </is>
      </c>
      <c r="G599" t="n">
        <v>12.3</v>
      </c>
      <c r="H599" t="n">
        <v>0</v>
      </c>
      <c r="I599" t="n">
        <v>0</v>
      </c>
      <c r="J599" t="n">
        <v>0</v>
      </c>
      <c r="K599" t="n">
        <v>0</v>
      </c>
      <c r="L599" t="n">
        <v>0</v>
      </c>
      <c r="M599" t="n">
        <v>0</v>
      </c>
      <c r="N599" t="n">
        <v>0</v>
      </c>
      <c r="O599" t="n">
        <v>0</v>
      </c>
      <c r="P599" t="n">
        <v>0</v>
      </c>
      <c r="Q599" t="n">
        <v>0</v>
      </c>
      <c r="R599" s="2" t="inlineStr"/>
    </row>
    <row r="600" ht="15" customHeight="1">
      <c r="A600" t="inlineStr">
        <is>
          <t>A 4214-2026</t>
        </is>
      </c>
      <c r="B600" s="1" t="n">
        <v>46044.76459490741</v>
      </c>
      <c r="C600" s="1" t="n">
        <v>46126</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4683-2026</t>
        </is>
      </c>
      <c r="B601" s="1" t="n">
        <v>46048.43489583334</v>
      </c>
      <c r="C601" s="1" t="n">
        <v>46126</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54199-2024</t>
        </is>
      </c>
      <c r="B602" s="1" t="n">
        <v>45616.64703703704</v>
      </c>
      <c r="C602" s="1" t="n">
        <v>46126</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60548-2024</t>
        </is>
      </c>
      <c r="B603" s="1" t="n">
        <v>45643.80978009259</v>
      </c>
      <c r="C603" s="1" t="n">
        <v>46126</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5418-2026</t>
        </is>
      </c>
      <c r="B604" s="1" t="n">
        <v>46050.53740740741</v>
      </c>
      <c r="C604" s="1" t="n">
        <v>46126</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5525-2026</t>
        </is>
      </c>
      <c r="B605" s="1" t="n">
        <v>46050.65055555556</v>
      </c>
      <c r="C605" s="1" t="n">
        <v>46126</v>
      </c>
      <c r="D605" t="inlineStr">
        <is>
          <t>VÄSTMANLANDS LÄN</t>
        </is>
      </c>
      <c r="E605" t="inlineStr">
        <is>
          <t>SALA</t>
        </is>
      </c>
      <c r="G605" t="n">
        <v>13.1</v>
      </c>
      <c r="H605" t="n">
        <v>0</v>
      </c>
      <c r="I605" t="n">
        <v>0</v>
      </c>
      <c r="J605" t="n">
        <v>0</v>
      </c>
      <c r="K605" t="n">
        <v>0</v>
      </c>
      <c r="L605" t="n">
        <v>0</v>
      </c>
      <c r="M605" t="n">
        <v>0</v>
      </c>
      <c r="N605" t="n">
        <v>0</v>
      </c>
      <c r="O605" t="n">
        <v>0</v>
      </c>
      <c r="P605" t="n">
        <v>0</v>
      </c>
      <c r="Q605" t="n">
        <v>0</v>
      </c>
      <c r="R605" s="2" t="inlineStr"/>
    </row>
    <row r="606" ht="15" customHeight="1">
      <c r="A606" t="inlineStr">
        <is>
          <t>A 5219-2026</t>
        </is>
      </c>
      <c r="B606" s="1" t="n">
        <v>46049.76225694444</v>
      </c>
      <c r="C606" s="1" t="n">
        <v>46126</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57895-2024</t>
        </is>
      </c>
      <c r="B607" s="1" t="n">
        <v>45631</v>
      </c>
      <c r="C607" s="1" t="n">
        <v>46126</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31597-2024</t>
        </is>
      </c>
      <c r="B608" s="1" t="n">
        <v>45506</v>
      </c>
      <c r="C608" s="1" t="n">
        <v>46126</v>
      </c>
      <c r="D608" t="inlineStr">
        <is>
          <t>VÄSTMANLANDS LÄN</t>
        </is>
      </c>
      <c r="E608" t="inlineStr">
        <is>
          <t>SALA</t>
        </is>
      </c>
      <c r="G608" t="n">
        <v>2.4</v>
      </c>
      <c r="H608" t="n">
        <v>0</v>
      </c>
      <c r="I608" t="n">
        <v>0</v>
      </c>
      <c r="J608" t="n">
        <v>0</v>
      </c>
      <c r="K608" t="n">
        <v>0</v>
      </c>
      <c r="L608" t="n">
        <v>0</v>
      </c>
      <c r="M608" t="n">
        <v>0</v>
      </c>
      <c r="N608" t="n">
        <v>0</v>
      </c>
      <c r="O608" t="n">
        <v>0</v>
      </c>
      <c r="P608" t="n">
        <v>0</v>
      </c>
      <c r="Q608" t="n">
        <v>0</v>
      </c>
      <c r="R608" s="2" t="inlineStr"/>
    </row>
    <row r="609" ht="15" customHeight="1">
      <c r="A609" t="inlineStr">
        <is>
          <t>A 17458-2024</t>
        </is>
      </c>
      <c r="B609" s="1" t="n">
        <v>45415</v>
      </c>
      <c r="C609" s="1" t="n">
        <v>46126</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56543-2024</t>
        </is>
      </c>
      <c r="B610" s="1" t="n">
        <v>45625</v>
      </c>
      <c r="C610" s="1" t="n">
        <v>46126</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13033-2026</t>
        </is>
      </c>
      <c r="B611" s="1" t="n">
        <v>46092.91247685185</v>
      </c>
      <c r="C611" s="1" t="n">
        <v>46126</v>
      </c>
      <c r="D611" t="inlineStr">
        <is>
          <t>VÄSTMANLANDS LÄN</t>
        </is>
      </c>
      <c r="E611" t="inlineStr">
        <is>
          <t>SALA</t>
        </is>
      </c>
      <c r="G611" t="n">
        <v>11.7</v>
      </c>
      <c r="H611" t="n">
        <v>0</v>
      </c>
      <c r="I611" t="n">
        <v>0</v>
      </c>
      <c r="J611" t="n">
        <v>0</v>
      </c>
      <c r="K611" t="n">
        <v>0</v>
      </c>
      <c r="L611" t="n">
        <v>0</v>
      </c>
      <c r="M611" t="n">
        <v>0</v>
      </c>
      <c r="N611" t="n">
        <v>0</v>
      </c>
      <c r="O611" t="n">
        <v>0</v>
      </c>
      <c r="P611" t="n">
        <v>0</v>
      </c>
      <c r="Q611" t="n">
        <v>0</v>
      </c>
      <c r="R611" s="2" t="inlineStr"/>
    </row>
    <row r="612" ht="15" customHeight="1">
      <c r="A612" t="inlineStr">
        <is>
          <t>A 5894-2026</t>
        </is>
      </c>
      <c r="B612" s="1" t="n">
        <v>46052.42412037037</v>
      </c>
      <c r="C612" s="1" t="n">
        <v>46126</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13032-2026</t>
        </is>
      </c>
      <c r="B613" s="1" t="n">
        <v>46092.90436342593</v>
      </c>
      <c r="C613" s="1" t="n">
        <v>46126</v>
      </c>
      <c r="D613" t="inlineStr">
        <is>
          <t>VÄSTMANLANDS LÄN</t>
        </is>
      </c>
      <c r="E613" t="inlineStr">
        <is>
          <t>SALA</t>
        </is>
      </c>
      <c r="G613" t="n">
        <v>3.4</v>
      </c>
      <c r="H613" t="n">
        <v>0</v>
      </c>
      <c r="I613" t="n">
        <v>0</v>
      </c>
      <c r="J613" t="n">
        <v>0</v>
      </c>
      <c r="K613" t="n">
        <v>0</v>
      </c>
      <c r="L613" t="n">
        <v>0</v>
      </c>
      <c r="M613" t="n">
        <v>0</v>
      </c>
      <c r="N613" t="n">
        <v>0</v>
      </c>
      <c r="O613" t="n">
        <v>0</v>
      </c>
      <c r="P613" t="n">
        <v>0</v>
      </c>
      <c r="Q613" t="n">
        <v>0</v>
      </c>
      <c r="R613" s="2" t="inlineStr"/>
    </row>
    <row r="614" ht="15" customHeight="1">
      <c r="A614" t="inlineStr">
        <is>
          <t>A 28661-2024</t>
        </is>
      </c>
      <c r="B614" s="1" t="n">
        <v>45478</v>
      </c>
      <c r="C614" s="1" t="n">
        <v>46126</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12144-2026</t>
        </is>
      </c>
      <c r="B615" s="1" t="n">
        <v>46086.58008101852</v>
      </c>
      <c r="C615" s="1" t="n">
        <v>46126</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2529-2022</t>
        </is>
      </c>
      <c r="B616" s="1" t="n">
        <v>44579.86452546297</v>
      </c>
      <c r="C616" s="1" t="n">
        <v>46126</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56540-2024</t>
        </is>
      </c>
      <c r="B617" s="1" t="n">
        <v>45625</v>
      </c>
      <c r="C617" s="1" t="n">
        <v>46126</v>
      </c>
      <c r="D617" t="inlineStr">
        <is>
          <t>VÄSTMANLANDS LÄN</t>
        </is>
      </c>
      <c r="E617" t="inlineStr">
        <is>
          <t>SALA</t>
        </is>
      </c>
      <c r="G617" t="n">
        <v>1.8</v>
      </c>
      <c r="H617" t="n">
        <v>0</v>
      </c>
      <c r="I617" t="n">
        <v>0</v>
      </c>
      <c r="J617" t="n">
        <v>0</v>
      </c>
      <c r="K617" t="n">
        <v>0</v>
      </c>
      <c r="L617" t="n">
        <v>0</v>
      </c>
      <c r="M617" t="n">
        <v>0</v>
      </c>
      <c r="N617" t="n">
        <v>0</v>
      </c>
      <c r="O617" t="n">
        <v>0</v>
      </c>
      <c r="P617" t="n">
        <v>0</v>
      </c>
      <c r="Q617" t="n">
        <v>0</v>
      </c>
      <c r="R617" s="2" t="inlineStr"/>
    </row>
    <row r="618" ht="15" customHeight="1">
      <c r="A618" t="inlineStr">
        <is>
          <t>A 31599-2024</t>
        </is>
      </c>
      <c r="B618" s="1" t="n">
        <v>45506</v>
      </c>
      <c r="C618" s="1" t="n">
        <v>46126</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31601-2024</t>
        </is>
      </c>
      <c r="B619" s="1" t="n">
        <v>45506</v>
      </c>
      <c r="C619" s="1" t="n">
        <v>46126</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31608-2024</t>
        </is>
      </c>
      <c r="B620" s="1" t="n">
        <v>45506</v>
      </c>
      <c r="C620" s="1" t="n">
        <v>46126</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31612-2024</t>
        </is>
      </c>
      <c r="B621" s="1" t="n">
        <v>45506</v>
      </c>
      <c r="C621" s="1" t="n">
        <v>46126</v>
      </c>
      <c r="D621" t="inlineStr">
        <is>
          <t>VÄSTMANLANDS LÄN</t>
        </is>
      </c>
      <c r="E621" t="inlineStr">
        <is>
          <t>SALA</t>
        </is>
      </c>
      <c r="G621" t="n">
        <v>3.2</v>
      </c>
      <c r="H621" t="n">
        <v>0</v>
      </c>
      <c r="I621" t="n">
        <v>0</v>
      </c>
      <c r="J621" t="n">
        <v>0</v>
      </c>
      <c r="K621" t="n">
        <v>0</v>
      </c>
      <c r="L621" t="n">
        <v>0</v>
      </c>
      <c r="M621" t="n">
        <v>0</v>
      </c>
      <c r="N621" t="n">
        <v>0</v>
      </c>
      <c r="O621" t="n">
        <v>0</v>
      </c>
      <c r="P621" t="n">
        <v>0</v>
      </c>
      <c r="Q621" t="n">
        <v>0</v>
      </c>
      <c r="R621" s="2" t="inlineStr"/>
    </row>
    <row r="622" ht="15" customHeight="1">
      <c r="A622" t="inlineStr">
        <is>
          <t>A 14000-2026</t>
        </is>
      </c>
      <c r="B622" s="1" t="n">
        <v>46098.64246527778</v>
      </c>
      <c r="C622" s="1" t="n">
        <v>46126</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10579-2022</t>
        </is>
      </c>
      <c r="B623" s="1" t="n">
        <v>44624</v>
      </c>
      <c r="C623" s="1" t="n">
        <v>46126</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64693-2023</t>
        </is>
      </c>
      <c r="B624" s="1" t="n">
        <v>45281.63850694444</v>
      </c>
      <c r="C624" s="1" t="n">
        <v>46126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64695-2023</t>
        </is>
      </c>
      <c r="B625" s="1" t="n">
        <v>45281.64099537037</v>
      </c>
      <c r="C625" s="1" t="n">
        <v>46126</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13996-2026</t>
        </is>
      </c>
      <c r="B626" s="1" t="n">
        <v>46098.63159722222</v>
      </c>
      <c r="C626" s="1" t="n">
        <v>46126</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6021-2026</t>
        </is>
      </c>
      <c r="B627" s="1" t="n">
        <v>46050</v>
      </c>
      <c r="C627" s="1" t="n">
        <v>46126</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7327-2026</t>
        </is>
      </c>
      <c r="B628" s="1" t="n">
        <v>46058.68371527778</v>
      </c>
      <c r="C628" s="1" t="n">
        <v>46126</v>
      </c>
      <c r="D628" t="inlineStr">
        <is>
          <t>VÄSTMANLANDS LÄN</t>
        </is>
      </c>
      <c r="E628" t="inlineStr">
        <is>
          <t>SALA</t>
        </is>
      </c>
      <c r="G628" t="n">
        <v>5.8</v>
      </c>
      <c r="H628" t="n">
        <v>0</v>
      </c>
      <c r="I628" t="n">
        <v>0</v>
      </c>
      <c r="J628" t="n">
        <v>0</v>
      </c>
      <c r="K628" t="n">
        <v>0</v>
      </c>
      <c r="L628" t="n">
        <v>0</v>
      </c>
      <c r="M628" t="n">
        <v>0</v>
      </c>
      <c r="N628" t="n">
        <v>0</v>
      </c>
      <c r="O628" t="n">
        <v>0</v>
      </c>
      <c r="P628" t="n">
        <v>0</v>
      </c>
      <c r="Q628" t="n">
        <v>0</v>
      </c>
      <c r="R628" s="2" t="inlineStr"/>
    </row>
    <row r="629" ht="15" customHeight="1">
      <c r="A629" t="inlineStr">
        <is>
          <t>A 7332-2026</t>
        </is>
      </c>
      <c r="B629" s="1" t="n">
        <v>46058.68884259259</v>
      </c>
      <c r="C629" s="1" t="n">
        <v>46126</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14490-2026</t>
        </is>
      </c>
      <c r="B630" s="1" t="n">
        <v>46100.59277777778</v>
      </c>
      <c r="C630" s="1" t="n">
        <v>46126</v>
      </c>
      <c r="D630" t="inlineStr">
        <is>
          <t>VÄSTMANLANDS LÄN</t>
        </is>
      </c>
      <c r="E630" t="inlineStr">
        <is>
          <t>SALA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55784-2024</t>
        </is>
      </c>
      <c r="B631" s="1" t="n">
        <v>45623</v>
      </c>
      <c r="C631" s="1" t="n">
        <v>46126</v>
      </c>
      <c r="D631" t="inlineStr">
        <is>
          <t>VÄSTMANLANDS LÄN</t>
        </is>
      </c>
      <c r="E631" t="inlineStr">
        <is>
          <t>SALA</t>
        </is>
      </c>
      <c r="F631" t="inlineStr">
        <is>
          <t>Bergvik skog öst AB</t>
        </is>
      </c>
      <c r="G631" t="n">
        <v>28.4</v>
      </c>
      <c r="H631" t="n">
        <v>0</v>
      </c>
      <c r="I631" t="n">
        <v>0</v>
      </c>
      <c r="J631" t="n">
        <v>0</v>
      </c>
      <c r="K631" t="n">
        <v>0</v>
      </c>
      <c r="L631" t="n">
        <v>0</v>
      </c>
      <c r="M631" t="n">
        <v>0</v>
      </c>
      <c r="N631" t="n">
        <v>0</v>
      </c>
      <c r="O631" t="n">
        <v>0</v>
      </c>
      <c r="P631" t="n">
        <v>0</v>
      </c>
      <c r="Q631" t="n">
        <v>0</v>
      </c>
      <c r="R631" s="2" t="inlineStr"/>
    </row>
    <row r="632" ht="15" customHeight="1">
      <c r="A632" t="inlineStr">
        <is>
          <t>A 7324-2026</t>
        </is>
      </c>
      <c r="B632" s="1" t="n">
        <v>46058.68023148148</v>
      </c>
      <c r="C632" s="1" t="n">
        <v>46126</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29542-2023</t>
        </is>
      </c>
      <c r="B633" s="1" t="n">
        <v>45098</v>
      </c>
      <c r="C633" s="1" t="n">
        <v>46126</v>
      </c>
      <c r="D633" t="inlineStr">
        <is>
          <t>VÄSTMANLANDS LÄN</t>
        </is>
      </c>
      <c r="E633" t="inlineStr">
        <is>
          <t>SALA</t>
        </is>
      </c>
      <c r="G633" t="n">
        <v>4.8</v>
      </c>
      <c r="H633" t="n">
        <v>0</v>
      </c>
      <c r="I633" t="n">
        <v>0</v>
      </c>
      <c r="J633" t="n">
        <v>0</v>
      </c>
      <c r="K633" t="n">
        <v>0</v>
      </c>
      <c r="L633" t="n">
        <v>0</v>
      </c>
      <c r="M633" t="n">
        <v>0</v>
      </c>
      <c r="N633" t="n">
        <v>0</v>
      </c>
      <c r="O633" t="n">
        <v>0</v>
      </c>
      <c r="P633" t="n">
        <v>0</v>
      </c>
      <c r="Q633" t="n">
        <v>0</v>
      </c>
      <c r="R633" s="2" t="inlineStr"/>
    </row>
    <row r="634" ht="15" customHeight="1">
      <c r="A634" t="inlineStr">
        <is>
          <t>A 27038-2023</t>
        </is>
      </c>
      <c r="B634" s="1" t="n">
        <v>45095</v>
      </c>
      <c r="C634" s="1" t="n">
        <v>46126</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14481-2026</t>
        </is>
      </c>
      <c r="B635" s="1" t="n">
        <v>46100.58707175926</v>
      </c>
      <c r="C635" s="1" t="n">
        <v>46126</v>
      </c>
      <c r="D635" t="inlineStr">
        <is>
          <t>VÄSTMANLANDS LÄN</t>
        </is>
      </c>
      <c r="E635" t="inlineStr">
        <is>
          <t>SALA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14482-2026</t>
        </is>
      </c>
      <c r="B636" s="1" t="n">
        <v>46100.588125</v>
      </c>
      <c r="C636" s="1" t="n">
        <v>46126</v>
      </c>
      <c r="D636" t="inlineStr">
        <is>
          <t>VÄSTMANLANDS LÄN</t>
        </is>
      </c>
      <c r="E636" t="inlineStr">
        <is>
          <t>SALA</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14484-2026</t>
        </is>
      </c>
      <c r="B637" s="1" t="n">
        <v>46100.5887962963</v>
      </c>
      <c r="C637" s="1" t="n">
        <v>46126</v>
      </c>
      <c r="D637" t="inlineStr">
        <is>
          <t>VÄSTMANLANDS LÄN</t>
        </is>
      </c>
      <c r="E637" t="inlineStr">
        <is>
          <t>SALA</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7329-2026</t>
        </is>
      </c>
      <c r="B638" s="1" t="n">
        <v>46058.68678240741</v>
      </c>
      <c r="C638" s="1" t="n">
        <v>46126</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7850-2026</t>
        </is>
      </c>
      <c r="B639" s="1" t="n">
        <v>46062.66236111111</v>
      </c>
      <c r="C639" s="1" t="n">
        <v>46126</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17051-2025</t>
        </is>
      </c>
      <c r="B640" s="1" t="n">
        <v>45755</v>
      </c>
      <c r="C640" s="1" t="n">
        <v>46126</v>
      </c>
      <c r="D640" t="inlineStr">
        <is>
          <t>VÄSTMANLANDS LÄN</t>
        </is>
      </c>
      <c r="E640" t="inlineStr">
        <is>
          <t>SALA</t>
        </is>
      </c>
      <c r="G640" t="n">
        <v>2.9</v>
      </c>
      <c r="H640" t="n">
        <v>0</v>
      </c>
      <c r="I640" t="n">
        <v>0</v>
      </c>
      <c r="J640" t="n">
        <v>0</v>
      </c>
      <c r="K640" t="n">
        <v>0</v>
      </c>
      <c r="L640" t="n">
        <v>0</v>
      </c>
      <c r="M640" t="n">
        <v>0</v>
      </c>
      <c r="N640" t="n">
        <v>0</v>
      </c>
      <c r="O640" t="n">
        <v>0</v>
      </c>
      <c r="P640" t="n">
        <v>0</v>
      </c>
      <c r="Q640" t="n">
        <v>0</v>
      </c>
      <c r="R640" s="2" t="inlineStr"/>
    </row>
    <row r="641" ht="15" customHeight="1">
      <c r="A641" t="inlineStr">
        <is>
          <t>A 7654-2026</t>
        </is>
      </c>
      <c r="B641" s="1" t="n">
        <v>46062.38828703704</v>
      </c>
      <c r="C641" s="1" t="n">
        <v>46126</v>
      </c>
      <c r="D641" t="inlineStr">
        <is>
          <t>VÄSTMANLANDS LÄN</t>
        </is>
      </c>
      <c r="E641" t="inlineStr">
        <is>
          <t>SALA</t>
        </is>
      </c>
      <c r="G641" t="n">
        <v>4.5</v>
      </c>
      <c r="H641" t="n">
        <v>0</v>
      </c>
      <c r="I641" t="n">
        <v>0</v>
      </c>
      <c r="J641" t="n">
        <v>0</v>
      </c>
      <c r="K641" t="n">
        <v>0</v>
      </c>
      <c r="L641" t="n">
        <v>0</v>
      </c>
      <c r="M641" t="n">
        <v>0</v>
      </c>
      <c r="N641" t="n">
        <v>0</v>
      </c>
      <c r="O641" t="n">
        <v>0</v>
      </c>
      <c r="P641" t="n">
        <v>0</v>
      </c>
      <c r="Q641" t="n">
        <v>0</v>
      </c>
      <c r="R641" s="2" t="inlineStr"/>
    </row>
    <row r="642" ht="15" customHeight="1">
      <c r="A642" t="inlineStr">
        <is>
          <t>A 7597-2026</t>
        </is>
      </c>
      <c r="B642" s="1" t="n">
        <v>46061.91765046296</v>
      </c>
      <c r="C642" s="1" t="n">
        <v>46126</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8285-2025</t>
        </is>
      </c>
      <c r="B643" s="1" t="n">
        <v>45708</v>
      </c>
      <c r="C643" s="1" t="n">
        <v>46126</v>
      </c>
      <c r="D643" t="inlineStr">
        <is>
          <t>VÄSTMANLANDS LÄN</t>
        </is>
      </c>
      <c r="E643" t="inlineStr">
        <is>
          <t>SALA</t>
        </is>
      </c>
      <c r="G643" t="n">
        <v>5.7</v>
      </c>
      <c r="H643" t="n">
        <v>0</v>
      </c>
      <c r="I643" t="n">
        <v>0</v>
      </c>
      <c r="J643" t="n">
        <v>0</v>
      </c>
      <c r="K643" t="n">
        <v>0</v>
      </c>
      <c r="L643" t="n">
        <v>0</v>
      </c>
      <c r="M643" t="n">
        <v>0</v>
      </c>
      <c r="N643" t="n">
        <v>0</v>
      </c>
      <c r="O643" t="n">
        <v>0</v>
      </c>
      <c r="P643" t="n">
        <v>0</v>
      </c>
      <c r="Q643" t="n">
        <v>0</v>
      </c>
      <c r="R643" s="2" t="inlineStr"/>
    </row>
    <row r="644" ht="15" customHeight="1">
      <c r="A644" t="inlineStr">
        <is>
          <t>A 11617-2026</t>
        </is>
      </c>
      <c r="B644" s="1" t="n">
        <v>46084</v>
      </c>
      <c r="C644" s="1" t="n">
        <v>46126</v>
      </c>
      <c r="D644" t="inlineStr">
        <is>
          <t>VÄSTMANLANDS LÄN</t>
        </is>
      </c>
      <c r="E644" t="inlineStr">
        <is>
          <t>SALA</t>
        </is>
      </c>
      <c r="F644" t="inlineStr">
        <is>
          <t>Kyrkan</t>
        </is>
      </c>
      <c r="G644" t="n">
        <v>3.7</v>
      </c>
      <c r="H644" t="n">
        <v>0</v>
      </c>
      <c r="I644" t="n">
        <v>0</v>
      </c>
      <c r="J644" t="n">
        <v>0</v>
      </c>
      <c r="K644" t="n">
        <v>0</v>
      </c>
      <c r="L644" t="n">
        <v>0</v>
      </c>
      <c r="M644" t="n">
        <v>0</v>
      </c>
      <c r="N644" t="n">
        <v>0</v>
      </c>
      <c r="O644" t="n">
        <v>0</v>
      </c>
      <c r="P644" t="n">
        <v>0</v>
      </c>
      <c r="Q644" t="n">
        <v>0</v>
      </c>
      <c r="R644" s="2" t="inlineStr"/>
    </row>
    <row r="645" ht="15" customHeight="1">
      <c r="A645" t="inlineStr">
        <is>
          <t>A 7611-2026</t>
        </is>
      </c>
      <c r="B645" s="1" t="n">
        <v>46062.32387731481</v>
      </c>
      <c r="C645" s="1" t="n">
        <v>46126</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7676-2026</t>
        </is>
      </c>
      <c r="B646" s="1" t="n">
        <v>46062.42498842593</v>
      </c>
      <c r="C646" s="1" t="n">
        <v>46126</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7680-2026</t>
        </is>
      </c>
      <c r="B647" s="1" t="n">
        <v>46062.43087962963</v>
      </c>
      <c r="C647" s="1" t="n">
        <v>46126</v>
      </c>
      <c r="D647" t="inlineStr">
        <is>
          <t>VÄSTMANLANDS LÄN</t>
        </is>
      </c>
      <c r="E647" t="inlineStr">
        <is>
          <t>SALA</t>
        </is>
      </c>
      <c r="G647" t="n">
        <v>2.7</v>
      </c>
      <c r="H647" t="n">
        <v>0</v>
      </c>
      <c r="I647" t="n">
        <v>0</v>
      </c>
      <c r="J647" t="n">
        <v>0</v>
      </c>
      <c r="K647" t="n">
        <v>0</v>
      </c>
      <c r="L647" t="n">
        <v>0</v>
      </c>
      <c r="M647" t="n">
        <v>0</v>
      </c>
      <c r="N647" t="n">
        <v>0</v>
      </c>
      <c r="O647" t="n">
        <v>0</v>
      </c>
      <c r="P647" t="n">
        <v>0</v>
      </c>
      <c r="Q647" t="n">
        <v>0</v>
      </c>
      <c r="R647" s="2" t="inlineStr"/>
    </row>
    <row r="648" ht="15" customHeight="1">
      <c r="A648" t="inlineStr">
        <is>
          <t>A 7584-2026</t>
        </is>
      </c>
      <c r="B648" s="1" t="n">
        <v>46061.81653935185</v>
      </c>
      <c r="C648" s="1" t="n">
        <v>46126</v>
      </c>
      <c r="D648" t="inlineStr">
        <is>
          <t>VÄSTMANLANDS LÄN</t>
        </is>
      </c>
      <c r="E648" t="inlineStr">
        <is>
          <t>SALA</t>
        </is>
      </c>
      <c r="G648" t="n">
        <v>16.7</v>
      </c>
      <c r="H648" t="n">
        <v>0</v>
      </c>
      <c r="I648" t="n">
        <v>0</v>
      </c>
      <c r="J648" t="n">
        <v>0</v>
      </c>
      <c r="K648" t="n">
        <v>0</v>
      </c>
      <c r="L648" t="n">
        <v>0</v>
      </c>
      <c r="M648" t="n">
        <v>0</v>
      </c>
      <c r="N648" t="n">
        <v>0</v>
      </c>
      <c r="O648" t="n">
        <v>0</v>
      </c>
      <c r="P648" t="n">
        <v>0</v>
      </c>
      <c r="Q648" t="n">
        <v>0</v>
      </c>
      <c r="R648" s="2" t="inlineStr"/>
    </row>
    <row r="649" ht="15" customHeight="1">
      <c r="A649" t="inlineStr">
        <is>
          <t>A 7590-2026</t>
        </is>
      </c>
      <c r="B649" s="1" t="n">
        <v>46061.85252314815</v>
      </c>
      <c r="C649" s="1" t="n">
        <v>46126</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7596-2026</t>
        </is>
      </c>
      <c r="B650" s="1" t="n">
        <v>46061.90922453703</v>
      </c>
      <c r="C650" s="1" t="n">
        <v>46126</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7661-2026</t>
        </is>
      </c>
      <c r="B651" s="1" t="n">
        <v>46062.39614583334</v>
      </c>
      <c r="C651" s="1" t="n">
        <v>46126</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7588-2026</t>
        </is>
      </c>
      <c r="B652" s="1" t="n">
        <v>46061.83528935185</v>
      </c>
      <c r="C652" s="1" t="n">
        <v>46126</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7595-2026</t>
        </is>
      </c>
      <c r="B653" s="1" t="n">
        <v>46061.90009259259</v>
      </c>
      <c r="C653" s="1" t="n">
        <v>46126</v>
      </c>
      <c r="D653" t="inlineStr">
        <is>
          <t>VÄSTMANLANDS LÄN</t>
        </is>
      </c>
      <c r="E653" t="inlineStr">
        <is>
          <t>SALA</t>
        </is>
      </c>
      <c r="G653" t="n">
        <v>1.2</v>
      </c>
      <c r="H653" t="n">
        <v>0</v>
      </c>
      <c r="I653" t="n">
        <v>0</v>
      </c>
      <c r="J653" t="n">
        <v>0</v>
      </c>
      <c r="K653" t="n">
        <v>0</v>
      </c>
      <c r="L653" t="n">
        <v>0</v>
      </c>
      <c r="M653" t="n">
        <v>0</v>
      </c>
      <c r="N653" t="n">
        <v>0</v>
      </c>
      <c r="O653" t="n">
        <v>0</v>
      </c>
      <c r="P653" t="n">
        <v>0</v>
      </c>
      <c r="Q653" t="n">
        <v>0</v>
      </c>
      <c r="R653" s="2" t="inlineStr"/>
    </row>
    <row r="654" ht="15" customHeight="1">
      <c r="A654" t="inlineStr">
        <is>
          <t>A 7593-2026</t>
        </is>
      </c>
      <c r="B654" s="1" t="n">
        <v>46061.88057870371</v>
      </c>
      <c r="C654" s="1" t="n">
        <v>46126</v>
      </c>
      <c r="D654" t="inlineStr">
        <is>
          <t>VÄSTMANLANDS LÄN</t>
        </is>
      </c>
      <c r="E654" t="inlineStr">
        <is>
          <t>SALA</t>
        </is>
      </c>
      <c r="G654" t="n">
        <v>7.5</v>
      </c>
      <c r="H654" t="n">
        <v>0</v>
      </c>
      <c r="I654" t="n">
        <v>0</v>
      </c>
      <c r="J654" t="n">
        <v>0</v>
      </c>
      <c r="K654" t="n">
        <v>0</v>
      </c>
      <c r="L654" t="n">
        <v>0</v>
      </c>
      <c r="M654" t="n">
        <v>0</v>
      </c>
      <c r="N654" t="n">
        <v>0</v>
      </c>
      <c r="O654" t="n">
        <v>0</v>
      </c>
      <c r="P654" t="n">
        <v>0</v>
      </c>
      <c r="Q654" t="n">
        <v>0</v>
      </c>
      <c r="R654" s="2" t="inlineStr"/>
    </row>
    <row r="655" ht="15" customHeight="1">
      <c r="A655" t="inlineStr">
        <is>
          <t>A 22019-2021</t>
        </is>
      </c>
      <c r="B655" s="1" t="n">
        <v>44323</v>
      </c>
      <c r="C655" s="1" t="n">
        <v>46126</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57404-2024</t>
        </is>
      </c>
      <c r="B656" s="1" t="n">
        <v>45629.71967592592</v>
      </c>
      <c r="C656" s="1" t="n">
        <v>46126</v>
      </c>
      <c r="D656" t="inlineStr">
        <is>
          <t>VÄSTMANLANDS LÄN</t>
        </is>
      </c>
      <c r="E656" t="inlineStr">
        <is>
          <t>SALA</t>
        </is>
      </c>
      <c r="G656" t="n">
        <v>0.3</v>
      </c>
      <c r="H656" t="n">
        <v>0</v>
      </c>
      <c r="I656" t="n">
        <v>0</v>
      </c>
      <c r="J656" t="n">
        <v>0</v>
      </c>
      <c r="K656" t="n">
        <v>0</v>
      </c>
      <c r="L656" t="n">
        <v>0</v>
      </c>
      <c r="M656" t="n">
        <v>0</v>
      </c>
      <c r="N656" t="n">
        <v>0</v>
      </c>
      <c r="O656" t="n">
        <v>0</v>
      </c>
      <c r="P656" t="n">
        <v>0</v>
      </c>
      <c r="Q656" t="n">
        <v>0</v>
      </c>
      <c r="R656" s="2" t="inlineStr"/>
    </row>
    <row r="657" ht="15" customHeight="1">
      <c r="A657" t="inlineStr">
        <is>
          <t>A 21777-2022</t>
        </is>
      </c>
      <c r="B657" s="1" t="n">
        <v>44708.48194444444</v>
      </c>
      <c r="C657" s="1" t="n">
        <v>46126</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17866-2025</t>
        </is>
      </c>
      <c r="B658" s="1" t="n">
        <v>45758</v>
      </c>
      <c r="C658" s="1" t="n">
        <v>46126</v>
      </c>
      <c r="D658" t="inlineStr">
        <is>
          <t>VÄSTMANLANDS LÄN</t>
        </is>
      </c>
      <c r="E658" t="inlineStr">
        <is>
          <t>SALA</t>
        </is>
      </c>
      <c r="F658" t="inlineStr">
        <is>
          <t>Bergvik skog öst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33732-2023</t>
        </is>
      </c>
      <c r="B659" s="1" t="n">
        <v>45133.32409722222</v>
      </c>
      <c r="C659" s="1" t="n">
        <v>46126</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15630-2026</t>
        </is>
      </c>
      <c r="B660" s="1" t="n">
        <v>46106.62283564815</v>
      </c>
      <c r="C660" s="1" t="n">
        <v>46126</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7166-2025</t>
        </is>
      </c>
      <c r="B661" s="1" t="n">
        <v>45702</v>
      </c>
      <c r="C661" s="1" t="n">
        <v>46126</v>
      </c>
      <c r="D661" t="inlineStr">
        <is>
          <t>VÄSTMANLANDS LÄN</t>
        </is>
      </c>
      <c r="E661" t="inlineStr">
        <is>
          <t>SALA</t>
        </is>
      </c>
      <c r="G661" t="n">
        <v>6.1</v>
      </c>
      <c r="H661" t="n">
        <v>0</v>
      </c>
      <c r="I661" t="n">
        <v>0</v>
      </c>
      <c r="J661" t="n">
        <v>0</v>
      </c>
      <c r="K661" t="n">
        <v>0</v>
      </c>
      <c r="L661" t="n">
        <v>0</v>
      </c>
      <c r="M661" t="n">
        <v>0</v>
      </c>
      <c r="N661" t="n">
        <v>0</v>
      </c>
      <c r="O661" t="n">
        <v>0</v>
      </c>
      <c r="P661" t="n">
        <v>0</v>
      </c>
      <c r="Q661" t="n">
        <v>0</v>
      </c>
      <c r="R661" s="2" t="inlineStr"/>
    </row>
    <row r="662" ht="15" customHeight="1">
      <c r="A662" t="inlineStr">
        <is>
          <t>A 44857-2023</t>
        </is>
      </c>
      <c r="B662" s="1" t="n">
        <v>45190.58479166667</v>
      </c>
      <c r="C662" s="1" t="n">
        <v>46126</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46352-2023</t>
        </is>
      </c>
      <c r="B663" s="1" t="n">
        <v>45192</v>
      </c>
      <c r="C663" s="1" t="n">
        <v>46126</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22397-2022</t>
        </is>
      </c>
      <c r="B664" s="1" t="n">
        <v>44713</v>
      </c>
      <c r="C664" s="1" t="n">
        <v>46126</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27424-2023</t>
        </is>
      </c>
      <c r="B665" s="1" t="n">
        <v>45097.37690972222</v>
      </c>
      <c r="C665" s="1" t="n">
        <v>46126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7469-2025</t>
        </is>
      </c>
      <c r="B666" s="1" t="n">
        <v>45705</v>
      </c>
      <c r="C666" s="1" t="n">
        <v>46126</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6691-2025</t>
        </is>
      </c>
      <c r="B667" s="1" t="n">
        <v>45700.50625</v>
      </c>
      <c r="C667" s="1" t="n">
        <v>46126</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60036-2024</t>
        </is>
      </c>
      <c r="B668" s="1" t="n">
        <v>45642.46434027778</v>
      </c>
      <c r="C668" s="1" t="n">
        <v>46126</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15823-2026</t>
        </is>
      </c>
      <c r="B669" s="1" t="n">
        <v>46107.54096064815</v>
      </c>
      <c r="C669" s="1" t="n">
        <v>46126</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43188-2023</t>
        </is>
      </c>
      <c r="B670" s="1" t="n">
        <v>45183</v>
      </c>
      <c r="C670" s="1" t="n">
        <v>46126</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43205-2023</t>
        </is>
      </c>
      <c r="B671" s="1" t="n">
        <v>45183</v>
      </c>
      <c r="C671" s="1" t="n">
        <v>46126</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28827-2022</t>
        </is>
      </c>
      <c r="B672" s="1" t="n">
        <v>44749.45561342593</v>
      </c>
      <c r="C672" s="1" t="n">
        <v>46126</v>
      </c>
      <c r="D672" t="inlineStr">
        <is>
          <t>VÄSTMANLANDS LÄN</t>
        </is>
      </c>
      <c r="E672" t="inlineStr">
        <is>
          <t>SALA</t>
        </is>
      </c>
      <c r="F672" t="inlineStr">
        <is>
          <t>Kommuner</t>
        </is>
      </c>
      <c r="G672" t="n">
        <v>11.9</v>
      </c>
      <c r="H672" t="n">
        <v>0</v>
      </c>
      <c r="I672" t="n">
        <v>0</v>
      </c>
      <c r="J672" t="n">
        <v>0</v>
      </c>
      <c r="K672" t="n">
        <v>0</v>
      </c>
      <c r="L672" t="n">
        <v>0</v>
      </c>
      <c r="M672" t="n">
        <v>0</v>
      </c>
      <c r="N672" t="n">
        <v>0</v>
      </c>
      <c r="O672" t="n">
        <v>0</v>
      </c>
      <c r="P672" t="n">
        <v>0</v>
      </c>
      <c r="Q672" t="n">
        <v>0</v>
      </c>
      <c r="R672" s="2" t="inlineStr"/>
    </row>
    <row r="673" ht="15" customHeight="1">
      <c r="A673" t="inlineStr">
        <is>
          <t>A 15756-2025</t>
        </is>
      </c>
      <c r="B673" s="1" t="n">
        <v>45748.56810185185</v>
      </c>
      <c r="C673" s="1" t="n">
        <v>46126</v>
      </c>
      <c r="D673" t="inlineStr">
        <is>
          <t>VÄSTMANLANDS LÄN</t>
        </is>
      </c>
      <c r="E673" t="inlineStr">
        <is>
          <t>SALA</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19243-2025</t>
        </is>
      </c>
      <c r="B674" s="1" t="n">
        <v>45769</v>
      </c>
      <c r="C674" s="1" t="n">
        <v>46126</v>
      </c>
      <c r="D674" t="inlineStr">
        <is>
          <t>VÄSTMANLANDS LÄN</t>
        </is>
      </c>
      <c r="E674" t="inlineStr">
        <is>
          <t>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59297-2023</t>
        </is>
      </c>
      <c r="B675" s="1" t="n">
        <v>45253</v>
      </c>
      <c r="C675" s="1" t="n">
        <v>46126</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6136-2025</t>
        </is>
      </c>
      <c r="B676" s="1" t="n">
        <v>45698.37601851852</v>
      </c>
      <c r="C676" s="1" t="n">
        <v>46126</v>
      </c>
      <c r="D676" t="inlineStr">
        <is>
          <t>VÄSTMANLANDS LÄN</t>
        </is>
      </c>
      <c r="E676" t="inlineStr">
        <is>
          <t>SALA</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6190-2025</t>
        </is>
      </c>
      <c r="B677" s="1" t="n">
        <v>45698</v>
      </c>
      <c r="C677" s="1" t="n">
        <v>46126</v>
      </c>
      <c r="D677" t="inlineStr">
        <is>
          <t>VÄSTMANLANDS LÄN</t>
        </is>
      </c>
      <c r="E677" t="inlineStr">
        <is>
          <t>SALA</t>
        </is>
      </c>
      <c r="F677" t="inlineStr">
        <is>
          <t>Bergvik skog öst AB</t>
        </is>
      </c>
      <c r="G677" t="n">
        <v>4.6</v>
      </c>
      <c r="H677" t="n">
        <v>0</v>
      </c>
      <c r="I677" t="n">
        <v>0</v>
      </c>
      <c r="J677" t="n">
        <v>0</v>
      </c>
      <c r="K677" t="n">
        <v>0</v>
      </c>
      <c r="L677" t="n">
        <v>0</v>
      </c>
      <c r="M677" t="n">
        <v>0</v>
      </c>
      <c r="N677" t="n">
        <v>0</v>
      </c>
      <c r="O677" t="n">
        <v>0</v>
      </c>
      <c r="P677" t="n">
        <v>0</v>
      </c>
      <c r="Q677" t="n">
        <v>0</v>
      </c>
      <c r="R677" s="2" t="inlineStr"/>
    </row>
    <row r="678" ht="15" customHeight="1">
      <c r="A678" t="inlineStr">
        <is>
          <t>A 16354-2026</t>
        </is>
      </c>
      <c r="B678" s="1" t="n">
        <v>46111.5968287037</v>
      </c>
      <c r="C678" s="1" t="n">
        <v>46126</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28863-2022</t>
        </is>
      </c>
      <c r="B679" s="1" t="n">
        <v>44749.50649305555</v>
      </c>
      <c r="C679" s="1" t="n">
        <v>46126</v>
      </c>
      <c r="D679" t="inlineStr">
        <is>
          <t>VÄSTMANLANDS LÄN</t>
        </is>
      </c>
      <c r="E679" t="inlineStr">
        <is>
          <t>SALA</t>
        </is>
      </c>
      <c r="G679" t="n">
        <v>1.6</v>
      </c>
      <c r="H679" t="n">
        <v>0</v>
      </c>
      <c r="I679" t="n">
        <v>0</v>
      </c>
      <c r="J679" t="n">
        <v>0</v>
      </c>
      <c r="K679" t="n">
        <v>0</v>
      </c>
      <c r="L679" t="n">
        <v>0</v>
      </c>
      <c r="M679" t="n">
        <v>0</v>
      </c>
      <c r="N679" t="n">
        <v>0</v>
      </c>
      <c r="O679" t="n">
        <v>0</v>
      </c>
      <c r="P679" t="n">
        <v>0</v>
      </c>
      <c r="Q679" t="n">
        <v>0</v>
      </c>
      <c r="R679" s="2" t="inlineStr"/>
    </row>
    <row r="680" ht="15" customHeight="1">
      <c r="A680" t="inlineStr">
        <is>
          <t>A 16598-2026</t>
        </is>
      </c>
      <c r="B680" s="1" t="n">
        <v>46112.59598379629</v>
      </c>
      <c r="C680" s="1" t="n">
        <v>46126</v>
      </c>
      <c r="D680" t="inlineStr">
        <is>
          <t>VÄSTMANLANDS LÄN</t>
        </is>
      </c>
      <c r="E680" t="inlineStr">
        <is>
          <t>SALA</t>
        </is>
      </c>
      <c r="G680" t="n">
        <v>1.5</v>
      </c>
      <c r="H680" t="n">
        <v>0</v>
      </c>
      <c r="I680" t="n">
        <v>0</v>
      </c>
      <c r="J680" t="n">
        <v>0</v>
      </c>
      <c r="K680" t="n">
        <v>0</v>
      </c>
      <c r="L680" t="n">
        <v>0</v>
      </c>
      <c r="M680" t="n">
        <v>0</v>
      </c>
      <c r="N680" t="n">
        <v>0</v>
      </c>
      <c r="O680" t="n">
        <v>0</v>
      </c>
      <c r="P680" t="n">
        <v>0</v>
      </c>
      <c r="Q680" t="n">
        <v>0</v>
      </c>
      <c r="R680" s="2" t="inlineStr"/>
    </row>
    <row r="681" ht="15" customHeight="1">
      <c r="A681" t="inlineStr">
        <is>
          <t>A 25541-2024</t>
        </is>
      </c>
      <c r="B681" s="1" t="n">
        <v>45463.56337962963</v>
      </c>
      <c r="C681" s="1" t="n">
        <v>46126</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16367-2026</t>
        </is>
      </c>
      <c r="B682" s="1" t="n">
        <v>46111.61380787037</v>
      </c>
      <c r="C682" s="1" t="n">
        <v>46126</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16369-2026</t>
        </is>
      </c>
      <c r="B683" s="1" t="n">
        <v>46111</v>
      </c>
      <c r="C683" s="1" t="n">
        <v>46126</v>
      </c>
      <c r="D683" t="inlineStr">
        <is>
          <t>VÄSTMANLANDS LÄN</t>
        </is>
      </c>
      <c r="E683" t="inlineStr">
        <is>
          <t>SALA</t>
        </is>
      </c>
      <c r="G683" t="n">
        <v>1.4</v>
      </c>
      <c r="H683" t="n">
        <v>0</v>
      </c>
      <c r="I683" t="n">
        <v>0</v>
      </c>
      <c r="J683" t="n">
        <v>0</v>
      </c>
      <c r="K683" t="n">
        <v>0</v>
      </c>
      <c r="L683" t="n">
        <v>0</v>
      </c>
      <c r="M683" t="n">
        <v>0</v>
      </c>
      <c r="N683" t="n">
        <v>0</v>
      </c>
      <c r="O683" t="n">
        <v>0</v>
      </c>
      <c r="P683" t="n">
        <v>0</v>
      </c>
      <c r="Q683" t="n">
        <v>0</v>
      </c>
      <c r="R683" s="2" t="inlineStr"/>
    </row>
    <row r="684" ht="15" customHeight="1">
      <c r="A684" t="inlineStr">
        <is>
          <t>A 16364-2026</t>
        </is>
      </c>
      <c r="B684" s="1" t="n">
        <v>46111.6115625</v>
      </c>
      <c r="C684" s="1" t="n">
        <v>46126</v>
      </c>
      <c r="D684" t="inlineStr">
        <is>
          <t>VÄSTMANLANDS LÄN</t>
        </is>
      </c>
      <c r="E684" t="inlineStr">
        <is>
          <t>SALA</t>
        </is>
      </c>
      <c r="G684" t="n">
        <v>4.7</v>
      </c>
      <c r="H684" t="n">
        <v>0</v>
      </c>
      <c r="I684" t="n">
        <v>0</v>
      </c>
      <c r="J684" t="n">
        <v>0</v>
      </c>
      <c r="K684" t="n">
        <v>0</v>
      </c>
      <c r="L684" t="n">
        <v>0</v>
      </c>
      <c r="M684" t="n">
        <v>0</v>
      </c>
      <c r="N684" t="n">
        <v>0</v>
      </c>
      <c r="O684" t="n">
        <v>0</v>
      </c>
      <c r="P684" t="n">
        <v>0</v>
      </c>
      <c r="Q684" t="n">
        <v>0</v>
      </c>
      <c r="R684" s="2" t="inlineStr"/>
    </row>
    <row r="685" ht="15" customHeight="1">
      <c r="A685" t="inlineStr">
        <is>
          <t>A 29213-2022</t>
        </is>
      </c>
      <c r="B685" s="1" t="n">
        <v>44750.57474537037</v>
      </c>
      <c r="C685" s="1" t="n">
        <v>46126</v>
      </c>
      <c r="D685" t="inlineStr">
        <is>
          <t>VÄSTMANLANDS LÄN</t>
        </is>
      </c>
      <c r="E685" t="inlineStr">
        <is>
          <t>SALA</t>
        </is>
      </c>
      <c r="G685" t="n">
        <v>1</v>
      </c>
      <c r="H685" t="n">
        <v>0</v>
      </c>
      <c r="I685" t="n">
        <v>0</v>
      </c>
      <c r="J685" t="n">
        <v>0</v>
      </c>
      <c r="K685" t="n">
        <v>0</v>
      </c>
      <c r="L685" t="n">
        <v>0</v>
      </c>
      <c r="M685" t="n">
        <v>0</v>
      </c>
      <c r="N685" t="n">
        <v>0</v>
      </c>
      <c r="O685" t="n">
        <v>0</v>
      </c>
      <c r="P685" t="n">
        <v>0</v>
      </c>
      <c r="Q685" t="n">
        <v>0</v>
      </c>
      <c r="R685" s="2" t="inlineStr"/>
    </row>
    <row r="686" ht="15" customHeight="1">
      <c r="A686" t="inlineStr">
        <is>
          <t>A 56964-2023</t>
        </is>
      </c>
      <c r="B686" s="1" t="n">
        <v>45244.63140046296</v>
      </c>
      <c r="C686" s="1" t="n">
        <v>46126</v>
      </c>
      <c r="D686" t="inlineStr">
        <is>
          <t>VÄSTMANLANDS LÄN</t>
        </is>
      </c>
      <c r="E686" t="inlineStr">
        <is>
          <t>SALA</t>
        </is>
      </c>
      <c r="G686" t="n">
        <v>4.6</v>
      </c>
      <c r="H686" t="n">
        <v>0</v>
      </c>
      <c r="I686" t="n">
        <v>0</v>
      </c>
      <c r="J686" t="n">
        <v>0</v>
      </c>
      <c r="K686" t="n">
        <v>0</v>
      </c>
      <c r="L686" t="n">
        <v>0</v>
      </c>
      <c r="M686" t="n">
        <v>0</v>
      </c>
      <c r="N686" t="n">
        <v>0</v>
      </c>
      <c r="O686" t="n">
        <v>0</v>
      </c>
      <c r="P686" t="n">
        <v>0</v>
      </c>
      <c r="Q686" t="n">
        <v>0</v>
      </c>
      <c r="R686" s="2" t="inlineStr"/>
    </row>
    <row r="687" ht="15" customHeight="1">
      <c r="A687" t="inlineStr">
        <is>
          <t>A 1555-2024</t>
        </is>
      </c>
      <c r="B687" s="1" t="n">
        <v>45306</v>
      </c>
      <c r="C687" s="1" t="n">
        <v>46126</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13188-2025</t>
        </is>
      </c>
      <c r="B688" s="1" t="n">
        <v>45735.39246527778</v>
      </c>
      <c r="C688" s="1" t="n">
        <v>46126</v>
      </c>
      <c r="D688" t="inlineStr">
        <is>
          <t>VÄSTMANLANDS LÄN</t>
        </is>
      </c>
      <c r="E688" t="inlineStr">
        <is>
          <t>SALA</t>
        </is>
      </c>
      <c r="F688" t="inlineStr">
        <is>
          <t>Naturvårdsverket</t>
        </is>
      </c>
      <c r="G688" t="n">
        <v>18.4</v>
      </c>
      <c r="H688" t="n">
        <v>0</v>
      </c>
      <c r="I688" t="n">
        <v>0</v>
      </c>
      <c r="J688" t="n">
        <v>0</v>
      </c>
      <c r="K688" t="n">
        <v>0</v>
      </c>
      <c r="L688" t="n">
        <v>0</v>
      </c>
      <c r="M688" t="n">
        <v>0</v>
      </c>
      <c r="N688" t="n">
        <v>0</v>
      </c>
      <c r="O688" t="n">
        <v>0</v>
      </c>
      <c r="P688" t="n">
        <v>0</v>
      </c>
      <c r="Q688" t="n">
        <v>0</v>
      </c>
      <c r="R688" s="2" t="inlineStr"/>
    </row>
    <row r="689" ht="15" customHeight="1">
      <c r="A689" t="inlineStr">
        <is>
          <t>A 7197-2025</t>
        </is>
      </c>
      <c r="B689" s="1" t="n">
        <v>45702</v>
      </c>
      <c r="C689" s="1" t="n">
        <v>46126</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15099-2025</t>
        </is>
      </c>
      <c r="B690" s="1" t="n">
        <v>45744.3434837963</v>
      </c>
      <c r="C690" s="1" t="n">
        <v>46126</v>
      </c>
      <c r="D690" t="inlineStr">
        <is>
          <t>VÄSTMANLANDS LÄN</t>
        </is>
      </c>
      <c r="E690" t="inlineStr">
        <is>
          <t>SALA</t>
        </is>
      </c>
      <c r="F690" t="inlineStr">
        <is>
          <t>Sveaskog</t>
        </is>
      </c>
      <c r="G690" t="n">
        <v>14.4</v>
      </c>
      <c r="H690" t="n">
        <v>0</v>
      </c>
      <c r="I690" t="n">
        <v>0</v>
      </c>
      <c r="J690" t="n">
        <v>0</v>
      </c>
      <c r="K690" t="n">
        <v>0</v>
      </c>
      <c r="L690" t="n">
        <v>0</v>
      </c>
      <c r="M690" t="n">
        <v>0</v>
      </c>
      <c r="N690" t="n">
        <v>0</v>
      </c>
      <c r="O690" t="n">
        <v>0</v>
      </c>
      <c r="P690" t="n">
        <v>0</v>
      </c>
      <c r="Q690" t="n">
        <v>0</v>
      </c>
      <c r="R690" s="2" t="inlineStr"/>
    </row>
    <row r="691" ht="15" customHeight="1">
      <c r="A691" t="inlineStr">
        <is>
          <t>A 2928-2024</t>
        </is>
      </c>
      <c r="B691" s="1" t="n">
        <v>45315.59041666667</v>
      </c>
      <c r="C691" s="1" t="n">
        <v>46126</v>
      </c>
      <c r="D691" t="inlineStr">
        <is>
          <t>VÄSTMANLANDS LÄN</t>
        </is>
      </c>
      <c r="E691" t="inlineStr">
        <is>
          <t>SALA</t>
        </is>
      </c>
      <c r="G691" t="n">
        <v>1.4</v>
      </c>
      <c r="H691" t="n">
        <v>0</v>
      </c>
      <c r="I691" t="n">
        <v>0</v>
      </c>
      <c r="J691" t="n">
        <v>0</v>
      </c>
      <c r="K691" t="n">
        <v>0</v>
      </c>
      <c r="L691" t="n">
        <v>0</v>
      </c>
      <c r="M691" t="n">
        <v>0</v>
      </c>
      <c r="N691" t="n">
        <v>0</v>
      </c>
      <c r="O691" t="n">
        <v>0</v>
      </c>
      <c r="P691" t="n">
        <v>0</v>
      </c>
      <c r="Q691" t="n">
        <v>0</v>
      </c>
      <c r="R691" s="2" t="inlineStr"/>
    </row>
    <row r="692" ht="15" customHeight="1">
      <c r="A692" t="inlineStr">
        <is>
          <t>A 10245-2026</t>
        </is>
      </c>
      <c r="B692" s="1" t="n">
        <v>46076.55144675926</v>
      </c>
      <c r="C692" s="1" t="n">
        <v>46126</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10252-2026</t>
        </is>
      </c>
      <c r="B693" s="1" t="n">
        <v>46076.55700231482</v>
      </c>
      <c r="C693" s="1" t="n">
        <v>46126</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9962-2025</t>
        </is>
      </c>
      <c r="B694" s="1" t="n">
        <v>45719.37072916667</v>
      </c>
      <c r="C694" s="1" t="n">
        <v>46126</v>
      </c>
      <c r="D694" t="inlineStr">
        <is>
          <t>VÄSTMANLANDS LÄN</t>
        </is>
      </c>
      <c r="E694" t="inlineStr">
        <is>
          <t>SALA</t>
        </is>
      </c>
      <c r="G694" t="n">
        <v>4.5</v>
      </c>
      <c r="H694" t="n">
        <v>0</v>
      </c>
      <c r="I694" t="n">
        <v>0</v>
      </c>
      <c r="J694" t="n">
        <v>0</v>
      </c>
      <c r="K694" t="n">
        <v>0</v>
      </c>
      <c r="L694" t="n">
        <v>0</v>
      </c>
      <c r="M694" t="n">
        <v>0</v>
      </c>
      <c r="N694" t="n">
        <v>0</v>
      </c>
      <c r="O694" t="n">
        <v>0</v>
      </c>
      <c r="P694" t="n">
        <v>0</v>
      </c>
      <c r="Q694" t="n">
        <v>0</v>
      </c>
      <c r="R694" s="2" t="inlineStr"/>
    </row>
    <row r="695" ht="15" customHeight="1">
      <c r="A695" t="inlineStr">
        <is>
          <t>A 10239-2026</t>
        </is>
      </c>
      <c r="B695" s="1" t="n">
        <v>46076.54824074074</v>
      </c>
      <c r="C695" s="1" t="n">
        <v>46126</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14024-2025</t>
        </is>
      </c>
      <c r="B696" s="1" t="n">
        <v>45740.34650462963</v>
      </c>
      <c r="C696" s="1" t="n">
        <v>46126</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3551-2024</t>
        </is>
      </c>
      <c r="B697" s="1" t="n">
        <v>45320.61099537037</v>
      </c>
      <c r="C697" s="1" t="n">
        <v>46126</v>
      </c>
      <c r="D697" t="inlineStr">
        <is>
          <t>VÄSTMANLANDS LÄN</t>
        </is>
      </c>
      <c r="E697" t="inlineStr">
        <is>
          <t>SALA</t>
        </is>
      </c>
      <c r="F697" t="inlineStr">
        <is>
          <t>Kommuner</t>
        </is>
      </c>
      <c r="G697" t="n">
        <v>6</v>
      </c>
      <c r="H697" t="n">
        <v>0</v>
      </c>
      <c r="I697" t="n">
        <v>0</v>
      </c>
      <c r="J697" t="n">
        <v>0</v>
      </c>
      <c r="K697" t="n">
        <v>0</v>
      </c>
      <c r="L697" t="n">
        <v>0</v>
      </c>
      <c r="M697" t="n">
        <v>0</v>
      </c>
      <c r="N697" t="n">
        <v>0</v>
      </c>
      <c r="O697" t="n">
        <v>0</v>
      </c>
      <c r="P697" t="n">
        <v>0</v>
      </c>
      <c r="Q697" t="n">
        <v>0</v>
      </c>
      <c r="R697" s="2" t="inlineStr"/>
    </row>
    <row r="698" ht="15" customHeight="1">
      <c r="A698" t="inlineStr">
        <is>
          <t>A 62635-2022</t>
        </is>
      </c>
      <c r="B698" s="1" t="n">
        <v>44917</v>
      </c>
      <c r="C698" s="1" t="n">
        <v>46126</v>
      </c>
      <c r="D698" t="inlineStr">
        <is>
          <t>VÄSTMANLANDS LÄN</t>
        </is>
      </c>
      <c r="E698" t="inlineStr">
        <is>
          <t>SALA</t>
        </is>
      </c>
      <c r="G698" t="n">
        <v>0.4</v>
      </c>
      <c r="H698" t="n">
        <v>0</v>
      </c>
      <c r="I698" t="n">
        <v>0</v>
      </c>
      <c r="J698" t="n">
        <v>0</v>
      </c>
      <c r="K698" t="n">
        <v>0</v>
      </c>
      <c r="L698" t="n">
        <v>0</v>
      </c>
      <c r="M698" t="n">
        <v>0</v>
      </c>
      <c r="N698" t="n">
        <v>0</v>
      </c>
      <c r="O698" t="n">
        <v>0</v>
      </c>
      <c r="P698" t="n">
        <v>0</v>
      </c>
      <c r="Q698" t="n">
        <v>0</v>
      </c>
      <c r="R698" s="2" t="inlineStr"/>
    </row>
    <row r="699" ht="15" customHeight="1">
      <c r="A699" t="inlineStr">
        <is>
          <t>A 13639-2026</t>
        </is>
      </c>
      <c r="B699" s="1" t="n">
        <v>46097</v>
      </c>
      <c r="C699" s="1" t="n">
        <v>46126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19304-2025</t>
        </is>
      </c>
      <c r="B700" s="1" t="n">
        <v>45769</v>
      </c>
      <c r="C700" s="1" t="n">
        <v>46126</v>
      </c>
      <c r="D700" t="inlineStr">
        <is>
          <t>VÄSTMANLANDS LÄN</t>
        </is>
      </c>
      <c r="E700" t="inlineStr">
        <is>
          <t>SALA</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56057-2023</t>
        </is>
      </c>
      <c r="B701" s="1" t="n">
        <v>45233</v>
      </c>
      <c r="C701" s="1" t="n">
        <v>46126</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55024-2023</t>
        </is>
      </c>
      <c r="B702" s="1" t="n">
        <v>45229</v>
      </c>
      <c r="C702" s="1" t="n">
        <v>46126</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55032-2023</t>
        </is>
      </c>
      <c r="B703" s="1" t="n">
        <v>45229</v>
      </c>
      <c r="C703" s="1" t="n">
        <v>46126</v>
      </c>
      <c r="D703" t="inlineStr">
        <is>
          <t>VÄSTMANLANDS LÄN</t>
        </is>
      </c>
      <c r="E703" t="inlineStr">
        <is>
          <t>SALA</t>
        </is>
      </c>
      <c r="G703" t="n">
        <v>1.5</v>
      </c>
      <c r="H703" t="n">
        <v>0</v>
      </c>
      <c r="I703" t="n">
        <v>0</v>
      </c>
      <c r="J703" t="n">
        <v>0</v>
      </c>
      <c r="K703" t="n">
        <v>0</v>
      </c>
      <c r="L703" t="n">
        <v>0</v>
      </c>
      <c r="M703" t="n">
        <v>0</v>
      </c>
      <c r="N703" t="n">
        <v>0</v>
      </c>
      <c r="O703" t="n">
        <v>0</v>
      </c>
      <c r="P703" t="n">
        <v>0</v>
      </c>
      <c r="Q703" t="n">
        <v>0</v>
      </c>
      <c r="R703" s="2" t="inlineStr"/>
    </row>
    <row r="704" ht="15" customHeight="1">
      <c r="A704" t="inlineStr">
        <is>
          <t>A 29248-2022</t>
        </is>
      </c>
      <c r="B704" s="1" t="n">
        <v>44750</v>
      </c>
      <c r="C704" s="1" t="n">
        <v>46126</v>
      </c>
      <c r="D704" t="inlineStr">
        <is>
          <t>VÄSTMANLANDS LÄN</t>
        </is>
      </c>
      <c r="E704" t="inlineStr">
        <is>
          <t>SALA</t>
        </is>
      </c>
      <c r="G704" t="n">
        <v>1.6</v>
      </c>
      <c r="H704" t="n">
        <v>0</v>
      </c>
      <c r="I704" t="n">
        <v>0</v>
      </c>
      <c r="J704" t="n">
        <v>0</v>
      </c>
      <c r="K704" t="n">
        <v>0</v>
      </c>
      <c r="L704" t="n">
        <v>0</v>
      </c>
      <c r="M704" t="n">
        <v>0</v>
      </c>
      <c r="N704" t="n">
        <v>0</v>
      </c>
      <c r="O704" t="n">
        <v>0</v>
      </c>
      <c r="P704" t="n">
        <v>0</v>
      </c>
      <c r="Q704" t="n">
        <v>0</v>
      </c>
      <c r="R704" s="2" t="inlineStr"/>
    </row>
    <row r="705" ht="15" customHeight="1">
      <c r="A705" t="inlineStr">
        <is>
          <t>A 59175-2022</t>
        </is>
      </c>
      <c r="B705" s="1" t="n">
        <v>44904.48502314815</v>
      </c>
      <c r="C705" s="1" t="n">
        <v>46126</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39451-2022</t>
        </is>
      </c>
      <c r="B706" s="1" t="n">
        <v>44818.36606481481</v>
      </c>
      <c r="C706" s="1" t="n">
        <v>46126</v>
      </c>
      <c r="D706" t="inlineStr">
        <is>
          <t>VÄSTMANLANDS LÄN</t>
        </is>
      </c>
      <c r="E706" t="inlineStr">
        <is>
          <t>SALA</t>
        </is>
      </c>
      <c r="G706" t="n">
        <v>9.4</v>
      </c>
      <c r="H706" t="n">
        <v>0</v>
      </c>
      <c r="I706" t="n">
        <v>0</v>
      </c>
      <c r="J706" t="n">
        <v>0</v>
      </c>
      <c r="K706" t="n">
        <v>0</v>
      </c>
      <c r="L706" t="n">
        <v>0</v>
      </c>
      <c r="M706" t="n">
        <v>0</v>
      </c>
      <c r="N706" t="n">
        <v>0</v>
      </c>
      <c r="O706" t="n">
        <v>0</v>
      </c>
      <c r="P706" t="n">
        <v>0</v>
      </c>
      <c r="Q706" t="n">
        <v>0</v>
      </c>
      <c r="R706" s="2" t="inlineStr"/>
    </row>
    <row r="707" ht="15" customHeight="1">
      <c r="A707" t="inlineStr">
        <is>
          <t>A 11631-2023</t>
        </is>
      </c>
      <c r="B707" s="1" t="n">
        <v>44994.44001157407</v>
      </c>
      <c r="C707" s="1" t="n">
        <v>46126</v>
      </c>
      <c r="D707" t="inlineStr">
        <is>
          <t>VÄSTMANLANDS LÄN</t>
        </is>
      </c>
      <c r="E707" t="inlineStr">
        <is>
          <t>SALA</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62648-2022</t>
        </is>
      </c>
      <c r="B708" s="1" t="n">
        <v>44917</v>
      </c>
      <c r="C708" s="1" t="n">
        <v>46126</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1934-2023</t>
        </is>
      </c>
      <c r="B709" s="1" t="n">
        <v>44939.43024305555</v>
      </c>
      <c r="C709" s="1" t="n">
        <v>46126</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11927-2025</t>
        </is>
      </c>
      <c r="B710" s="1" t="n">
        <v>45728.5137962963</v>
      </c>
      <c r="C710" s="1" t="n">
        <v>46126</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60823-2024</t>
        </is>
      </c>
      <c r="B711" s="1" t="n">
        <v>45644</v>
      </c>
      <c r="C711" s="1" t="n">
        <v>46126</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96-2024</t>
        </is>
      </c>
      <c r="B712" s="1" t="n">
        <v>45293.85872685185</v>
      </c>
      <c r="C712" s="1" t="n">
        <v>46126</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23374-2023</t>
        </is>
      </c>
      <c r="B713" s="1" t="n">
        <v>45076.4399537037</v>
      </c>
      <c r="C713" s="1" t="n">
        <v>46126</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61874-2021</t>
        </is>
      </c>
      <c r="B714" s="1" t="n">
        <v>44502</v>
      </c>
      <c r="C714" s="1" t="n">
        <v>46126</v>
      </c>
      <c r="D714" t="inlineStr">
        <is>
          <t>VÄSTMANLANDS LÄN</t>
        </is>
      </c>
      <c r="E714" t="inlineStr">
        <is>
          <t>SALA</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9856-2022</t>
        </is>
      </c>
      <c r="B715" s="1" t="n">
        <v>44620</v>
      </c>
      <c r="C715" s="1" t="n">
        <v>46126</v>
      </c>
      <c r="D715" t="inlineStr">
        <is>
          <t>VÄSTMANLANDS LÄN</t>
        </is>
      </c>
      <c r="E715" t="inlineStr">
        <is>
          <t>SALA</t>
        </is>
      </c>
      <c r="G715" t="n">
        <v>2.4</v>
      </c>
      <c r="H715" t="n">
        <v>0</v>
      </c>
      <c r="I715" t="n">
        <v>0</v>
      </c>
      <c r="J715" t="n">
        <v>0</v>
      </c>
      <c r="K715" t="n">
        <v>0</v>
      </c>
      <c r="L715" t="n">
        <v>0</v>
      </c>
      <c r="M715" t="n">
        <v>0</v>
      </c>
      <c r="N715" t="n">
        <v>0</v>
      </c>
      <c r="O715" t="n">
        <v>0</v>
      </c>
      <c r="P715" t="n">
        <v>0</v>
      </c>
      <c r="Q715" t="n">
        <v>0</v>
      </c>
      <c r="R715" s="2" t="inlineStr"/>
    </row>
    <row r="716" ht="15" customHeight="1">
      <c r="A716" t="inlineStr">
        <is>
          <t>A 16159-2024</t>
        </is>
      </c>
      <c r="B716" s="1" t="n">
        <v>45406</v>
      </c>
      <c r="C716" s="1" t="n">
        <v>46126</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50241-2023</t>
        </is>
      </c>
      <c r="B717" s="1" t="n">
        <v>45216</v>
      </c>
      <c r="C717" s="1" t="n">
        <v>46126</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3332-2024</t>
        </is>
      </c>
      <c r="B718" s="1" t="n">
        <v>45317</v>
      </c>
      <c r="C718" s="1" t="n">
        <v>46126</v>
      </c>
      <c r="D718" t="inlineStr">
        <is>
          <t>VÄSTMANLANDS LÄN</t>
        </is>
      </c>
      <c r="E718" t="inlineStr">
        <is>
          <t>SALA</t>
        </is>
      </c>
      <c r="G718" t="n">
        <v>2</v>
      </c>
      <c r="H718" t="n">
        <v>0</v>
      </c>
      <c r="I718" t="n">
        <v>0</v>
      </c>
      <c r="J718" t="n">
        <v>0</v>
      </c>
      <c r="K718" t="n">
        <v>0</v>
      </c>
      <c r="L718" t="n">
        <v>0</v>
      </c>
      <c r="M718" t="n">
        <v>0</v>
      </c>
      <c r="N718" t="n">
        <v>0</v>
      </c>
      <c r="O718" t="n">
        <v>0</v>
      </c>
      <c r="P718" t="n">
        <v>0</v>
      </c>
      <c r="Q718" t="n">
        <v>0</v>
      </c>
      <c r="R718" s="2" t="inlineStr"/>
    </row>
    <row r="719" ht="15" customHeight="1">
      <c r="A719" t="inlineStr">
        <is>
          <t>A 35637-2022</t>
        </is>
      </c>
      <c r="B719" s="1" t="n">
        <v>44799.55194444444</v>
      </c>
      <c r="C719" s="1" t="n">
        <v>46126</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57883-2024</t>
        </is>
      </c>
      <c r="B720" s="1" t="n">
        <v>45630</v>
      </c>
      <c r="C720" s="1" t="n">
        <v>46126</v>
      </c>
      <c r="D720" t="inlineStr">
        <is>
          <t>VÄSTMANLANDS LÄN</t>
        </is>
      </c>
      <c r="E720" t="inlineStr">
        <is>
          <t>SALA</t>
        </is>
      </c>
      <c r="G720" t="n">
        <v>5.4</v>
      </c>
      <c r="H720" t="n">
        <v>0</v>
      </c>
      <c r="I720" t="n">
        <v>0</v>
      </c>
      <c r="J720" t="n">
        <v>0</v>
      </c>
      <c r="K720" t="n">
        <v>0</v>
      </c>
      <c r="L720" t="n">
        <v>0</v>
      </c>
      <c r="M720" t="n">
        <v>0</v>
      </c>
      <c r="N720" t="n">
        <v>0</v>
      </c>
      <c r="O720" t="n">
        <v>0</v>
      </c>
      <c r="P720" t="n">
        <v>0</v>
      </c>
      <c r="Q720" t="n">
        <v>0</v>
      </c>
      <c r="R720" s="2" t="inlineStr"/>
    </row>
    <row r="721" ht="15" customHeight="1">
      <c r="A721" t="inlineStr">
        <is>
          <t>A 50876-2023</t>
        </is>
      </c>
      <c r="B721" s="1" t="n">
        <v>45211</v>
      </c>
      <c r="C721" s="1" t="n">
        <v>46126</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37624-2024</t>
        </is>
      </c>
      <c r="B722" s="1" t="n">
        <v>45541</v>
      </c>
      <c r="C722" s="1" t="n">
        <v>46126</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40398-2021</t>
        </is>
      </c>
      <c r="B723" s="1" t="n">
        <v>44419</v>
      </c>
      <c r="C723" s="1" t="n">
        <v>46126</v>
      </c>
      <c r="D723" t="inlineStr">
        <is>
          <t>VÄSTMANLANDS LÄN</t>
        </is>
      </c>
      <c r="E723" t="inlineStr">
        <is>
          <t>SALA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6351-2023</t>
        </is>
      </c>
      <c r="B724" s="1" t="n">
        <v>44965</v>
      </c>
      <c r="C724" s="1" t="n">
        <v>46126</v>
      </c>
      <c r="D724" t="inlineStr">
        <is>
          <t>VÄSTMANLANDS LÄN</t>
        </is>
      </c>
      <c r="E724" t="inlineStr">
        <is>
          <t>SALA</t>
        </is>
      </c>
      <c r="F724" t="inlineStr">
        <is>
          <t>Kommuner</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27262-2024</t>
        </is>
      </c>
      <c r="B725" s="1" t="n">
        <v>45471</v>
      </c>
      <c r="C725" s="1" t="n">
        <v>46126</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23119-2022</t>
        </is>
      </c>
      <c r="B726" s="1" t="n">
        <v>44719.56697916667</v>
      </c>
      <c r="C726" s="1" t="n">
        <v>46126</v>
      </c>
      <c r="D726" t="inlineStr">
        <is>
          <t>VÄSTMANLANDS LÄN</t>
        </is>
      </c>
      <c r="E726" t="inlineStr">
        <is>
          <t>SALA</t>
        </is>
      </c>
      <c r="G726" t="n">
        <v>7</v>
      </c>
      <c r="H726" t="n">
        <v>0</v>
      </c>
      <c r="I726" t="n">
        <v>0</v>
      </c>
      <c r="J726" t="n">
        <v>0</v>
      </c>
      <c r="K726" t="n">
        <v>0</v>
      </c>
      <c r="L726" t="n">
        <v>0</v>
      </c>
      <c r="M726" t="n">
        <v>0</v>
      </c>
      <c r="N726" t="n">
        <v>0</v>
      </c>
      <c r="O726" t="n">
        <v>0</v>
      </c>
      <c r="P726" t="n">
        <v>0</v>
      </c>
      <c r="Q726" t="n">
        <v>0</v>
      </c>
      <c r="R726" s="2" t="inlineStr"/>
    </row>
    <row r="727" ht="15" customHeight="1">
      <c r="A727" t="inlineStr">
        <is>
          <t>A 43751-2021</t>
        </is>
      </c>
      <c r="B727" s="1" t="n">
        <v>44433</v>
      </c>
      <c r="C727" s="1" t="n">
        <v>46126</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59483-2022</t>
        </is>
      </c>
      <c r="B728" s="1" t="n">
        <v>44907.45679398148</v>
      </c>
      <c r="C728" s="1" t="n">
        <v>46126</v>
      </c>
      <c r="D728" t="inlineStr">
        <is>
          <t>VÄSTMANLANDS LÄN</t>
        </is>
      </c>
      <c r="E728" t="inlineStr">
        <is>
          <t>SALA</t>
        </is>
      </c>
      <c r="G728" t="n">
        <v>5.2</v>
      </c>
      <c r="H728" t="n">
        <v>0</v>
      </c>
      <c r="I728" t="n">
        <v>0</v>
      </c>
      <c r="J728" t="n">
        <v>0</v>
      </c>
      <c r="K728" t="n">
        <v>0</v>
      </c>
      <c r="L728" t="n">
        <v>0</v>
      </c>
      <c r="M728" t="n">
        <v>0</v>
      </c>
      <c r="N728" t="n">
        <v>0</v>
      </c>
      <c r="O728" t="n">
        <v>0</v>
      </c>
      <c r="P728" t="n">
        <v>0</v>
      </c>
      <c r="Q728" t="n">
        <v>0</v>
      </c>
      <c r="R728" s="2" t="inlineStr"/>
    </row>
    <row r="729" ht="15" customHeight="1">
      <c r="A729" t="inlineStr">
        <is>
          <t>A 73673-2021</t>
        </is>
      </c>
      <c r="B729" s="1" t="n">
        <v>44552.46501157407</v>
      </c>
      <c r="C729" s="1" t="n">
        <v>46126</v>
      </c>
      <c r="D729" t="inlineStr">
        <is>
          <t>VÄSTMANLANDS LÄN</t>
        </is>
      </c>
      <c r="E729" t="inlineStr">
        <is>
          <t>SALA</t>
        </is>
      </c>
      <c r="G729" t="n">
        <v>11.4</v>
      </c>
      <c r="H729" t="n">
        <v>0</v>
      </c>
      <c r="I729" t="n">
        <v>0</v>
      </c>
      <c r="J729" t="n">
        <v>0</v>
      </c>
      <c r="K729" t="n">
        <v>0</v>
      </c>
      <c r="L729" t="n">
        <v>0</v>
      </c>
      <c r="M729" t="n">
        <v>0</v>
      </c>
      <c r="N729" t="n">
        <v>0</v>
      </c>
      <c r="O729" t="n">
        <v>0</v>
      </c>
      <c r="P729" t="n">
        <v>0</v>
      </c>
      <c r="Q729" t="n">
        <v>0</v>
      </c>
      <c r="R729" s="2" t="inlineStr"/>
    </row>
    <row r="730" ht="15" customHeight="1">
      <c r="A730" t="inlineStr">
        <is>
          <t>A 4853-2023</t>
        </is>
      </c>
      <c r="B730" s="1" t="n">
        <v>44957.73234953704</v>
      </c>
      <c r="C730" s="1" t="n">
        <v>46126</v>
      </c>
      <c r="D730" t="inlineStr">
        <is>
          <t>VÄSTMANLANDS LÄN</t>
        </is>
      </c>
      <c r="E730" t="inlineStr">
        <is>
          <t>SALA</t>
        </is>
      </c>
      <c r="G730" t="n">
        <v>2.7</v>
      </c>
      <c r="H730" t="n">
        <v>0</v>
      </c>
      <c r="I730" t="n">
        <v>0</v>
      </c>
      <c r="J730" t="n">
        <v>0</v>
      </c>
      <c r="K730" t="n">
        <v>0</v>
      </c>
      <c r="L730" t="n">
        <v>0</v>
      </c>
      <c r="M730" t="n">
        <v>0</v>
      </c>
      <c r="N730" t="n">
        <v>0</v>
      </c>
      <c r="O730" t="n">
        <v>0</v>
      </c>
      <c r="P730" t="n">
        <v>0</v>
      </c>
      <c r="Q730" t="n">
        <v>0</v>
      </c>
      <c r="R730" s="2" t="inlineStr"/>
    </row>
    <row r="731" ht="15" customHeight="1">
      <c r="A731" t="inlineStr">
        <is>
          <t>A 1993-2022</t>
        </is>
      </c>
      <c r="B731" s="1" t="n">
        <v>44575</v>
      </c>
      <c r="C731" s="1" t="n">
        <v>46126</v>
      </c>
      <c r="D731" t="inlineStr">
        <is>
          <t>VÄSTMANLANDS LÄN</t>
        </is>
      </c>
      <c r="E731" t="inlineStr">
        <is>
          <t>SALA</t>
        </is>
      </c>
      <c r="G731" t="n">
        <v>1.6</v>
      </c>
      <c r="H731" t="n">
        <v>0</v>
      </c>
      <c r="I731" t="n">
        <v>0</v>
      </c>
      <c r="J731" t="n">
        <v>0</v>
      </c>
      <c r="K731" t="n">
        <v>0</v>
      </c>
      <c r="L731" t="n">
        <v>0</v>
      </c>
      <c r="M731" t="n">
        <v>0</v>
      </c>
      <c r="N731" t="n">
        <v>0</v>
      </c>
      <c r="O731" t="n">
        <v>0</v>
      </c>
      <c r="P731" t="n">
        <v>0</v>
      </c>
      <c r="Q731" t="n">
        <v>0</v>
      </c>
      <c r="R731" s="2" t="inlineStr"/>
    </row>
    <row r="732" ht="15" customHeight="1">
      <c r="A732" t="inlineStr">
        <is>
          <t>A 1793-2023</t>
        </is>
      </c>
      <c r="B732" s="1" t="n">
        <v>44937</v>
      </c>
      <c r="C732" s="1" t="n">
        <v>46126</v>
      </c>
      <c r="D732" t="inlineStr">
        <is>
          <t>VÄSTMANLANDS LÄN</t>
        </is>
      </c>
      <c r="E732" t="inlineStr">
        <is>
          <t>SALA</t>
        </is>
      </c>
      <c r="G732" t="n">
        <v>2.6</v>
      </c>
      <c r="H732" t="n">
        <v>0</v>
      </c>
      <c r="I732" t="n">
        <v>0</v>
      </c>
      <c r="J732" t="n">
        <v>0</v>
      </c>
      <c r="K732" t="n">
        <v>0</v>
      </c>
      <c r="L732" t="n">
        <v>0</v>
      </c>
      <c r="M732" t="n">
        <v>0</v>
      </c>
      <c r="N732" t="n">
        <v>0</v>
      </c>
      <c r="O732" t="n">
        <v>0</v>
      </c>
      <c r="P732" t="n">
        <v>0</v>
      </c>
      <c r="Q732" t="n">
        <v>0</v>
      </c>
      <c r="R732" s="2" t="inlineStr"/>
    </row>
    <row r="733" ht="15" customHeight="1">
      <c r="A733" t="inlineStr">
        <is>
          <t>A 42447-2022</t>
        </is>
      </c>
      <c r="B733" s="1" t="n">
        <v>44831</v>
      </c>
      <c r="C733" s="1" t="n">
        <v>46126</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11183-2023</t>
        </is>
      </c>
      <c r="B734" s="1" t="n">
        <v>44992.57782407408</v>
      </c>
      <c r="C734" s="1" t="n">
        <v>46126</v>
      </c>
      <c r="D734" t="inlineStr">
        <is>
          <t>VÄSTMANLANDS LÄN</t>
        </is>
      </c>
      <c r="E734" t="inlineStr">
        <is>
          <t>SALA</t>
        </is>
      </c>
      <c r="G734" t="n">
        <v>0.9</v>
      </c>
      <c r="H734" t="n">
        <v>0</v>
      </c>
      <c r="I734" t="n">
        <v>0</v>
      </c>
      <c r="J734" t="n">
        <v>0</v>
      </c>
      <c r="K734" t="n">
        <v>0</v>
      </c>
      <c r="L734" t="n">
        <v>0</v>
      </c>
      <c r="M734" t="n">
        <v>0</v>
      </c>
      <c r="N734" t="n">
        <v>0</v>
      </c>
      <c r="O734" t="n">
        <v>0</v>
      </c>
      <c r="P734" t="n">
        <v>0</v>
      </c>
      <c r="Q734" t="n">
        <v>0</v>
      </c>
      <c r="R734" s="2" t="inlineStr"/>
    </row>
    <row r="735" ht="15" customHeight="1">
      <c r="A735" t="inlineStr">
        <is>
          <t>A 11190-2023</t>
        </is>
      </c>
      <c r="B735" s="1" t="n">
        <v>44992</v>
      </c>
      <c r="C735" s="1" t="n">
        <v>46126</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31950-2023</t>
        </is>
      </c>
      <c r="B736" s="1" t="n">
        <v>45107</v>
      </c>
      <c r="C736" s="1" t="n">
        <v>46126</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48710-2024</t>
        </is>
      </c>
      <c r="B737" s="1" t="n">
        <v>45593.53636574074</v>
      </c>
      <c r="C737" s="1" t="n">
        <v>46126</v>
      </c>
      <c r="D737" t="inlineStr">
        <is>
          <t>VÄSTMANLANDS LÄN</t>
        </is>
      </c>
      <c r="E737" t="inlineStr">
        <is>
          <t>SALA</t>
        </is>
      </c>
      <c r="G737" t="n">
        <v>6.5</v>
      </c>
      <c r="H737" t="n">
        <v>0</v>
      </c>
      <c r="I737" t="n">
        <v>0</v>
      </c>
      <c r="J737" t="n">
        <v>0</v>
      </c>
      <c r="K737" t="n">
        <v>0</v>
      </c>
      <c r="L737" t="n">
        <v>0</v>
      </c>
      <c r="M737" t="n">
        <v>0</v>
      </c>
      <c r="N737" t="n">
        <v>0</v>
      </c>
      <c r="O737" t="n">
        <v>0</v>
      </c>
      <c r="P737" t="n">
        <v>0</v>
      </c>
      <c r="Q737" t="n">
        <v>0</v>
      </c>
      <c r="R737" s="2" t="inlineStr"/>
    </row>
    <row r="738" ht="15" customHeight="1">
      <c r="A738" t="inlineStr">
        <is>
          <t>A 23406-2024</t>
        </is>
      </c>
      <c r="B738" s="1" t="n">
        <v>45453.58296296297</v>
      </c>
      <c r="C738" s="1" t="n">
        <v>46126</v>
      </c>
      <c r="D738" t="inlineStr">
        <is>
          <t>VÄSTMANLANDS LÄN</t>
        </is>
      </c>
      <c r="E738" t="inlineStr">
        <is>
          <t>SALA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12246-2023</t>
        </is>
      </c>
      <c r="B739" s="1" t="n">
        <v>44995</v>
      </c>
      <c r="C739" s="1" t="n">
        <v>46126</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48571-2024</t>
        </is>
      </c>
      <c r="B740" s="1" t="n">
        <v>45591</v>
      </c>
      <c r="C740" s="1" t="n">
        <v>46126</v>
      </c>
      <c r="D740" t="inlineStr">
        <is>
          <t>VÄSTMANLANDS LÄN</t>
        </is>
      </c>
      <c r="E740" t="inlineStr">
        <is>
          <t>SALA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43362-2023</t>
        </is>
      </c>
      <c r="B741" s="1" t="n">
        <v>45183</v>
      </c>
      <c r="C741" s="1" t="n">
        <v>46126</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16767-2024</t>
        </is>
      </c>
      <c r="B742" s="1" t="n">
        <v>45411.38171296296</v>
      </c>
      <c r="C742" s="1" t="n">
        <v>46126</v>
      </c>
      <c r="D742" t="inlineStr">
        <is>
          <t>VÄSTMANLANDS LÄN</t>
        </is>
      </c>
      <c r="E742" t="inlineStr">
        <is>
          <t>SALA</t>
        </is>
      </c>
      <c r="G742" t="n">
        <v>2.5</v>
      </c>
      <c r="H742" t="n">
        <v>0</v>
      </c>
      <c r="I742" t="n">
        <v>0</v>
      </c>
      <c r="J742" t="n">
        <v>0</v>
      </c>
      <c r="K742" t="n">
        <v>0</v>
      </c>
      <c r="L742" t="n">
        <v>0</v>
      </c>
      <c r="M742" t="n">
        <v>0</v>
      </c>
      <c r="N742" t="n">
        <v>0</v>
      </c>
      <c r="O742" t="n">
        <v>0</v>
      </c>
      <c r="P742" t="n">
        <v>0</v>
      </c>
      <c r="Q742" t="n">
        <v>0</v>
      </c>
      <c r="R742" s="2" t="inlineStr"/>
    </row>
    <row r="743" ht="15" customHeight="1">
      <c r="A743" t="inlineStr">
        <is>
          <t>A 31470-2021</t>
        </is>
      </c>
      <c r="B743" s="1" t="n">
        <v>44369</v>
      </c>
      <c r="C743" s="1" t="n">
        <v>46126</v>
      </c>
      <c r="D743" t="inlineStr">
        <is>
          <t>VÄSTMANLANDS LÄN</t>
        </is>
      </c>
      <c r="E743" t="inlineStr">
        <is>
          <t>SALA</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18461-2024</t>
        </is>
      </c>
      <c r="B744" s="1" t="n">
        <v>45425.47435185185</v>
      </c>
      <c r="C744" s="1" t="n">
        <v>46126</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29230-2022</t>
        </is>
      </c>
      <c r="B745" s="1" t="n">
        <v>44750</v>
      </c>
      <c r="C745" s="1" t="n">
        <v>46126</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9335-2022</t>
        </is>
      </c>
      <c r="B746" s="1" t="n">
        <v>44616.56579861111</v>
      </c>
      <c r="C746" s="1" t="n">
        <v>46126</v>
      </c>
      <c r="D746" t="inlineStr">
        <is>
          <t>VÄSTMANLANDS LÄN</t>
        </is>
      </c>
      <c r="E746" t="inlineStr">
        <is>
          <t>SALA</t>
        </is>
      </c>
      <c r="G746" t="n">
        <v>1.5</v>
      </c>
      <c r="H746" t="n">
        <v>0</v>
      </c>
      <c r="I746" t="n">
        <v>0</v>
      </c>
      <c r="J746" t="n">
        <v>0</v>
      </c>
      <c r="K746" t="n">
        <v>0</v>
      </c>
      <c r="L746" t="n">
        <v>0</v>
      </c>
      <c r="M746" t="n">
        <v>0</v>
      </c>
      <c r="N746" t="n">
        <v>0</v>
      </c>
      <c r="O746" t="n">
        <v>0</v>
      </c>
      <c r="P746" t="n">
        <v>0</v>
      </c>
      <c r="Q746" t="n">
        <v>0</v>
      </c>
      <c r="R746" s="2" t="inlineStr"/>
    </row>
    <row r="747" ht="15" customHeight="1">
      <c r="A747" t="inlineStr">
        <is>
          <t>A 47479-2024</t>
        </is>
      </c>
      <c r="B747" s="1" t="n">
        <v>45587</v>
      </c>
      <c r="C747" s="1" t="n">
        <v>46126</v>
      </c>
      <c r="D747" t="inlineStr">
        <is>
          <t>VÄSTMANLANDS LÄN</t>
        </is>
      </c>
      <c r="E747" t="inlineStr">
        <is>
          <t>SALA</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19065-2022</t>
        </is>
      </c>
      <c r="B748" s="1" t="n">
        <v>44691.44309027777</v>
      </c>
      <c r="C748" s="1" t="n">
        <v>46126</v>
      </c>
      <c r="D748" t="inlineStr">
        <is>
          <t>VÄSTMANLANDS LÄN</t>
        </is>
      </c>
      <c r="E748" t="inlineStr">
        <is>
          <t>SALA</t>
        </is>
      </c>
      <c r="G748" t="n">
        <v>3.4</v>
      </c>
      <c r="H748" t="n">
        <v>0</v>
      </c>
      <c r="I748" t="n">
        <v>0</v>
      </c>
      <c r="J748" t="n">
        <v>0</v>
      </c>
      <c r="K748" t="n">
        <v>0</v>
      </c>
      <c r="L748" t="n">
        <v>0</v>
      </c>
      <c r="M748" t="n">
        <v>0</v>
      </c>
      <c r="N748" t="n">
        <v>0</v>
      </c>
      <c r="O748" t="n">
        <v>0</v>
      </c>
      <c r="P748" t="n">
        <v>0</v>
      </c>
      <c r="Q748" t="n">
        <v>0</v>
      </c>
      <c r="R748" s="2" t="inlineStr"/>
    </row>
    <row r="749" ht="15" customHeight="1">
      <c r="A749" t="inlineStr">
        <is>
          <t>A 22961-2023</t>
        </is>
      </c>
      <c r="B749" s="1" t="n">
        <v>45072</v>
      </c>
      <c r="C749" s="1" t="n">
        <v>46126</v>
      </c>
      <c r="D749" t="inlineStr">
        <is>
          <t>VÄSTMANLANDS LÄN</t>
        </is>
      </c>
      <c r="E749" t="inlineStr">
        <is>
          <t>SALA</t>
        </is>
      </c>
      <c r="G749" t="n">
        <v>2.7</v>
      </c>
      <c r="H749" t="n">
        <v>0</v>
      </c>
      <c r="I749" t="n">
        <v>0</v>
      </c>
      <c r="J749" t="n">
        <v>0</v>
      </c>
      <c r="K749" t="n">
        <v>0</v>
      </c>
      <c r="L749" t="n">
        <v>0</v>
      </c>
      <c r="M749" t="n">
        <v>0</v>
      </c>
      <c r="N749" t="n">
        <v>0</v>
      </c>
      <c r="O749" t="n">
        <v>0</v>
      </c>
      <c r="P749" t="n">
        <v>0</v>
      </c>
      <c r="Q749" t="n">
        <v>0</v>
      </c>
      <c r="R749" s="2" t="inlineStr"/>
    </row>
    <row r="750" ht="15" customHeight="1">
      <c r="A750" t="inlineStr">
        <is>
          <t>A 22963-2023</t>
        </is>
      </c>
      <c r="B750" s="1" t="n">
        <v>45072</v>
      </c>
      <c r="C750" s="1" t="n">
        <v>46126</v>
      </c>
      <c r="D750" t="inlineStr">
        <is>
          <t>VÄSTMANLANDS LÄN</t>
        </is>
      </c>
      <c r="E750" t="inlineStr">
        <is>
          <t>SALA</t>
        </is>
      </c>
      <c r="G750" t="n">
        <v>1.2</v>
      </c>
      <c r="H750" t="n">
        <v>0</v>
      </c>
      <c r="I750" t="n">
        <v>0</v>
      </c>
      <c r="J750" t="n">
        <v>0</v>
      </c>
      <c r="K750" t="n">
        <v>0</v>
      </c>
      <c r="L750" t="n">
        <v>0</v>
      </c>
      <c r="M750" t="n">
        <v>0</v>
      </c>
      <c r="N750" t="n">
        <v>0</v>
      </c>
      <c r="O750" t="n">
        <v>0</v>
      </c>
      <c r="P750" t="n">
        <v>0</v>
      </c>
      <c r="Q750" t="n">
        <v>0</v>
      </c>
      <c r="R750" s="2" t="inlineStr"/>
    </row>
    <row r="751" ht="15" customHeight="1">
      <c r="A751" t="inlineStr">
        <is>
          <t>A 10585-2022</t>
        </is>
      </c>
      <c r="B751" s="1" t="n">
        <v>44624</v>
      </c>
      <c r="C751" s="1" t="n">
        <v>46126</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69236-2021</t>
        </is>
      </c>
      <c r="B752" s="1" t="n">
        <v>44531.4047337963</v>
      </c>
      <c r="C752" s="1" t="n">
        <v>46126</v>
      </c>
      <c r="D752" t="inlineStr">
        <is>
          <t>VÄSTMANLANDS LÄN</t>
        </is>
      </c>
      <c r="E752" t="inlineStr">
        <is>
          <t>SALA</t>
        </is>
      </c>
      <c r="G752" t="n">
        <v>2.8</v>
      </c>
      <c r="H752" t="n">
        <v>0</v>
      </c>
      <c r="I752" t="n">
        <v>0</v>
      </c>
      <c r="J752" t="n">
        <v>0</v>
      </c>
      <c r="K752" t="n">
        <v>0</v>
      </c>
      <c r="L752" t="n">
        <v>0</v>
      </c>
      <c r="M752" t="n">
        <v>0</v>
      </c>
      <c r="N752" t="n">
        <v>0</v>
      </c>
      <c r="O752" t="n">
        <v>0</v>
      </c>
      <c r="P752" t="n">
        <v>0</v>
      </c>
      <c r="Q752" t="n">
        <v>0</v>
      </c>
      <c r="R752" s="2" t="inlineStr"/>
    </row>
    <row r="753" ht="15" customHeight="1">
      <c r="A753" t="inlineStr">
        <is>
          <t>A 48117-2024</t>
        </is>
      </c>
      <c r="B753" s="1" t="n">
        <v>45589</v>
      </c>
      <c r="C753" s="1" t="n">
        <v>46126</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12225-2023</t>
        </is>
      </c>
      <c r="B754" s="1" t="n">
        <v>44995</v>
      </c>
      <c r="C754" s="1" t="n">
        <v>46126</v>
      </c>
      <c r="D754" t="inlineStr">
        <is>
          <t>VÄSTMANLANDS LÄN</t>
        </is>
      </c>
      <c r="E754" t="inlineStr">
        <is>
          <t>SALA</t>
        </is>
      </c>
      <c r="G754" t="n">
        <v>0.9</v>
      </c>
      <c r="H754" t="n">
        <v>0</v>
      </c>
      <c r="I754" t="n">
        <v>0</v>
      </c>
      <c r="J754" t="n">
        <v>0</v>
      </c>
      <c r="K754" t="n">
        <v>0</v>
      </c>
      <c r="L754" t="n">
        <v>0</v>
      </c>
      <c r="M754" t="n">
        <v>0</v>
      </c>
      <c r="N754" t="n">
        <v>0</v>
      </c>
      <c r="O754" t="n">
        <v>0</v>
      </c>
      <c r="P754" t="n">
        <v>0</v>
      </c>
      <c r="Q754" t="n">
        <v>0</v>
      </c>
      <c r="R754" s="2" t="inlineStr"/>
    </row>
    <row r="755" ht="15" customHeight="1">
      <c r="A755" t="inlineStr">
        <is>
          <t>A 12252-2023</t>
        </is>
      </c>
      <c r="B755" s="1" t="n">
        <v>44995</v>
      </c>
      <c r="C755" s="1" t="n">
        <v>46126</v>
      </c>
      <c r="D755" t="inlineStr">
        <is>
          <t>VÄSTMANLANDS LÄN</t>
        </is>
      </c>
      <c r="E755" t="inlineStr">
        <is>
          <t>SALA</t>
        </is>
      </c>
      <c r="G755" t="n">
        <v>2.6</v>
      </c>
      <c r="H755" t="n">
        <v>0</v>
      </c>
      <c r="I755" t="n">
        <v>0</v>
      </c>
      <c r="J755" t="n">
        <v>0</v>
      </c>
      <c r="K755" t="n">
        <v>0</v>
      </c>
      <c r="L755" t="n">
        <v>0</v>
      </c>
      <c r="M755" t="n">
        <v>0</v>
      </c>
      <c r="N755" t="n">
        <v>0</v>
      </c>
      <c r="O755" t="n">
        <v>0</v>
      </c>
      <c r="P755" t="n">
        <v>0</v>
      </c>
      <c r="Q755" t="n">
        <v>0</v>
      </c>
      <c r="R755" s="2" t="inlineStr"/>
    </row>
    <row r="756" ht="15" customHeight="1">
      <c r="A756" t="inlineStr">
        <is>
          <t>A 6116-2023</t>
        </is>
      </c>
      <c r="B756" s="1" t="n">
        <v>44964</v>
      </c>
      <c r="C756" s="1" t="n">
        <v>46126</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ht="15" customHeight="1">
      <c r="A757" t="inlineStr">
        <is>
          <t>A 18100-2023</t>
        </is>
      </c>
      <c r="B757" s="1" t="n">
        <v>45040</v>
      </c>
      <c r="C757" s="1" t="n">
        <v>46126</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13471-2025</t>
        </is>
      </c>
      <c r="B758" s="1" t="n">
        <v>45736.40579861111</v>
      </c>
      <c r="C758" s="1" t="n">
        <v>46126</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26854-2024</t>
        </is>
      </c>
      <c r="B759" s="1" t="n">
        <v>45470</v>
      </c>
      <c r="C759" s="1" t="n">
        <v>46126</v>
      </c>
      <c r="D759" t="inlineStr">
        <is>
          <t>VÄSTMANLANDS LÄN</t>
        </is>
      </c>
      <c r="E759" t="inlineStr">
        <is>
          <t>SALA</t>
        </is>
      </c>
      <c r="G759" t="n">
        <v>1.4</v>
      </c>
      <c r="H759" t="n">
        <v>0</v>
      </c>
      <c r="I759" t="n">
        <v>0</v>
      </c>
      <c r="J759" t="n">
        <v>0</v>
      </c>
      <c r="K759" t="n">
        <v>0</v>
      </c>
      <c r="L759" t="n">
        <v>0</v>
      </c>
      <c r="M759" t="n">
        <v>0</v>
      </c>
      <c r="N759" t="n">
        <v>0</v>
      </c>
      <c r="O759" t="n">
        <v>0</v>
      </c>
      <c r="P759" t="n">
        <v>0</v>
      </c>
      <c r="Q759" t="n">
        <v>0</v>
      </c>
      <c r="R759" s="2" t="inlineStr"/>
    </row>
    <row r="760" ht="15" customHeight="1">
      <c r="A760" t="inlineStr">
        <is>
          <t>A 37602-2024</t>
        </is>
      </c>
      <c r="B760" s="1" t="n">
        <v>45541</v>
      </c>
      <c r="C760" s="1" t="n">
        <v>46126</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1985-2022</t>
        </is>
      </c>
      <c r="B761" s="1" t="n">
        <v>44575</v>
      </c>
      <c r="C761" s="1" t="n">
        <v>46126</v>
      </c>
      <c r="D761" t="inlineStr">
        <is>
          <t>VÄSTMANLANDS LÄN</t>
        </is>
      </c>
      <c r="E761" t="inlineStr">
        <is>
          <t>SALA</t>
        </is>
      </c>
      <c r="G761" t="n">
        <v>1.4</v>
      </c>
      <c r="H761" t="n">
        <v>0</v>
      </c>
      <c r="I761" t="n">
        <v>0</v>
      </c>
      <c r="J761" t="n">
        <v>0</v>
      </c>
      <c r="K761" t="n">
        <v>0</v>
      </c>
      <c r="L761" t="n">
        <v>0</v>
      </c>
      <c r="M761" t="n">
        <v>0</v>
      </c>
      <c r="N761" t="n">
        <v>0</v>
      </c>
      <c r="O761" t="n">
        <v>0</v>
      </c>
      <c r="P761" t="n">
        <v>0</v>
      </c>
      <c r="Q761" t="n">
        <v>0</v>
      </c>
      <c r="R761" s="2" t="inlineStr"/>
    </row>
    <row r="762" ht="15" customHeight="1">
      <c r="A762" t="inlineStr">
        <is>
          <t>A 21455-2023</t>
        </is>
      </c>
      <c r="B762" s="1" t="n">
        <v>45058</v>
      </c>
      <c r="C762" s="1" t="n">
        <v>46126</v>
      </c>
      <c r="D762" t="inlineStr">
        <is>
          <t>VÄSTMANLANDS LÄN</t>
        </is>
      </c>
      <c r="E762" t="inlineStr">
        <is>
          <t>SALA</t>
        </is>
      </c>
      <c r="G762" t="n">
        <v>6.4</v>
      </c>
      <c r="H762" t="n">
        <v>0</v>
      </c>
      <c r="I762" t="n">
        <v>0</v>
      </c>
      <c r="J762" t="n">
        <v>0</v>
      </c>
      <c r="K762" t="n">
        <v>0</v>
      </c>
      <c r="L762" t="n">
        <v>0</v>
      </c>
      <c r="M762" t="n">
        <v>0</v>
      </c>
      <c r="N762" t="n">
        <v>0</v>
      </c>
      <c r="O762" t="n">
        <v>0</v>
      </c>
      <c r="P762" t="n">
        <v>0</v>
      </c>
      <c r="Q762" t="n">
        <v>0</v>
      </c>
      <c r="R762" s="2" t="inlineStr"/>
    </row>
    <row r="763" ht="15" customHeight="1">
      <c r="A763" t="inlineStr">
        <is>
          <t>A 4797-2023</t>
        </is>
      </c>
      <c r="B763" s="1" t="n">
        <v>44957</v>
      </c>
      <c r="C763" s="1" t="n">
        <v>46126</v>
      </c>
      <c r="D763" t="inlineStr">
        <is>
          <t>VÄSTMANLANDS LÄN</t>
        </is>
      </c>
      <c r="E763" t="inlineStr">
        <is>
          <t>SALA</t>
        </is>
      </c>
      <c r="G763" t="n">
        <v>5.7</v>
      </c>
      <c r="H763" t="n">
        <v>0</v>
      </c>
      <c r="I763" t="n">
        <v>0</v>
      </c>
      <c r="J763" t="n">
        <v>0</v>
      </c>
      <c r="K763" t="n">
        <v>0</v>
      </c>
      <c r="L763" t="n">
        <v>0</v>
      </c>
      <c r="M763" t="n">
        <v>0</v>
      </c>
      <c r="N763" t="n">
        <v>0</v>
      </c>
      <c r="O763" t="n">
        <v>0</v>
      </c>
      <c r="P763" t="n">
        <v>0</v>
      </c>
      <c r="Q763" t="n">
        <v>0</v>
      </c>
      <c r="R763" s="2" t="inlineStr"/>
    </row>
    <row r="764" ht="15" customHeight="1">
      <c r="A764" t="inlineStr">
        <is>
          <t>A 4852-2023</t>
        </is>
      </c>
      <c r="B764" s="1" t="n">
        <v>44957.72496527778</v>
      </c>
      <c r="C764" s="1" t="n">
        <v>46126</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36858-2023</t>
        </is>
      </c>
      <c r="B765" s="1" t="n">
        <v>45154.55184027777</v>
      </c>
      <c r="C765" s="1" t="n">
        <v>46126</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58701-2021</t>
        </is>
      </c>
      <c r="B766" s="1" t="n">
        <v>44489.46454861111</v>
      </c>
      <c r="C766" s="1" t="n">
        <v>46126</v>
      </c>
      <c r="D766" t="inlineStr">
        <is>
          <t>VÄSTMANLANDS LÄN</t>
        </is>
      </c>
      <c r="E766" t="inlineStr">
        <is>
          <t>SALA</t>
        </is>
      </c>
      <c r="G766" t="n">
        <v>0.7</v>
      </c>
      <c r="H766" t="n">
        <v>0</v>
      </c>
      <c r="I766" t="n">
        <v>0</v>
      </c>
      <c r="J766" t="n">
        <v>0</v>
      </c>
      <c r="K766" t="n">
        <v>0</v>
      </c>
      <c r="L766" t="n">
        <v>0</v>
      </c>
      <c r="M766" t="n">
        <v>0</v>
      </c>
      <c r="N766" t="n">
        <v>0</v>
      </c>
      <c r="O766" t="n">
        <v>0</v>
      </c>
      <c r="P766" t="n">
        <v>0</v>
      </c>
      <c r="Q766" t="n">
        <v>0</v>
      </c>
      <c r="R766" s="2" t="inlineStr"/>
    </row>
    <row r="767" ht="15" customHeight="1">
      <c r="A767" t="inlineStr">
        <is>
          <t>A 37337-2024</t>
        </is>
      </c>
      <c r="B767" s="1" t="n">
        <v>45540</v>
      </c>
      <c r="C767" s="1" t="n">
        <v>46126</v>
      </c>
      <c r="D767" t="inlineStr">
        <is>
          <t>VÄSTMANLANDS LÄN</t>
        </is>
      </c>
      <c r="E767" t="inlineStr">
        <is>
          <t>SALA</t>
        </is>
      </c>
      <c r="G767" t="n">
        <v>6.5</v>
      </c>
      <c r="H767" t="n">
        <v>0</v>
      </c>
      <c r="I767" t="n">
        <v>0</v>
      </c>
      <c r="J767" t="n">
        <v>0</v>
      </c>
      <c r="K767" t="n">
        <v>0</v>
      </c>
      <c r="L767" t="n">
        <v>0</v>
      </c>
      <c r="M767" t="n">
        <v>0</v>
      </c>
      <c r="N767" t="n">
        <v>0</v>
      </c>
      <c r="O767" t="n">
        <v>0</v>
      </c>
      <c r="P767" t="n">
        <v>0</v>
      </c>
      <c r="Q767" t="n">
        <v>0</v>
      </c>
      <c r="R767" s="2" t="inlineStr"/>
    </row>
    <row r="768">
      <c r="A768" t="inlineStr">
        <is>
          <t>A 10250-2025</t>
        </is>
      </c>
      <c r="B768" s="1" t="n">
        <v>45720.36165509259</v>
      </c>
      <c r="C768" s="1" t="n">
        <v>46126</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2026-04-14T10:34:34Z</dcterms:created>
  <dcterms:modified xmlns:dcterms="http://purl.org/dc/terms/" xmlns:xsi="http://www.w3.org/2001/XMLSchema-instance" xsi:type="dcterms:W3CDTF">2026-04-14T10:34:34Z</dcterms:modified>
</cp:coreProperties>
</file>