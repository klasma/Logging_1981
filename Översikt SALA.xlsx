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45508</v>
      </c>
      <c r="D2" t="inlineStr">
        <is>
          <t>VÄSTMANLANDS LÄN</t>
        </is>
      </c>
      <c r="E2" t="inlineStr">
        <is>
          <t>SALA</t>
        </is>
      </c>
      <c r="G2" t="n">
        <v>28.6</v>
      </c>
      <c r="H2" t="n">
        <v>6</v>
      </c>
      <c r="I2" t="n">
        <v>11</v>
      </c>
      <c r="J2" t="n">
        <v>11</v>
      </c>
      <c r="K2" t="n">
        <v>7</v>
      </c>
      <c r="L2" t="n">
        <v>0</v>
      </c>
      <c r="M2" t="n">
        <v>0</v>
      </c>
      <c r="N2" t="n">
        <v>0</v>
      </c>
      <c r="O2" t="n">
        <v>18</v>
      </c>
      <c r="P2" t="n">
        <v>7</v>
      </c>
      <c r="Q2" t="n">
        <v>31</v>
      </c>
      <c r="R2"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45508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45508</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45508</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45508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45508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45508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45508</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45508</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45508</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23221-2023</t>
        </is>
      </c>
      <c r="B12" s="1" t="n">
        <v>45075</v>
      </c>
      <c r="C12" s="1" t="n">
        <v>45508</v>
      </c>
      <c r="D12" t="inlineStr">
        <is>
          <t>VÄSTMANLANDS LÄN</t>
        </is>
      </c>
      <c r="E12" t="inlineStr">
        <is>
          <t>SALA</t>
        </is>
      </c>
      <c r="G12" t="n">
        <v>26.3</v>
      </c>
      <c r="H12" t="n">
        <v>2</v>
      </c>
      <c r="I12" t="n">
        <v>3</v>
      </c>
      <c r="J12" t="n">
        <v>1</v>
      </c>
      <c r="K12" t="n">
        <v>1</v>
      </c>
      <c r="L12" t="n">
        <v>0</v>
      </c>
      <c r="M12" t="n">
        <v>0</v>
      </c>
      <c r="N12" t="n">
        <v>0</v>
      </c>
      <c r="O12" t="n">
        <v>2</v>
      </c>
      <c r="P12" t="n">
        <v>1</v>
      </c>
      <c r="Q12" t="n">
        <v>5</v>
      </c>
      <c r="R12" s="2" t="inlineStr">
        <is>
          <t>Knärot
Spillkråka
Blomkålssvamp
Brandticka
Grönpyrola</t>
        </is>
      </c>
      <c r="S12">
        <f>HYPERLINK("https://klasma.github.io/Logging_1981/artfynd/A 23221-2023 artfynd.xlsx", "A 23221-2023")</f>
        <v/>
      </c>
      <c r="T12">
        <f>HYPERLINK("https://klasma.github.io/Logging_1981/kartor/A 23221-2023 karta.png", "A 23221-2023")</f>
        <v/>
      </c>
      <c r="U12">
        <f>HYPERLINK("https://klasma.github.io/Logging_1981/knärot/A 23221-2023 karta knärot.png", "A 23221-2023")</f>
        <v/>
      </c>
      <c r="V12">
        <f>HYPERLINK("https://klasma.github.io/Logging_1981/klagomål/A 23221-2023 FSC-klagomål.docx", "A 23221-2023")</f>
        <v/>
      </c>
      <c r="W12">
        <f>HYPERLINK("https://klasma.github.io/Logging_1981/klagomålsmail/A 23221-2023 FSC-klagomål mail.docx", "A 23221-2023")</f>
        <v/>
      </c>
      <c r="X12">
        <f>HYPERLINK("https://klasma.github.io/Logging_1981/tillsyn/A 23221-2023 tillsynsbegäran.docx", "A 23221-2023")</f>
        <v/>
      </c>
      <c r="Y12">
        <f>HYPERLINK("https://klasma.github.io/Logging_1981/tillsynsmail/A 23221-2023 tillsynsbegäran mail.docx", "A 23221-2023")</f>
        <v/>
      </c>
      <c r="Z12">
        <f>HYPERLINK("https://klasma.github.io/Logging_1981/fåglar/A 23221-2023 prioriterade fågelarter.docx", "A 23221-2023")</f>
        <v/>
      </c>
    </row>
    <row r="13" ht="15" customHeight="1">
      <c r="A13" t="inlineStr">
        <is>
          <t>A 54719-2023</t>
        </is>
      </c>
      <c r="B13" s="1" t="n">
        <v>45236</v>
      </c>
      <c r="C13" s="1" t="n">
        <v>45508</v>
      </c>
      <c r="D13" t="inlineStr">
        <is>
          <t>VÄSTMANLANDS LÄN</t>
        </is>
      </c>
      <c r="E13" t="inlineStr">
        <is>
          <t>SALA</t>
        </is>
      </c>
      <c r="G13" t="n">
        <v>5.8</v>
      </c>
      <c r="H13" t="n">
        <v>3</v>
      </c>
      <c r="I13" t="n">
        <v>0</v>
      </c>
      <c r="J13" t="n">
        <v>2</v>
      </c>
      <c r="K13" t="n">
        <v>2</v>
      </c>
      <c r="L13" t="n">
        <v>0</v>
      </c>
      <c r="M13" t="n">
        <v>0</v>
      </c>
      <c r="N13" t="n">
        <v>0</v>
      </c>
      <c r="O13" t="n">
        <v>4</v>
      </c>
      <c r="P13" t="n">
        <v>2</v>
      </c>
      <c r="Q13" t="n">
        <v>5</v>
      </c>
      <c r="R13" s="2" t="inlineStr">
        <is>
          <t>Knärot
Vågticka
Gropticka
Spillkråka
Blåsippa</t>
        </is>
      </c>
      <c r="S13">
        <f>HYPERLINK("https://klasma.github.io/Logging_1981/artfynd/A 54719-2023 artfynd.xlsx", "A 54719-2023")</f>
        <v/>
      </c>
      <c r="T13">
        <f>HYPERLINK("https://klasma.github.io/Logging_1981/kartor/A 54719-2023 karta.png", "A 54719-2023")</f>
        <v/>
      </c>
      <c r="U13">
        <f>HYPERLINK("https://klasma.github.io/Logging_1981/knärot/A 54719-2023 karta knärot.png", "A 54719-2023")</f>
        <v/>
      </c>
      <c r="V13">
        <f>HYPERLINK("https://klasma.github.io/Logging_1981/klagomål/A 54719-2023 FSC-klagomål.docx", "A 54719-2023")</f>
        <v/>
      </c>
      <c r="W13">
        <f>HYPERLINK("https://klasma.github.io/Logging_1981/klagomålsmail/A 54719-2023 FSC-klagomål mail.docx", "A 54719-2023")</f>
        <v/>
      </c>
      <c r="X13">
        <f>HYPERLINK("https://klasma.github.io/Logging_1981/tillsyn/A 54719-2023 tillsynsbegäran.docx", "A 54719-2023")</f>
        <v/>
      </c>
      <c r="Y13">
        <f>HYPERLINK("https://klasma.github.io/Logging_1981/tillsynsmail/A 54719-2023 tillsynsbegäran mail.docx", "A 54719-2023")</f>
        <v/>
      </c>
      <c r="Z13">
        <f>HYPERLINK("https://klasma.github.io/Logging_1981/fåglar/A 54719-2023 prioriterade fågelarter.docx", "A 54719-2023")</f>
        <v/>
      </c>
    </row>
    <row r="14" ht="15" customHeight="1">
      <c r="A14" t="inlineStr">
        <is>
          <t>A 3566-2024</t>
        </is>
      </c>
      <c r="B14" s="1" t="n">
        <v>45320</v>
      </c>
      <c r="C14" s="1" t="n">
        <v>45508</v>
      </c>
      <c r="D14" t="inlineStr">
        <is>
          <t>VÄSTMANLANDS LÄN</t>
        </is>
      </c>
      <c r="E14" t="inlineStr">
        <is>
          <t>SALA</t>
        </is>
      </c>
      <c r="F14" t="inlineStr">
        <is>
          <t>Kommuner</t>
        </is>
      </c>
      <c r="G14" t="n">
        <v>4.3</v>
      </c>
      <c r="H14" t="n">
        <v>3</v>
      </c>
      <c r="I14" t="n">
        <v>1</v>
      </c>
      <c r="J14" t="n">
        <v>0</v>
      </c>
      <c r="K14" t="n">
        <v>2</v>
      </c>
      <c r="L14" t="n">
        <v>0</v>
      </c>
      <c r="M14" t="n">
        <v>0</v>
      </c>
      <c r="N14" t="n">
        <v>0</v>
      </c>
      <c r="O14" t="n">
        <v>2</v>
      </c>
      <c r="P14" t="n">
        <v>2</v>
      </c>
      <c r="Q14" t="n">
        <v>5</v>
      </c>
      <c r="R14" s="2" t="inlineStr">
        <is>
          <t>Knärot
Vågticka
Vedticka
Fläcknycklar
Mattlummer</t>
        </is>
      </c>
      <c r="S14">
        <f>HYPERLINK("https://klasma.github.io/Logging_1981/artfynd/A 3566-2024 artfynd.xlsx", "A 3566-2024")</f>
        <v/>
      </c>
      <c r="T14">
        <f>HYPERLINK("https://klasma.github.io/Logging_1981/kartor/A 3566-2024 karta.png", "A 3566-2024")</f>
        <v/>
      </c>
      <c r="U14">
        <f>HYPERLINK("https://klasma.github.io/Logging_1981/knärot/A 3566-2024 karta knärot.png", "A 3566-2024")</f>
        <v/>
      </c>
      <c r="V14">
        <f>HYPERLINK("https://klasma.github.io/Logging_1981/klagomål/A 3566-2024 FSC-klagomål.docx", "A 3566-2024")</f>
        <v/>
      </c>
      <c r="W14">
        <f>HYPERLINK("https://klasma.github.io/Logging_1981/klagomålsmail/A 3566-2024 FSC-klagomål mail.docx", "A 3566-2024")</f>
        <v/>
      </c>
      <c r="X14">
        <f>HYPERLINK("https://klasma.github.io/Logging_1981/tillsyn/A 3566-2024 tillsynsbegäran.docx", "A 3566-2024")</f>
        <v/>
      </c>
      <c r="Y14">
        <f>HYPERLINK("https://klasma.github.io/Logging_1981/tillsynsmail/A 3566-2024 tillsynsbegäran mail.docx", "A 3566-2024")</f>
        <v/>
      </c>
    </row>
    <row r="15" ht="15" customHeight="1">
      <c r="A15" t="inlineStr">
        <is>
          <t>A 27263-2024</t>
        </is>
      </c>
      <c r="B15" s="1" t="n">
        <v>45471</v>
      </c>
      <c r="C15" s="1" t="n">
        <v>45508</v>
      </c>
      <c r="D15" t="inlineStr">
        <is>
          <t>VÄSTMANLANDS LÄN</t>
        </is>
      </c>
      <c r="E15" t="inlineStr">
        <is>
          <t>SALA</t>
        </is>
      </c>
      <c r="G15" t="n">
        <v>9.6</v>
      </c>
      <c r="H15" t="n">
        <v>0</v>
      </c>
      <c r="I15" t="n">
        <v>2</v>
      </c>
      <c r="J15" t="n">
        <v>3</v>
      </c>
      <c r="K15" t="n">
        <v>0</v>
      </c>
      <c r="L15" t="n">
        <v>0</v>
      </c>
      <c r="M15" t="n">
        <v>0</v>
      </c>
      <c r="N15" t="n">
        <v>0</v>
      </c>
      <c r="O15" t="n">
        <v>3</v>
      </c>
      <c r="P15" t="n">
        <v>0</v>
      </c>
      <c r="Q15" t="n">
        <v>5</v>
      </c>
      <c r="R15" s="2" t="inlineStr">
        <is>
          <t>Motaggsvamp
Skrovlig taggsvamp
Tallriska
Dropptaggsvamp
Tallfingersvamp</t>
        </is>
      </c>
      <c r="S15">
        <f>HYPERLINK("https://klasma.github.io/Logging_1981/artfynd/A 27263-2024 artfynd.xlsx", "A 27263-2024")</f>
        <v/>
      </c>
      <c r="T15">
        <f>HYPERLINK("https://klasma.github.io/Logging_1981/kartor/A 27263-2024 karta.png", "A 27263-2024")</f>
        <v/>
      </c>
      <c r="V15">
        <f>HYPERLINK("https://klasma.github.io/Logging_1981/klagomål/A 27263-2024 FSC-klagomål.docx", "A 27263-2024")</f>
        <v/>
      </c>
      <c r="W15">
        <f>HYPERLINK("https://klasma.github.io/Logging_1981/klagomålsmail/A 27263-2024 FSC-klagomål mail.docx", "A 27263-2024")</f>
        <v/>
      </c>
      <c r="X15">
        <f>HYPERLINK("https://klasma.github.io/Logging_1981/tillsyn/A 27263-2024 tillsynsbegäran.docx", "A 27263-2024")</f>
        <v/>
      </c>
      <c r="Y15">
        <f>HYPERLINK("https://klasma.github.io/Logging_1981/tillsynsmail/A 27263-2024 tillsynsbegäran mail.docx", "A 27263-2024")</f>
        <v/>
      </c>
    </row>
    <row r="16" ht="15" customHeight="1">
      <c r="A16" t="inlineStr">
        <is>
          <t>A 26774-2021</t>
        </is>
      </c>
      <c r="B16" s="1" t="n">
        <v>44349</v>
      </c>
      <c r="C16" s="1" t="n">
        <v>45508</v>
      </c>
      <c r="D16" t="inlineStr">
        <is>
          <t>VÄSTMANLANDS LÄN</t>
        </is>
      </c>
      <c r="E16" t="inlineStr">
        <is>
          <t>SALA</t>
        </is>
      </c>
      <c r="F16" t="inlineStr">
        <is>
          <t>Sveaskog</t>
        </is>
      </c>
      <c r="G16" t="n">
        <v>1.3</v>
      </c>
      <c r="H16" t="n">
        <v>2</v>
      </c>
      <c r="I16" t="n">
        <v>0</v>
      </c>
      <c r="J16" t="n">
        <v>2</v>
      </c>
      <c r="K16" t="n">
        <v>0</v>
      </c>
      <c r="L16" t="n">
        <v>0</v>
      </c>
      <c r="M16" t="n">
        <v>0</v>
      </c>
      <c r="N16" t="n">
        <v>0</v>
      </c>
      <c r="O16" t="n">
        <v>2</v>
      </c>
      <c r="P16" t="n">
        <v>0</v>
      </c>
      <c r="Q16" t="n">
        <v>4</v>
      </c>
      <c r="R16" s="2" t="inlineStr">
        <is>
          <t>Mindre bastardsvärmare
Skogshare
Åkergroda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27488-2023</t>
        </is>
      </c>
      <c r="B17" s="1" t="n">
        <v>45097</v>
      </c>
      <c r="C17" s="1" t="n">
        <v>45508</v>
      </c>
      <c r="D17" t="inlineStr">
        <is>
          <t>VÄSTMANLANDS LÄN</t>
        </is>
      </c>
      <c r="E17" t="inlineStr">
        <is>
          <t>SALA</t>
        </is>
      </c>
      <c r="G17" t="n">
        <v>9.300000000000001</v>
      </c>
      <c r="H17" t="n">
        <v>1</v>
      </c>
      <c r="I17" t="n">
        <v>3</v>
      </c>
      <c r="J17" t="n">
        <v>1</v>
      </c>
      <c r="K17" t="n">
        <v>0</v>
      </c>
      <c r="L17" t="n">
        <v>0</v>
      </c>
      <c r="M17" t="n">
        <v>0</v>
      </c>
      <c r="N17" t="n">
        <v>0</v>
      </c>
      <c r="O17" t="n">
        <v>1</v>
      </c>
      <c r="P17" t="n">
        <v>0</v>
      </c>
      <c r="Q17" t="n">
        <v>4</v>
      </c>
      <c r="R17" s="2" t="inlineStr">
        <is>
          <t>Motaggsvamp
Dropptaggsvamp
Plattlummer
Tallfingersvamp</t>
        </is>
      </c>
      <c r="S17">
        <f>HYPERLINK("https://klasma.github.io/Logging_1981/artfynd/A 27488-2023 artfynd.xlsx", "A 27488-2023")</f>
        <v/>
      </c>
      <c r="T17">
        <f>HYPERLINK("https://klasma.github.io/Logging_1981/kartor/A 27488-2023 karta.png", "A 27488-2023")</f>
        <v/>
      </c>
      <c r="V17">
        <f>HYPERLINK("https://klasma.github.io/Logging_1981/klagomål/A 27488-2023 FSC-klagomål.docx", "A 27488-2023")</f>
        <v/>
      </c>
      <c r="W17">
        <f>HYPERLINK("https://klasma.github.io/Logging_1981/klagomålsmail/A 27488-2023 FSC-klagomål mail.docx", "A 27488-2023")</f>
        <v/>
      </c>
      <c r="X17">
        <f>HYPERLINK("https://klasma.github.io/Logging_1981/tillsyn/A 27488-2023 tillsynsbegäran.docx", "A 27488-2023")</f>
        <v/>
      </c>
      <c r="Y17">
        <f>HYPERLINK("https://klasma.github.io/Logging_1981/tillsynsmail/A 27488-2023 tillsynsbegäran mail.docx", "A 27488-2023")</f>
        <v/>
      </c>
    </row>
    <row r="18" ht="15" customHeight="1">
      <c r="A18" t="inlineStr">
        <is>
          <t>A 55259-2023</t>
        </is>
      </c>
      <c r="B18" s="1" t="n">
        <v>45237</v>
      </c>
      <c r="C18" s="1" t="n">
        <v>45508</v>
      </c>
      <c r="D18" t="inlineStr">
        <is>
          <t>VÄSTMANLANDS LÄN</t>
        </is>
      </c>
      <c r="E18" t="inlineStr">
        <is>
          <t>SALA</t>
        </is>
      </c>
      <c r="G18" t="n">
        <v>1.6</v>
      </c>
      <c r="H18" t="n">
        <v>1</v>
      </c>
      <c r="I18" t="n">
        <v>1</v>
      </c>
      <c r="J18" t="n">
        <v>2</v>
      </c>
      <c r="K18" t="n">
        <v>1</v>
      </c>
      <c r="L18" t="n">
        <v>0</v>
      </c>
      <c r="M18" t="n">
        <v>0</v>
      </c>
      <c r="N18" t="n">
        <v>0</v>
      </c>
      <c r="O18" t="n">
        <v>3</v>
      </c>
      <c r="P18" t="n">
        <v>1</v>
      </c>
      <c r="Q18" t="n">
        <v>4</v>
      </c>
      <c r="R18" s="2" t="inlineStr">
        <is>
          <t>Knärot
Dofttaggsvamp
Gul taggsvamp
Skarp dropptaggsvamp</t>
        </is>
      </c>
      <c r="S18">
        <f>HYPERLINK("https://klasma.github.io/Logging_1981/artfynd/A 55259-2023 artfynd.xlsx", "A 55259-2023")</f>
        <v/>
      </c>
      <c r="T18">
        <f>HYPERLINK("https://klasma.github.io/Logging_1981/kartor/A 55259-2023 karta.png", "A 55259-2023")</f>
        <v/>
      </c>
      <c r="U18">
        <f>HYPERLINK("https://klasma.github.io/Logging_1981/knärot/A 55259-2023 karta knärot.png", "A 55259-2023")</f>
        <v/>
      </c>
      <c r="V18">
        <f>HYPERLINK("https://klasma.github.io/Logging_1981/klagomål/A 55259-2023 FSC-klagomål.docx", "A 55259-2023")</f>
        <v/>
      </c>
      <c r="W18">
        <f>HYPERLINK("https://klasma.github.io/Logging_1981/klagomålsmail/A 55259-2023 FSC-klagomål mail.docx", "A 55259-2023")</f>
        <v/>
      </c>
      <c r="X18">
        <f>HYPERLINK("https://klasma.github.io/Logging_1981/tillsyn/A 55259-2023 tillsynsbegäran.docx", "A 55259-2023")</f>
        <v/>
      </c>
      <c r="Y18">
        <f>HYPERLINK("https://klasma.github.io/Logging_1981/tillsynsmail/A 55259-2023 tillsynsbegäran mail.docx", "A 55259-2023")</f>
        <v/>
      </c>
    </row>
    <row r="19" ht="15" customHeight="1">
      <c r="A19" t="inlineStr">
        <is>
          <t>A 56092-2023</t>
        </is>
      </c>
      <c r="B19" s="1" t="n">
        <v>45240</v>
      </c>
      <c r="C19" s="1" t="n">
        <v>45508</v>
      </c>
      <c r="D19" t="inlineStr">
        <is>
          <t>VÄSTMANLANDS LÄN</t>
        </is>
      </c>
      <c r="E19" t="inlineStr">
        <is>
          <t>SALA</t>
        </is>
      </c>
      <c r="G19" t="n">
        <v>11.6</v>
      </c>
      <c r="H19" t="n">
        <v>2</v>
      </c>
      <c r="I19" t="n">
        <v>1</v>
      </c>
      <c r="J19" t="n">
        <v>2</v>
      </c>
      <c r="K19" t="n">
        <v>1</v>
      </c>
      <c r="L19" t="n">
        <v>0</v>
      </c>
      <c r="M19" t="n">
        <v>0</v>
      </c>
      <c r="N19" t="n">
        <v>0</v>
      </c>
      <c r="O19" t="n">
        <v>3</v>
      </c>
      <c r="P19" t="n">
        <v>1</v>
      </c>
      <c r="Q19" t="n">
        <v>4</v>
      </c>
      <c r="R19" s="2" t="inlineStr">
        <is>
          <t>Knärot
Havsörn
Motaggsvamp
Vedticka</t>
        </is>
      </c>
      <c r="S19">
        <f>HYPERLINK("https://klasma.github.io/Logging_1981/artfynd/A 56092-2023 artfynd.xlsx", "A 56092-2023")</f>
        <v/>
      </c>
      <c r="T19">
        <f>HYPERLINK("https://klasma.github.io/Logging_1981/kartor/A 56092-2023 karta.png", "A 56092-2023")</f>
        <v/>
      </c>
      <c r="U19">
        <f>HYPERLINK("https://klasma.github.io/Logging_1981/knärot/A 56092-2023 karta knärot.png", "A 56092-2023")</f>
        <v/>
      </c>
      <c r="V19">
        <f>HYPERLINK("https://klasma.github.io/Logging_1981/klagomål/A 56092-2023 FSC-klagomål.docx", "A 56092-2023")</f>
        <v/>
      </c>
      <c r="W19">
        <f>HYPERLINK("https://klasma.github.io/Logging_1981/klagomålsmail/A 56092-2023 FSC-klagomål mail.docx", "A 56092-2023")</f>
        <v/>
      </c>
      <c r="X19">
        <f>HYPERLINK("https://klasma.github.io/Logging_1981/tillsyn/A 56092-2023 tillsynsbegäran.docx", "A 56092-2023")</f>
        <v/>
      </c>
      <c r="Y19">
        <f>HYPERLINK("https://klasma.github.io/Logging_1981/tillsynsmail/A 56092-2023 tillsynsbegäran mail.docx", "A 56092-2023")</f>
        <v/>
      </c>
      <c r="Z19">
        <f>HYPERLINK("https://klasma.github.io/Logging_1981/fåglar/A 56092-2023 prioriterade fågelarter.docx", "A 56092-2023")</f>
        <v/>
      </c>
    </row>
    <row r="20" ht="15" customHeight="1">
      <c r="A20" t="inlineStr">
        <is>
          <t>A 66088-2019</t>
        </is>
      </c>
      <c r="B20" s="1" t="n">
        <v>43807</v>
      </c>
      <c r="C20" s="1" t="n">
        <v>45508</v>
      </c>
      <c r="D20" t="inlineStr">
        <is>
          <t>VÄSTMANLANDS LÄN</t>
        </is>
      </c>
      <c r="E20" t="inlineStr">
        <is>
          <t>SALA</t>
        </is>
      </c>
      <c r="G20" t="n">
        <v>6.4</v>
      </c>
      <c r="H20" t="n">
        <v>0</v>
      </c>
      <c r="I20" t="n">
        <v>1</v>
      </c>
      <c r="J20" t="n">
        <v>2</v>
      </c>
      <c r="K20" t="n">
        <v>0</v>
      </c>
      <c r="L20" t="n">
        <v>0</v>
      </c>
      <c r="M20" t="n">
        <v>0</v>
      </c>
      <c r="N20" t="n">
        <v>0</v>
      </c>
      <c r="O20" t="n">
        <v>2</v>
      </c>
      <c r="P20" t="n">
        <v>0</v>
      </c>
      <c r="Q20" t="n">
        <v>3</v>
      </c>
      <c r="R20" s="2" t="inlineStr">
        <is>
          <t>Ullticka
Vedtrappmossa
Flagellkvastmossa</t>
        </is>
      </c>
      <c r="S20">
        <f>HYPERLINK("https://klasma.github.io/Logging_1981/artfynd/A 66088-2019 artfynd.xlsx", "A 66088-2019")</f>
        <v/>
      </c>
      <c r="T20">
        <f>HYPERLINK("https://klasma.github.io/Logging_1981/kartor/A 66088-2019 karta.png", "A 66088-2019")</f>
        <v/>
      </c>
      <c r="V20">
        <f>HYPERLINK("https://klasma.github.io/Logging_1981/klagomål/A 66088-2019 FSC-klagomål.docx", "A 66088-2019")</f>
        <v/>
      </c>
      <c r="W20">
        <f>HYPERLINK("https://klasma.github.io/Logging_1981/klagomålsmail/A 66088-2019 FSC-klagomål mail.docx", "A 66088-2019")</f>
        <v/>
      </c>
      <c r="X20">
        <f>HYPERLINK("https://klasma.github.io/Logging_1981/tillsyn/A 66088-2019 tillsynsbegäran.docx", "A 66088-2019")</f>
        <v/>
      </c>
      <c r="Y20">
        <f>HYPERLINK("https://klasma.github.io/Logging_1981/tillsynsmail/A 66088-2019 tillsynsbegäran mail.docx", "A 66088-2019")</f>
        <v/>
      </c>
    </row>
    <row r="21" ht="15" customHeight="1">
      <c r="A21" t="inlineStr">
        <is>
          <t>A 62768-2021</t>
        </is>
      </c>
      <c r="B21" s="1" t="n">
        <v>44504</v>
      </c>
      <c r="C21" s="1" t="n">
        <v>45508</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15991-2022</t>
        </is>
      </c>
      <c r="B22" s="1" t="n">
        <v>44664</v>
      </c>
      <c r="C22" s="1" t="n">
        <v>45508</v>
      </c>
      <c r="D22" t="inlineStr">
        <is>
          <t>VÄSTMANLANDS LÄN</t>
        </is>
      </c>
      <c r="E22" t="inlineStr">
        <is>
          <t>SALA</t>
        </is>
      </c>
      <c r="G22" t="n">
        <v>4.5</v>
      </c>
      <c r="H22" t="n">
        <v>2</v>
      </c>
      <c r="I22" t="n">
        <v>1</v>
      </c>
      <c r="J22" t="n">
        <v>0</v>
      </c>
      <c r="K22" t="n">
        <v>1</v>
      </c>
      <c r="L22" t="n">
        <v>0</v>
      </c>
      <c r="M22" t="n">
        <v>0</v>
      </c>
      <c r="N22" t="n">
        <v>0</v>
      </c>
      <c r="O22" t="n">
        <v>1</v>
      </c>
      <c r="P22" t="n">
        <v>1</v>
      </c>
      <c r="Q22" t="n">
        <v>3</v>
      </c>
      <c r="R22" s="2" t="inlineStr">
        <is>
          <t>Knärot
Blåmossa
Revlummer</t>
        </is>
      </c>
      <c r="S22">
        <f>HYPERLINK("https://klasma.github.io/Logging_1981/artfynd/A 15991-2022 artfynd.xlsx", "A 15991-2022")</f>
        <v/>
      </c>
      <c r="T22">
        <f>HYPERLINK("https://klasma.github.io/Logging_1981/kartor/A 15991-2022 karta.png", "A 15991-2022")</f>
        <v/>
      </c>
      <c r="U22">
        <f>HYPERLINK("https://klasma.github.io/Logging_1981/knärot/A 15991-2022 karta knärot.png", "A 15991-2022")</f>
        <v/>
      </c>
      <c r="V22">
        <f>HYPERLINK("https://klasma.github.io/Logging_1981/klagomål/A 15991-2022 FSC-klagomål.docx", "A 15991-2022")</f>
        <v/>
      </c>
      <c r="W22">
        <f>HYPERLINK("https://klasma.github.io/Logging_1981/klagomålsmail/A 15991-2022 FSC-klagomål mail.docx", "A 15991-2022")</f>
        <v/>
      </c>
      <c r="X22">
        <f>HYPERLINK("https://klasma.github.io/Logging_1981/tillsyn/A 15991-2022 tillsynsbegäran.docx", "A 15991-2022")</f>
        <v/>
      </c>
      <c r="Y22">
        <f>HYPERLINK("https://klasma.github.io/Logging_1981/tillsynsmail/A 15991-2022 tillsynsbegäran mail.docx", "A 15991-2022")</f>
        <v/>
      </c>
    </row>
    <row r="23" ht="15" customHeight="1">
      <c r="A23" t="inlineStr">
        <is>
          <t>A 3567-2024</t>
        </is>
      </c>
      <c r="B23" s="1" t="n">
        <v>45320</v>
      </c>
      <c r="C23" s="1" t="n">
        <v>45508</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45508</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11504-2024</t>
        </is>
      </c>
      <c r="B25" s="1" t="n">
        <v>45372</v>
      </c>
      <c r="C25" s="1" t="n">
        <v>45508</v>
      </c>
      <c r="D25" t="inlineStr">
        <is>
          <t>VÄSTMANLANDS LÄN</t>
        </is>
      </c>
      <c r="E25" t="inlineStr">
        <is>
          <t>SALA</t>
        </is>
      </c>
      <c r="G25" t="n">
        <v>3.3</v>
      </c>
      <c r="H25" t="n">
        <v>0</v>
      </c>
      <c r="I25" t="n">
        <v>0</v>
      </c>
      <c r="J25" t="n">
        <v>2</v>
      </c>
      <c r="K25" t="n">
        <v>1</v>
      </c>
      <c r="L25" t="n">
        <v>0</v>
      </c>
      <c r="M25" t="n">
        <v>0</v>
      </c>
      <c r="N25" t="n">
        <v>0</v>
      </c>
      <c r="O25" t="n">
        <v>3</v>
      </c>
      <c r="P25" t="n">
        <v>1</v>
      </c>
      <c r="Q25" t="n">
        <v>3</v>
      </c>
      <c r="R25" s="2" t="inlineStr">
        <is>
          <t>Rynkskinn
Stjärntagging
Ullticka</t>
        </is>
      </c>
      <c r="S25">
        <f>HYPERLINK("https://klasma.github.io/Logging_1981/artfynd/A 11504-2024 artfynd.xlsx", "A 11504-2024")</f>
        <v/>
      </c>
      <c r="T25">
        <f>HYPERLINK("https://klasma.github.io/Logging_1981/kartor/A 11504-2024 karta.png", "A 11504-2024")</f>
        <v/>
      </c>
      <c r="V25">
        <f>HYPERLINK("https://klasma.github.io/Logging_1981/klagomål/A 11504-2024 FSC-klagomål.docx", "A 11504-2024")</f>
        <v/>
      </c>
      <c r="W25">
        <f>HYPERLINK("https://klasma.github.io/Logging_1981/klagomålsmail/A 11504-2024 FSC-klagomål mail.docx", "A 11504-2024")</f>
        <v/>
      </c>
      <c r="X25">
        <f>HYPERLINK("https://klasma.github.io/Logging_1981/tillsyn/A 11504-2024 tillsynsbegäran.docx", "A 11504-2024")</f>
        <v/>
      </c>
      <c r="Y25">
        <f>HYPERLINK("https://klasma.github.io/Logging_1981/tillsynsmail/A 11504-2024 tillsynsbegäran mail.docx", "A 11504-2024")</f>
        <v/>
      </c>
    </row>
    <row r="26" ht="15" customHeight="1">
      <c r="A26" t="inlineStr">
        <is>
          <t>A 18744-2024</t>
        </is>
      </c>
      <c r="B26" s="1" t="n">
        <v>45426</v>
      </c>
      <c r="C26" s="1" t="n">
        <v>45508</v>
      </c>
      <c r="D26" t="inlineStr">
        <is>
          <t>VÄSTMANLANDS LÄN</t>
        </is>
      </c>
      <c r="E26" t="inlineStr">
        <is>
          <t>SALA</t>
        </is>
      </c>
      <c r="G26" t="n">
        <v>19.1</v>
      </c>
      <c r="H26" t="n">
        <v>2</v>
      </c>
      <c r="I26" t="n">
        <v>1</v>
      </c>
      <c r="J26" t="n">
        <v>0</v>
      </c>
      <c r="K26" t="n">
        <v>1</v>
      </c>
      <c r="L26" t="n">
        <v>0</v>
      </c>
      <c r="M26" t="n">
        <v>0</v>
      </c>
      <c r="N26" t="n">
        <v>0</v>
      </c>
      <c r="O26" t="n">
        <v>1</v>
      </c>
      <c r="P26" t="n">
        <v>1</v>
      </c>
      <c r="Q26" t="n">
        <v>3</v>
      </c>
      <c r="R26" s="2" t="inlineStr">
        <is>
          <t>Knärot
Kattfotslav
Revlummer</t>
        </is>
      </c>
      <c r="S26">
        <f>HYPERLINK("https://klasma.github.io/Logging_1981/artfynd/A 18744-2024 artfynd.xlsx", "A 18744-2024")</f>
        <v/>
      </c>
      <c r="T26">
        <f>HYPERLINK("https://klasma.github.io/Logging_1981/kartor/A 18744-2024 karta.png", "A 18744-2024")</f>
        <v/>
      </c>
      <c r="U26">
        <f>HYPERLINK("https://klasma.github.io/Logging_1981/knärot/A 18744-2024 karta knärot.png", "A 18744-2024")</f>
        <v/>
      </c>
      <c r="V26">
        <f>HYPERLINK("https://klasma.github.io/Logging_1981/klagomål/A 18744-2024 FSC-klagomål.docx", "A 18744-2024")</f>
        <v/>
      </c>
      <c r="W26">
        <f>HYPERLINK("https://klasma.github.io/Logging_1981/klagomålsmail/A 18744-2024 FSC-klagomål mail.docx", "A 18744-2024")</f>
        <v/>
      </c>
      <c r="X26">
        <f>HYPERLINK("https://klasma.github.io/Logging_1981/tillsyn/A 18744-2024 tillsynsbegäran.docx", "A 18744-2024")</f>
        <v/>
      </c>
      <c r="Y26">
        <f>HYPERLINK("https://klasma.github.io/Logging_1981/tillsynsmail/A 18744-2024 tillsynsbegäran mail.docx", "A 18744-2024")</f>
        <v/>
      </c>
    </row>
    <row r="27" ht="15" customHeight="1">
      <c r="A27" t="inlineStr">
        <is>
          <t>A 35213-2019</t>
        </is>
      </c>
      <c r="B27" s="1" t="n">
        <v>43662</v>
      </c>
      <c r="C27" s="1" t="n">
        <v>45508</v>
      </c>
      <c r="D27" t="inlineStr">
        <is>
          <t>VÄSTMANLANDS LÄN</t>
        </is>
      </c>
      <c r="E27" t="inlineStr">
        <is>
          <t>SALA</t>
        </is>
      </c>
      <c r="G27" t="n">
        <v>44.3</v>
      </c>
      <c r="H27" t="n">
        <v>1</v>
      </c>
      <c r="I27" t="n">
        <v>1</v>
      </c>
      <c r="J27" t="n">
        <v>1</v>
      </c>
      <c r="K27" t="n">
        <v>0</v>
      </c>
      <c r="L27" t="n">
        <v>0</v>
      </c>
      <c r="M27" t="n">
        <v>0</v>
      </c>
      <c r="N27" t="n">
        <v>0</v>
      </c>
      <c r="O27" t="n">
        <v>1</v>
      </c>
      <c r="P27" t="n">
        <v>0</v>
      </c>
      <c r="Q27" t="n">
        <v>2</v>
      </c>
      <c r="R27" s="2" t="inlineStr">
        <is>
          <t>Järpe
Mörk husmossa</t>
        </is>
      </c>
      <c r="S27">
        <f>HYPERLINK("https://klasma.github.io/Logging_1981/artfynd/A 35213-2019 artfynd.xlsx", "A 35213-2019")</f>
        <v/>
      </c>
      <c r="T27">
        <f>HYPERLINK("https://klasma.github.io/Logging_1981/kartor/A 35213-2019 karta.png", "A 35213-2019")</f>
        <v/>
      </c>
      <c r="U27">
        <f>HYPERLINK("https://klasma.github.io/Logging_1981/knärot/A 35213-2019 karta knärot.png", "A 35213-2019")</f>
        <v/>
      </c>
      <c r="V27">
        <f>HYPERLINK("https://klasma.github.io/Logging_1981/klagomål/A 35213-2019 FSC-klagomål.docx", "A 35213-2019")</f>
        <v/>
      </c>
      <c r="W27">
        <f>HYPERLINK("https://klasma.github.io/Logging_1981/klagomålsmail/A 35213-2019 FSC-klagomål mail.docx", "A 35213-2019")</f>
        <v/>
      </c>
      <c r="X27">
        <f>HYPERLINK("https://klasma.github.io/Logging_1981/tillsyn/A 35213-2019 tillsynsbegäran.docx", "A 35213-2019")</f>
        <v/>
      </c>
      <c r="Y27">
        <f>HYPERLINK("https://klasma.github.io/Logging_1981/tillsynsmail/A 35213-2019 tillsynsbegäran mail.docx", "A 35213-2019")</f>
        <v/>
      </c>
      <c r="Z27">
        <f>HYPERLINK("https://klasma.github.io/Logging_1981/fåglar/A 35213-2019 prioriterade fågelarter.docx", "A 35213-2019")</f>
        <v/>
      </c>
    </row>
    <row r="28" ht="15" customHeight="1">
      <c r="A28" t="inlineStr">
        <is>
          <t>A 59152-2019</t>
        </is>
      </c>
      <c r="B28" s="1" t="n">
        <v>43775</v>
      </c>
      <c r="C28" s="1" t="n">
        <v>45508</v>
      </c>
      <c r="D28" t="inlineStr">
        <is>
          <t>VÄSTMANLANDS LÄN</t>
        </is>
      </c>
      <c r="E28" t="inlineStr">
        <is>
          <t>SALA</t>
        </is>
      </c>
      <c r="F28" t="inlineStr">
        <is>
          <t>Övriga Aktiebolag</t>
        </is>
      </c>
      <c r="G28" t="n">
        <v>4.6</v>
      </c>
      <c r="H28" t="n">
        <v>0</v>
      </c>
      <c r="I28" t="n">
        <v>1</v>
      </c>
      <c r="J28" t="n">
        <v>1</v>
      </c>
      <c r="K28" t="n">
        <v>0</v>
      </c>
      <c r="L28" t="n">
        <v>0</v>
      </c>
      <c r="M28" t="n">
        <v>0</v>
      </c>
      <c r="N28" t="n">
        <v>0</v>
      </c>
      <c r="O28" t="n">
        <v>1</v>
      </c>
      <c r="P28" t="n">
        <v>0</v>
      </c>
      <c r="Q28" t="n">
        <v>2</v>
      </c>
      <c r="R28" s="2" t="inlineStr">
        <is>
          <t>Svart taggsvamp
Vedticka</t>
        </is>
      </c>
      <c r="S28">
        <f>HYPERLINK("https://klasma.github.io/Logging_1981/artfynd/A 59152-2019 artfynd.xlsx", "A 59152-2019")</f>
        <v/>
      </c>
      <c r="T28">
        <f>HYPERLINK("https://klasma.github.io/Logging_1981/kartor/A 59152-2019 karta.png", "A 59152-2019")</f>
        <v/>
      </c>
      <c r="V28">
        <f>HYPERLINK("https://klasma.github.io/Logging_1981/klagomål/A 59152-2019 FSC-klagomål.docx", "A 59152-2019")</f>
        <v/>
      </c>
      <c r="W28">
        <f>HYPERLINK("https://klasma.github.io/Logging_1981/klagomålsmail/A 59152-2019 FSC-klagomål mail.docx", "A 59152-2019")</f>
        <v/>
      </c>
      <c r="X28">
        <f>HYPERLINK("https://klasma.github.io/Logging_1981/tillsyn/A 59152-2019 tillsynsbegäran.docx", "A 59152-2019")</f>
        <v/>
      </c>
      <c r="Y28">
        <f>HYPERLINK("https://klasma.github.io/Logging_1981/tillsynsmail/A 59152-2019 tillsynsbegäran mail.docx", "A 59152-2019")</f>
        <v/>
      </c>
    </row>
    <row r="29" ht="15" customHeight="1">
      <c r="A29" t="inlineStr">
        <is>
          <t>A 32975-2020</t>
        </is>
      </c>
      <c r="B29" s="1" t="n">
        <v>44020</v>
      </c>
      <c r="C29" s="1" t="n">
        <v>45508</v>
      </c>
      <c r="D29" t="inlineStr">
        <is>
          <t>VÄSTMANLANDS LÄN</t>
        </is>
      </c>
      <c r="E29" t="inlineStr">
        <is>
          <t>SALA</t>
        </is>
      </c>
      <c r="G29" t="n">
        <v>10.1</v>
      </c>
      <c r="H29" t="n">
        <v>2</v>
      </c>
      <c r="I29" t="n">
        <v>0</v>
      </c>
      <c r="J29" t="n">
        <v>0</v>
      </c>
      <c r="K29" t="n">
        <v>1</v>
      </c>
      <c r="L29" t="n">
        <v>0</v>
      </c>
      <c r="M29" t="n">
        <v>0</v>
      </c>
      <c r="N29" t="n">
        <v>0</v>
      </c>
      <c r="O29" t="n">
        <v>1</v>
      </c>
      <c r="P29" t="n">
        <v>1</v>
      </c>
      <c r="Q29" t="n">
        <v>2</v>
      </c>
      <c r="R29" s="2" t="inlineStr">
        <is>
          <t>Knärot
Revlummer</t>
        </is>
      </c>
      <c r="S29">
        <f>HYPERLINK("https://klasma.github.io/Logging_1981/artfynd/A 32975-2020 artfynd.xlsx", "A 32975-2020")</f>
        <v/>
      </c>
      <c r="T29">
        <f>HYPERLINK("https://klasma.github.io/Logging_1981/kartor/A 32975-2020 karta.png", "A 32975-2020")</f>
        <v/>
      </c>
      <c r="U29">
        <f>HYPERLINK("https://klasma.github.io/Logging_1981/knärot/A 32975-2020 karta knärot.png", "A 32975-2020")</f>
        <v/>
      </c>
      <c r="V29">
        <f>HYPERLINK("https://klasma.github.io/Logging_1981/klagomål/A 32975-2020 FSC-klagomål.docx", "A 32975-2020")</f>
        <v/>
      </c>
      <c r="W29">
        <f>HYPERLINK("https://klasma.github.io/Logging_1981/klagomålsmail/A 32975-2020 FSC-klagomål mail.docx", "A 32975-2020")</f>
        <v/>
      </c>
      <c r="X29">
        <f>HYPERLINK("https://klasma.github.io/Logging_1981/tillsyn/A 32975-2020 tillsynsbegäran.docx", "A 32975-2020")</f>
        <v/>
      </c>
      <c r="Y29">
        <f>HYPERLINK("https://klasma.github.io/Logging_1981/tillsynsmail/A 32975-2020 tillsynsbegäran mail.docx", "A 32975-2020")</f>
        <v/>
      </c>
    </row>
    <row r="30" ht="15" customHeight="1">
      <c r="A30" t="inlineStr">
        <is>
          <t>A 54555-2021</t>
        </is>
      </c>
      <c r="B30" s="1" t="n">
        <v>44473</v>
      </c>
      <c r="C30" s="1" t="n">
        <v>45508</v>
      </c>
      <c r="D30" t="inlineStr">
        <is>
          <t>VÄSTMANLANDS LÄN</t>
        </is>
      </c>
      <c r="E30" t="inlineStr">
        <is>
          <t>SALA</t>
        </is>
      </c>
      <c r="G30" t="n">
        <v>13</v>
      </c>
      <c r="H30" t="n">
        <v>0</v>
      </c>
      <c r="I30" t="n">
        <v>1</v>
      </c>
      <c r="J30" t="n">
        <v>1</v>
      </c>
      <c r="K30" t="n">
        <v>0</v>
      </c>
      <c r="L30" t="n">
        <v>0</v>
      </c>
      <c r="M30" t="n">
        <v>0</v>
      </c>
      <c r="N30" t="n">
        <v>0</v>
      </c>
      <c r="O30" t="n">
        <v>1</v>
      </c>
      <c r="P30" t="n">
        <v>0</v>
      </c>
      <c r="Q30" t="n">
        <v>2</v>
      </c>
      <c r="R30" s="2" t="inlineStr">
        <is>
          <t>Storgröe
Stubbspretmossa</t>
        </is>
      </c>
      <c r="S30">
        <f>HYPERLINK("https://klasma.github.io/Logging_1981/artfynd/A 54555-2021 artfynd.xlsx", "A 54555-2021")</f>
        <v/>
      </c>
      <c r="T30">
        <f>HYPERLINK("https://klasma.github.io/Logging_1981/kartor/A 54555-2021 karta.png", "A 54555-2021")</f>
        <v/>
      </c>
      <c r="V30">
        <f>HYPERLINK("https://klasma.github.io/Logging_1981/klagomål/A 54555-2021 FSC-klagomål.docx", "A 54555-2021")</f>
        <v/>
      </c>
      <c r="W30">
        <f>HYPERLINK("https://klasma.github.io/Logging_1981/klagomålsmail/A 54555-2021 FSC-klagomål mail.docx", "A 54555-2021")</f>
        <v/>
      </c>
      <c r="X30">
        <f>HYPERLINK("https://klasma.github.io/Logging_1981/tillsyn/A 54555-2021 tillsynsbegäran.docx", "A 54555-2021")</f>
        <v/>
      </c>
      <c r="Y30">
        <f>HYPERLINK("https://klasma.github.io/Logging_1981/tillsynsmail/A 54555-2021 tillsynsbegäran mail.docx", "A 54555-2021")</f>
        <v/>
      </c>
    </row>
    <row r="31" ht="15" customHeight="1">
      <c r="A31" t="inlineStr">
        <is>
          <t>A 73598-2021</t>
        </is>
      </c>
      <c r="B31" s="1" t="n">
        <v>44552</v>
      </c>
      <c r="C31" s="1" t="n">
        <v>45508</v>
      </c>
      <c r="D31" t="inlineStr">
        <is>
          <t>VÄSTMANLANDS LÄN</t>
        </is>
      </c>
      <c r="E31" t="inlineStr">
        <is>
          <t>SALA</t>
        </is>
      </c>
      <c r="G31" t="n">
        <v>1.3</v>
      </c>
      <c r="H31" t="n">
        <v>1</v>
      </c>
      <c r="I31" t="n">
        <v>1</v>
      </c>
      <c r="J31" t="n">
        <v>0</v>
      </c>
      <c r="K31" t="n">
        <v>0</v>
      </c>
      <c r="L31" t="n">
        <v>0</v>
      </c>
      <c r="M31" t="n">
        <v>0</v>
      </c>
      <c r="N31" t="n">
        <v>0</v>
      </c>
      <c r="O31" t="n">
        <v>0</v>
      </c>
      <c r="P31" t="n">
        <v>0</v>
      </c>
      <c r="Q31" t="n">
        <v>2</v>
      </c>
      <c r="R31" s="2" t="inlineStr">
        <is>
          <t>Kryddspindling
Blåsippa</t>
        </is>
      </c>
      <c r="S31">
        <f>HYPERLINK("https://klasma.github.io/Logging_1981/artfynd/A 73598-2021 artfynd.xlsx", "A 73598-2021")</f>
        <v/>
      </c>
      <c r="T31">
        <f>HYPERLINK("https://klasma.github.io/Logging_1981/kartor/A 73598-2021 karta.png", "A 73598-2021")</f>
        <v/>
      </c>
      <c r="V31">
        <f>HYPERLINK("https://klasma.github.io/Logging_1981/klagomål/A 73598-2021 FSC-klagomål.docx", "A 73598-2021")</f>
        <v/>
      </c>
      <c r="W31">
        <f>HYPERLINK("https://klasma.github.io/Logging_1981/klagomålsmail/A 73598-2021 FSC-klagomål mail.docx", "A 73598-2021")</f>
        <v/>
      </c>
      <c r="X31">
        <f>HYPERLINK("https://klasma.github.io/Logging_1981/tillsyn/A 73598-2021 tillsynsbegäran.docx", "A 73598-2021")</f>
        <v/>
      </c>
      <c r="Y31">
        <f>HYPERLINK("https://klasma.github.io/Logging_1981/tillsynsmail/A 73598-2021 tillsynsbegäran mail.docx", "A 73598-2021")</f>
        <v/>
      </c>
    </row>
    <row r="32" ht="15" customHeight="1">
      <c r="A32" t="inlineStr">
        <is>
          <t>A 1500-2022</t>
        </is>
      </c>
      <c r="B32" s="1" t="n">
        <v>44573</v>
      </c>
      <c r="C32" s="1" t="n">
        <v>45508</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40042-2022</t>
        </is>
      </c>
      <c r="B33" s="1" t="n">
        <v>44819</v>
      </c>
      <c r="C33" s="1" t="n">
        <v>45508</v>
      </c>
      <c r="D33" t="inlineStr">
        <is>
          <t>VÄSTMANLANDS LÄN</t>
        </is>
      </c>
      <c r="E33" t="inlineStr">
        <is>
          <t>SALA</t>
        </is>
      </c>
      <c r="G33" t="n">
        <v>1.7</v>
      </c>
      <c r="H33" t="n">
        <v>2</v>
      </c>
      <c r="I33" t="n">
        <v>0</v>
      </c>
      <c r="J33" t="n">
        <v>0</v>
      </c>
      <c r="K33" t="n">
        <v>1</v>
      </c>
      <c r="L33" t="n">
        <v>0</v>
      </c>
      <c r="M33" t="n">
        <v>0</v>
      </c>
      <c r="N33" t="n">
        <v>0</v>
      </c>
      <c r="O33" t="n">
        <v>1</v>
      </c>
      <c r="P33" t="n">
        <v>1</v>
      </c>
      <c r="Q33" t="n">
        <v>2</v>
      </c>
      <c r="R33" s="2" t="inlineStr">
        <is>
          <t>Knärot
Revlummer</t>
        </is>
      </c>
      <c r="S33">
        <f>HYPERLINK("https://klasma.github.io/Logging_1981/artfynd/A 40042-2022 artfynd.xlsx", "A 40042-2022")</f>
        <v/>
      </c>
      <c r="T33">
        <f>HYPERLINK("https://klasma.github.io/Logging_1981/kartor/A 40042-2022 karta.png", "A 40042-2022")</f>
        <v/>
      </c>
      <c r="U33">
        <f>HYPERLINK("https://klasma.github.io/Logging_1981/knärot/A 40042-2022 karta knärot.png", "A 40042-2022")</f>
        <v/>
      </c>
      <c r="V33">
        <f>HYPERLINK("https://klasma.github.io/Logging_1981/klagomål/A 40042-2022 FSC-klagomål.docx", "A 40042-2022")</f>
        <v/>
      </c>
      <c r="W33">
        <f>HYPERLINK("https://klasma.github.io/Logging_1981/klagomålsmail/A 40042-2022 FSC-klagomål mail.docx", "A 40042-2022")</f>
        <v/>
      </c>
      <c r="X33">
        <f>HYPERLINK("https://klasma.github.io/Logging_1981/tillsyn/A 40042-2022 tillsynsbegäran.docx", "A 40042-2022")</f>
        <v/>
      </c>
      <c r="Y33">
        <f>HYPERLINK("https://klasma.github.io/Logging_1981/tillsynsmail/A 40042-2022 tillsynsbegäran mail.docx", "A 40042-2022")</f>
        <v/>
      </c>
    </row>
    <row r="34" ht="15" customHeight="1">
      <c r="A34" t="inlineStr">
        <is>
          <t>A 52909-2022</t>
        </is>
      </c>
      <c r="B34" s="1" t="n">
        <v>44875</v>
      </c>
      <c r="C34" s="1" t="n">
        <v>45508</v>
      </c>
      <c r="D34" t="inlineStr">
        <is>
          <t>VÄSTMANLANDS LÄN</t>
        </is>
      </c>
      <c r="E34" t="inlineStr">
        <is>
          <t>SALA</t>
        </is>
      </c>
      <c r="G34" t="n">
        <v>0.5</v>
      </c>
      <c r="H34" t="n">
        <v>1</v>
      </c>
      <c r="I34" t="n">
        <v>0</v>
      </c>
      <c r="J34" t="n">
        <v>1</v>
      </c>
      <c r="K34" t="n">
        <v>0</v>
      </c>
      <c r="L34" t="n">
        <v>0</v>
      </c>
      <c r="M34" t="n">
        <v>0</v>
      </c>
      <c r="N34" t="n">
        <v>0</v>
      </c>
      <c r="O34" t="n">
        <v>1</v>
      </c>
      <c r="P34" t="n">
        <v>0</v>
      </c>
      <c r="Q34" t="n">
        <v>2</v>
      </c>
      <c r="R34" s="2" t="inlineStr">
        <is>
          <t>Svinrot
Nattviol</t>
        </is>
      </c>
      <c r="S34">
        <f>HYPERLINK("https://klasma.github.io/Logging_1981/artfynd/A 52909-2022 artfynd.xlsx", "A 52909-2022")</f>
        <v/>
      </c>
      <c r="T34">
        <f>HYPERLINK("https://klasma.github.io/Logging_1981/kartor/A 52909-2022 karta.png", "A 52909-2022")</f>
        <v/>
      </c>
      <c r="V34">
        <f>HYPERLINK("https://klasma.github.io/Logging_1981/klagomål/A 52909-2022 FSC-klagomål.docx", "A 52909-2022")</f>
        <v/>
      </c>
      <c r="W34">
        <f>HYPERLINK("https://klasma.github.io/Logging_1981/klagomålsmail/A 52909-2022 FSC-klagomål mail.docx", "A 52909-2022")</f>
        <v/>
      </c>
      <c r="X34">
        <f>HYPERLINK("https://klasma.github.io/Logging_1981/tillsyn/A 52909-2022 tillsynsbegäran.docx", "A 52909-2022")</f>
        <v/>
      </c>
      <c r="Y34">
        <f>HYPERLINK("https://klasma.github.io/Logging_1981/tillsynsmail/A 52909-2022 tillsynsbegäran mail.docx", "A 52909-2022")</f>
        <v/>
      </c>
    </row>
    <row r="35" ht="15" customHeight="1">
      <c r="A35" t="inlineStr">
        <is>
          <t>A 7747-2023</t>
        </is>
      </c>
      <c r="B35" s="1" t="n">
        <v>44973</v>
      </c>
      <c r="C35" s="1" t="n">
        <v>45508</v>
      </c>
      <c r="D35" t="inlineStr">
        <is>
          <t>VÄSTMANLANDS LÄN</t>
        </is>
      </c>
      <c r="E35" t="inlineStr">
        <is>
          <t>SALA</t>
        </is>
      </c>
      <c r="F35" t="inlineStr">
        <is>
          <t>Övriga Aktiebolag</t>
        </is>
      </c>
      <c r="G35" t="n">
        <v>3.1</v>
      </c>
      <c r="H35" t="n">
        <v>1</v>
      </c>
      <c r="I35" t="n">
        <v>0</v>
      </c>
      <c r="J35" t="n">
        <v>2</v>
      </c>
      <c r="K35" t="n">
        <v>0</v>
      </c>
      <c r="L35" t="n">
        <v>0</v>
      </c>
      <c r="M35" t="n">
        <v>0</v>
      </c>
      <c r="N35" t="n">
        <v>0</v>
      </c>
      <c r="O35" t="n">
        <v>2</v>
      </c>
      <c r="P35" t="n">
        <v>0</v>
      </c>
      <c r="Q35" t="n">
        <v>2</v>
      </c>
      <c r="R35" s="2" t="inlineStr">
        <is>
          <t>Mindre timmerman
Talltita</t>
        </is>
      </c>
      <c r="S35">
        <f>HYPERLINK("https://klasma.github.io/Logging_1981/artfynd/A 7747-2023 artfynd.xlsx", "A 7747-2023")</f>
        <v/>
      </c>
      <c r="T35">
        <f>HYPERLINK("https://klasma.github.io/Logging_1981/kartor/A 7747-2023 karta.png", "A 7747-2023")</f>
        <v/>
      </c>
      <c r="V35">
        <f>HYPERLINK("https://klasma.github.io/Logging_1981/klagomål/A 7747-2023 FSC-klagomål.docx", "A 7747-2023")</f>
        <v/>
      </c>
      <c r="W35">
        <f>HYPERLINK("https://klasma.github.io/Logging_1981/klagomålsmail/A 7747-2023 FSC-klagomål mail.docx", "A 7747-2023")</f>
        <v/>
      </c>
      <c r="X35">
        <f>HYPERLINK("https://klasma.github.io/Logging_1981/tillsyn/A 7747-2023 tillsynsbegäran.docx", "A 7747-2023")</f>
        <v/>
      </c>
      <c r="Y35">
        <f>HYPERLINK("https://klasma.github.io/Logging_1981/tillsynsmail/A 7747-2023 tillsynsbegäran mail.docx", "A 7747-2023")</f>
        <v/>
      </c>
      <c r="Z35">
        <f>HYPERLINK("https://klasma.github.io/Logging_1981/fåglar/A 7747-2023 prioriterade fågelarter.docx", "A 7747-2023")</f>
        <v/>
      </c>
    </row>
    <row r="36" ht="15" customHeight="1">
      <c r="A36" t="inlineStr">
        <is>
          <t>A 13029-2023</t>
        </is>
      </c>
      <c r="B36" s="1" t="n">
        <v>45001</v>
      </c>
      <c r="C36" s="1" t="n">
        <v>45508</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27499-2023</t>
        </is>
      </c>
      <c r="B37" s="1" t="n">
        <v>45097</v>
      </c>
      <c r="C37" s="1" t="n">
        <v>45508</v>
      </c>
      <c r="D37" t="inlineStr">
        <is>
          <t>VÄSTMANLANDS LÄN</t>
        </is>
      </c>
      <c r="E37" t="inlineStr">
        <is>
          <t>SALA</t>
        </is>
      </c>
      <c r="G37" t="n">
        <v>9.5</v>
      </c>
      <c r="H37" t="n">
        <v>0</v>
      </c>
      <c r="I37" t="n">
        <v>1</v>
      </c>
      <c r="J37" t="n">
        <v>1</v>
      </c>
      <c r="K37" t="n">
        <v>0</v>
      </c>
      <c r="L37" t="n">
        <v>0</v>
      </c>
      <c r="M37" t="n">
        <v>0</v>
      </c>
      <c r="N37" t="n">
        <v>0</v>
      </c>
      <c r="O37" t="n">
        <v>1</v>
      </c>
      <c r="P37" t="n">
        <v>0</v>
      </c>
      <c r="Q37" t="n">
        <v>2</v>
      </c>
      <c r="R37" s="2" t="inlineStr">
        <is>
          <t>Motaggsvamp
Dropptaggsvamp</t>
        </is>
      </c>
      <c r="S37">
        <f>HYPERLINK("https://klasma.github.io/Logging_1981/artfynd/A 27499-2023 artfynd.xlsx", "A 27499-2023")</f>
        <v/>
      </c>
      <c r="T37">
        <f>HYPERLINK("https://klasma.github.io/Logging_1981/kartor/A 27499-2023 karta.png", "A 27499-2023")</f>
        <v/>
      </c>
      <c r="V37">
        <f>HYPERLINK("https://klasma.github.io/Logging_1981/klagomål/A 27499-2023 FSC-klagomål.docx", "A 27499-2023")</f>
        <v/>
      </c>
      <c r="W37">
        <f>HYPERLINK("https://klasma.github.io/Logging_1981/klagomålsmail/A 27499-2023 FSC-klagomål mail.docx", "A 27499-2023")</f>
        <v/>
      </c>
      <c r="X37">
        <f>HYPERLINK("https://klasma.github.io/Logging_1981/tillsyn/A 27499-2023 tillsynsbegäran.docx", "A 27499-2023")</f>
        <v/>
      </c>
      <c r="Y37">
        <f>HYPERLINK("https://klasma.github.io/Logging_1981/tillsynsmail/A 27499-2023 tillsynsbegäran mail.docx", "A 27499-2023")</f>
        <v/>
      </c>
    </row>
    <row r="38" ht="15" customHeight="1">
      <c r="A38" t="inlineStr">
        <is>
          <t>A 34752-2023</t>
        </is>
      </c>
      <c r="B38" s="1" t="n">
        <v>45141</v>
      </c>
      <c r="C38" s="1" t="n">
        <v>45508</v>
      </c>
      <c r="D38" t="inlineStr">
        <is>
          <t>VÄSTMANLANDS LÄN</t>
        </is>
      </c>
      <c r="E38" t="inlineStr">
        <is>
          <t>SALA</t>
        </is>
      </c>
      <c r="G38" t="n">
        <v>4.9</v>
      </c>
      <c r="H38" t="n">
        <v>1</v>
      </c>
      <c r="I38" t="n">
        <v>0</v>
      </c>
      <c r="J38" t="n">
        <v>0</v>
      </c>
      <c r="K38" t="n">
        <v>2</v>
      </c>
      <c r="L38" t="n">
        <v>0</v>
      </c>
      <c r="M38" t="n">
        <v>0</v>
      </c>
      <c r="N38" t="n">
        <v>0</v>
      </c>
      <c r="O38" t="n">
        <v>2</v>
      </c>
      <c r="P38" t="n">
        <v>2</v>
      </c>
      <c r="Q38" t="n">
        <v>2</v>
      </c>
      <c r="R38" s="2" t="inlineStr">
        <is>
          <t>Knärot
Sprickporing</t>
        </is>
      </c>
      <c r="S38">
        <f>HYPERLINK("https://klasma.github.io/Logging_1981/artfynd/A 34752-2023 artfynd.xlsx", "A 34752-2023")</f>
        <v/>
      </c>
      <c r="T38">
        <f>HYPERLINK("https://klasma.github.io/Logging_1981/kartor/A 34752-2023 karta.png", "A 34752-2023")</f>
        <v/>
      </c>
      <c r="U38">
        <f>HYPERLINK("https://klasma.github.io/Logging_1981/knärot/A 34752-2023 karta knärot.png", "A 34752-2023")</f>
        <v/>
      </c>
      <c r="V38">
        <f>HYPERLINK("https://klasma.github.io/Logging_1981/klagomål/A 34752-2023 FSC-klagomål.docx", "A 34752-2023")</f>
        <v/>
      </c>
      <c r="W38">
        <f>HYPERLINK("https://klasma.github.io/Logging_1981/klagomålsmail/A 34752-2023 FSC-klagomål mail.docx", "A 34752-2023")</f>
        <v/>
      </c>
      <c r="X38">
        <f>HYPERLINK("https://klasma.github.io/Logging_1981/tillsyn/A 34752-2023 tillsynsbegäran.docx", "A 34752-2023")</f>
        <v/>
      </c>
      <c r="Y38">
        <f>HYPERLINK("https://klasma.github.io/Logging_1981/tillsynsmail/A 34752-2023 tillsynsbegäran mail.docx", "A 34752-2023")</f>
        <v/>
      </c>
    </row>
    <row r="39" ht="15" customHeight="1">
      <c r="A39" t="inlineStr">
        <is>
          <t>A 59780-2023</t>
        </is>
      </c>
      <c r="B39" s="1" t="n">
        <v>45257</v>
      </c>
      <c r="C39" s="1" t="n">
        <v>45508</v>
      </c>
      <c r="D39" t="inlineStr">
        <is>
          <t>VÄSTMANLANDS LÄN</t>
        </is>
      </c>
      <c r="E39" t="inlineStr">
        <is>
          <t>SALA</t>
        </is>
      </c>
      <c r="G39" t="n">
        <v>5.9</v>
      </c>
      <c r="H39" t="n">
        <v>1</v>
      </c>
      <c r="I39" t="n">
        <v>0</v>
      </c>
      <c r="J39" t="n">
        <v>1</v>
      </c>
      <c r="K39" t="n">
        <v>1</v>
      </c>
      <c r="L39" t="n">
        <v>0</v>
      </c>
      <c r="M39" t="n">
        <v>0</v>
      </c>
      <c r="N39" t="n">
        <v>0</v>
      </c>
      <c r="O39" t="n">
        <v>2</v>
      </c>
      <c r="P39" t="n">
        <v>1</v>
      </c>
      <c r="Q39" t="n">
        <v>2</v>
      </c>
      <c r="R39" s="2" t="inlineStr">
        <is>
          <t>Knärot
Vedtrappmossa</t>
        </is>
      </c>
      <c r="S39">
        <f>HYPERLINK("https://klasma.github.io/Logging_1981/artfynd/A 59780-2023 artfynd.xlsx", "A 59780-2023")</f>
        <v/>
      </c>
      <c r="T39">
        <f>HYPERLINK("https://klasma.github.io/Logging_1981/kartor/A 59780-2023 karta.png", "A 59780-2023")</f>
        <v/>
      </c>
      <c r="U39">
        <f>HYPERLINK("https://klasma.github.io/Logging_1981/knärot/A 59780-2023 karta knärot.png", "A 59780-2023")</f>
        <v/>
      </c>
      <c r="V39">
        <f>HYPERLINK("https://klasma.github.io/Logging_1981/klagomål/A 59780-2023 FSC-klagomål.docx", "A 59780-2023")</f>
        <v/>
      </c>
      <c r="W39">
        <f>HYPERLINK("https://klasma.github.io/Logging_1981/klagomålsmail/A 59780-2023 FSC-klagomål mail.docx", "A 59780-2023")</f>
        <v/>
      </c>
      <c r="X39">
        <f>HYPERLINK("https://klasma.github.io/Logging_1981/tillsyn/A 59780-2023 tillsynsbegäran.docx", "A 59780-2023")</f>
        <v/>
      </c>
      <c r="Y39">
        <f>HYPERLINK("https://klasma.github.io/Logging_1981/tillsynsmail/A 59780-2023 tillsynsbegäran mail.docx", "A 59780-2023")</f>
        <v/>
      </c>
    </row>
    <row r="40" ht="15" customHeight="1">
      <c r="A40" t="inlineStr">
        <is>
          <t>A 4261-2024</t>
        </is>
      </c>
      <c r="B40" s="1" t="n">
        <v>45324</v>
      </c>
      <c r="C40" s="1" t="n">
        <v>45508</v>
      </c>
      <c r="D40" t="inlineStr">
        <is>
          <t>VÄSTMANLANDS LÄN</t>
        </is>
      </c>
      <c r="E40" t="inlineStr">
        <is>
          <t>SALA</t>
        </is>
      </c>
      <c r="G40" t="n">
        <v>5.7</v>
      </c>
      <c r="H40" t="n">
        <v>0</v>
      </c>
      <c r="I40" t="n">
        <v>1</v>
      </c>
      <c r="J40" t="n">
        <v>1</v>
      </c>
      <c r="K40" t="n">
        <v>0</v>
      </c>
      <c r="L40" t="n">
        <v>0</v>
      </c>
      <c r="M40" t="n">
        <v>0</v>
      </c>
      <c r="N40" t="n">
        <v>0</v>
      </c>
      <c r="O40" t="n">
        <v>1</v>
      </c>
      <c r="P40" t="n">
        <v>0</v>
      </c>
      <c r="Q40" t="n">
        <v>2</v>
      </c>
      <c r="R40" s="2" t="inlineStr">
        <is>
          <t>Ullticka
Västlig hakmossa</t>
        </is>
      </c>
      <c r="S40">
        <f>HYPERLINK("https://klasma.github.io/Logging_1981/artfynd/A 4261-2024 artfynd.xlsx", "A 4261-2024")</f>
        <v/>
      </c>
      <c r="T40">
        <f>HYPERLINK("https://klasma.github.io/Logging_1981/kartor/A 4261-2024 karta.png", "A 4261-2024")</f>
        <v/>
      </c>
      <c r="V40">
        <f>HYPERLINK("https://klasma.github.io/Logging_1981/klagomål/A 4261-2024 FSC-klagomål.docx", "A 4261-2024")</f>
        <v/>
      </c>
      <c r="W40">
        <f>HYPERLINK("https://klasma.github.io/Logging_1981/klagomålsmail/A 4261-2024 FSC-klagomål mail.docx", "A 4261-2024")</f>
        <v/>
      </c>
      <c r="X40">
        <f>HYPERLINK("https://klasma.github.io/Logging_1981/tillsyn/A 4261-2024 tillsynsbegäran.docx", "A 4261-2024")</f>
        <v/>
      </c>
      <c r="Y40">
        <f>HYPERLINK("https://klasma.github.io/Logging_1981/tillsynsmail/A 4261-2024 tillsynsbegäran mail.docx", "A 4261-2024")</f>
        <v/>
      </c>
    </row>
    <row r="41" ht="15" customHeight="1">
      <c r="A41" t="inlineStr">
        <is>
          <t>A 9921-2024</t>
        </is>
      </c>
      <c r="B41" s="1" t="n">
        <v>45363</v>
      </c>
      <c r="C41" s="1" t="n">
        <v>45508</v>
      </c>
      <c r="D41" t="inlineStr">
        <is>
          <t>VÄSTMANLANDS LÄN</t>
        </is>
      </c>
      <c r="E41" t="inlineStr">
        <is>
          <t>SALA</t>
        </is>
      </c>
      <c r="G41" t="n">
        <v>5.6</v>
      </c>
      <c r="H41" t="n">
        <v>0</v>
      </c>
      <c r="I41" t="n">
        <v>1</v>
      </c>
      <c r="J41" t="n">
        <v>1</v>
      </c>
      <c r="K41" t="n">
        <v>0</v>
      </c>
      <c r="L41" t="n">
        <v>0</v>
      </c>
      <c r="M41" t="n">
        <v>0</v>
      </c>
      <c r="N41" t="n">
        <v>0</v>
      </c>
      <c r="O41" t="n">
        <v>1</v>
      </c>
      <c r="P41" t="n">
        <v>0</v>
      </c>
      <c r="Q41" t="n">
        <v>2</v>
      </c>
      <c r="R41" s="2" t="inlineStr">
        <is>
          <t>Leptoporus erubescens
Vedticka</t>
        </is>
      </c>
      <c r="S41">
        <f>HYPERLINK("https://klasma.github.io/Logging_1981/artfynd/A 9921-2024 artfynd.xlsx", "A 9921-2024")</f>
        <v/>
      </c>
      <c r="T41">
        <f>HYPERLINK("https://klasma.github.io/Logging_1981/kartor/A 9921-2024 karta.png", "A 9921-2024")</f>
        <v/>
      </c>
      <c r="U41">
        <f>HYPERLINK("https://klasma.github.io/Logging_1981/knärot/A 9921-2024 karta knärot.png", "A 9921-2024")</f>
        <v/>
      </c>
      <c r="V41">
        <f>HYPERLINK("https://klasma.github.io/Logging_1981/klagomål/A 9921-2024 FSC-klagomål.docx", "A 9921-2024")</f>
        <v/>
      </c>
      <c r="W41">
        <f>HYPERLINK("https://klasma.github.io/Logging_1981/klagomålsmail/A 9921-2024 FSC-klagomål mail.docx", "A 9921-2024")</f>
        <v/>
      </c>
      <c r="X41">
        <f>HYPERLINK("https://klasma.github.io/Logging_1981/tillsyn/A 9921-2024 tillsynsbegäran.docx", "A 9921-2024")</f>
        <v/>
      </c>
      <c r="Y41">
        <f>HYPERLINK("https://klasma.github.io/Logging_1981/tillsynsmail/A 9921-2024 tillsynsbegäran mail.docx", "A 9921-2024")</f>
        <v/>
      </c>
    </row>
    <row r="42" ht="15" customHeight="1">
      <c r="A42" t="inlineStr">
        <is>
          <t>A 10552-2024</t>
        </is>
      </c>
      <c r="B42" s="1" t="n">
        <v>45366</v>
      </c>
      <c r="C42" s="1" t="n">
        <v>45508</v>
      </c>
      <c r="D42" t="inlineStr">
        <is>
          <t>VÄSTMANLANDS LÄN</t>
        </is>
      </c>
      <c r="E42" t="inlineStr">
        <is>
          <t>SALA</t>
        </is>
      </c>
      <c r="G42" t="n">
        <v>6.5</v>
      </c>
      <c r="H42" t="n">
        <v>2</v>
      </c>
      <c r="I42" t="n">
        <v>1</v>
      </c>
      <c r="J42" t="n">
        <v>0</v>
      </c>
      <c r="K42" t="n">
        <v>0</v>
      </c>
      <c r="L42" t="n">
        <v>0</v>
      </c>
      <c r="M42" t="n">
        <v>0</v>
      </c>
      <c r="N42" t="n">
        <v>0</v>
      </c>
      <c r="O42" t="n">
        <v>0</v>
      </c>
      <c r="P42" t="n">
        <v>0</v>
      </c>
      <c r="Q42" t="n">
        <v>2</v>
      </c>
      <c r="R42" s="2" t="inlineStr">
        <is>
          <t>Plattlummer
Fläcknycklar</t>
        </is>
      </c>
      <c r="S42">
        <f>HYPERLINK("https://klasma.github.io/Logging_1981/artfynd/A 10552-2024 artfynd.xlsx", "A 10552-2024")</f>
        <v/>
      </c>
      <c r="T42">
        <f>HYPERLINK("https://klasma.github.io/Logging_1981/kartor/A 10552-2024 karta.png", "A 10552-2024")</f>
        <v/>
      </c>
      <c r="V42">
        <f>HYPERLINK("https://klasma.github.io/Logging_1981/klagomål/A 10552-2024 FSC-klagomål.docx", "A 10552-2024")</f>
        <v/>
      </c>
      <c r="W42">
        <f>HYPERLINK("https://klasma.github.io/Logging_1981/klagomålsmail/A 10552-2024 FSC-klagomål mail.docx", "A 10552-2024")</f>
        <v/>
      </c>
      <c r="X42">
        <f>HYPERLINK("https://klasma.github.io/Logging_1981/tillsyn/A 10552-2024 tillsynsbegäran.docx", "A 10552-2024")</f>
        <v/>
      </c>
      <c r="Y42">
        <f>HYPERLINK("https://klasma.github.io/Logging_1981/tillsynsmail/A 10552-2024 tillsynsbegäran mail.docx", "A 10552-2024")</f>
        <v/>
      </c>
    </row>
    <row r="43" ht="15" customHeight="1">
      <c r="A43" t="inlineStr">
        <is>
          <t>A 12444-2024</t>
        </is>
      </c>
      <c r="B43" s="1" t="n">
        <v>45379</v>
      </c>
      <c r="C43" s="1" t="n">
        <v>45508</v>
      </c>
      <c r="D43" t="inlineStr">
        <is>
          <t>VÄSTMANLANDS LÄN</t>
        </is>
      </c>
      <c r="E43" t="inlineStr">
        <is>
          <t>SALA</t>
        </is>
      </c>
      <c r="G43" t="n">
        <v>5.5</v>
      </c>
      <c r="H43" t="n">
        <v>0</v>
      </c>
      <c r="I43" t="n">
        <v>1</v>
      </c>
      <c r="J43" t="n">
        <v>1</v>
      </c>
      <c r="K43" t="n">
        <v>0</v>
      </c>
      <c r="L43" t="n">
        <v>0</v>
      </c>
      <c r="M43" t="n">
        <v>0</v>
      </c>
      <c r="N43" t="n">
        <v>0</v>
      </c>
      <c r="O43" t="n">
        <v>1</v>
      </c>
      <c r="P43" t="n">
        <v>0</v>
      </c>
      <c r="Q43" t="n">
        <v>2</v>
      </c>
      <c r="R43" s="2" t="inlineStr">
        <is>
          <t>Ullticka
Stuplav</t>
        </is>
      </c>
      <c r="S43">
        <f>HYPERLINK("https://klasma.github.io/Logging_1981/artfynd/A 12444-2024 artfynd.xlsx", "A 12444-2024")</f>
        <v/>
      </c>
      <c r="T43">
        <f>HYPERLINK("https://klasma.github.io/Logging_1981/kartor/A 12444-2024 karta.png", "A 12444-2024")</f>
        <v/>
      </c>
      <c r="U43">
        <f>HYPERLINK("https://klasma.github.io/Logging_1981/knärot/A 12444-2024 karta knärot.png", "A 12444-2024")</f>
        <v/>
      </c>
      <c r="V43">
        <f>HYPERLINK("https://klasma.github.io/Logging_1981/klagomål/A 12444-2024 FSC-klagomål.docx", "A 12444-2024")</f>
        <v/>
      </c>
      <c r="W43">
        <f>HYPERLINK("https://klasma.github.io/Logging_1981/klagomålsmail/A 12444-2024 FSC-klagomål mail.docx", "A 12444-2024")</f>
        <v/>
      </c>
      <c r="X43">
        <f>HYPERLINK("https://klasma.github.io/Logging_1981/tillsyn/A 12444-2024 tillsynsbegäran.docx", "A 12444-2024")</f>
        <v/>
      </c>
      <c r="Y43">
        <f>HYPERLINK("https://klasma.github.io/Logging_1981/tillsynsmail/A 12444-2024 tillsynsbegäran mail.docx", "A 12444-2024")</f>
        <v/>
      </c>
    </row>
    <row r="44" ht="15" customHeight="1">
      <c r="A44" t="inlineStr">
        <is>
          <t>A 47716-2019</t>
        </is>
      </c>
      <c r="B44" s="1" t="n">
        <v>43724</v>
      </c>
      <c r="C44" s="1" t="n">
        <v>45508</v>
      </c>
      <c r="D44" t="inlineStr">
        <is>
          <t>VÄSTMANLANDS LÄN</t>
        </is>
      </c>
      <c r="E44" t="inlineStr">
        <is>
          <t>SALA</t>
        </is>
      </c>
      <c r="G44" t="n">
        <v>5</v>
      </c>
      <c r="H44" t="n">
        <v>0</v>
      </c>
      <c r="I44" t="n">
        <v>0</v>
      </c>
      <c r="J44" t="n">
        <v>0</v>
      </c>
      <c r="K44" t="n">
        <v>0</v>
      </c>
      <c r="L44" t="n">
        <v>0</v>
      </c>
      <c r="M44" t="n">
        <v>1</v>
      </c>
      <c r="N44" t="n">
        <v>0</v>
      </c>
      <c r="O44" t="n">
        <v>1</v>
      </c>
      <c r="P44" t="n">
        <v>1</v>
      </c>
      <c r="Q44" t="n">
        <v>1</v>
      </c>
      <c r="R44" s="2" t="inlineStr">
        <is>
          <t>Skogsalm</t>
        </is>
      </c>
      <c r="S44">
        <f>HYPERLINK("https://klasma.github.io/Logging_1981/artfynd/A 47716-2019 artfynd.xlsx", "A 47716-2019")</f>
        <v/>
      </c>
      <c r="T44">
        <f>HYPERLINK("https://klasma.github.io/Logging_1981/kartor/A 47716-2019 karta.png", "A 47716-2019")</f>
        <v/>
      </c>
      <c r="V44">
        <f>HYPERLINK("https://klasma.github.io/Logging_1981/klagomål/A 47716-2019 FSC-klagomål.docx", "A 47716-2019")</f>
        <v/>
      </c>
      <c r="W44">
        <f>HYPERLINK("https://klasma.github.io/Logging_1981/klagomålsmail/A 47716-2019 FSC-klagomål mail.docx", "A 47716-2019")</f>
        <v/>
      </c>
      <c r="X44">
        <f>HYPERLINK("https://klasma.github.io/Logging_1981/tillsyn/A 47716-2019 tillsynsbegäran.docx", "A 47716-2019")</f>
        <v/>
      </c>
      <c r="Y44">
        <f>HYPERLINK("https://klasma.github.io/Logging_1981/tillsynsmail/A 47716-2019 tillsynsbegäran mail.docx", "A 47716-2019")</f>
        <v/>
      </c>
    </row>
    <row r="45" ht="15" customHeight="1">
      <c r="A45" t="inlineStr">
        <is>
          <t>A 52753-2019</t>
        </is>
      </c>
      <c r="B45" s="1" t="n">
        <v>43739</v>
      </c>
      <c r="C45" s="1" t="n">
        <v>45508</v>
      </c>
      <c r="D45" t="inlineStr">
        <is>
          <t>VÄSTMANLANDS LÄN</t>
        </is>
      </c>
      <c r="E45" t="inlineStr">
        <is>
          <t>SALA</t>
        </is>
      </c>
      <c r="G45" t="n">
        <v>4.9</v>
      </c>
      <c r="H45" t="n">
        <v>1</v>
      </c>
      <c r="I45" t="n">
        <v>0</v>
      </c>
      <c r="J45" t="n">
        <v>0</v>
      </c>
      <c r="K45" t="n">
        <v>1</v>
      </c>
      <c r="L45" t="n">
        <v>0</v>
      </c>
      <c r="M45" t="n">
        <v>0</v>
      </c>
      <c r="N45" t="n">
        <v>0</v>
      </c>
      <c r="O45" t="n">
        <v>1</v>
      </c>
      <c r="P45" t="n">
        <v>1</v>
      </c>
      <c r="Q45" t="n">
        <v>1</v>
      </c>
      <c r="R45" s="2" t="inlineStr">
        <is>
          <t>Knärot</t>
        </is>
      </c>
      <c r="S45">
        <f>HYPERLINK("https://klasma.github.io/Logging_1981/artfynd/A 52753-2019 artfynd.xlsx", "A 52753-2019")</f>
        <v/>
      </c>
      <c r="T45">
        <f>HYPERLINK("https://klasma.github.io/Logging_1981/kartor/A 52753-2019 karta.png", "A 52753-2019")</f>
        <v/>
      </c>
      <c r="U45">
        <f>HYPERLINK("https://klasma.github.io/Logging_1981/knärot/A 52753-2019 karta knärot.png", "A 52753-2019")</f>
        <v/>
      </c>
      <c r="V45">
        <f>HYPERLINK("https://klasma.github.io/Logging_1981/klagomål/A 52753-2019 FSC-klagomål.docx", "A 52753-2019")</f>
        <v/>
      </c>
      <c r="W45">
        <f>HYPERLINK("https://klasma.github.io/Logging_1981/klagomålsmail/A 52753-2019 FSC-klagomål mail.docx", "A 52753-2019")</f>
        <v/>
      </c>
      <c r="X45">
        <f>HYPERLINK("https://klasma.github.io/Logging_1981/tillsyn/A 52753-2019 tillsynsbegäran.docx", "A 52753-2019")</f>
        <v/>
      </c>
      <c r="Y45">
        <f>HYPERLINK("https://klasma.github.io/Logging_1981/tillsynsmail/A 52753-2019 tillsynsbegäran mail.docx", "A 52753-2019")</f>
        <v/>
      </c>
    </row>
    <row r="46" ht="15" customHeight="1">
      <c r="A46" t="inlineStr">
        <is>
          <t>A 8432-2020</t>
        </is>
      </c>
      <c r="B46" s="1" t="n">
        <v>43875</v>
      </c>
      <c r="C46" s="1" t="n">
        <v>45508</v>
      </c>
      <c r="D46" t="inlineStr">
        <is>
          <t>VÄSTMANLANDS LÄN</t>
        </is>
      </c>
      <c r="E46" t="inlineStr">
        <is>
          <t>SALA</t>
        </is>
      </c>
      <c r="G46" t="n">
        <v>2</v>
      </c>
      <c r="H46" t="n">
        <v>1</v>
      </c>
      <c r="I46" t="n">
        <v>0</v>
      </c>
      <c r="J46" t="n">
        <v>0</v>
      </c>
      <c r="K46" t="n">
        <v>1</v>
      </c>
      <c r="L46" t="n">
        <v>0</v>
      </c>
      <c r="M46" t="n">
        <v>0</v>
      </c>
      <c r="N46" t="n">
        <v>0</v>
      </c>
      <c r="O46" t="n">
        <v>1</v>
      </c>
      <c r="P46" t="n">
        <v>1</v>
      </c>
      <c r="Q46" t="n">
        <v>1</v>
      </c>
      <c r="R46" s="2" t="inlineStr">
        <is>
          <t>Bombmurkla</t>
        </is>
      </c>
      <c r="S46">
        <f>HYPERLINK("https://klasma.github.io/Logging_1981/artfynd/A 8432-2020 artfynd.xlsx", "A 8432-2020")</f>
        <v/>
      </c>
      <c r="T46">
        <f>HYPERLINK("https://klasma.github.io/Logging_1981/kartor/A 8432-2020 karta.png", "A 8432-2020")</f>
        <v/>
      </c>
      <c r="V46">
        <f>HYPERLINK("https://klasma.github.io/Logging_1981/klagomål/A 8432-2020 FSC-klagomål.docx", "A 8432-2020")</f>
        <v/>
      </c>
      <c r="W46">
        <f>HYPERLINK("https://klasma.github.io/Logging_1981/klagomålsmail/A 8432-2020 FSC-klagomål mail.docx", "A 8432-2020")</f>
        <v/>
      </c>
      <c r="X46">
        <f>HYPERLINK("https://klasma.github.io/Logging_1981/tillsyn/A 8432-2020 tillsynsbegäran.docx", "A 8432-2020")</f>
        <v/>
      </c>
      <c r="Y46">
        <f>HYPERLINK("https://klasma.github.io/Logging_1981/tillsynsmail/A 8432-2020 tillsynsbegäran mail.docx", "A 8432-2020")</f>
        <v/>
      </c>
    </row>
    <row r="47" ht="15" customHeight="1">
      <c r="A47" t="inlineStr">
        <is>
          <t>A 13671-2020</t>
        </is>
      </c>
      <c r="B47" s="1" t="n">
        <v>43903</v>
      </c>
      <c r="C47" s="1" t="n">
        <v>45508</v>
      </c>
      <c r="D47" t="inlineStr">
        <is>
          <t>VÄSTMANLANDS LÄN</t>
        </is>
      </c>
      <c r="E47" t="inlineStr">
        <is>
          <t>SALA</t>
        </is>
      </c>
      <c r="G47" t="n">
        <v>2.5</v>
      </c>
      <c r="H47" t="n">
        <v>1</v>
      </c>
      <c r="I47" t="n">
        <v>0</v>
      </c>
      <c r="J47" t="n">
        <v>0</v>
      </c>
      <c r="K47" t="n">
        <v>0</v>
      </c>
      <c r="L47" t="n">
        <v>0</v>
      </c>
      <c r="M47" t="n">
        <v>0</v>
      </c>
      <c r="N47" t="n">
        <v>0</v>
      </c>
      <c r="O47" t="n">
        <v>0</v>
      </c>
      <c r="P47" t="n">
        <v>0</v>
      </c>
      <c r="Q47" t="n">
        <v>1</v>
      </c>
      <c r="R47" s="2" t="inlineStr">
        <is>
          <t>Revlummer</t>
        </is>
      </c>
      <c r="S47">
        <f>HYPERLINK("https://klasma.github.io/Logging_1981/artfynd/A 13671-2020 artfynd.xlsx", "A 13671-2020")</f>
        <v/>
      </c>
      <c r="T47">
        <f>HYPERLINK("https://klasma.github.io/Logging_1981/kartor/A 13671-2020 karta.png", "A 13671-2020")</f>
        <v/>
      </c>
      <c r="V47">
        <f>HYPERLINK("https://klasma.github.io/Logging_1981/klagomål/A 13671-2020 FSC-klagomål.docx", "A 13671-2020")</f>
        <v/>
      </c>
      <c r="W47">
        <f>HYPERLINK("https://klasma.github.io/Logging_1981/klagomålsmail/A 13671-2020 FSC-klagomål mail.docx", "A 13671-2020")</f>
        <v/>
      </c>
      <c r="X47">
        <f>HYPERLINK("https://klasma.github.io/Logging_1981/tillsyn/A 13671-2020 tillsynsbegäran.docx", "A 13671-2020")</f>
        <v/>
      </c>
      <c r="Y47">
        <f>HYPERLINK("https://klasma.github.io/Logging_1981/tillsynsmail/A 13671-2020 tillsynsbegäran mail.docx", "A 13671-2020")</f>
        <v/>
      </c>
    </row>
    <row r="48" ht="15" customHeight="1">
      <c r="A48" t="inlineStr">
        <is>
          <t>A 39800-2020</t>
        </is>
      </c>
      <c r="B48" s="1" t="n">
        <v>44067</v>
      </c>
      <c r="C48" s="1" t="n">
        <v>45508</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39800-2020 artfynd.xlsx", "A 39800-2020")</f>
        <v/>
      </c>
      <c r="T48">
        <f>HYPERLINK("https://klasma.github.io/Logging_1981/kartor/A 39800-2020 karta.png", "A 39800-2020")</f>
        <v/>
      </c>
      <c r="V48">
        <f>HYPERLINK("https://klasma.github.io/Logging_1981/klagomål/A 39800-2020 FSC-klagomål.docx", "A 39800-2020")</f>
        <v/>
      </c>
      <c r="W48">
        <f>HYPERLINK("https://klasma.github.io/Logging_1981/klagomålsmail/A 39800-2020 FSC-klagomål mail.docx", "A 39800-2020")</f>
        <v/>
      </c>
      <c r="X48">
        <f>HYPERLINK("https://klasma.github.io/Logging_1981/tillsyn/A 39800-2020 tillsynsbegäran.docx", "A 39800-2020")</f>
        <v/>
      </c>
      <c r="Y48">
        <f>HYPERLINK("https://klasma.github.io/Logging_1981/tillsynsmail/A 39800-2020 tillsynsbegäran mail.docx", "A 39800-2020")</f>
        <v/>
      </c>
    </row>
    <row r="49" ht="15" customHeight="1">
      <c r="A49" t="inlineStr">
        <is>
          <t>A 39807-2020</t>
        </is>
      </c>
      <c r="B49" s="1" t="n">
        <v>44067</v>
      </c>
      <c r="C49" s="1" t="n">
        <v>45508</v>
      </c>
      <c r="D49" t="inlineStr">
        <is>
          <t>VÄSTMANLANDS LÄN</t>
        </is>
      </c>
      <c r="E49" t="inlineStr">
        <is>
          <t>SALA</t>
        </is>
      </c>
      <c r="F49" t="inlineStr">
        <is>
          <t>Sveaskog</t>
        </is>
      </c>
      <c r="G49" t="n">
        <v>1.8</v>
      </c>
      <c r="H49" t="n">
        <v>1</v>
      </c>
      <c r="I49" t="n">
        <v>0</v>
      </c>
      <c r="J49" t="n">
        <v>0</v>
      </c>
      <c r="K49" t="n">
        <v>1</v>
      </c>
      <c r="L49" t="n">
        <v>0</v>
      </c>
      <c r="M49" t="n">
        <v>0</v>
      </c>
      <c r="N49" t="n">
        <v>0</v>
      </c>
      <c r="O49" t="n">
        <v>1</v>
      </c>
      <c r="P49" t="n">
        <v>1</v>
      </c>
      <c r="Q49" t="n">
        <v>1</v>
      </c>
      <c r="R49" s="2" t="inlineStr">
        <is>
          <t>Bombmurkla</t>
        </is>
      </c>
      <c r="S49">
        <f>HYPERLINK("https://klasma.github.io/Logging_1981/artfynd/A 39807-2020 artfynd.xlsx", "A 39807-2020")</f>
        <v/>
      </c>
      <c r="T49">
        <f>HYPERLINK("https://klasma.github.io/Logging_1981/kartor/A 39807-2020 karta.png", "A 39807-2020")</f>
        <v/>
      </c>
      <c r="V49">
        <f>HYPERLINK("https://klasma.github.io/Logging_1981/klagomål/A 39807-2020 FSC-klagomål.docx", "A 39807-2020")</f>
        <v/>
      </c>
      <c r="W49">
        <f>HYPERLINK("https://klasma.github.io/Logging_1981/klagomålsmail/A 39807-2020 FSC-klagomål mail.docx", "A 39807-2020")</f>
        <v/>
      </c>
      <c r="X49">
        <f>HYPERLINK("https://klasma.github.io/Logging_1981/tillsyn/A 39807-2020 tillsynsbegäran.docx", "A 39807-2020")</f>
        <v/>
      </c>
      <c r="Y49">
        <f>HYPERLINK("https://klasma.github.io/Logging_1981/tillsynsmail/A 39807-2020 tillsynsbegäran mail.docx", "A 39807-2020")</f>
        <v/>
      </c>
    </row>
    <row r="50" ht="15" customHeight="1">
      <c r="A50" t="inlineStr">
        <is>
          <t>A 42352-2020</t>
        </is>
      </c>
      <c r="B50" s="1" t="n">
        <v>44076</v>
      </c>
      <c r="C50" s="1" t="n">
        <v>45508</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56014-2020</t>
        </is>
      </c>
      <c r="B51" s="1" t="n">
        <v>44132</v>
      </c>
      <c r="C51" s="1" t="n">
        <v>45508</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13973-2021</t>
        </is>
      </c>
      <c r="B52" s="1" t="n">
        <v>44277</v>
      </c>
      <c r="C52" s="1" t="n">
        <v>45508</v>
      </c>
      <c r="D52" t="inlineStr">
        <is>
          <t>VÄSTMANLANDS LÄN</t>
        </is>
      </c>
      <c r="E52" t="inlineStr">
        <is>
          <t>SALA</t>
        </is>
      </c>
      <c r="G52" t="n">
        <v>2</v>
      </c>
      <c r="H52" t="n">
        <v>1</v>
      </c>
      <c r="I52" t="n">
        <v>0</v>
      </c>
      <c r="J52" t="n">
        <v>0</v>
      </c>
      <c r="K52" t="n">
        <v>0</v>
      </c>
      <c r="L52" t="n">
        <v>0</v>
      </c>
      <c r="M52" t="n">
        <v>0</v>
      </c>
      <c r="N52" t="n">
        <v>0</v>
      </c>
      <c r="O52" t="n">
        <v>0</v>
      </c>
      <c r="P52" t="n">
        <v>0</v>
      </c>
      <c r="Q52" t="n">
        <v>1</v>
      </c>
      <c r="R52" s="2" t="inlineStr">
        <is>
          <t>Blåsippa</t>
        </is>
      </c>
      <c r="S52">
        <f>HYPERLINK("https://klasma.github.io/Logging_1981/artfynd/A 13973-2021 artfynd.xlsx", "A 13973-2021")</f>
        <v/>
      </c>
      <c r="T52">
        <f>HYPERLINK("https://klasma.github.io/Logging_1981/kartor/A 13973-2021 karta.png", "A 13973-2021")</f>
        <v/>
      </c>
      <c r="V52">
        <f>HYPERLINK("https://klasma.github.io/Logging_1981/klagomål/A 13973-2021 FSC-klagomål.docx", "A 13973-2021")</f>
        <v/>
      </c>
      <c r="W52">
        <f>HYPERLINK("https://klasma.github.io/Logging_1981/klagomålsmail/A 13973-2021 FSC-klagomål mail.docx", "A 13973-2021")</f>
        <v/>
      </c>
      <c r="X52">
        <f>HYPERLINK("https://klasma.github.io/Logging_1981/tillsyn/A 13973-2021 tillsynsbegäran.docx", "A 13973-2021")</f>
        <v/>
      </c>
      <c r="Y52">
        <f>HYPERLINK("https://klasma.github.io/Logging_1981/tillsynsmail/A 13973-2021 tillsynsbegäran mail.docx", "A 13973-2021")</f>
        <v/>
      </c>
    </row>
    <row r="53" ht="15" customHeight="1">
      <c r="A53" t="inlineStr">
        <is>
          <t>A 44970-2021</t>
        </is>
      </c>
      <c r="B53" s="1" t="n">
        <v>44438</v>
      </c>
      <c r="C53" s="1" t="n">
        <v>45508</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Revlummer</t>
        </is>
      </c>
      <c r="S53">
        <f>HYPERLINK("https://klasma.github.io/Logging_1981/artfynd/A 44970-2021 artfynd.xlsx", "A 44970-2021")</f>
        <v/>
      </c>
      <c r="T53">
        <f>HYPERLINK("https://klasma.github.io/Logging_1981/kartor/A 44970-2021 karta.png", "A 44970-2021")</f>
        <v/>
      </c>
      <c r="V53">
        <f>HYPERLINK("https://klasma.github.io/Logging_1981/klagomål/A 44970-2021 FSC-klagomål.docx", "A 44970-2021")</f>
        <v/>
      </c>
      <c r="W53">
        <f>HYPERLINK("https://klasma.github.io/Logging_1981/klagomålsmail/A 44970-2021 FSC-klagomål mail.docx", "A 44970-2021")</f>
        <v/>
      </c>
      <c r="X53">
        <f>HYPERLINK("https://klasma.github.io/Logging_1981/tillsyn/A 44970-2021 tillsynsbegäran.docx", "A 44970-2021")</f>
        <v/>
      </c>
      <c r="Y53">
        <f>HYPERLINK("https://klasma.github.io/Logging_1981/tillsynsmail/A 44970-2021 tillsynsbegäran mail.docx", "A 44970-2021")</f>
        <v/>
      </c>
    </row>
    <row r="54" ht="15" customHeight="1">
      <c r="A54" t="inlineStr">
        <is>
          <t>A 7919-2022</t>
        </is>
      </c>
      <c r="B54" s="1" t="n">
        <v>44608</v>
      </c>
      <c r="C54" s="1" t="n">
        <v>45508</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15988-2022</t>
        </is>
      </c>
      <c r="B55" s="1" t="n">
        <v>44664</v>
      </c>
      <c r="C55" s="1" t="n">
        <v>45508</v>
      </c>
      <c r="D55" t="inlineStr">
        <is>
          <t>VÄSTMANLANDS LÄN</t>
        </is>
      </c>
      <c r="E55" t="inlineStr">
        <is>
          <t>SALA</t>
        </is>
      </c>
      <c r="G55" t="n">
        <v>5</v>
      </c>
      <c r="H55" t="n">
        <v>1</v>
      </c>
      <c r="I55" t="n">
        <v>0</v>
      </c>
      <c r="J55" t="n">
        <v>0</v>
      </c>
      <c r="K55" t="n">
        <v>1</v>
      </c>
      <c r="L55" t="n">
        <v>0</v>
      </c>
      <c r="M55" t="n">
        <v>0</v>
      </c>
      <c r="N55" t="n">
        <v>0</v>
      </c>
      <c r="O55" t="n">
        <v>1</v>
      </c>
      <c r="P55" t="n">
        <v>1</v>
      </c>
      <c r="Q55" t="n">
        <v>1</v>
      </c>
      <c r="R55" s="2" t="inlineStr">
        <is>
          <t>Knärot</t>
        </is>
      </c>
      <c r="S55">
        <f>HYPERLINK("https://klasma.github.io/Logging_1981/artfynd/A 15988-2022 artfynd.xlsx", "A 15988-2022")</f>
        <v/>
      </c>
      <c r="T55">
        <f>HYPERLINK("https://klasma.github.io/Logging_1981/kartor/A 15988-2022 karta.png", "A 15988-2022")</f>
        <v/>
      </c>
      <c r="U55">
        <f>HYPERLINK("https://klasma.github.io/Logging_1981/knärot/A 15988-2022 karta knärot.png", "A 15988-2022")</f>
        <v/>
      </c>
      <c r="V55">
        <f>HYPERLINK("https://klasma.github.io/Logging_1981/klagomål/A 15988-2022 FSC-klagomål.docx", "A 15988-2022")</f>
        <v/>
      </c>
      <c r="W55">
        <f>HYPERLINK("https://klasma.github.io/Logging_1981/klagomålsmail/A 15988-2022 FSC-klagomål mail.docx", "A 15988-2022")</f>
        <v/>
      </c>
      <c r="X55">
        <f>HYPERLINK("https://klasma.github.io/Logging_1981/tillsyn/A 15988-2022 tillsynsbegäran.docx", "A 15988-2022")</f>
        <v/>
      </c>
      <c r="Y55">
        <f>HYPERLINK("https://klasma.github.io/Logging_1981/tillsynsmail/A 15988-2022 tillsynsbegäran mail.docx", "A 15988-2022")</f>
        <v/>
      </c>
    </row>
    <row r="56" ht="15" customHeight="1">
      <c r="A56" t="inlineStr">
        <is>
          <t>A 29985-2022</t>
        </is>
      </c>
      <c r="B56" s="1" t="n">
        <v>44756</v>
      </c>
      <c r="C56" s="1" t="n">
        <v>45508</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43705-2022</t>
        </is>
      </c>
      <c r="B57" s="1" t="n">
        <v>44837</v>
      </c>
      <c r="C57" s="1" t="n">
        <v>45508</v>
      </c>
      <c r="D57" t="inlineStr">
        <is>
          <t>VÄSTMANLANDS LÄN</t>
        </is>
      </c>
      <c r="E57" t="inlineStr">
        <is>
          <t>SALA</t>
        </is>
      </c>
      <c r="G57" t="n">
        <v>2.9</v>
      </c>
      <c r="H57" t="n">
        <v>1</v>
      </c>
      <c r="I57" t="n">
        <v>0</v>
      </c>
      <c r="J57" t="n">
        <v>0</v>
      </c>
      <c r="K57" t="n">
        <v>1</v>
      </c>
      <c r="L57" t="n">
        <v>0</v>
      </c>
      <c r="M57" t="n">
        <v>0</v>
      </c>
      <c r="N57" t="n">
        <v>0</v>
      </c>
      <c r="O57" t="n">
        <v>1</v>
      </c>
      <c r="P57" t="n">
        <v>1</v>
      </c>
      <c r="Q57" t="n">
        <v>1</v>
      </c>
      <c r="R57" s="2" t="inlineStr">
        <is>
          <t>Knärot</t>
        </is>
      </c>
      <c r="S57">
        <f>HYPERLINK("https://klasma.github.io/Logging_1981/artfynd/A 43705-2022 artfynd.xlsx", "A 43705-2022")</f>
        <v/>
      </c>
      <c r="T57">
        <f>HYPERLINK("https://klasma.github.io/Logging_1981/kartor/A 43705-2022 karta.png", "A 43705-2022")</f>
        <v/>
      </c>
      <c r="U57">
        <f>HYPERLINK("https://klasma.github.io/Logging_1981/knärot/A 43705-2022 karta knärot.png", "A 43705-2022")</f>
        <v/>
      </c>
      <c r="V57">
        <f>HYPERLINK("https://klasma.github.io/Logging_1981/klagomål/A 43705-2022 FSC-klagomål.docx", "A 43705-2022")</f>
        <v/>
      </c>
      <c r="W57">
        <f>HYPERLINK("https://klasma.github.io/Logging_1981/klagomålsmail/A 43705-2022 FSC-klagomål mail.docx", "A 43705-2022")</f>
        <v/>
      </c>
      <c r="X57">
        <f>HYPERLINK("https://klasma.github.io/Logging_1981/tillsyn/A 43705-2022 tillsynsbegäran.docx", "A 43705-2022")</f>
        <v/>
      </c>
      <c r="Y57">
        <f>HYPERLINK("https://klasma.github.io/Logging_1981/tillsynsmail/A 43705-2022 tillsynsbegäran mail.docx", "A 43705-2022")</f>
        <v/>
      </c>
    </row>
    <row r="58" ht="15" customHeight="1">
      <c r="A58" t="inlineStr">
        <is>
          <t>A 56704-2022</t>
        </is>
      </c>
      <c r="B58" s="1" t="n">
        <v>44893</v>
      </c>
      <c r="C58" s="1" t="n">
        <v>45508</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7731-2023</t>
        </is>
      </c>
      <c r="B59" s="1" t="n">
        <v>44973</v>
      </c>
      <c r="C59" s="1" t="n">
        <v>45508</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14775-2023</t>
        </is>
      </c>
      <c r="B60" s="1" t="n">
        <v>45014</v>
      </c>
      <c r="C60" s="1" t="n">
        <v>45508</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14775-2023 artfynd.xlsx", "A 14775-2023")</f>
        <v/>
      </c>
      <c r="T60">
        <f>HYPERLINK("https://klasma.github.io/Logging_1981/kartor/A 14775-2023 karta.png", "A 14775-2023")</f>
        <v/>
      </c>
      <c r="U60">
        <f>HYPERLINK("https://klasma.github.io/Logging_1981/knärot/A 14775-2023 karta knärot.png", "A 14775-2023")</f>
        <v/>
      </c>
      <c r="V60">
        <f>HYPERLINK("https://klasma.github.io/Logging_1981/klagomål/A 14775-2023 FSC-klagomål.docx", "A 14775-2023")</f>
        <v/>
      </c>
      <c r="W60">
        <f>HYPERLINK("https://klasma.github.io/Logging_1981/klagomålsmail/A 14775-2023 FSC-klagomål mail.docx", "A 14775-2023")</f>
        <v/>
      </c>
      <c r="X60">
        <f>HYPERLINK("https://klasma.github.io/Logging_1981/tillsyn/A 14775-2023 tillsynsbegäran.docx", "A 14775-2023")</f>
        <v/>
      </c>
      <c r="Y60">
        <f>HYPERLINK("https://klasma.github.io/Logging_1981/tillsynsmail/A 14775-2023 tillsynsbegäran mail.docx", "A 14775-2023")</f>
        <v/>
      </c>
    </row>
    <row r="61" ht="15" customHeight="1">
      <c r="A61" t="inlineStr">
        <is>
          <t>A 31535-2023</t>
        </is>
      </c>
      <c r="B61" s="1" t="n">
        <v>45116</v>
      </c>
      <c r="C61" s="1" t="n">
        <v>45508</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45508</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55550-2023</t>
        </is>
      </c>
      <c r="B63" s="1" t="n">
        <v>45232</v>
      </c>
      <c r="C63" s="1" t="n">
        <v>45508</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3534-2024</t>
        </is>
      </c>
      <c r="B64" s="1" t="n">
        <v>45320</v>
      </c>
      <c r="C64" s="1" t="n">
        <v>45508</v>
      </c>
      <c r="D64" t="inlineStr">
        <is>
          <t>VÄSTMANLANDS LÄN</t>
        </is>
      </c>
      <c r="E64" t="inlineStr">
        <is>
          <t>SALA</t>
        </is>
      </c>
      <c r="G64" t="n">
        <v>1.9</v>
      </c>
      <c r="H64" t="n">
        <v>1</v>
      </c>
      <c r="I64" t="n">
        <v>0</v>
      </c>
      <c r="J64" t="n">
        <v>0</v>
      </c>
      <c r="K64" t="n">
        <v>0</v>
      </c>
      <c r="L64" t="n">
        <v>1</v>
      </c>
      <c r="M64" t="n">
        <v>0</v>
      </c>
      <c r="N64" t="n">
        <v>0</v>
      </c>
      <c r="O64" t="n">
        <v>1</v>
      </c>
      <c r="P64" t="n">
        <v>1</v>
      </c>
      <c r="Q64" t="n">
        <v>1</v>
      </c>
      <c r="R64" s="2" t="inlineStr">
        <is>
          <t>Mosippa</t>
        </is>
      </c>
      <c r="S64">
        <f>HYPERLINK("https://klasma.github.io/Logging_1981/artfynd/A 3534-2024 artfynd.xlsx", "A 3534-2024")</f>
        <v/>
      </c>
      <c r="T64">
        <f>HYPERLINK("https://klasma.github.io/Logging_1981/kartor/A 3534-2024 karta.png", "A 3534-2024")</f>
        <v/>
      </c>
      <c r="V64">
        <f>HYPERLINK("https://klasma.github.io/Logging_1981/klagomål/A 3534-2024 FSC-klagomål.docx", "A 3534-2024")</f>
        <v/>
      </c>
      <c r="W64">
        <f>HYPERLINK("https://klasma.github.io/Logging_1981/klagomålsmail/A 3534-2024 FSC-klagomål mail.docx", "A 3534-2024")</f>
        <v/>
      </c>
      <c r="X64">
        <f>HYPERLINK("https://klasma.github.io/Logging_1981/tillsyn/A 3534-2024 tillsynsbegäran.docx", "A 3534-2024")</f>
        <v/>
      </c>
      <c r="Y64">
        <f>HYPERLINK("https://klasma.github.io/Logging_1981/tillsynsmail/A 3534-2024 tillsynsbegäran mail.docx", "A 3534-2024")</f>
        <v/>
      </c>
    </row>
    <row r="65" ht="15" customHeight="1">
      <c r="A65" t="inlineStr">
        <is>
          <t>A 12434-2024</t>
        </is>
      </c>
      <c r="B65" s="1" t="n">
        <v>45379</v>
      </c>
      <c r="C65" s="1" t="n">
        <v>45508</v>
      </c>
      <c r="D65" t="inlineStr">
        <is>
          <t>VÄSTMANLANDS LÄN</t>
        </is>
      </c>
      <c r="E65" t="inlineStr">
        <is>
          <t>SALA</t>
        </is>
      </c>
      <c r="G65" t="n">
        <v>7.8</v>
      </c>
      <c r="H65" t="n">
        <v>1</v>
      </c>
      <c r="I65" t="n">
        <v>0</v>
      </c>
      <c r="J65" t="n">
        <v>0</v>
      </c>
      <c r="K65" t="n">
        <v>1</v>
      </c>
      <c r="L65" t="n">
        <v>0</v>
      </c>
      <c r="M65" t="n">
        <v>0</v>
      </c>
      <c r="N65" t="n">
        <v>0</v>
      </c>
      <c r="O65" t="n">
        <v>1</v>
      </c>
      <c r="P65" t="n">
        <v>1</v>
      </c>
      <c r="Q65" t="n">
        <v>1</v>
      </c>
      <c r="R65" s="2" t="inlineStr">
        <is>
          <t>Knärot</t>
        </is>
      </c>
      <c r="S65">
        <f>HYPERLINK("https://klasma.github.io/Logging_1981/artfynd/A 12434-2024 artfynd.xlsx", "A 12434-2024")</f>
        <v/>
      </c>
      <c r="T65">
        <f>HYPERLINK("https://klasma.github.io/Logging_1981/kartor/A 12434-2024 karta.png", "A 12434-2024")</f>
        <v/>
      </c>
      <c r="U65">
        <f>HYPERLINK("https://klasma.github.io/Logging_1981/knärot/A 12434-2024 karta knärot.png", "A 12434-2024")</f>
        <v/>
      </c>
      <c r="V65">
        <f>HYPERLINK("https://klasma.github.io/Logging_1981/klagomål/A 12434-2024 FSC-klagomål.docx", "A 12434-2024")</f>
        <v/>
      </c>
      <c r="W65">
        <f>HYPERLINK("https://klasma.github.io/Logging_1981/klagomålsmail/A 12434-2024 FSC-klagomål mail.docx", "A 12434-2024")</f>
        <v/>
      </c>
      <c r="X65">
        <f>HYPERLINK("https://klasma.github.io/Logging_1981/tillsyn/A 12434-2024 tillsynsbegäran.docx", "A 12434-2024")</f>
        <v/>
      </c>
      <c r="Y65">
        <f>HYPERLINK("https://klasma.github.io/Logging_1981/tillsynsmail/A 12434-2024 tillsynsbegäran mail.docx", "A 12434-2024")</f>
        <v/>
      </c>
    </row>
    <row r="66" ht="15" customHeight="1">
      <c r="A66" t="inlineStr">
        <is>
          <t>A 19716-2024</t>
        </is>
      </c>
      <c r="B66" s="1" t="n">
        <v>45432</v>
      </c>
      <c r="C66" s="1" t="n">
        <v>45508</v>
      </c>
      <c r="D66" t="inlineStr">
        <is>
          <t>VÄSTMANLANDS LÄN</t>
        </is>
      </c>
      <c r="E66" t="inlineStr">
        <is>
          <t>SALA</t>
        </is>
      </c>
      <c r="G66" t="n">
        <v>5.5</v>
      </c>
      <c r="H66" t="n">
        <v>1</v>
      </c>
      <c r="I66" t="n">
        <v>0</v>
      </c>
      <c r="J66" t="n">
        <v>0</v>
      </c>
      <c r="K66" t="n">
        <v>0</v>
      </c>
      <c r="L66" t="n">
        <v>0</v>
      </c>
      <c r="M66" t="n">
        <v>0</v>
      </c>
      <c r="N66" t="n">
        <v>0</v>
      </c>
      <c r="O66" t="n">
        <v>0</v>
      </c>
      <c r="P66" t="n">
        <v>0</v>
      </c>
      <c r="Q66" t="n">
        <v>1</v>
      </c>
      <c r="R66" s="2" t="inlineStr">
        <is>
          <t>Fläcknycklar</t>
        </is>
      </c>
      <c r="S66">
        <f>HYPERLINK("https://klasma.github.io/Logging_1981/artfynd/A 19716-2024 artfynd.xlsx", "A 19716-2024")</f>
        <v/>
      </c>
      <c r="T66">
        <f>HYPERLINK("https://klasma.github.io/Logging_1981/kartor/A 19716-2024 karta.png", "A 19716-2024")</f>
        <v/>
      </c>
      <c r="V66">
        <f>HYPERLINK("https://klasma.github.io/Logging_1981/klagomål/A 19716-2024 FSC-klagomål.docx", "A 19716-2024")</f>
        <v/>
      </c>
      <c r="W66">
        <f>HYPERLINK("https://klasma.github.io/Logging_1981/klagomålsmail/A 19716-2024 FSC-klagomål mail.docx", "A 19716-2024")</f>
        <v/>
      </c>
      <c r="X66">
        <f>HYPERLINK("https://klasma.github.io/Logging_1981/tillsyn/A 19716-2024 tillsynsbegäran.docx", "A 19716-2024")</f>
        <v/>
      </c>
      <c r="Y66">
        <f>HYPERLINK("https://klasma.github.io/Logging_1981/tillsynsmail/A 19716-2024 tillsynsbegäran mail.docx", "A 19716-2024")</f>
        <v/>
      </c>
    </row>
    <row r="67" ht="15" customHeight="1">
      <c r="A67" t="inlineStr">
        <is>
          <t>A 22350-2024</t>
        </is>
      </c>
      <c r="B67" s="1" t="n">
        <v>45446</v>
      </c>
      <c r="C67" s="1" t="n">
        <v>45508</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27591-2024</t>
        </is>
      </c>
      <c r="B68" s="1" t="n">
        <v>45474</v>
      </c>
      <c r="C68" s="1" t="n">
        <v>45508</v>
      </c>
      <c r="D68" t="inlineStr">
        <is>
          <t>VÄSTMANLANDS LÄN</t>
        </is>
      </c>
      <c r="E68" t="inlineStr">
        <is>
          <t>SALA</t>
        </is>
      </c>
      <c r="G68" t="n">
        <v>5.1</v>
      </c>
      <c r="H68" t="n">
        <v>1</v>
      </c>
      <c r="I68" t="n">
        <v>0</v>
      </c>
      <c r="J68" t="n">
        <v>1</v>
      </c>
      <c r="K68" t="n">
        <v>0</v>
      </c>
      <c r="L68" t="n">
        <v>0</v>
      </c>
      <c r="M68" t="n">
        <v>0</v>
      </c>
      <c r="N68" t="n">
        <v>0</v>
      </c>
      <c r="O68" t="n">
        <v>1</v>
      </c>
      <c r="P68" t="n">
        <v>0</v>
      </c>
      <c r="Q68" t="n">
        <v>1</v>
      </c>
      <c r="R68" s="2" t="inlineStr">
        <is>
          <t>Spillkråka</t>
        </is>
      </c>
      <c r="S68">
        <f>HYPERLINK("https://klasma.github.io/Logging_1981/artfynd/A 27591-2024 artfynd.xlsx", "A 27591-2024")</f>
        <v/>
      </c>
      <c r="T68">
        <f>HYPERLINK("https://klasma.github.io/Logging_1981/kartor/A 27591-2024 karta.png", "A 27591-2024")</f>
        <v/>
      </c>
      <c r="V68">
        <f>HYPERLINK("https://klasma.github.io/Logging_1981/klagomål/A 27591-2024 FSC-klagomål.docx", "A 27591-2024")</f>
        <v/>
      </c>
      <c r="W68">
        <f>HYPERLINK("https://klasma.github.io/Logging_1981/klagomålsmail/A 27591-2024 FSC-klagomål mail.docx", "A 27591-2024")</f>
        <v/>
      </c>
      <c r="X68">
        <f>HYPERLINK("https://klasma.github.io/Logging_1981/tillsyn/A 27591-2024 tillsynsbegäran.docx", "A 27591-2024")</f>
        <v/>
      </c>
      <c r="Y68">
        <f>HYPERLINK("https://klasma.github.io/Logging_1981/tillsynsmail/A 27591-2024 tillsynsbegäran mail.docx", "A 27591-2024")</f>
        <v/>
      </c>
      <c r="Z68">
        <f>HYPERLINK("https://klasma.github.io/Logging_1981/fåglar/A 27591-2024 prioriterade fågelarter.docx", "A 27591-2024")</f>
        <v/>
      </c>
    </row>
    <row r="69" ht="15" customHeight="1">
      <c r="A69" t="inlineStr">
        <is>
          <t>A 18255-2019</t>
        </is>
      </c>
      <c r="B69" s="1" t="n">
        <v>43558</v>
      </c>
      <c r="C69" s="1" t="n">
        <v>45508</v>
      </c>
      <c r="D69" t="inlineStr">
        <is>
          <t>VÄSTMANLANDS LÄN</t>
        </is>
      </c>
      <c r="E69" t="inlineStr">
        <is>
          <t>SALA</t>
        </is>
      </c>
      <c r="F69" t="inlineStr">
        <is>
          <t>Kommuner</t>
        </is>
      </c>
      <c r="G69" t="n">
        <v>2.2</v>
      </c>
      <c r="H69" t="n">
        <v>0</v>
      </c>
      <c r="I69" t="n">
        <v>0</v>
      </c>
      <c r="J69" t="n">
        <v>0</v>
      </c>
      <c r="K69" t="n">
        <v>0</v>
      </c>
      <c r="L69" t="n">
        <v>0</v>
      </c>
      <c r="M69" t="n">
        <v>0</v>
      </c>
      <c r="N69" t="n">
        <v>0</v>
      </c>
      <c r="O69" t="n">
        <v>0</v>
      </c>
      <c r="P69" t="n">
        <v>0</v>
      </c>
      <c r="Q69" t="n">
        <v>0</v>
      </c>
      <c r="R69" s="2" t="inlineStr"/>
    </row>
    <row r="70" ht="15" customHeight="1">
      <c r="A70" t="inlineStr">
        <is>
          <t>A 18352-2019</t>
        </is>
      </c>
      <c r="B70" s="1" t="n">
        <v>43559</v>
      </c>
      <c r="C70" s="1" t="n">
        <v>45508</v>
      </c>
      <c r="D70" t="inlineStr">
        <is>
          <t>VÄSTMANLANDS LÄN</t>
        </is>
      </c>
      <c r="E70" t="inlineStr">
        <is>
          <t>SALA</t>
        </is>
      </c>
      <c r="F70" t="inlineStr">
        <is>
          <t>Kommuner</t>
        </is>
      </c>
      <c r="G70" t="n">
        <v>1.7</v>
      </c>
      <c r="H70" t="n">
        <v>0</v>
      </c>
      <c r="I70" t="n">
        <v>0</v>
      </c>
      <c r="J70" t="n">
        <v>0</v>
      </c>
      <c r="K70" t="n">
        <v>0</v>
      </c>
      <c r="L70" t="n">
        <v>0</v>
      </c>
      <c r="M70" t="n">
        <v>0</v>
      </c>
      <c r="N70" t="n">
        <v>0</v>
      </c>
      <c r="O70" t="n">
        <v>0</v>
      </c>
      <c r="P70" t="n">
        <v>0</v>
      </c>
      <c r="Q70" t="n">
        <v>0</v>
      </c>
      <c r="R70" s="2" t="inlineStr"/>
    </row>
    <row r="71" ht="15" customHeight="1">
      <c r="A71" t="inlineStr">
        <is>
          <t>A 18791-2019</t>
        </is>
      </c>
      <c r="B71" s="1" t="n">
        <v>43562</v>
      </c>
      <c r="C71" s="1" t="n">
        <v>45508</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18961-2019</t>
        </is>
      </c>
      <c r="B72" s="1" t="n">
        <v>43563</v>
      </c>
      <c r="C72" s="1" t="n">
        <v>45508</v>
      </c>
      <c r="D72" t="inlineStr">
        <is>
          <t>VÄSTMANLANDS LÄN</t>
        </is>
      </c>
      <c r="E72" t="inlineStr">
        <is>
          <t>SALA</t>
        </is>
      </c>
      <c r="F72" t="inlineStr">
        <is>
          <t>Kommuner</t>
        </is>
      </c>
      <c r="G72" t="n">
        <v>1.5</v>
      </c>
      <c r="H72" t="n">
        <v>0</v>
      </c>
      <c r="I72" t="n">
        <v>0</v>
      </c>
      <c r="J72" t="n">
        <v>0</v>
      </c>
      <c r="K72" t="n">
        <v>0</v>
      </c>
      <c r="L72" t="n">
        <v>0</v>
      </c>
      <c r="M72" t="n">
        <v>0</v>
      </c>
      <c r="N72" t="n">
        <v>0</v>
      </c>
      <c r="O72" t="n">
        <v>0</v>
      </c>
      <c r="P72" t="n">
        <v>0</v>
      </c>
      <c r="Q72" t="n">
        <v>0</v>
      </c>
      <c r="R72" s="2" t="inlineStr"/>
    </row>
    <row r="73" ht="15" customHeight="1">
      <c r="A73" t="inlineStr">
        <is>
          <t>A 19869-2019</t>
        </is>
      </c>
      <c r="B73" s="1" t="n">
        <v>43567</v>
      </c>
      <c r="C73" s="1" t="n">
        <v>45508</v>
      </c>
      <c r="D73" t="inlineStr">
        <is>
          <t>VÄSTMANLANDS LÄN</t>
        </is>
      </c>
      <c r="E73" t="inlineStr">
        <is>
          <t>SALA</t>
        </is>
      </c>
      <c r="G73" t="n">
        <v>1.6</v>
      </c>
      <c r="H73" t="n">
        <v>0</v>
      </c>
      <c r="I73" t="n">
        <v>0</v>
      </c>
      <c r="J73" t="n">
        <v>0</v>
      </c>
      <c r="K73" t="n">
        <v>0</v>
      </c>
      <c r="L73" t="n">
        <v>0</v>
      </c>
      <c r="M73" t="n">
        <v>0</v>
      </c>
      <c r="N73" t="n">
        <v>0</v>
      </c>
      <c r="O73" t="n">
        <v>0</v>
      </c>
      <c r="P73" t="n">
        <v>0</v>
      </c>
      <c r="Q73" t="n">
        <v>0</v>
      </c>
      <c r="R73" s="2" t="inlineStr"/>
    </row>
    <row r="74" ht="15" customHeight="1">
      <c r="A74" t="inlineStr">
        <is>
          <t>A 21985-2019</t>
        </is>
      </c>
      <c r="B74" s="1" t="n">
        <v>43584</v>
      </c>
      <c r="C74" s="1" t="n">
        <v>45508</v>
      </c>
      <c r="D74" t="inlineStr">
        <is>
          <t>VÄSTMANLANDS LÄN</t>
        </is>
      </c>
      <c r="E74" t="inlineStr">
        <is>
          <t>SALA</t>
        </is>
      </c>
      <c r="G74" t="n">
        <v>1.7</v>
      </c>
      <c r="H74" t="n">
        <v>0</v>
      </c>
      <c r="I74" t="n">
        <v>0</v>
      </c>
      <c r="J74" t="n">
        <v>0</v>
      </c>
      <c r="K74" t="n">
        <v>0</v>
      </c>
      <c r="L74" t="n">
        <v>0</v>
      </c>
      <c r="M74" t="n">
        <v>0</v>
      </c>
      <c r="N74" t="n">
        <v>0</v>
      </c>
      <c r="O74" t="n">
        <v>0</v>
      </c>
      <c r="P74" t="n">
        <v>0</v>
      </c>
      <c r="Q74" t="n">
        <v>0</v>
      </c>
      <c r="R74" s="2" t="inlineStr"/>
    </row>
    <row r="75" ht="15" customHeight="1">
      <c r="A75" t="inlineStr">
        <is>
          <t>A 22249-2019</t>
        </is>
      </c>
      <c r="B75" s="1" t="n">
        <v>43585</v>
      </c>
      <c r="C75" s="1" t="n">
        <v>45508</v>
      </c>
      <c r="D75" t="inlineStr">
        <is>
          <t>VÄSTMANLANDS LÄN</t>
        </is>
      </c>
      <c r="E75" t="inlineStr">
        <is>
          <t>SALA</t>
        </is>
      </c>
      <c r="F75" t="inlineStr">
        <is>
          <t>Kommuner</t>
        </is>
      </c>
      <c r="G75" t="n">
        <v>0.8</v>
      </c>
      <c r="H75" t="n">
        <v>0</v>
      </c>
      <c r="I75" t="n">
        <v>0</v>
      </c>
      <c r="J75" t="n">
        <v>0</v>
      </c>
      <c r="K75" t="n">
        <v>0</v>
      </c>
      <c r="L75" t="n">
        <v>0</v>
      </c>
      <c r="M75" t="n">
        <v>0</v>
      </c>
      <c r="N75" t="n">
        <v>0</v>
      </c>
      <c r="O75" t="n">
        <v>0</v>
      </c>
      <c r="P75" t="n">
        <v>0</v>
      </c>
      <c r="Q75" t="n">
        <v>0</v>
      </c>
      <c r="R75" s="2" t="inlineStr"/>
    </row>
    <row r="76" ht="15" customHeight="1">
      <c r="A76" t="inlineStr">
        <is>
          <t>A 22833-2019</t>
        </is>
      </c>
      <c r="B76" s="1" t="n">
        <v>43591</v>
      </c>
      <c r="C76" s="1" t="n">
        <v>45508</v>
      </c>
      <c r="D76" t="inlineStr">
        <is>
          <t>VÄSTMANLANDS LÄN</t>
        </is>
      </c>
      <c r="E76" t="inlineStr">
        <is>
          <t>SALA</t>
        </is>
      </c>
      <c r="F76" t="inlineStr">
        <is>
          <t>Sveaskog</t>
        </is>
      </c>
      <c r="G76" t="n">
        <v>0.2</v>
      </c>
      <c r="H76" t="n">
        <v>0</v>
      </c>
      <c r="I76" t="n">
        <v>0</v>
      </c>
      <c r="J76" t="n">
        <v>0</v>
      </c>
      <c r="K76" t="n">
        <v>0</v>
      </c>
      <c r="L76" t="n">
        <v>0</v>
      </c>
      <c r="M76" t="n">
        <v>0</v>
      </c>
      <c r="N76" t="n">
        <v>0</v>
      </c>
      <c r="O76" t="n">
        <v>0</v>
      </c>
      <c r="P76" t="n">
        <v>0</v>
      </c>
      <c r="Q76" t="n">
        <v>0</v>
      </c>
      <c r="R76" s="2" t="inlineStr"/>
    </row>
    <row r="77" ht="15" customHeight="1">
      <c r="A77" t="inlineStr">
        <is>
          <t>A 25005-2019</t>
        </is>
      </c>
      <c r="B77" s="1" t="n">
        <v>43602</v>
      </c>
      <c r="C77" s="1" t="n">
        <v>45508</v>
      </c>
      <c r="D77" t="inlineStr">
        <is>
          <t>VÄSTMANLANDS LÄN</t>
        </is>
      </c>
      <c r="E77" t="inlineStr">
        <is>
          <t>SALA</t>
        </is>
      </c>
      <c r="F77" t="inlineStr">
        <is>
          <t>Kommuner</t>
        </is>
      </c>
      <c r="G77" t="n">
        <v>4.3</v>
      </c>
      <c r="H77" t="n">
        <v>0</v>
      </c>
      <c r="I77" t="n">
        <v>0</v>
      </c>
      <c r="J77" t="n">
        <v>0</v>
      </c>
      <c r="K77" t="n">
        <v>0</v>
      </c>
      <c r="L77" t="n">
        <v>0</v>
      </c>
      <c r="M77" t="n">
        <v>0</v>
      </c>
      <c r="N77" t="n">
        <v>0</v>
      </c>
      <c r="O77" t="n">
        <v>0</v>
      </c>
      <c r="P77" t="n">
        <v>0</v>
      </c>
      <c r="Q77" t="n">
        <v>0</v>
      </c>
      <c r="R77" s="2" t="inlineStr"/>
    </row>
    <row r="78" ht="15" customHeight="1">
      <c r="A78" t="inlineStr">
        <is>
          <t>A 25814-2019</t>
        </is>
      </c>
      <c r="B78" s="1" t="n">
        <v>43608</v>
      </c>
      <c r="C78" s="1" t="n">
        <v>45508</v>
      </c>
      <c r="D78" t="inlineStr">
        <is>
          <t>VÄSTMANLANDS LÄN</t>
        </is>
      </c>
      <c r="E78" t="inlineStr">
        <is>
          <t>SALA</t>
        </is>
      </c>
      <c r="G78" t="n">
        <v>2.1</v>
      </c>
      <c r="H78" t="n">
        <v>0</v>
      </c>
      <c r="I78" t="n">
        <v>0</v>
      </c>
      <c r="J78" t="n">
        <v>0</v>
      </c>
      <c r="K78" t="n">
        <v>0</v>
      </c>
      <c r="L78" t="n">
        <v>0</v>
      </c>
      <c r="M78" t="n">
        <v>0</v>
      </c>
      <c r="N78" t="n">
        <v>0</v>
      </c>
      <c r="O78" t="n">
        <v>0</v>
      </c>
      <c r="P78" t="n">
        <v>0</v>
      </c>
      <c r="Q78" t="n">
        <v>0</v>
      </c>
      <c r="R78" s="2" t="inlineStr"/>
    </row>
    <row r="79" ht="15" customHeight="1">
      <c r="A79" t="inlineStr">
        <is>
          <t>A 26861-2019</t>
        </is>
      </c>
      <c r="B79" s="1" t="n">
        <v>43613</v>
      </c>
      <c r="C79" s="1" t="n">
        <v>45508</v>
      </c>
      <c r="D79" t="inlineStr">
        <is>
          <t>VÄSTMANLANDS LÄN</t>
        </is>
      </c>
      <c r="E79" t="inlineStr">
        <is>
          <t>SALA</t>
        </is>
      </c>
      <c r="G79" t="n">
        <v>1.2</v>
      </c>
      <c r="H79" t="n">
        <v>0</v>
      </c>
      <c r="I79" t="n">
        <v>0</v>
      </c>
      <c r="J79" t="n">
        <v>0</v>
      </c>
      <c r="K79" t="n">
        <v>0</v>
      </c>
      <c r="L79" t="n">
        <v>0</v>
      </c>
      <c r="M79" t="n">
        <v>0</v>
      </c>
      <c r="N79" t="n">
        <v>0</v>
      </c>
      <c r="O79" t="n">
        <v>0</v>
      </c>
      <c r="P79" t="n">
        <v>0</v>
      </c>
      <c r="Q79" t="n">
        <v>0</v>
      </c>
      <c r="R79" s="2" t="inlineStr"/>
    </row>
    <row r="80" ht="15" customHeight="1">
      <c r="A80" t="inlineStr">
        <is>
          <t>A 27164-2019</t>
        </is>
      </c>
      <c r="B80" s="1" t="n">
        <v>43614</v>
      </c>
      <c r="C80" s="1" t="n">
        <v>45508</v>
      </c>
      <c r="D80" t="inlineStr">
        <is>
          <t>VÄSTMANLANDS LÄN</t>
        </is>
      </c>
      <c r="E80" t="inlineStr">
        <is>
          <t>SALA</t>
        </is>
      </c>
      <c r="G80" t="n">
        <v>1.9</v>
      </c>
      <c r="H80" t="n">
        <v>0</v>
      </c>
      <c r="I80" t="n">
        <v>0</v>
      </c>
      <c r="J80" t="n">
        <v>0</v>
      </c>
      <c r="K80" t="n">
        <v>0</v>
      </c>
      <c r="L80" t="n">
        <v>0</v>
      </c>
      <c r="M80" t="n">
        <v>0</v>
      </c>
      <c r="N80" t="n">
        <v>0</v>
      </c>
      <c r="O80" t="n">
        <v>0</v>
      </c>
      <c r="P80" t="n">
        <v>0</v>
      </c>
      <c r="Q80" t="n">
        <v>0</v>
      </c>
      <c r="R80" s="2" t="inlineStr"/>
    </row>
    <row r="81" ht="15" customHeight="1">
      <c r="A81" t="inlineStr">
        <is>
          <t>A 27040-2019</t>
        </is>
      </c>
      <c r="B81" s="1" t="n">
        <v>43614</v>
      </c>
      <c r="C81" s="1" t="n">
        <v>45508</v>
      </c>
      <c r="D81" t="inlineStr">
        <is>
          <t>VÄSTMANLANDS LÄN</t>
        </is>
      </c>
      <c r="E81" t="inlineStr">
        <is>
          <t>SALA</t>
        </is>
      </c>
      <c r="G81" t="n">
        <v>1.4</v>
      </c>
      <c r="H81" t="n">
        <v>0</v>
      </c>
      <c r="I81" t="n">
        <v>0</v>
      </c>
      <c r="J81" t="n">
        <v>0</v>
      </c>
      <c r="K81" t="n">
        <v>0</v>
      </c>
      <c r="L81" t="n">
        <v>0</v>
      </c>
      <c r="M81" t="n">
        <v>0</v>
      </c>
      <c r="N81" t="n">
        <v>0</v>
      </c>
      <c r="O81" t="n">
        <v>0</v>
      </c>
      <c r="P81" t="n">
        <v>0</v>
      </c>
      <c r="Q81" t="n">
        <v>0</v>
      </c>
      <c r="R81" s="2" t="inlineStr"/>
    </row>
    <row r="82" ht="15" customHeight="1">
      <c r="A82" t="inlineStr">
        <is>
          <t>A 28132-2019</t>
        </is>
      </c>
      <c r="B82" s="1" t="n">
        <v>43621</v>
      </c>
      <c r="C82" s="1" t="n">
        <v>45508</v>
      </c>
      <c r="D82" t="inlineStr">
        <is>
          <t>VÄSTMANLANDS LÄN</t>
        </is>
      </c>
      <c r="E82" t="inlineStr">
        <is>
          <t>SALA</t>
        </is>
      </c>
      <c r="G82" t="n">
        <v>2.4</v>
      </c>
      <c r="H82" t="n">
        <v>0</v>
      </c>
      <c r="I82" t="n">
        <v>0</v>
      </c>
      <c r="J82" t="n">
        <v>0</v>
      </c>
      <c r="K82" t="n">
        <v>0</v>
      </c>
      <c r="L82" t="n">
        <v>0</v>
      </c>
      <c r="M82" t="n">
        <v>0</v>
      </c>
      <c r="N82" t="n">
        <v>0</v>
      </c>
      <c r="O82" t="n">
        <v>0</v>
      </c>
      <c r="P82" t="n">
        <v>0</v>
      </c>
      <c r="Q82" t="n">
        <v>0</v>
      </c>
      <c r="R82" s="2" t="inlineStr"/>
    </row>
    <row r="83" ht="15" customHeight="1">
      <c r="A83" t="inlineStr">
        <is>
          <t>A 28143-2019</t>
        </is>
      </c>
      <c r="B83" s="1" t="n">
        <v>43621</v>
      </c>
      <c r="C83" s="1" t="n">
        <v>45508</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28162-2019</t>
        </is>
      </c>
      <c r="B84" s="1" t="n">
        <v>43621</v>
      </c>
      <c r="C84" s="1" t="n">
        <v>45508</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29023-2019</t>
        </is>
      </c>
      <c r="B85" s="1" t="n">
        <v>43628</v>
      </c>
      <c r="C85" s="1" t="n">
        <v>45508</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29331-2019</t>
        </is>
      </c>
      <c r="B86" s="1" t="n">
        <v>43629</v>
      </c>
      <c r="C86" s="1" t="n">
        <v>45508</v>
      </c>
      <c r="D86" t="inlineStr">
        <is>
          <t>VÄSTMANLANDS LÄN</t>
        </is>
      </c>
      <c r="E86" t="inlineStr">
        <is>
          <t>SALA</t>
        </is>
      </c>
      <c r="G86" t="n">
        <v>5</v>
      </c>
      <c r="H86" t="n">
        <v>0</v>
      </c>
      <c r="I86" t="n">
        <v>0</v>
      </c>
      <c r="J86" t="n">
        <v>0</v>
      </c>
      <c r="K86" t="n">
        <v>0</v>
      </c>
      <c r="L86" t="n">
        <v>0</v>
      </c>
      <c r="M86" t="n">
        <v>0</v>
      </c>
      <c r="N86" t="n">
        <v>0</v>
      </c>
      <c r="O86" t="n">
        <v>0</v>
      </c>
      <c r="P86" t="n">
        <v>0</v>
      </c>
      <c r="Q86" t="n">
        <v>0</v>
      </c>
      <c r="R86" s="2" t="inlineStr"/>
    </row>
    <row r="87" ht="15" customHeight="1">
      <c r="A87" t="inlineStr">
        <is>
          <t>A 31225-2019</t>
        </is>
      </c>
      <c r="B87" s="1" t="n">
        <v>43635</v>
      </c>
      <c r="C87" s="1" t="n">
        <v>45508</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30974-2019</t>
        </is>
      </c>
      <c r="B88" s="1" t="n">
        <v>43639</v>
      </c>
      <c r="C88" s="1" t="n">
        <v>45508</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34709-2019</t>
        </is>
      </c>
      <c r="B89" s="1" t="n">
        <v>43648</v>
      </c>
      <c r="C89" s="1" t="n">
        <v>45508</v>
      </c>
      <c r="D89" t="inlineStr">
        <is>
          <t>VÄSTMANLANDS LÄN</t>
        </is>
      </c>
      <c r="E89" t="inlineStr">
        <is>
          <t>SALA</t>
        </is>
      </c>
      <c r="G89" t="n">
        <v>1.7</v>
      </c>
      <c r="H89" t="n">
        <v>0</v>
      </c>
      <c r="I89" t="n">
        <v>0</v>
      </c>
      <c r="J89" t="n">
        <v>0</v>
      </c>
      <c r="K89" t="n">
        <v>0</v>
      </c>
      <c r="L89" t="n">
        <v>0</v>
      </c>
      <c r="M89" t="n">
        <v>0</v>
      </c>
      <c r="N89" t="n">
        <v>0</v>
      </c>
      <c r="O89" t="n">
        <v>0</v>
      </c>
      <c r="P89" t="n">
        <v>0</v>
      </c>
      <c r="Q89" t="n">
        <v>0</v>
      </c>
      <c r="R89" s="2" t="inlineStr"/>
    </row>
    <row r="90" ht="15" customHeight="1">
      <c r="A90" t="inlineStr">
        <is>
          <t>A 35690-2019</t>
        </is>
      </c>
      <c r="B90" s="1" t="n">
        <v>43664</v>
      </c>
      <c r="C90" s="1" t="n">
        <v>45508</v>
      </c>
      <c r="D90" t="inlineStr">
        <is>
          <t>VÄSTMANLANDS LÄN</t>
        </is>
      </c>
      <c r="E90" t="inlineStr">
        <is>
          <t>SALA</t>
        </is>
      </c>
      <c r="G90" t="n">
        <v>3.1</v>
      </c>
      <c r="H90" t="n">
        <v>0</v>
      </c>
      <c r="I90" t="n">
        <v>0</v>
      </c>
      <c r="J90" t="n">
        <v>0</v>
      </c>
      <c r="K90" t="n">
        <v>0</v>
      </c>
      <c r="L90" t="n">
        <v>0</v>
      </c>
      <c r="M90" t="n">
        <v>0</v>
      </c>
      <c r="N90" t="n">
        <v>0</v>
      </c>
      <c r="O90" t="n">
        <v>0</v>
      </c>
      <c r="P90" t="n">
        <v>0</v>
      </c>
      <c r="Q90" t="n">
        <v>0</v>
      </c>
      <c r="R90" s="2" t="inlineStr"/>
    </row>
    <row r="91" ht="15" customHeight="1">
      <c r="A91" t="inlineStr">
        <is>
          <t>A 36142-2019</t>
        </is>
      </c>
      <c r="B91" s="1" t="n">
        <v>43668</v>
      </c>
      <c r="C91" s="1" t="n">
        <v>45508</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36429-2019</t>
        </is>
      </c>
      <c r="B92" s="1" t="n">
        <v>43670</v>
      </c>
      <c r="C92" s="1" t="n">
        <v>45508</v>
      </c>
      <c r="D92" t="inlineStr">
        <is>
          <t>VÄSTMANLANDS LÄN</t>
        </is>
      </c>
      <c r="E92" t="inlineStr">
        <is>
          <t>SALA</t>
        </is>
      </c>
      <c r="G92" t="n">
        <v>2</v>
      </c>
      <c r="H92" t="n">
        <v>0</v>
      </c>
      <c r="I92" t="n">
        <v>0</v>
      </c>
      <c r="J92" t="n">
        <v>0</v>
      </c>
      <c r="K92" t="n">
        <v>0</v>
      </c>
      <c r="L92" t="n">
        <v>0</v>
      </c>
      <c r="M92" t="n">
        <v>0</v>
      </c>
      <c r="N92" t="n">
        <v>0</v>
      </c>
      <c r="O92" t="n">
        <v>0</v>
      </c>
      <c r="P92" t="n">
        <v>0</v>
      </c>
      <c r="Q92" t="n">
        <v>0</v>
      </c>
      <c r="R92" s="2" t="inlineStr"/>
    </row>
    <row r="93" ht="15" customHeight="1">
      <c r="A93" t="inlineStr">
        <is>
          <t>A 36600-2019</t>
        </is>
      </c>
      <c r="B93" s="1" t="n">
        <v>43671</v>
      </c>
      <c r="C93" s="1" t="n">
        <v>45508</v>
      </c>
      <c r="D93" t="inlineStr">
        <is>
          <t>VÄSTMANLANDS LÄN</t>
        </is>
      </c>
      <c r="E93" t="inlineStr">
        <is>
          <t>SALA</t>
        </is>
      </c>
      <c r="F93" t="inlineStr">
        <is>
          <t>Kyrkan</t>
        </is>
      </c>
      <c r="G93" t="n">
        <v>4.3</v>
      </c>
      <c r="H93" t="n">
        <v>0</v>
      </c>
      <c r="I93" t="n">
        <v>0</v>
      </c>
      <c r="J93" t="n">
        <v>0</v>
      </c>
      <c r="K93" t="n">
        <v>0</v>
      </c>
      <c r="L93" t="n">
        <v>0</v>
      </c>
      <c r="M93" t="n">
        <v>0</v>
      </c>
      <c r="N93" t="n">
        <v>0</v>
      </c>
      <c r="O93" t="n">
        <v>0</v>
      </c>
      <c r="P93" t="n">
        <v>0</v>
      </c>
      <c r="Q93" t="n">
        <v>0</v>
      </c>
      <c r="R93" s="2" t="inlineStr"/>
    </row>
    <row r="94" ht="15" customHeight="1">
      <c r="A94" t="inlineStr">
        <is>
          <t>A 37186-2019</t>
        </is>
      </c>
      <c r="B94" s="1" t="n">
        <v>43677</v>
      </c>
      <c r="C94" s="1" t="n">
        <v>45508</v>
      </c>
      <c r="D94" t="inlineStr">
        <is>
          <t>VÄSTMANLANDS LÄN</t>
        </is>
      </c>
      <c r="E94" t="inlineStr">
        <is>
          <t>SALA</t>
        </is>
      </c>
      <c r="G94" t="n">
        <v>1.8</v>
      </c>
      <c r="H94" t="n">
        <v>0</v>
      </c>
      <c r="I94" t="n">
        <v>0</v>
      </c>
      <c r="J94" t="n">
        <v>0</v>
      </c>
      <c r="K94" t="n">
        <v>0</v>
      </c>
      <c r="L94" t="n">
        <v>0</v>
      </c>
      <c r="M94" t="n">
        <v>0</v>
      </c>
      <c r="N94" t="n">
        <v>0</v>
      </c>
      <c r="O94" t="n">
        <v>0</v>
      </c>
      <c r="P94" t="n">
        <v>0</v>
      </c>
      <c r="Q94" t="n">
        <v>0</v>
      </c>
      <c r="R94" s="2" t="inlineStr"/>
    </row>
    <row r="95" ht="15" customHeight="1">
      <c r="A95" t="inlineStr">
        <is>
          <t>A 37533-2019</t>
        </is>
      </c>
      <c r="B95" s="1" t="n">
        <v>43679</v>
      </c>
      <c r="C95" s="1" t="n">
        <v>45508</v>
      </c>
      <c r="D95" t="inlineStr">
        <is>
          <t>VÄSTMANLANDS LÄN</t>
        </is>
      </c>
      <c r="E95" t="inlineStr">
        <is>
          <t>SALA</t>
        </is>
      </c>
      <c r="G95" t="n">
        <v>7.9</v>
      </c>
      <c r="H95" t="n">
        <v>0</v>
      </c>
      <c r="I95" t="n">
        <v>0</v>
      </c>
      <c r="J95" t="n">
        <v>0</v>
      </c>
      <c r="K95" t="n">
        <v>0</v>
      </c>
      <c r="L95" t="n">
        <v>0</v>
      </c>
      <c r="M95" t="n">
        <v>0</v>
      </c>
      <c r="N95" t="n">
        <v>0</v>
      </c>
      <c r="O95" t="n">
        <v>0</v>
      </c>
      <c r="P95" t="n">
        <v>0</v>
      </c>
      <c r="Q95" t="n">
        <v>0</v>
      </c>
      <c r="R95" s="2" t="inlineStr"/>
    </row>
    <row r="96" ht="15" customHeight="1">
      <c r="A96" t="inlineStr">
        <is>
          <t>A 38645-2019</t>
        </is>
      </c>
      <c r="B96" s="1" t="n">
        <v>43686</v>
      </c>
      <c r="C96" s="1" t="n">
        <v>45508</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39483-2019</t>
        </is>
      </c>
      <c r="B97" s="1" t="n">
        <v>43691</v>
      </c>
      <c r="C97" s="1" t="n">
        <v>45508</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41259-2019</t>
        </is>
      </c>
      <c r="B98" s="1" t="n">
        <v>43698</v>
      </c>
      <c r="C98" s="1" t="n">
        <v>45508</v>
      </c>
      <c r="D98" t="inlineStr">
        <is>
          <t>VÄSTMANLANDS LÄN</t>
        </is>
      </c>
      <c r="E98" t="inlineStr">
        <is>
          <t>SALA</t>
        </is>
      </c>
      <c r="G98" t="n">
        <v>8.300000000000001</v>
      </c>
      <c r="H98" t="n">
        <v>0</v>
      </c>
      <c r="I98" t="n">
        <v>0</v>
      </c>
      <c r="J98" t="n">
        <v>0</v>
      </c>
      <c r="K98" t="n">
        <v>0</v>
      </c>
      <c r="L98" t="n">
        <v>0</v>
      </c>
      <c r="M98" t="n">
        <v>0</v>
      </c>
      <c r="N98" t="n">
        <v>0</v>
      </c>
      <c r="O98" t="n">
        <v>0</v>
      </c>
      <c r="P98" t="n">
        <v>0</v>
      </c>
      <c r="Q98" t="n">
        <v>0</v>
      </c>
      <c r="R98" s="2" t="inlineStr"/>
    </row>
    <row r="99" ht="15" customHeight="1">
      <c r="A99" t="inlineStr">
        <is>
          <t>A 45302-2019</t>
        </is>
      </c>
      <c r="B99" s="1" t="n">
        <v>43707</v>
      </c>
      <c r="C99" s="1" t="n">
        <v>45508</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46936-2019</t>
        </is>
      </c>
      <c r="B100" s="1" t="n">
        <v>43719</v>
      </c>
      <c r="C100" s="1" t="n">
        <v>45508</v>
      </c>
      <c r="D100" t="inlineStr">
        <is>
          <t>VÄSTMANLANDS LÄN</t>
        </is>
      </c>
      <c r="E100" t="inlineStr">
        <is>
          <t>SALA</t>
        </is>
      </c>
      <c r="G100" t="n">
        <v>4.6</v>
      </c>
      <c r="H100" t="n">
        <v>0</v>
      </c>
      <c r="I100" t="n">
        <v>0</v>
      </c>
      <c r="J100" t="n">
        <v>0</v>
      </c>
      <c r="K100" t="n">
        <v>0</v>
      </c>
      <c r="L100" t="n">
        <v>0</v>
      </c>
      <c r="M100" t="n">
        <v>0</v>
      </c>
      <c r="N100" t="n">
        <v>0</v>
      </c>
      <c r="O100" t="n">
        <v>0</v>
      </c>
      <c r="P100" t="n">
        <v>0</v>
      </c>
      <c r="Q100" t="n">
        <v>0</v>
      </c>
      <c r="R100" s="2" t="inlineStr"/>
    </row>
    <row r="101" ht="15" customHeight="1">
      <c r="A101" t="inlineStr">
        <is>
          <t>A 48617-2019</t>
        </is>
      </c>
      <c r="B101" s="1" t="n">
        <v>43727</v>
      </c>
      <c r="C101" s="1" t="n">
        <v>45508</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48681-2019</t>
        </is>
      </c>
      <c r="B102" s="1" t="n">
        <v>43728</v>
      </c>
      <c r="C102" s="1" t="n">
        <v>45508</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52756-2019</t>
        </is>
      </c>
      <c r="B103" s="1" t="n">
        <v>43739</v>
      </c>
      <c r="C103" s="1" t="n">
        <v>45508</v>
      </c>
      <c r="D103" t="inlineStr">
        <is>
          <t>VÄSTMANLANDS LÄN</t>
        </is>
      </c>
      <c r="E103" t="inlineStr">
        <is>
          <t>SALA</t>
        </is>
      </c>
      <c r="G103" t="n">
        <v>4.2</v>
      </c>
      <c r="H103" t="n">
        <v>0</v>
      </c>
      <c r="I103" t="n">
        <v>0</v>
      </c>
      <c r="J103" t="n">
        <v>0</v>
      </c>
      <c r="K103" t="n">
        <v>0</v>
      </c>
      <c r="L103" t="n">
        <v>0</v>
      </c>
      <c r="M103" t="n">
        <v>0</v>
      </c>
      <c r="N103" t="n">
        <v>0</v>
      </c>
      <c r="O103" t="n">
        <v>0</v>
      </c>
      <c r="P103" t="n">
        <v>0</v>
      </c>
      <c r="Q103" t="n">
        <v>0</v>
      </c>
      <c r="R103" s="2" t="inlineStr"/>
    </row>
    <row r="104" ht="15" customHeight="1">
      <c r="A104" t="inlineStr">
        <is>
          <t>A 51854-2019</t>
        </is>
      </c>
      <c r="B104" s="1" t="n">
        <v>43741</v>
      </c>
      <c r="C104" s="1" t="n">
        <v>45508</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54393-2019</t>
        </is>
      </c>
      <c r="B105" s="1" t="n">
        <v>43746</v>
      </c>
      <c r="C105" s="1" t="n">
        <v>45508</v>
      </c>
      <c r="D105" t="inlineStr">
        <is>
          <t>VÄSTMANLANDS LÄN</t>
        </is>
      </c>
      <c r="E105" t="inlineStr">
        <is>
          <t>SALA</t>
        </is>
      </c>
      <c r="G105" t="n">
        <v>3.2</v>
      </c>
      <c r="H105" t="n">
        <v>0</v>
      </c>
      <c r="I105" t="n">
        <v>0</v>
      </c>
      <c r="J105" t="n">
        <v>0</v>
      </c>
      <c r="K105" t="n">
        <v>0</v>
      </c>
      <c r="L105" t="n">
        <v>0</v>
      </c>
      <c r="M105" t="n">
        <v>0</v>
      </c>
      <c r="N105" t="n">
        <v>0</v>
      </c>
      <c r="O105" t="n">
        <v>0</v>
      </c>
      <c r="P105" t="n">
        <v>0</v>
      </c>
      <c r="Q105" t="n">
        <v>0</v>
      </c>
      <c r="R105" s="2" t="inlineStr"/>
    </row>
    <row r="106" ht="15" customHeight="1">
      <c r="A106" t="inlineStr">
        <is>
          <t>A 54069-2019</t>
        </is>
      </c>
      <c r="B106" s="1" t="n">
        <v>43752</v>
      </c>
      <c r="C106" s="1" t="n">
        <v>45508</v>
      </c>
      <c r="D106" t="inlineStr">
        <is>
          <t>VÄSTMANLANDS LÄN</t>
        </is>
      </c>
      <c r="E106" t="inlineStr">
        <is>
          <t>SALA</t>
        </is>
      </c>
      <c r="G106" t="n">
        <v>3.5</v>
      </c>
      <c r="H106" t="n">
        <v>0</v>
      </c>
      <c r="I106" t="n">
        <v>0</v>
      </c>
      <c r="J106" t="n">
        <v>0</v>
      </c>
      <c r="K106" t="n">
        <v>0</v>
      </c>
      <c r="L106" t="n">
        <v>0</v>
      </c>
      <c r="M106" t="n">
        <v>0</v>
      </c>
      <c r="N106" t="n">
        <v>0</v>
      </c>
      <c r="O106" t="n">
        <v>0</v>
      </c>
      <c r="P106" t="n">
        <v>0</v>
      </c>
      <c r="Q106" t="n">
        <v>0</v>
      </c>
      <c r="R106" s="2" t="inlineStr"/>
    </row>
    <row r="107" ht="15" customHeight="1">
      <c r="A107" t="inlineStr">
        <is>
          <t>A 57743-2019</t>
        </is>
      </c>
      <c r="B107" s="1" t="n">
        <v>43768</v>
      </c>
      <c r="C107" s="1" t="n">
        <v>45508</v>
      </c>
      <c r="D107" t="inlineStr">
        <is>
          <t>VÄSTMANLANDS LÄN</t>
        </is>
      </c>
      <c r="E107" t="inlineStr">
        <is>
          <t>SALA</t>
        </is>
      </c>
      <c r="G107" t="n">
        <v>3.8</v>
      </c>
      <c r="H107" t="n">
        <v>0</v>
      </c>
      <c r="I107" t="n">
        <v>0</v>
      </c>
      <c r="J107" t="n">
        <v>0</v>
      </c>
      <c r="K107" t="n">
        <v>0</v>
      </c>
      <c r="L107" t="n">
        <v>0</v>
      </c>
      <c r="M107" t="n">
        <v>0</v>
      </c>
      <c r="N107" t="n">
        <v>0</v>
      </c>
      <c r="O107" t="n">
        <v>0</v>
      </c>
      <c r="P107" t="n">
        <v>0</v>
      </c>
      <c r="Q107" t="n">
        <v>0</v>
      </c>
      <c r="R107" s="2" t="inlineStr"/>
    </row>
    <row r="108" ht="15" customHeight="1">
      <c r="A108" t="inlineStr">
        <is>
          <t>A 58003-2019</t>
        </is>
      </c>
      <c r="B108" s="1" t="n">
        <v>43769</v>
      </c>
      <c r="C108" s="1" t="n">
        <v>45508</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58027-2019</t>
        </is>
      </c>
      <c r="B109" s="1" t="n">
        <v>43769</v>
      </c>
      <c r="C109" s="1" t="n">
        <v>45508</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58681-2019</t>
        </is>
      </c>
      <c r="B110" s="1" t="n">
        <v>43773</v>
      </c>
      <c r="C110" s="1" t="n">
        <v>45508</v>
      </c>
      <c r="D110" t="inlineStr">
        <is>
          <t>VÄSTMANLANDS LÄN</t>
        </is>
      </c>
      <c r="E110" t="inlineStr">
        <is>
          <t>SALA</t>
        </is>
      </c>
      <c r="G110" t="n">
        <v>3</v>
      </c>
      <c r="H110" t="n">
        <v>0</v>
      </c>
      <c r="I110" t="n">
        <v>0</v>
      </c>
      <c r="J110" t="n">
        <v>0</v>
      </c>
      <c r="K110" t="n">
        <v>0</v>
      </c>
      <c r="L110" t="n">
        <v>0</v>
      </c>
      <c r="M110" t="n">
        <v>0</v>
      </c>
      <c r="N110" t="n">
        <v>0</v>
      </c>
      <c r="O110" t="n">
        <v>0</v>
      </c>
      <c r="P110" t="n">
        <v>0</v>
      </c>
      <c r="Q110" t="n">
        <v>0</v>
      </c>
      <c r="R110" s="2" t="inlineStr"/>
    </row>
    <row r="111" ht="15" customHeight="1">
      <c r="A111" t="inlineStr">
        <is>
          <t>A 58917-2019</t>
        </is>
      </c>
      <c r="B111" s="1" t="n">
        <v>43774</v>
      </c>
      <c r="C111" s="1" t="n">
        <v>45508</v>
      </c>
      <c r="D111" t="inlineStr">
        <is>
          <t>VÄSTMANLANDS LÄN</t>
        </is>
      </c>
      <c r="E111" t="inlineStr">
        <is>
          <t>SALA</t>
        </is>
      </c>
      <c r="G111" t="n">
        <v>1.3</v>
      </c>
      <c r="H111" t="n">
        <v>0</v>
      </c>
      <c r="I111" t="n">
        <v>0</v>
      </c>
      <c r="J111" t="n">
        <v>0</v>
      </c>
      <c r="K111" t="n">
        <v>0</v>
      </c>
      <c r="L111" t="n">
        <v>0</v>
      </c>
      <c r="M111" t="n">
        <v>0</v>
      </c>
      <c r="N111" t="n">
        <v>0</v>
      </c>
      <c r="O111" t="n">
        <v>0</v>
      </c>
      <c r="P111" t="n">
        <v>0</v>
      </c>
      <c r="Q111" t="n">
        <v>0</v>
      </c>
      <c r="R111" s="2" t="inlineStr"/>
    </row>
    <row r="112" ht="15" customHeight="1">
      <c r="A112" t="inlineStr">
        <is>
          <t>A 59147-2019</t>
        </is>
      </c>
      <c r="B112" s="1" t="n">
        <v>43775</v>
      </c>
      <c r="C112" s="1" t="n">
        <v>45508</v>
      </c>
      <c r="D112" t="inlineStr">
        <is>
          <t>VÄSTMANLANDS LÄN</t>
        </is>
      </c>
      <c r="E112" t="inlineStr">
        <is>
          <t>SALA</t>
        </is>
      </c>
      <c r="F112" t="inlineStr">
        <is>
          <t>Övriga Aktiebolag</t>
        </is>
      </c>
      <c r="G112" t="n">
        <v>69.8</v>
      </c>
      <c r="H112" t="n">
        <v>0</v>
      </c>
      <c r="I112" t="n">
        <v>0</v>
      </c>
      <c r="J112" t="n">
        <v>0</v>
      </c>
      <c r="K112" t="n">
        <v>0</v>
      </c>
      <c r="L112" t="n">
        <v>0</v>
      </c>
      <c r="M112" t="n">
        <v>0</v>
      </c>
      <c r="N112" t="n">
        <v>0</v>
      </c>
      <c r="O112" t="n">
        <v>0</v>
      </c>
      <c r="P112" t="n">
        <v>0</v>
      </c>
      <c r="Q112" t="n">
        <v>0</v>
      </c>
      <c r="R112" s="2" t="inlineStr"/>
    </row>
    <row r="113" ht="15" customHeight="1">
      <c r="A113" t="inlineStr">
        <is>
          <t>A 60007-2019</t>
        </is>
      </c>
      <c r="B113" s="1" t="n">
        <v>43777</v>
      </c>
      <c r="C113" s="1" t="n">
        <v>45508</v>
      </c>
      <c r="D113" t="inlineStr">
        <is>
          <t>VÄSTMANLANDS LÄN</t>
        </is>
      </c>
      <c r="E113" t="inlineStr">
        <is>
          <t>SALA</t>
        </is>
      </c>
      <c r="F113" t="inlineStr">
        <is>
          <t>Kyrkan</t>
        </is>
      </c>
      <c r="G113" t="n">
        <v>5.1</v>
      </c>
      <c r="H113" t="n">
        <v>0</v>
      </c>
      <c r="I113" t="n">
        <v>0</v>
      </c>
      <c r="J113" t="n">
        <v>0</v>
      </c>
      <c r="K113" t="n">
        <v>0</v>
      </c>
      <c r="L113" t="n">
        <v>0</v>
      </c>
      <c r="M113" t="n">
        <v>0</v>
      </c>
      <c r="N113" t="n">
        <v>0</v>
      </c>
      <c r="O113" t="n">
        <v>0</v>
      </c>
      <c r="P113" t="n">
        <v>0</v>
      </c>
      <c r="Q113" t="n">
        <v>0</v>
      </c>
      <c r="R113" s="2" t="inlineStr"/>
    </row>
    <row r="114" ht="15" customHeight="1">
      <c r="A114" t="inlineStr">
        <is>
          <t>A 60012-2019</t>
        </is>
      </c>
      <c r="B114" s="1" t="n">
        <v>43777</v>
      </c>
      <c r="C114" s="1" t="n">
        <v>45508</v>
      </c>
      <c r="D114" t="inlineStr">
        <is>
          <t>VÄSTMANLANDS LÄN</t>
        </is>
      </c>
      <c r="E114" t="inlineStr">
        <is>
          <t>SALA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61270-2019</t>
        </is>
      </c>
      <c r="B115" s="1" t="n">
        <v>43783</v>
      </c>
      <c r="C115" s="1" t="n">
        <v>45508</v>
      </c>
      <c r="D115" t="inlineStr">
        <is>
          <t>VÄSTMANLANDS LÄN</t>
        </is>
      </c>
      <c r="E115" t="inlineStr">
        <is>
          <t>SALA</t>
        </is>
      </c>
      <c r="G115" t="n">
        <v>3.3</v>
      </c>
      <c r="H115" t="n">
        <v>0</v>
      </c>
      <c r="I115" t="n">
        <v>0</v>
      </c>
      <c r="J115" t="n">
        <v>0</v>
      </c>
      <c r="K115" t="n">
        <v>0</v>
      </c>
      <c r="L115" t="n">
        <v>0</v>
      </c>
      <c r="M115" t="n">
        <v>0</v>
      </c>
      <c r="N115" t="n">
        <v>0</v>
      </c>
      <c r="O115" t="n">
        <v>0</v>
      </c>
      <c r="P115" t="n">
        <v>0</v>
      </c>
      <c r="Q115" t="n">
        <v>0</v>
      </c>
      <c r="R115" s="2" t="inlineStr"/>
    </row>
    <row r="116" ht="15" customHeight="1">
      <c r="A116" t="inlineStr">
        <is>
          <t>A 61394-2019</t>
        </is>
      </c>
      <c r="B116" s="1" t="n">
        <v>43783</v>
      </c>
      <c r="C116" s="1" t="n">
        <v>45508</v>
      </c>
      <c r="D116" t="inlineStr">
        <is>
          <t>VÄSTMANLANDS LÄN</t>
        </is>
      </c>
      <c r="E116" t="inlineStr">
        <is>
          <t>SALA</t>
        </is>
      </c>
      <c r="G116" t="n">
        <v>7.8</v>
      </c>
      <c r="H116" t="n">
        <v>0</v>
      </c>
      <c r="I116" t="n">
        <v>0</v>
      </c>
      <c r="J116" t="n">
        <v>0</v>
      </c>
      <c r="K116" t="n">
        <v>0</v>
      </c>
      <c r="L116" t="n">
        <v>0</v>
      </c>
      <c r="M116" t="n">
        <v>0</v>
      </c>
      <c r="N116" t="n">
        <v>0</v>
      </c>
      <c r="O116" t="n">
        <v>0</v>
      </c>
      <c r="P116" t="n">
        <v>0</v>
      </c>
      <c r="Q116" t="n">
        <v>0</v>
      </c>
      <c r="R116" s="2" t="inlineStr"/>
    </row>
    <row r="117" ht="15" customHeight="1">
      <c r="A117" t="inlineStr">
        <is>
          <t>A 61758-2019</t>
        </is>
      </c>
      <c r="B117" s="1" t="n">
        <v>43784</v>
      </c>
      <c r="C117" s="1" t="n">
        <v>45508</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62390-2019</t>
        </is>
      </c>
      <c r="B118" s="1" t="n">
        <v>43788</v>
      </c>
      <c r="C118" s="1" t="n">
        <v>45508</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64164-2019</t>
        </is>
      </c>
      <c r="B119" s="1" t="n">
        <v>43791</v>
      </c>
      <c r="C119" s="1" t="n">
        <v>45508</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63369-2019</t>
        </is>
      </c>
      <c r="B120" s="1" t="n">
        <v>43794</v>
      </c>
      <c r="C120" s="1" t="n">
        <v>45508</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63498-2019</t>
        </is>
      </c>
      <c r="B121" s="1" t="n">
        <v>43794</v>
      </c>
      <c r="C121" s="1" t="n">
        <v>45508</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64090-2019</t>
        </is>
      </c>
      <c r="B122" s="1" t="n">
        <v>43796</v>
      </c>
      <c r="C122" s="1" t="n">
        <v>45508</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64092-2019</t>
        </is>
      </c>
      <c r="B123" s="1" t="n">
        <v>43796</v>
      </c>
      <c r="C123" s="1" t="n">
        <v>45508</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65021-2019</t>
        </is>
      </c>
      <c r="B124" s="1" t="n">
        <v>43801</v>
      </c>
      <c r="C124" s="1" t="n">
        <v>45508</v>
      </c>
      <c r="D124" t="inlineStr">
        <is>
          <t>VÄSTMANLANDS LÄN</t>
        </is>
      </c>
      <c r="E124" t="inlineStr">
        <is>
          <t>SALA</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66089-2019</t>
        </is>
      </c>
      <c r="B125" s="1" t="n">
        <v>43807</v>
      </c>
      <c r="C125" s="1" t="n">
        <v>45508</v>
      </c>
      <c r="D125" t="inlineStr">
        <is>
          <t>VÄSTMANLANDS LÄN</t>
        </is>
      </c>
      <c r="E125" t="inlineStr">
        <is>
          <t>SALA</t>
        </is>
      </c>
      <c r="G125" t="n">
        <v>17.1</v>
      </c>
      <c r="H125" t="n">
        <v>0</v>
      </c>
      <c r="I125" t="n">
        <v>0</v>
      </c>
      <c r="J125" t="n">
        <v>0</v>
      </c>
      <c r="K125" t="n">
        <v>0</v>
      </c>
      <c r="L125" t="n">
        <v>0</v>
      </c>
      <c r="M125" t="n">
        <v>0</v>
      </c>
      <c r="N125" t="n">
        <v>0</v>
      </c>
      <c r="O125" t="n">
        <v>0</v>
      </c>
      <c r="P125" t="n">
        <v>0</v>
      </c>
      <c r="Q125" t="n">
        <v>0</v>
      </c>
      <c r="R125" s="2" t="inlineStr"/>
    </row>
    <row r="126" ht="15" customHeight="1">
      <c r="A126" t="inlineStr">
        <is>
          <t>A 66216-2019</t>
        </is>
      </c>
      <c r="B126" s="1" t="n">
        <v>43808</v>
      </c>
      <c r="C126" s="1" t="n">
        <v>45508</v>
      </c>
      <c r="D126" t="inlineStr">
        <is>
          <t>VÄSTMANLANDS LÄN</t>
        </is>
      </c>
      <c r="E126" t="inlineStr">
        <is>
          <t>SALA</t>
        </is>
      </c>
      <c r="F126" t="inlineStr">
        <is>
          <t>Kommuner</t>
        </is>
      </c>
      <c r="G126" t="n">
        <v>3.7</v>
      </c>
      <c r="H126" t="n">
        <v>0</v>
      </c>
      <c r="I126" t="n">
        <v>0</v>
      </c>
      <c r="J126" t="n">
        <v>0</v>
      </c>
      <c r="K126" t="n">
        <v>0</v>
      </c>
      <c r="L126" t="n">
        <v>0</v>
      </c>
      <c r="M126" t="n">
        <v>0</v>
      </c>
      <c r="N126" t="n">
        <v>0</v>
      </c>
      <c r="O126" t="n">
        <v>0</v>
      </c>
      <c r="P126" t="n">
        <v>0</v>
      </c>
      <c r="Q126" t="n">
        <v>0</v>
      </c>
      <c r="R126" s="2" t="inlineStr"/>
    </row>
    <row r="127" ht="15" customHeight="1">
      <c r="A127" t="inlineStr">
        <is>
          <t>A 67360-2019</t>
        </is>
      </c>
      <c r="B127" s="1" t="n">
        <v>43812</v>
      </c>
      <c r="C127" s="1" t="n">
        <v>45508</v>
      </c>
      <c r="D127" t="inlineStr">
        <is>
          <t>VÄSTMANLANDS LÄN</t>
        </is>
      </c>
      <c r="E127" t="inlineStr">
        <is>
          <t>SALA</t>
        </is>
      </c>
      <c r="G127" t="n">
        <v>4.9</v>
      </c>
      <c r="H127" t="n">
        <v>0</v>
      </c>
      <c r="I127" t="n">
        <v>0</v>
      </c>
      <c r="J127" t="n">
        <v>0</v>
      </c>
      <c r="K127" t="n">
        <v>0</v>
      </c>
      <c r="L127" t="n">
        <v>0</v>
      </c>
      <c r="M127" t="n">
        <v>0</v>
      </c>
      <c r="N127" t="n">
        <v>0</v>
      </c>
      <c r="O127" t="n">
        <v>0</v>
      </c>
      <c r="P127" t="n">
        <v>0</v>
      </c>
      <c r="Q127" t="n">
        <v>0</v>
      </c>
      <c r="R127" s="2" t="inlineStr"/>
    </row>
    <row r="128" ht="15" customHeight="1">
      <c r="A128" t="inlineStr">
        <is>
          <t>A 68398-2019</t>
        </is>
      </c>
      <c r="B128" s="1" t="n">
        <v>43818</v>
      </c>
      <c r="C128" s="1" t="n">
        <v>45508</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68394-2019</t>
        </is>
      </c>
      <c r="B129" s="1" t="n">
        <v>43818</v>
      </c>
      <c r="C129" s="1" t="n">
        <v>45508</v>
      </c>
      <c r="D129" t="inlineStr">
        <is>
          <t>VÄSTMANLANDS LÄN</t>
        </is>
      </c>
      <c r="E129" t="inlineStr">
        <is>
          <t>SALA</t>
        </is>
      </c>
      <c r="G129" t="n">
        <v>1.6</v>
      </c>
      <c r="H129" t="n">
        <v>0</v>
      </c>
      <c r="I129" t="n">
        <v>0</v>
      </c>
      <c r="J129" t="n">
        <v>0</v>
      </c>
      <c r="K129" t="n">
        <v>0</v>
      </c>
      <c r="L129" t="n">
        <v>0</v>
      </c>
      <c r="M129" t="n">
        <v>0</v>
      </c>
      <c r="N129" t="n">
        <v>0</v>
      </c>
      <c r="O129" t="n">
        <v>0</v>
      </c>
      <c r="P129" t="n">
        <v>0</v>
      </c>
      <c r="Q129" t="n">
        <v>0</v>
      </c>
      <c r="R129" s="2" t="inlineStr"/>
    </row>
    <row r="130" ht="15" customHeight="1">
      <c r="A130" t="inlineStr">
        <is>
          <t>A 1465-2020</t>
        </is>
      </c>
      <c r="B130" s="1" t="n">
        <v>43822</v>
      </c>
      <c r="C130" s="1" t="n">
        <v>45508</v>
      </c>
      <c r="D130" t="inlineStr">
        <is>
          <t>VÄSTMANLANDS LÄN</t>
        </is>
      </c>
      <c r="E130" t="inlineStr">
        <is>
          <t>SALA</t>
        </is>
      </c>
      <c r="G130" t="n">
        <v>4.1</v>
      </c>
      <c r="H130" t="n">
        <v>0</v>
      </c>
      <c r="I130" t="n">
        <v>0</v>
      </c>
      <c r="J130" t="n">
        <v>0</v>
      </c>
      <c r="K130" t="n">
        <v>0</v>
      </c>
      <c r="L130" t="n">
        <v>0</v>
      </c>
      <c r="M130" t="n">
        <v>0</v>
      </c>
      <c r="N130" t="n">
        <v>0</v>
      </c>
      <c r="O130" t="n">
        <v>0</v>
      </c>
      <c r="P130" t="n">
        <v>0</v>
      </c>
      <c r="Q130" t="n">
        <v>0</v>
      </c>
      <c r="R130" s="2" t="inlineStr"/>
    </row>
    <row r="131" ht="15" customHeight="1">
      <c r="A131" t="inlineStr">
        <is>
          <t>A 63-2020</t>
        </is>
      </c>
      <c r="B131" s="1" t="n">
        <v>43832</v>
      </c>
      <c r="C131" s="1" t="n">
        <v>45508</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151-2020</t>
        </is>
      </c>
      <c r="B132" s="1" t="n">
        <v>43833</v>
      </c>
      <c r="C132" s="1" t="n">
        <v>45508</v>
      </c>
      <c r="D132" t="inlineStr">
        <is>
          <t>VÄSTMANLANDS LÄN</t>
        </is>
      </c>
      <c r="E132" t="inlineStr">
        <is>
          <t>SALA</t>
        </is>
      </c>
      <c r="F132" t="inlineStr">
        <is>
          <t>Kyrkan</t>
        </is>
      </c>
      <c r="G132" t="n">
        <v>6.5</v>
      </c>
      <c r="H132" t="n">
        <v>0</v>
      </c>
      <c r="I132" t="n">
        <v>0</v>
      </c>
      <c r="J132" t="n">
        <v>0</v>
      </c>
      <c r="K132" t="n">
        <v>0</v>
      </c>
      <c r="L132" t="n">
        <v>0</v>
      </c>
      <c r="M132" t="n">
        <v>0</v>
      </c>
      <c r="N132" t="n">
        <v>0</v>
      </c>
      <c r="O132" t="n">
        <v>0</v>
      </c>
      <c r="P132" t="n">
        <v>0</v>
      </c>
      <c r="Q132" t="n">
        <v>0</v>
      </c>
      <c r="R132" s="2" t="inlineStr"/>
    </row>
    <row r="133" ht="15" customHeight="1">
      <c r="A133" t="inlineStr">
        <is>
          <t>A 161-2020</t>
        </is>
      </c>
      <c r="B133" s="1" t="n">
        <v>43833</v>
      </c>
      <c r="C133" s="1" t="n">
        <v>45508</v>
      </c>
      <c r="D133" t="inlineStr">
        <is>
          <t>VÄSTMANLANDS LÄN</t>
        </is>
      </c>
      <c r="E133" t="inlineStr">
        <is>
          <t>SALA</t>
        </is>
      </c>
      <c r="F133" t="inlineStr">
        <is>
          <t>Kyrkan</t>
        </is>
      </c>
      <c r="G133" t="n">
        <v>1.6</v>
      </c>
      <c r="H133" t="n">
        <v>0</v>
      </c>
      <c r="I133" t="n">
        <v>0</v>
      </c>
      <c r="J133" t="n">
        <v>0</v>
      </c>
      <c r="K133" t="n">
        <v>0</v>
      </c>
      <c r="L133" t="n">
        <v>0</v>
      </c>
      <c r="M133" t="n">
        <v>0</v>
      </c>
      <c r="N133" t="n">
        <v>0</v>
      </c>
      <c r="O133" t="n">
        <v>0</v>
      </c>
      <c r="P133" t="n">
        <v>0</v>
      </c>
      <c r="Q133" t="n">
        <v>0</v>
      </c>
      <c r="R133" s="2" t="inlineStr"/>
    </row>
    <row r="134" ht="15" customHeight="1">
      <c r="A134" t="inlineStr">
        <is>
          <t>A 297-2020</t>
        </is>
      </c>
      <c r="B134" s="1" t="n">
        <v>43837</v>
      </c>
      <c r="C134" s="1" t="n">
        <v>45508</v>
      </c>
      <c r="D134" t="inlineStr">
        <is>
          <t>VÄSTMANLANDS LÄN</t>
        </is>
      </c>
      <c r="E134" t="inlineStr">
        <is>
          <t>SALA</t>
        </is>
      </c>
      <c r="F134" t="inlineStr">
        <is>
          <t>Kyrkan</t>
        </is>
      </c>
      <c r="G134" t="n">
        <v>0.3</v>
      </c>
      <c r="H134" t="n">
        <v>0</v>
      </c>
      <c r="I134" t="n">
        <v>0</v>
      </c>
      <c r="J134" t="n">
        <v>0</v>
      </c>
      <c r="K134" t="n">
        <v>0</v>
      </c>
      <c r="L134" t="n">
        <v>0</v>
      </c>
      <c r="M134" t="n">
        <v>0</v>
      </c>
      <c r="N134" t="n">
        <v>0</v>
      </c>
      <c r="O134" t="n">
        <v>0</v>
      </c>
      <c r="P134" t="n">
        <v>0</v>
      </c>
      <c r="Q134" t="n">
        <v>0</v>
      </c>
      <c r="R134" s="2" t="inlineStr"/>
    </row>
    <row r="135" ht="15" customHeight="1">
      <c r="A135" t="inlineStr">
        <is>
          <t>A 496-2020</t>
        </is>
      </c>
      <c r="B135" s="1" t="n">
        <v>43837</v>
      </c>
      <c r="C135" s="1" t="n">
        <v>45508</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1005-2020</t>
        </is>
      </c>
      <c r="B136" s="1" t="n">
        <v>43839</v>
      </c>
      <c r="C136" s="1" t="n">
        <v>45508</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1272-2020</t>
        </is>
      </c>
      <c r="B137" s="1" t="n">
        <v>43841</v>
      </c>
      <c r="C137" s="1" t="n">
        <v>45508</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1346-2020</t>
        </is>
      </c>
      <c r="B138" s="1" t="n">
        <v>43843</v>
      </c>
      <c r="C138" s="1" t="n">
        <v>45508</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3935-2020</t>
        </is>
      </c>
      <c r="B139" s="1" t="n">
        <v>43846</v>
      </c>
      <c r="C139" s="1" t="n">
        <v>45508</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2588-2020</t>
        </is>
      </c>
      <c r="B140" s="1" t="n">
        <v>43847</v>
      </c>
      <c r="C140" s="1" t="n">
        <v>45508</v>
      </c>
      <c r="D140" t="inlineStr">
        <is>
          <t>VÄSTMANLANDS LÄN</t>
        </is>
      </c>
      <c r="E140" t="inlineStr">
        <is>
          <t>SALA</t>
        </is>
      </c>
      <c r="G140" t="n">
        <v>1.8</v>
      </c>
      <c r="H140" t="n">
        <v>0</v>
      </c>
      <c r="I140" t="n">
        <v>0</v>
      </c>
      <c r="J140" t="n">
        <v>0</v>
      </c>
      <c r="K140" t="n">
        <v>0</v>
      </c>
      <c r="L140" t="n">
        <v>0</v>
      </c>
      <c r="M140" t="n">
        <v>0</v>
      </c>
      <c r="N140" t="n">
        <v>0</v>
      </c>
      <c r="O140" t="n">
        <v>0</v>
      </c>
      <c r="P140" t="n">
        <v>0</v>
      </c>
      <c r="Q140" t="n">
        <v>0</v>
      </c>
      <c r="R140" s="2" t="inlineStr"/>
    </row>
    <row r="141" ht="15" customHeight="1">
      <c r="A141" t="inlineStr">
        <is>
          <t>A 4630-2020</t>
        </is>
      </c>
      <c r="B141" s="1" t="n">
        <v>43851</v>
      </c>
      <c r="C141" s="1" t="n">
        <v>45508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3590-2020</t>
        </is>
      </c>
      <c r="B142" s="1" t="n">
        <v>43853</v>
      </c>
      <c r="C142" s="1" t="n">
        <v>45508</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4866-2020</t>
        </is>
      </c>
      <c r="B143" s="1" t="n">
        <v>43859</v>
      </c>
      <c r="C143" s="1" t="n">
        <v>45508</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5201-2020</t>
        </is>
      </c>
      <c r="B144" s="1" t="n">
        <v>43860</v>
      </c>
      <c r="C144" s="1" t="n">
        <v>45508</v>
      </c>
      <c r="D144" t="inlineStr">
        <is>
          <t>VÄSTMANLANDS LÄN</t>
        </is>
      </c>
      <c r="E144" t="inlineStr">
        <is>
          <t>SALA</t>
        </is>
      </c>
      <c r="F144" t="inlineStr">
        <is>
          <t>Kyrkan</t>
        </is>
      </c>
      <c r="G144" t="n">
        <v>5</v>
      </c>
      <c r="H144" t="n">
        <v>0</v>
      </c>
      <c r="I144" t="n">
        <v>0</v>
      </c>
      <c r="J144" t="n">
        <v>0</v>
      </c>
      <c r="K144" t="n">
        <v>0</v>
      </c>
      <c r="L144" t="n">
        <v>0</v>
      </c>
      <c r="M144" t="n">
        <v>0</v>
      </c>
      <c r="N144" t="n">
        <v>0</v>
      </c>
      <c r="O144" t="n">
        <v>0</v>
      </c>
      <c r="P144" t="n">
        <v>0</v>
      </c>
      <c r="Q144" t="n">
        <v>0</v>
      </c>
      <c r="R144" s="2" t="inlineStr"/>
    </row>
    <row r="145" ht="15" customHeight="1">
      <c r="A145" t="inlineStr">
        <is>
          <t>A 5163-2020</t>
        </is>
      </c>
      <c r="B145" s="1" t="n">
        <v>43860</v>
      </c>
      <c r="C145" s="1" t="n">
        <v>45508</v>
      </c>
      <c r="D145" t="inlineStr">
        <is>
          <t>VÄSTMANLANDS LÄN</t>
        </is>
      </c>
      <c r="E145" t="inlineStr">
        <is>
          <t>SALA</t>
        </is>
      </c>
      <c r="G145" t="n">
        <v>1.9</v>
      </c>
      <c r="H145" t="n">
        <v>0</v>
      </c>
      <c r="I145" t="n">
        <v>0</v>
      </c>
      <c r="J145" t="n">
        <v>0</v>
      </c>
      <c r="K145" t="n">
        <v>0</v>
      </c>
      <c r="L145" t="n">
        <v>0</v>
      </c>
      <c r="M145" t="n">
        <v>0</v>
      </c>
      <c r="N145" t="n">
        <v>0</v>
      </c>
      <c r="O145" t="n">
        <v>0</v>
      </c>
      <c r="P145" t="n">
        <v>0</v>
      </c>
      <c r="Q145" t="n">
        <v>0</v>
      </c>
      <c r="R145" s="2" t="inlineStr"/>
    </row>
    <row r="146" ht="15" customHeight="1">
      <c r="A146" t="inlineStr">
        <is>
          <t>A 5191-2020</t>
        </is>
      </c>
      <c r="B146" s="1" t="n">
        <v>43860</v>
      </c>
      <c r="C146" s="1" t="n">
        <v>45508</v>
      </c>
      <c r="D146" t="inlineStr">
        <is>
          <t>VÄSTMANLANDS LÄN</t>
        </is>
      </c>
      <c r="E146" t="inlineStr">
        <is>
          <t>SALA</t>
        </is>
      </c>
      <c r="F146" t="inlineStr">
        <is>
          <t>Kyrkan</t>
        </is>
      </c>
      <c r="G146" t="n">
        <v>10.9</v>
      </c>
      <c r="H146" t="n">
        <v>0</v>
      </c>
      <c r="I146" t="n">
        <v>0</v>
      </c>
      <c r="J146" t="n">
        <v>0</v>
      </c>
      <c r="K146" t="n">
        <v>0</v>
      </c>
      <c r="L146" t="n">
        <v>0</v>
      </c>
      <c r="M146" t="n">
        <v>0</v>
      </c>
      <c r="N146" t="n">
        <v>0</v>
      </c>
      <c r="O146" t="n">
        <v>0</v>
      </c>
      <c r="P146" t="n">
        <v>0</v>
      </c>
      <c r="Q146" t="n">
        <v>0</v>
      </c>
      <c r="R146" s="2" t="inlineStr"/>
    </row>
    <row r="147" ht="15" customHeight="1">
      <c r="A147" t="inlineStr">
        <is>
          <t>A 5320-2020</t>
        </is>
      </c>
      <c r="B147" s="1" t="n">
        <v>43860</v>
      </c>
      <c r="C147" s="1" t="n">
        <v>45508</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5587-2020</t>
        </is>
      </c>
      <c r="B148" s="1" t="n">
        <v>43861</v>
      </c>
      <c r="C148" s="1" t="n">
        <v>45508</v>
      </c>
      <c r="D148" t="inlineStr">
        <is>
          <t>VÄSTMANLANDS LÄN</t>
        </is>
      </c>
      <c r="E148" t="inlineStr">
        <is>
          <t>SALA</t>
        </is>
      </c>
      <c r="G148" t="n">
        <v>9.6</v>
      </c>
      <c r="H148" t="n">
        <v>0</v>
      </c>
      <c r="I148" t="n">
        <v>0</v>
      </c>
      <c r="J148" t="n">
        <v>0</v>
      </c>
      <c r="K148" t="n">
        <v>0</v>
      </c>
      <c r="L148" t="n">
        <v>0</v>
      </c>
      <c r="M148" t="n">
        <v>0</v>
      </c>
      <c r="N148" t="n">
        <v>0</v>
      </c>
      <c r="O148" t="n">
        <v>0</v>
      </c>
      <c r="P148" t="n">
        <v>0</v>
      </c>
      <c r="Q148" t="n">
        <v>0</v>
      </c>
      <c r="R148" s="2" t="inlineStr"/>
    </row>
    <row r="149" ht="15" customHeight="1">
      <c r="A149" t="inlineStr">
        <is>
          <t>A 5750-2020</t>
        </is>
      </c>
      <c r="B149" s="1" t="n">
        <v>43864</v>
      </c>
      <c r="C149" s="1" t="n">
        <v>45508</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6185-2020</t>
        </is>
      </c>
      <c r="B150" s="1" t="n">
        <v>43865</v>
      </c>
      <c r="C150" s="1" t="n">
        <v>45508</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7190-2020</t>
        </is>
      </c>
      <c r="B151" s="1" t="n">
        <v>43868</v>
      </c>
      <c r="C151" s="1" t="n">
        <v>45508</v>
      </c>
      <c r="D151" t="inlineStr">
        <is>
          <t>VÄSTMANLANDS LÄN</t>
        </is>
      </c>
      <c r="E151" t="inlineStr">
        <is>
          <t>SALA</t>
        </is>
      </c>
      <c r="G151" t="n">
        <v>4.5</v>
      </c>
      <c r="H151" t="n">
        <v>0</v>
      </c>
      <c r="I151" t="n">
        <v>0</v>
      </c>
      <c r="J151" t="n">
        <v>0</v>
      </c>
      <c r="K151" t="n">
        <v>0</v>
      </c>
      <c r="L151" t="n">
        <v>0</v>
      </c>
      <c r="M151" t="n">
        <v>0</v>
      </c>
      <c r="N151" t="n">
        <v>0</v>
      </c>
      <c r="O151" t="n">
        <v>0</v>
      </c>
      <c r="P151" t="n">
        <v>0</v>
      </c>
      <c r="Q151" t="n">
        <v>0</v>
      </c>
      <c r="R151" s="2" t="inlineStr"/>
    </row>
    <row r="152" ht="15" customHeight="1">
      <c r="A152" t="inlineStr">
        <is>
          <t>A 10010-2020</t>
        </is>
      </c>
      <c r="B152" s="1" t="n">
        <v>43882</v>
      </c>
      <c r="C152" s="1" t="n">
        <v>45508</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10276-2020</t>
        </is>
      </c>
      <c r="B153" s="1" t="n">
        <v>43885</v>
      </c>
      <c r="C153" s="1" t="n">
        <v>45508</v>
      </c>
      <c r="D153" t="inlineStr">
        <is>
          <t>VÄSTMANLANDS LÄN</t>
        </is>
      </c>
      <c r="E153" t="inlineStr">
        <is>
          <t>SALA</t>
        </is>
      </c>
      <c r="G153" t="n">
        <v>1.3</v>
      </c>
      <c r="H153" t="n">
        <v>0</v>
      </c>
      <c r="I153" t="n">
        <v>0</v>
      </c>
      <c r="J153" t="n">
        <v>0</v>
      </c>
      <c r="K153" t="n">
        <v>0</v>
      </c>
      <c r="L153" t="n">
        <v>0</v>
      </c>
      <c r="M153" t="n">
        <v>0</v>
      </c>
      <c r="N153" t="n">
        <v>0</v>
      </c>
      <c r="O153" t="n">
        <v>0</v>
      </c>
      <c r="P153" t="n">
        <v>0</v>
      </c>
      <c r="Q153" t="n">
        <v>0</v>
      </c>
      <c r="R153" s="2" t="inlineStr"/>
    </row>
    <row r="154" ht="15" customHeight="1">
      <c r="A154" t="inlineStr">
        <is>
          <t>A 10811-2020</t>
        </is>
      </c>
      <c r="B154" s="1" t="n">
        <v>43888</v>
      </c>
      <c r="C154" s="1" t="n">
        <v>45508</v>
      </c>
      <c r="D154" t="inlineStr">
        <is>
          <t>VÄSTMANLANDS LÄN</t>
        </is>
      </c>
      <c r="E154" t="inlineStr">
        <is>
          <t>SALA</t>
        </is>
      </c>
      <c r="G154" t="n">
        <v>3.9</v>
      </c>
      <c r="H154" t="n">
        <v>0</v>
      </c>
      <c r="I154" t="n">
        <v>0</v>
      </c>
      <c r="J154" t="n">
        <v>0</v>
      </c>
      <c r="K154" t="n">
        <v>0</v>
      </c>
      <c r="L154" t="n">
        <v>0</v>
      </c>
      <c r="M154" t="n">
        <v>0</v>
      </c>
      <c r="N154" t="n">
        <v>0</v>
      </c>
      <c r="O154" t="n">
        <v>0</v>
      </c>
      <c r="P154" t="n">
        <v>0</v>
      </c>
      <c r="Q154" t="n">
        <v>0</v>
      </c>
      <c r="R154" s="2" t="inlineStr"/>
    </row>
    <row r="155" ht="15" customHeight="1">
      <c r="A155" t="inlineStr">
        <is>
          <t>A 14110-2020</t>
        </is>
      </c>
      <c r="B155" s="1" t="n">
        <v>43900</v>
      </c>
      <c r="C155" s="1" t="n">
        <v>45508</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13643-2020</t>
        </is>
      </c>
      <c r="B156" s="1" t="n">
        <v>43903</v>
      </c>
      <c r="C156" s="1" t="n">
        <v>45508</v>
      </c>
      <c r="D156" t="inlineStr">
        <is>
          <t>VÄSTMANLANDS LÄN</t>
        </is>
      </c>
      <c r="E156" t="inlineStr">
        <is>
          <t>SALA</t>
        </is>
      </c>
      <c r="G156" t="n">
        <v>2.3</v>
      </c>
      <c r="H156" t="n">
        <v>0</v>
      </c>
      <c r="I156" t="n">
        <v>0</v>
      </c>
      <c r="J156" t="n">
        <v>0</v>
      </c>
      <c r="K156" t="n">
        <v>0</v>
      </c>
      <c r="L156" t="n">
        <v>0</v>
      </c>
      <c r="M156" t="n">
        <v>0</v>
      </c>
      <c r="N156" t="n">
        <v>0</v>
      </c>
      <c r="O156" t="n">
        <v>0</v>
      </c>
      <c r="P156" t="n">
        <v>0</v>
      </c>
      <c r="Q156" t="n">
        <v>0</v>
      </c>
      <c r="R156" s="2" t="inlineStr"/>
    </row>
    <row r="157" ht="15" customHeight="1">
      <c r="A157" t="inlineStr">
        <is>
          <t>A 13936-2020</t>
        </is>
      </c>
      <c r="B157" s="1" t="n">
        <v>43903</v>
      </c>
      <c r="C157" s="1" t="n">
        <v>45508</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14049-2020</t>
        </is>
      </c>
      <c r="B158" s="1" t="n">
        <v>43906</v>
      </c>
      <c r="C158" s="1" t="n">
        <v>45508</v>
      </c>
      <c r="D158" t="inlineStr">
        <is>
          <t>VÄSTMANLANDS LÄN</t>
        </is>
      </c>
      <c r="E158" t="inlineStr">
        <is>
          <t>SALA</t>
        </is>
      </c>
      <c r="G158" t="n">
        <v>4.4</v>
      </c>
      <c r="H158" t="n">
        <v>0</v>
      </c>
      <c r="I158" t="n">
        <v>0</v>
      </c>
      <c r="J158" t="n">
        <v>0</v>
      </c>
      <c r="K158" t="n">
        <v>0</v>
      </c>
      <c r="L158" t="n">
        <v>0</v>
      </c>
      <c r="M158" t="n">
        <v>0</v>
      </c>
      <c r="N158" t="n">
        <v>0</v>
      </c>
      <c r="O158" t="n">
        <v>0</v>
      </c>
      <c r="P158" t="n">
        <v>0</v>
      </c>
      <c r="Q158" t="n">
        <v>0</v>
      </c>
      <c r="R158" s="2" t="inlineStr"/>
    </row>
    <row r="159" ht="15" customHeight="1">
      <c r="A159" t="inlineStr">
        <is>
          <t>A 14542-2020</t>
        </is>
      </c>
      <c r="B159" s="1" t="n">
        <v>43908</v>
      </c>
      <c r="C159" s="1" t="n">
        <v>45508</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16480-2020</t>
        </is>
      </c>
      <c r="B160" s="1" t="n">
        <v>43914</v>
      </c>
      <c r="C160" s="1" t="n">
        <v>45508</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15850-2020</t>
        </is>
      </c>
      <c r="B161" s="1" t="n">
        <v>43915</v>
      </c>
      <c r="C161" s="1" t="n">
        <v>45508</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15748-2020</t>
        </is>
      </c>
      <c r="B162" s="1" t="n">
        <v>43915</v>
      </c>
      <c r="C162" s="1" t="n">
        <v>45508</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16093-2020</t>
        </is>
      </c>
      <c r="B163" s="1" t="n">
        <v>43916</v>
      </c>
      <c r="C163" s="1" t="n">
        <v>45508</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17139-2020</t>
        </is>
      </c>
      <c r="B164" s="1" t="n">
        <v>43922</v>
      </c>
      <c r="C164" s="1" t="n">
        <v>45508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17205-2020</t>
        </is>
      </c>
      <c r="B165" s="1" t="n">
        <v>43922</v>
      </c>
      <c r="C165" s="1" t="n">
        <v>45508</v>
      </c>
      <c r="D165" t="inlineStr">
        <is>
          <t>VÄSTMANLANDS LÄN</t>
        </is>
      </c>
      <c r="E165" t="inlineStr">
        <is>
          <t>SALA</t>
        </is>
      </c>
      <c r="G165" t="n">
        <v>3.2</v>
      </c>
      <c r="H165" t="n">
        <v>0</v>
      </c>
      <c r="I165" t="n">
        <v>0</v>
      </c>
      <c r="J165" t="n">
        <v>0</v>
      </c>
      <c r="K165" t="n">
        <v>0</v>
      </c>
      <c r="L165" t="n">
        <v>0</v>
      </c>
      <c r="M165" t="n">
        <v>0</v>
      </c>
      <c r="N165" t="n">
        <v>0</v>
      </c>
      <c r="O165" t="n">
        <v>0</v>
      </c>
      <c r="P165" t="n">
        <v>0</v>
      </c>
      <c r="Q165" t="n">
        <v>0</v>
      </c>
      <c r="R165" s="2" t="inlineStr"/>
    </row>
    <row r="166" ht="15" customHeight="1">
      <c r="A166" t="inlineStr">
        <is>
          <t>A 17355-2020</t>
        </is>
      </c>
      <c r="B166" s="1" t="n">
        <v>43923</v>
      </c>
      <c r="C166" s="1" t="n">
        <v>45508</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17492-2020</t>
        </is>
      </c>
      <c r="B167" s="1" t="n">
        <v>43923</v>
      </c>
      <c r="C167" s="1" t="n">
        <v>45508</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17919-2020</t>
        </is>
      </c>
      <c r="B168" s="1" t="n">
        <v>43924</v>
      </c>
      <c r="C168" s="1" t="n">
        <v>45508</v>
      </c>
      <c r="D168" t="inlineStr">
        <is>
          <t>VÄSTMANLANDS LÄN</t>
        </is>
      </c>
      <c r="E168" t="inlineStr">
        <is>
          <t>SALA</t>
        </is>
      </c>
      <c r="G168" t="n">
        <v>2.6</v>
      </c>
      <c r="H168" t="n">
        <v>0</v>
      </c>
      <c r="I168" t="n">
        <v>0</v>
      </c>
      <c r="J168" t="n">
        <v>0</v>
      </c>
      <c r="K168" t="n">
        <v>0</v>
      </c>
      <c r="L168" t="n">
        <v>0</v>
      </c>
      <c r="M168" t="n">
        <v>0</v>
      </c>
      <c r="N168" t="n">
        <v>0</v>
      </c>
      <c r="O168" t="n">
        <v>0</v>
      </c>
      <c r="P168" t="n">
        <v>0</v>
      </c>
      <c r="Q168" t="n">
        <v>0</v>
      </c>
      <c r="R168" s="2" t="inlineStr"/>
    </row>
    <row r="169" ht="15" customHeight="1">
      <c r="A169" t="inlineStr">
        <is>
          <t>A 18772-2020</t>
        </is>
      </c>
      <c r="B169" s="1" t="n">
        <v>43930</v>
      </c>
      <c r="C169" s="1" t="n">
        <v>45508</v>
      </c>
      <c r="D169" t="inlineStr">
        <is>
          <t>VÄSTMANLANDS LÄN</t>
        </is>
      </c>
      <c r="E169" t="inlineStr">
        <is>
          <t>SALA</t>
        </is>
      </c>
      <c r="G169" t="n">
        <v>3.5</v>
      </c>
      <c r="H169" t="n">
        <v>0</v>
      </c>
      <c r="I169" t="n">
        <v>0</v>
      </c>
      <c r="J169" t="n">
        <v>0</v>
      </c>
      <c r="K169" t="n">
        <v>0</v>
      </c>
      <c r="L169" t="n">
        <v>0</v>
      </c>
      <c r="M169" t="n">
        <v>0</v>
      </c>
      <c r="N169" t="n">
        <v>0</v>
      </c>
      <c r="O169" t="n">
        <v>0</v>
      </c>
      <c r="P169" t="n">
        <v>0</v>
      </c>
      <c r="Q169" t="n">
        <v>0</v>
      </c>
      <c r="R169" s="2" t="inlineStr"/>
    </row>
    <row r="170" ht="15" customHeight="1">
      <c r="A170" t="inlineStr">
        <is>
          <t>A 19071-2020</t>
        </is>
      </c>
      <c r="B170" s="1" t="n">
        <v>43936</v>
      </c>
      <c r="C170" s="1" t="n">
        <v>45508</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19480-2020</t>
        </is>
      </c>
      <c r="B171" s="1" t="n">
        <v>43936</v>
      </c>
      <c r="C171" s="1" t="n">
        <v>45508</v>
      </c>
      <c r="D171" t="inlineStr">
        <is>
          <t>VÄSTMANLANDS LÄN</t>
        </is>
      </c>
      <c r="E171" t="inlineStr">
        <is>
          <t>SALA</t>
        </is>
      </c>
      <c r="G171" t="n">
        <v>4.8</v>
      </c>
      <c r="H171" t="n">
        <v>0</v>
      </c>
      <c r="I171" t="n">
        <v>0</v>
      </c>
      <c r="J171" t="n">
        <v>0</v>
      </c>
      <c r="K171" t="n">
        <v>0</v>
      </c>
      <c r="L171" t="n">
        <v>0</v>
      </c>
      <c r="M171" t="n">
        <v>0</v>
      </c>
      <c r="N171" t="n">
        <v>0</v>
      </c>
      <c r="O171" t="n">
        <v>0</v>
      </c>
      <c r="P171" t="n">
        <v>0</v>
      </c>
      <c r="Q171" t="n">
        <v>0</v>
      </c>
      <c r="R171" s="2" t="inlineStr"/>
    </row>
    <row r="172" ht="15" customHeight="1">
      <c r="A172" t="inlineStr">
        <is>
          <t>A 22305-2020</t>
        </is>
      </c>
      <c r="B172" s="1" t="n">
        <v>43957</v>
      </c>
      <c r="C172" s="1" t="n">
        <v>45508</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22058-2020</t>
        </is>
      </c>
      <c r="B173" s="1" t="n">
        <v>43959</v>
      </c>
      <c r="C173" s="1" t="n">
        <v>45508</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24235-2020</t>
        </is>
      </c>
      <c r="B174" s="1" t="n">
        <v>43976</v>
      </c>
      <c r="C174" s="1" t="n">
        <v>45508</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24763-2020</t>
        </is>
      </c>
      <c r="B175" s="1" t="n">
        <v>43978</v>
      </c>
      <c r="C175" s="1" t="n">
        <v>45508</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26098-2020</t>
        </is>
      </c>
      <c r="B176" s="1" t="n">
        <v>43985</v>
      </c>
      <c r="C176" s="1" t="n">
        <v>45508</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26425-2020</t>
        </is>
      </c>
      <c r="B177" s="1" t="n">
        <v>43987</v>
      </c>
      <c r="C177" s="1" t="n">
        <v>45508</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26937-2020</t>
        </is>
      </c>
      <c r="B178" s="1" t="n">
        <v>43990</v>
      </c>
      <c r="C178" s="1" t="n">
        <v>45508</v>
      </c>
      <c r="D178" t="inlineStr">
        <is>
          <t>VÄSTMANLANDS LÄN</t>
        </is>
      </c>
      <c r="E178" t="inlineStr">
        <is>
          <t>SALA</t>
        </is>
      </c>
      <c r="F178" t="inlineStr">
        <is>
          <t>Bergvik skog öst AB</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27730-2020</t>
        </is>
      </c>
      <c r="B179" s="1" t="n">
        <v>43994</v>
      </c>
      <c r="C179" s="1" t="n">
        <v>45508</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29845-2020</t>
        </is>
      </c>
      <c r="B180" s="1" t="n">
        <v>44005</v>
      </c>
      <c r="C180" s="1" t="n">
        <v>45508</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29821-2020</t>
        </is>
      </c>
      <c r="B181" s="1" t="n">
        <v>44005</v>
      </c>
      <c r="C181" s="1" t="n">
        <v>45508</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29925-2020</t>
        </is>
      </c>
      <c r="B182" s="1" t="n">
        <v>44006</v>
      </c>
      <c r="C182" s="1" t="n">
        <v>45508</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30327-2020</t>
        </is>
      </c>
      <c r="B183" s="1" t="n">
        <v>44007</v>
      </c>
      <c r="C183" s="1" t="n">
        <v>45508</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32371-2020</t>
        </is>
      </c>
      <c r="B184" s="1" t="n">
        <v>44018</v>
      </c>
      <c r="C184" s="1" t="n">
        <v>45508</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32367-2020</t>
        </is>
      </c>
      <c r="B185" s="1" t="n">
        <v>44018</v>
      </c>
      <c r="C185" s="1" t="n">
        <v>45508</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32368-2020</t>
        </is>
      </c>
      <c r="B186" s="1" t="n">
        <v>44018</v>
      </c>
      <c r="C186" s="1" t="n">
        <v>45508</v>
      </c>
      <c r="D186" t="inlineStr">
        <is>
          <t>VÄSTMANLANDS LÄN</t>
        </is>
      </c>
      <c r="E186" t="inlineStr">
        <is>
          <t>SALA</t>
        </is>
      </c>
      <c r="G186" t="n">
        <v>3.4</v>
      </c>
      <c r="H186" t="n">
        <v>0</v>
      </c>
      <c r="I186" t="n">
        <v>0</v>
      </c>
      <c r="J186" t="n">
        <v>0</v>
      </c>
      <c r="K186" t="n">
        <v>0</v>
      </c>
      <c r="L186" t="n">
        <v>0</v>
      </c>
      <c r="M186" t="n">
        <v>0</v>
      </c>
      <c r="N186" t="n">
        <v>0</v>
      </c>
      <c r="O186" t="n">
        <v>0</v>
      </c>
      <c r="P186" t="n">
        <v>0</v>
      </c>
      <c r="Q186" t="n">
        <v>0</v>
      </c>
      <c r="R186" s="2" t="inlineStr"/>
    </row>
    <row r="187" ht="15" customHeight="1">
      <c r="A187" t="inlineStr">
        <is>
          <t>A 32377-2020</t>
        </is>
      </c>
      <c r="B187" s="1" t="n">
        <v>44018</v>
      </c>
      <c r="C187" s="1" t="n">
        <v>45508</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33181-2020</t>
        </is>
      </c>
      <c r="B188" s="1" t="n">
        <v>44021</v>
      </c>
      <c r="C188" s="1" t="n">
        <v>45508</v>
      </c>
      <c r="D188" t="inlineStr">
        <is>
          <t>VÄSTMANLANDS LÄN</t>
        </is>
      </c>
      <c r="E188" t="inlineStr">
        <is>
          <t>SALA</t>
        </is>
      </c>
      <c r="G188" t="n">
        <v>2.8</v>
      </c>
      <c r="H188" t="n">
        <v>0</v>
      </c>
      <c r="I188" t="n">
        <v>0</v>
      </c>
      <c r="J188" t="n">
        <v>0</v>
      </c>
      <c r="K188" t="n">
        <v>0</v>
      </c>
      <c r="L188" t="n">
        <v>0</v>
      </c>
      <c r="M188" t="n">
        <v>0</v>
      </c>
      <c r="N188" t="n">
        <v>0</v>
      </c>
      <c r="O188" t="n">
        <v>0</v>
      </c>
      <c r="P188" t="n">
        <v>0</v>
      </c>
      <c r="Q188" t="n">
        <v>0</v>
      </c>
      <c r="R188" s="2" t="inlineStr"/>
    </row>
    <row r="189" ht="15" customHeight="1">
      <c r="A189" t="inlineStr">
        <is>
          <t>A 34430-2020</t>
        </is>
      </c>
      <c r="B189" s="1" t="n">
        <v>44032</v>
      </c>
      <c r="C189" s="1" t="n">
        <v>45508</v>
      </c>
      <c r="D189" t="inlineStr">
        <is>
          <t>VÄSTMANLANDS LÄN</t>
        </is>
      </c>
      <c r="E189" t="inlineStr">
        <is>
          <t>SALA</t>
        </is>
      </c>
      <c r="G189" t="n">
        <v>4.7</v>
      </c>
      <c r="H189" t="n">
        <v>0</v>
      </c>
      <c r="I189" t="n">
        <v>0</v>
      </c>
      <c r="J189" t="n">
        <v>0</v>
      </c>
      <c r="K189" t="n">
        <v>0</v>
      </c>
      <c r="L189" t="n">
        <v>0</v>
      </c>
      <c r="M189" t="n">
        <v>0</v>
      </c>
      <c r="N189" t="n">
        <v>0</v>
      </c>
      <c r="O189" t="n">
        <v>0</v>
      </c>
      <c r="P189" t="n">
        <v>0</v>
      </c>
      <c r="Q189" t="n">
        <v>0</v>
      </c>
      <c r="R189" s="2" t="inlineStr"/>
    </row>
    <row r="190" ht="15" customHeight="1">
      <c r="A190" t="inlineStr">
        <is>
          <t>A 34429-2020</t>
        </is>
      </c>
      <c r="B190" s="1" t="n">
        <v>44032</v>
      </c>
      <c r="C190" s="1" t="n">
        <v>45508</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37008-2020</t>
        </is>
      </c>
      <c r="B191" s="1" t="n">
        <v>44054</v>
      </c>
      <c r="C191" s="1" t="n">
        <v>45508</v>
      </c>
      <c r="D191" t="inlineStr">
        <is>
          <t>VÄSTMANLANDS LÄN</t>
        </is>
      </c>
      <c r="E191" t="inlineStr">
        <is>
          <t>SALA</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37098-2020</t>
        </is>
      </c>
      <c r="B192" s="1" t="n">
        <v>44054</v>
      </c>
      <c r="C192" s="1" t="n">
        <v>45508</v>
      </c>
      <c r="D192" t="inlineStr">
        <is>
          <t>VÄSTMANLANDS LÄN</t>
        </is>
      </c>
      <c r="E192" t="inlineStr">
        <is>
          <t>SALA</t>
        </is>
      </c>
      <c r="F192" t="inlineStr">
        <is>
          <t>Kommuner</t>
        </is>
      </c>
      <c r="G192" t="n">
        <v>3.8</v>
      </c>
      <c r="H192" t="n">
        <v>0</v>
      </c>
      <c r="I192" t="n">
        <v>0</v>
      </c>
      <c r="J192" t="n">
        <v>0</v>
      </c>
      <c r="K192" t="n">
        <v>0</v>
      </c>
      <c r="L192" t="n">
        <v>0</v>
      </c>
      <c r="M192" t="n">
        <v>0</v>
      </c>
      <c r="N192" t="n">
        <v>0</v>
      </c>
      <c r="O192" t="n">
        <v>0</v>
      </c>
      <c r="P192" t="n">
        <v>0</v>
      </c>
      <c r="Q192" t="n">
        <v>0</v>
      </c>
      <c r="R192" s="2" t="inlineStr"/>
    </row>
    <row r="193" ht="15" customHeight="1">
      <c r="A193" t="inlineStr">
        <is>
          <t>A 37150-2020</t>
        </is>
      </c>
      <c r="B193" s="1" t="n">
        <v>44054</v>
      </c>
      <c r="C193" s="1" t="n">
        <v>45508</v>
      </c>
      <c r="D193" t="inlineStr">
        <is>
          <t>VÄSTMANLANDS LÄN</t>
        </is>
      </c>
      <c r="E193" t="inlineStr">
        <is>
          <t>SALA</t>
        </is>
      </c>
      <c r="F193" t="inlineStr">
        <is>
          <t>Kommuner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38579-2020</t>
        </is>
      </c>
      <c r="B194" s="1" t="n">
        <v>44061</v>
      </c>
      <c r="C194" s="1" t="n">
        <v>45508</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38713-2020</t>
        </is>
      </c>
      <c r="B195" s="1" t="n">
        <v>44061</v>
      </c>
      <c r="C195" s="1" t="n">
        <v>45508</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39519-2020</t>
        </is>
      </c>
      <c r="B196" s="1" t="n">
        <v>44064</v>
      </c>
      <c r="C196" s="1" t="n">
        <v>45508</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39818-2020</t>
        </is>
      </c>
      <c r="B197" s="1" t="n">
        <v>44067</v>
      </c>
      <c r="C197" s="1" t="n">
        <v>45508</v>
      </c>
      <c r="D197" t="inlineStr">
        <is>
          <t>VÄSTMANLANDS LÄN</t>
        </is>
      </c>
      <c r="E197" t="inlineStr">
        <is>
          <t>SALA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41493-2020</t>
        </is>
      </c>
      <c r="B198" s="1" t="n">
        <v>44074</v>
      </c>
      <c r="C198" s="1" t="n">
        <v>45508</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41485-2020</t>
        </is>
      </c>
      <c r="B199" s="1" t="n">
        <v>44074</v>
      </c>
      <c r="C199" s="1" t="n">
        <v>45508</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42344-2020</t>
        </is>
      </c>
      <c r="B200" s="1" t="n">
        <v>44076</v>
      </c>
      <c r="C200" s="1" t="n">
        <v>45508</v>
      </c>
      <c r="D200" t="inlineStr">
        <is>
          <t>VÄSTMANLANDS LÄN</t>
        </is>
      </c>
      <c r="E200" t="inlineStr">
        <is>
          <t>SALA</t>
        </is>
      </c>
      <c r="G200" t="n">
        <v>5.1</v>
      </c>
      <c r="H200" t="n">
        <v>0</v>
      </c>
      <c r="I200" t="n">
        <v>0</v>
      </c>
      <c r="J200" t="n">
        <v>0</v>
      </c>
      <c r="K200" t="n">
        <v>0</v>
      </c>
      <c r="L200" t="n">
        <v>0</v>
      </c>
      <c r="M200" t="n">
        <v>0</v>
      </c>
      <c r="N200" t="n">
        <v>0</v>
      </c>
      <c r="O200" t="n">
        <v>0</v>
      </c>
      <c r="P200" t="n">
        <v>0</v>
      </c>
      <c r="Q200" t="n">
        <v>0</v>
      </c>
      <c r="R200" s="2" t="inlineStr"/>
    </row>
    <row r="201" ht="15" customHeight="1">
      <c r="A201" t="inlineStr">
        <is>
          <t>A 42345-2020</t>
        </is>
      </c>
      <c r="B201" s="1" t="n">
        <v>44076</v>
      </c>
      <c r="C201" s="1" t="n">
        <v>45508</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42346-2020</t>
        </is>
      </c>
      <c r="B202" s="1" t="n">
        <v>44076</v>
      </c>
      <c r="C202" s="1" t="n">
        <v>45508</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43349-2020</t>
        </is>
      </c>
      <c r="B203" s="1" t="n">
        <v>44081</v>
      </c>
      <c r="C203" s="1" t="n">
        <v>45508</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44652-2020</t>
        </is>
      </c>
      <c r="B204" s="1" t="n">
        <v>44085</v>
      </c>
      <c r="C204" s="1" t="n">
        <v>45508</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44950-2020</t>
        </is>
      </c>
      <c r="B205" s="1" t="n">
        <v>44088</v>
      </c>
      <c r="C205" s="1" t="n">
        <v>45508</v>
      </c>
      <c r="D205" t="inlineStr">
        <is>
          <t>VÄSTMANLANDS LÄN</t>
        </is>
      </c>
      <c r="E205" t="inlineStr">
        <is>
          <t>SALA</t>
        </is>
      </c>
      <c r="G205" t="n">
        <v>9</v>
      </c>
      <c r="H205" t="n">
        <v>0</v>
      </c>
      <c r="I205" t="n">
        <v>0</v>
      </c>
      <c r="J205" t="n">
        <v>0</v>
      </c>
      <c r="K205" t="n">
        <v>0</v>
      </c>
      <c r="L205" t="n">
        <v>0</v>
      </c>
      <c r="M205" t="n">
        <v>0</v>
      </c>
      <c r="N205" t="n">
        <v>0</v>
      </c>
      <c r="O205" t="n">
        <v>0</v>
      </c>
      <c r="P205" t="n">
        <v>0</v>
      </c>
      <c r="Q205" t="n">
        <v>0</v>
      </c>
      <c r="R205" s="2" t="inlineStr"/>
    </row>
    <row r="206" ht="15" customHeight="1">
      <c r="A206" t="inlineStr">
        <is>
          <t>A 46965-2020</t>
        </is>
      </c>
      <c r="B206" s="1" t="n">
        <v>44096</v>
      </c>
      <c r="C206" s="1" t="n">
        <v>45508</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47054-2020</t>
        </is>
      </c>
      <c r="B207" s="1" t="n">
        <v>44096</v>
      </c>
      <c r="C207" s="1" t="n">
        <v>45508</v>
      </c>
      <c r="D207" t="inlineStr">
        <is>
          <t>VÄSTMANLANDS LÄN</t>
        </is>
      </c>
      <c r="E207" t="inlineStr">
        <is>
          <t>SALA</t>
        </is>
      </c>
      <c r="F207" t="inlineStr">
        <is>
          <t>Kommuner</t>
        </is>
      </c>
      <c r="G207" t="n">
        <v>1.1</v>
      </c>
      <c r="H207" t="n">
        <v>0</v>
      </c>
      <c r="I207" t="n">
        <v>0</v>
      </c>
      <c r="J207" t="n">
        <v>0</v>
      </c>
      <c r="K207" t="n">
        <v>0</v>
      </c>
      <c r="L207" t="n">
        <v>0</v>
      </c>
      <c r="M207" t="n">
        <v>0</v>
      </c>
      <c r="N207" t="n">
        <v>0</v>
      </c>
      <c r="O207" t="n">
        <v>0</v>
      </c>
      <c r="P207" t="n">
        <v>0</v>
      </c>
      <c r="Q207" t="n">
        <v>0</v>
      </c>
      <c r="R207" s="2" t="inlineStr"/>
    </row>
    <row r="208" ht="15" customHeight="1">
      <c r="A208" t="inlineStr">
        <is>
          <t>A 47208-2020</t>
        </is>
      </c>
      <c r="B208" s="1" t="n">
        <v>44097</v>
      </c>
      <c r="C208" s="1" t="n">
        <v>45508</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50559-2020</t>
        </is>
      </c>
      <c r="B209" s="1" t="n">
        <v>44110</v>
      </c>
      <c r="C209" s="1" t="n">
        <v>45508</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50801-2020</t>
        </is>
      </c>
      <c r="B210" s="1" t="n">
        <v>44111</v>
      </c>
      <c r="C210" s="1" t="n">
        <v>45508</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45508</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54322-2020</t>
        </is>
      </c>
      <c r="B212" s="1" t="n">
        <v>44126</v>
      </c>
      <c r="C212" s="1" t="n">
        <v>45508</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54923-2020</t>
        </is>
      </c>
      <c r="B213" s="1" t="n">
        <v>44127</v>
      </c>
      <c r="C213" s="1" t="n">
        <v>45508</v>
      </c>
      <c r="D213" t="inlineStr">
        <is>
          <t>VÄSTMANLANDS LÄN</t>
        </is>
      </c>
      <c r="E213" t="inlineStr">
        <is>
          <t>SALA</t>
        </is>
      </c>
      <c r="G213" t="n">
        <v>4.9</v>
      </c>
      <c r="H213" t="n">
        <v>0</v>
      </c>
      <c r="I213" t="n">
        <v>0</v>
      </c>
      <c r="J213" t="n">
        <v>0</v>
      </c>
      <c r="K213" t="n">
        <v>0</v>
      </c>
      <c r="L213" t="n">
        <v>0</v>
      </c>
      <c r="M213" t="n">
        <v>0</v>
      </c>
      <c r="N213" t="n">
        <v>0</v>
      </c>
      <c r="O213" t="n">
        <v>0</v>
      </c>
      <c r="P213" t="n">
        <v>0</v>
      </c>
      <c r="Q213" t="n">
        <v>0</v>
      </c>
      <c r="R213" s="2" t="inlineStr"/>
    </row>
    <row r="214" ht="15" customHeight="1">
      <c r="A214" t="inlineStr">
        <is>
          <t>A 54931-2020</t>
        </is>
      </c>
      <c r="B214" s="1" t="n">
        <v>44127</v>
      </c>
      <c r="C214" s="1" t="n">
        <v>45508</v>
      </c>
      <c r="D214" t="inlineStr">
        <is>
          <t>VÄSTMANLANDS LÄN</t>
        </is>
      </c>
      <c r="E214" t="inlineStr">
        <is>
          <t>SALA</t>
        </is>
      </c>
      <c r="G214" t="n">
        <v>7</v>
      </c>
      <c r="H214" t="n">
        <v>0</v>
      </c>
      <c r="I214" t="n">
        <v>0</v>
      </c>
      <c r="J214" t="n">
        <v>0</v>
      </c>
      <c r="K214" t="n">
        <v>0</v>
      </c>
      <c r="L214" t="n">
        <v>0</v>
      </c>
      <c r="M214" t="n">
        <v>0</v>
      </c>
      <c r="N214" t="n">
        <v>0</v>
      </c>
      <c r="O214" t="n">
        <v>0</v>
      </c>
      <c r="P214" t="n">
        <v>0</v>
      </c>
      <c r="Q214" t="n">
        <v>0</v>
      </c>
      <c r="R214" s="2" t="inlineStr"/>
    </row>
    <row r="215" ht="15" customHeight="1">
      <c r="A215" t="inlineStr">
        <is>
          <t>A 55439-2020</t>
        </is>
      </c>
      <c r="B215" s="1" t="n">
        <v>44130</v>
      </c>
      <c r="C215" s="1" t="n">
        <v>45508</v>
      </c>
      <c r="D215" t="inlineStr">
        <is>
          <t>VÄSTMANLANDS LÄN</t>
        </is>
      </c>
      <c r="E215" t="inlineStr">
        <is>
          <t>SALA</t>
        </is>
      </c>
      <c r="G215" t="n">
        <v>4.3</v>
      </c>
      <c r="H215" t="n">
        <v>0</v>
      </c>
      <c r="I215" t="n">
        <v>0</v>
      </c>
      <c r="J215" t="n">
        <v>0</v>
      </c>
      <c r="K215" t="n">
        <v>0</v>
      </c>
      <c r="L215" t="n">
        <v>0</v>
      </c>
      <c r="M215" t="n">
        <v>0</v>
      </c>
      <c r="N215" t="n">
        <v>0</v>
      </c>
      <c r="O215" t="n">
        <v>0</v>
      </c>
      <c r="P215" t="n">
        <v>0</v>
      </c>
      <c r="Q215" t="n">
        <v>0</v>
      </c>
      <c r="R215" s="2" t="inlineStr"/>
    </row>
    <row r="216" ht="15" customHeight="1">
      <c r="A216" t="inlineStr">
        <is>
          <t>A 55881-2020</t>
        </is>
      </c>
      <c r="B216" s="1" t="n">
        <v>44132</v>
      </c>
      <c r="C216" s="1" t="n">
        <v>45508</v>
      </c>
      <c r="D216" t="inlineStr">
        <is>
          <t>VÄSTMANLANDS LÄN</t>
        </is>
      </c>
      <c r="E216" t="inlineStr">
        <is>
          <t>SALA</t>
        </is>
      </c>
      <c r="G216" t="n">
        <v>3</v>
      </c>
      <c r="H216" t="n">
        <v>0</v>
      </c>
      <c r="I216" t="n">
        <v>0</v>
      </c>
      <c r="J216" t="n">
        <v>0</v>
      </c>
      <c r="K216" t="n">
        <v>0</v>
      </c>
      <c r="L216" t="n">
        <v>0</v>
      </c>
      <c r="M216" t="n">
        <v>0</v>
      </c>
      <c r="N216" t="n">
        <v>0</v>
      </c>
      <c r="O216" t="n">
        <v>0</v>
      </c>
      <c r="P216" t="n">
        <v>0</v>
      </c>
      <c r="Q216" t="n">
        <v>0</v>
      </c>
      <c r="R216" s="2" t="inlineStr"/>
    </row>
    <row r="217" ht="15" customHeight="1">
      <c r="A217" t="inlineStr">
        <is>
          <t>A 56134-2020</t>
        </is>
      </c>
      <c r="B217" s="1" t="n">
        <v>44132</v>
      </c>
      <c r="C217" s="1" t="n">
        <v>45508</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56098-2020</t>
        </is>
      </c>
      <c r="B218" s="1" t="n">
        <v>44132</v>
      </c>
      <c r="C218" s="1" t="n">
        <v>45508</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57800-2020</t>
        </is>
      </c>
      <c r="B219" s="1" t="n">
        <v>44141</v>
      </c>
      <c r="C219" s="1" t="n">
        <v>45508</v>
      </c>
      <c r="D219" t="inlineStr">
        <is>
          <t>VÄSTMANLANDS LÄN</t>
        </is>
      </c>
      <c r="E219" t="inlineStr">
        <is>
          <t>SALA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58314-2020</t>
        </is>
      </c>
      <c r="B220" s="1" t="n">
        <v>44145</v>
      </c>
      <c r="C220" s="1" t="n">
        <v>45508</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58781-2020</t>
        </is>
      </c>
      <c r="B221" s="1" t="n">
        <v>44146</v>
      </c>
      <c r="C221" s="1" t="n">
        <v>45508</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58912-2020</t>
        </is>
      </c>
      <c r="B222" s="1" t="n">
        <v>44146</v>
      </c>
      <c r="C222" s="1" t="n">
        <v>45508</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61415-2020</t>
        </is>
      </c>
      <c r="B223" s="1" t="n">
        <v>44156</v>
      </c>
      <c r="C223" s="1" t="n">
        <v>45508</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62275-2020</t>
        </is>
      </c>
      <c r="B224" s="1" t="n">
        <v>44158</v>
      </c>
      <c r="C224" s="1" t="n">
        <v>45508</v>
      </c>
      <c r="D224" t="inlineStr">
        <is>
          <t>VÄSTMANLANDS LÄN</t>
        </is>
      </c>
      <c r="E224" t="inlineStr">
        <is>
          <t>SALA</t>
        </is>
      </c>
      <c r="G224" t="n">
        <v>4.9</v>
      </c>
      <c r="H224" t="n">
        <v>0</v>
      </c>
      <c r="I224" t="n">
        <v>0</v>
      </c>
      <c r="J224" t="n">
        <v>0</v>
      </c>
      <c r="K224" t="n">
        <v>0</v>
      </c>
      <c r="L224" t="n">
        <v>0</v>
      </c>
      <c r="M224" t="n">
        <v>0</v>
      </c>
      <c r="N224" t="n">
        <v>0</v>
      </c>
      <c r="O224" t="n">
        <v>0</v>
      </c>
      <c r="P224" t="n">
        <v>0</v>
      </c>
      <c r="Q224" t="n">
        <v>0</v>
      </c>
      <c r="R224" s="2" t="inlineStr"/>
    </row>
    <row r="225" ht="15" customHeight="1">
      <c r="A225" t="inlineStr">
        <is>
          <t>A 62680-2020</t>
        </is>
      </c>
      <c r="B225" s="1" t="n">
        <v>44161</v>
      </c>
      <c r="C225" s="1" t="n">
        <v>45508</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64940-2020</t>
        </is>
      </c>
      <c r="B226" s="1" t="n">
        <v>44172</v>
      </c>
      <c r="C226" s="1" t="n">
        <v>45508</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66821-2020</t>
        </is>
      </c>
      <c r="B227" s="1" t="n">
        <v>44179</v>
      </c>
      <c r="C227" s="1" t="n">
        <v>45508</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68113-2020</t>
        </is>
      </c>
      <c r="B228" s="1" t="n">
        <v>44182</v>
      </c>
      <c r="C228" s="1" t="n">
        <v>45508</v>
      </c>
      <c r="D228" t="inlineStr">
        <is>
          <t>VÄSTMANLANDS LÄN</t>
        </is>
      </c>
      <c r="E228" t="inlineStr">
        <is>
          <t>SALA</t>
        </is>
      </c>
      <c r="G228" t="n">
        <v>3.6</v>
      </c>
      <c r="H228" t="n">
        <v>0</v>
      </c>
      <c r="I228" t="n">
        <v>0</v>
      </c>
      <c r="J228" t="n">
        <v>0</v>
      </c>
      <c r="K228" t="n">
        <v>0</v>
      </c>
      <c r="L228" t="n">
        <v>0</v>
      </c>
      <c r="M228" t="n">
        <v>0</v>
      </c>
      <c r="N228" t="n">
        <v>0</v>
      </c>
      <c r="O228" t="n">
        <v>0</v>
      </c>
      <c r="P228" t="n">
        <v>0</v>
      </c>
      <c r="Q228" t="n">
        <v>0</v>
      </c>
      <c r="R228" s="2" t="inlineStr"/>
    </row>
    <row r="229" ht="15" customHeight="1">
      <c r="A229" t="inlineStr">
        <is>
          <t>A 69194-2020</t>
        </is>
      </c>
      <c r="B229" s="1" t="n">
        <v>44191</v>
      </c>
      <c r="C229" s="1" t="n">
        <v>45508</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69192-2020</t>
        </is>
      </c>
      <c r="B230" s="1" t="n">
        <v>44191</v>
      </c>
      <c r="C230" s="1" t="n">
        <v>45508</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69195-2020</t>
        </is>
      </c>
      <c r="B231" s="1" t="n">
        <v>44191</v>
      </c>
      <c r="C231" s="1" t="n">
        <v>45508</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69319-2020</t>
        </is>
      </c>
      <c r="B232" s="1" t="n">
        <v>44193</v>
      </c>
      <c r="C232" s="1" t="n">
        <v>45508</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69318-2020</t>
        </is>
      </c>
      <c r="B233" s="1" t="n">
        <v>44193</v>
      </c>
      <c r="C233" s="1" t="n">
        <v>45508</v>
      </c>
      <c r="D233" t="inlineStr">
        <is>
          <t>VÄSTMANLANDS LÄN</t>
        </is>
      </c>
      <c r="E233" t="inlineStr">
        <is>
          <t>SALA</t>
        </is>
      </c>
      <c r="G233" t="n">
        <v>2.2</v>
      </c>
      <c r="H233" t="n">
        <v>0</v>
      </c>
      <c r="I233" t="n">
        <v>0</v>
      </c>
      <c r="J233" t="n">
        <v>0</v>
      </c>
      <c r="K233" t="n">
        <v>0</v>
      </c>
      <c r="L233" t="n">
        <v>0</v>
      </c>
      <c r="M233" t="n">
        <v>0</v>
      </c>
      <c r="N233" t="n">
        <v>0</v>
      </c>
      <c r="O233" t="n">
        <v>0</v>
      </c>
      <c r="P233" t="n">
        <v>0</v>
      </c>
      <c r="Q233" t="n">
        <v>0</v>
      </c>
      <c r="R233" s="2" t="inlineStr"/>
    </row>
    <row r="234" ht="15" customHeight="1">
      <c r="A234" t="inlineStr">
        <is>
          <t>A 69362-2020</t>
        </is>
      </c>
      <c r="B234" s="1" t="n">
        <v>44193</v>
      </c>
      <c r="C234" s="1" t="n">
        <v>45508</v>
      </c>
      <c r="D234" t="inlineStr">
        <is>
          <t>VÄSTMANLANDS LÄN</t>
        </is>
      </c>
      <c r="E234" t="inlineStr">
        <is>
          <t>SALA</t>
        </is>
      </c>
      <c r="G234" t="n">
        <v>13.7</v>
      </c>
      <c r="H234" t="n">
        <v>0</v>
      </c>
      <c r="I234" t="n">
        <v>0</v>
      </c>
      <c r="J234" t="n">
        <v>0</v>
      </c>
      <c r="K234" t="n">
        <v>0</v>
      </c>
      <c r="L234" t="n">
        <v>0</v>
      </c>
      <c r="M234" t="n">
        <v>0</v>
      </c>
      <c r="N234" t="n">
        <v>0</v>
      </c>
      <c r="O234" t="n">
        <v>0</v>
      </c>
      <c r="P234" t="n">
        <v>0</v>
      </c>
      <c r="Q234" t="n">
        <v>0</v>
      </c>
      <c r="R234" s="2" t="inlineStr"/>
    </row>
    <row r="235" ht="15" customHeight="1">
      <c r="A235" t="inlineStr">
        <is>
          <t>A 1599-2021</t>
        </is>
      </c>
      <c r="B235" s="1" t="n">
        <v>44209</v>
      </c>
      <c r="C235" s="1" t="n">
        <v>45508</v>
      </c>
      <c r="D235" t="inlineStr">
        <is>
          <t>VÄSTMANLANDS LÄN</t>
        </is>
      </c>
      <c r="E235" t="inlineStr">
        <is>
          <t>SALA</t>
        </is>
      </c>
      <c r="G235" t="n">
        <v>9.6</v>
      </c>
      <c r="H235" t="n">
        <v>0</v>
      </c>
      <c r="I235" t="n">
        <v>0</v>
      </c>
      <c r="J235" t="n">
        <v>0</v>
      </c>
      <c r="K235" t="n">
        <v>0</v>
      </c>
      <c r="L235" t="n">
        <v>0</v>
      </c>
      <c r="M235" t="n">
        <v>0</v>
      </c>
      <c r="N235" t="n">
        <v>0</v>
      </c>
      <c r="O235" t="n">
        <v>0</v>
      </c>
      <c r="P235" t="n">
        <v>0</v>
      </c>
      <c r="Q235" t="n">
        <v>0</v>
      </c>
      <c r="R235" s="2" t="inlineStr"/>
      <c r="U235">
        <f>HYPERLINK("https://klasma.github.io/Logging_1981/knärot/A 1599-2021 karta knärot.png", "A 1599-2021")</f>
        <v/>
      </c>
      <c r="V235">
        <f>HYPERLINK("https://klasma.github.io/Logging_1981/klagomål/A 1599-2021 FSC-klagomål.docx", "A 1599-2021")</f>
        <v/>
      </c>
      <c r="W235">
        <f>HYPERLINK("https://klasma.github.io/Logging_1981/klagomålsmail/A 1599-2021 FSC-klagomål mail.docx", "A 1599-2021")</f>
        <v/>
      </c>
      <c r="X235">
        <f>HYPERLINK("https://klasma.github.io/Logging_1981/tillsyn/A 1599-2021 tillsynsbegäran.docx", "A 1599-2021")</f>
        <v/>
      </c>
      <c r="Y235">
        <f>HYPERLINK("https://klasma.github.io/Logging_1981/tillsynsmail/A 1599-2021 tillsynsbegäran mail.docx", "A 1599-2021")</f>
        <v/>
      </c>
    </row>
    <row r="236" ht="15" customHeight="1">
      <c r="A236" t="inlineStr">
        <is>
          <t>A 2443-2021</t>
        </is>
      </c>
      <c r="B236" s="1" t="n">
        <v>44214</v>
      </c>
      <c r="C236" s="1" t="n">
        <v>45508</v>
      </c>
      <c r="D236" t="inlineStr">
        <is>
          <t>VÄSTMANLANDS LÄN</t>
        </is>
      </c>
      <c r="E236" t="inlineStr">
        <is>
          <t>SALA</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4736-2021</t>
        </is>
      </c>
      <c r="B237" s="1" t="n">
        <v>44225</v>
      </c>
      <c r="C237" s="1" t="n">
        <v>45508</v>
      </c>
      <c r="D237" t="inlineStr">
        <is>
          <t>VÄSTMANLANDS LÄN</t>
        </is>
      </c>
      <c r="E237" t="inlineStr">
        <is>
          <t>SALA</t>
        </is>
      </c>
      <c r="G237" t="n">
        <v>4.2</v>
      </c>
      <c r="H237" t="n">
        <v>0</v>
      </c>
      <c r="I237" t="n">
        <v>0</v>
      </c>
      <c r="J237" t="n">
        <v>0</v>
      </c>
      <c r="K237" t="n">
        <v>0</v>
      </c>
      <c r="L237" t="n">
        <v>0</v>
      </c>
      <c r="M237" t="n">
        <v>0</v>
      </c>
      <c r="N237" t="n">
        <v>0</v>
      </c>
      <c r="O237" t="n">
        <v>0</v>
      </c>
      <c r="P237" t="n">
        <v>0</v>
      </c>
      <c r="Q237" t="n">
        <v>0</v>
      </c>
      <c r="R237" s="2" t="inlineStr"/>
    </row>
    <row r="238" ht="15" customHeight="1">
      <c r="A238" t="inlineStr">
        <is>
          <t>A 6088-2021</t>
        </is>
      </c>
      <c r="B238" s="1" t="n">
        <v>44232</v>
      </c>
      <c r="C238" s="1" t="n">
        <v>45508</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6308-2021</t>
        </is>
      </c>
      <c r="B239" s="1" t="n">
        <v>44235</v>
      </c>
      <c r="C239" s="1" t="n">
        <v>45508</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7681-2021</t>
        </is>
      </c>
      <c r="B240" s="1" t="n">
        <v>44242</v>
      </c>
      <c r="C240" s="1" t="n">
        <v>45508</v>
      </c>
      <c r="D240" t="inlineStr">
        <is>
          <t>VÄSTMANLANDS LÄN</t>
        </is>
      </c>
      <c r="E240" t="inlineStr">
        <is>
          <t>SALA</t>
        </is>
      </c>
      <c r="F240" t="inlineStr">
        <is>
          <t>Sveaskog</t>
        </is>
      </c>
      <c r="G240" t="n">
        <v>16.1</v>
      </c>
      <c r="H240" t="n">
        <v>0</v>
      </c>
      <c r="I240" t="n">
        <v>0</v>
      </c>
      <c r="J240" t="n">
        <v>0</v>
      </c>
      <c r="K240" t="n">
        <v>0</v>
      </c>
      <c r="L240" t="n">
        <v>0</v>
      </c>
      <c r="M240" t="n">
        <v>0</v>
      </c>
      <c r="N240" t="n">
        <v>0</v>
      </c>
      <c r="O240" t="n">
        <v>0</v>
      </c>
      <c r="P240" t="n">
        <v>0</v>
      </c>
      <c r="Q240" t="n">
        <v>0</v>
      </c>
      <c r="R240" s="2" t="inlineStr"/>
    </row>
    <row r="241" ht="15" customHeight="1">
      <c r="A241" t="inlineStr">
        <is>
          <t>A 7968-2021</t>
        </is>
      </c>
      <c r="B241" s="1" t="n">
        <v>44243</v>
      </c>
      <c r="C241" s="1" t="n">
        <v>45508</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7955-2021</t>
        </is>
      </c>
      <c r="B242" s="1" t="n">
        <v>44243</v>
      </c>
      <c r="C242" s="1" t="n">
        <v>45508</v>
      </c>
      <c r="D242" t="inlineStr">
        <is>
          <t>VÄSTMANLANDS LÄN</t>
        </is>
      </c>
      <c r="E242" t="inlineStr">
        <is>
          <t>SALA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8513-2021</t>
        </is>
      </c>
      <c r="B243" s="1" t="n">
        <v>44244</v>
      </c>
      <c r="C243" s="1" t="n">
        <v>45508</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10154-2021</t>
        </is>
      </c>
      <c r="B244" s="1" t="n">
        <v>44256</v>
      </c>
      <c r="C244" s="1" t="n">
        <v>45508</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45508</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11017-2021</t>
        </is>
      </c>
      <c r="B246" s="1" t="n">
        <v>44260</v>
      </c>
      <c r="C246" s="1" t="n">
        <v>45508</v>
      </c>
      <c r="D246" t="inlineStr">
        <is>
          <t>VÄSTMANLANDS LÄN</t>
        </is>
      </c>
      <c r="E246" t="inlineStr">
        <is>
          <t>SALA</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11007-2021</t>
        </is>
      </c>
      <c r="B247" s="1" t="n">
        <v>44260</v>
      </c>
      <c r="C247" s="1" t="n">
        <v>45508</v>
      </c>
      <c r="D247" t="inlineStr">
        <is>
          <t>VÄSTMANLANDS LÄN</t>
        </is>
      </c>
      <c r="E247" t="inlineStr">
        <is>
          <t>SALA</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11560-2021</t>
        </is>
      </c>
      <c r="B248" s="1" t="n">
        <v>44264</v>
      </c>
      <c r="C248" s="1" t="n">
        <v>45508</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13112-2021</t>
        </is>
      </c>
      <c r="B249" s="1" t="n">
        <v>44272</v>
      </c>
      <c r="C249" s="1" t="n">
        <v>45508</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13993-2021</t>
        </is>
      </c>
      <c r="B250" s="1" t="n">
        <v>44277</v>
      </c>
      <c r="C250" s="1" t="n">
        <v>45508</v>
      </c>
      <c r="D250" t="inlineStr">
        <is>
          <t>VÄSTMANLANDS LÄN</t>
        </is>
      </c>
      <c r="E250" t="inlineStr">
        <is>
          <t>SALA</t>
        </is>
      </c>
      <c r="G250" t="n">
        <v>27.6</v>
      </c>
      <c r="H250" t="n">
        <v>0</v>
      </c>
      <c r="I250" t="n">
        <v>0</v>
      </c>
      <c r="J250" t="n">
        <v>0</v>
      </c>
      <c r="K250" t="n">
        <v>0</v>
      </c>
      <c r="L250" t="n">
        <v>0</v>
      </c>
      <c r="M250" t="n">
        <v>0</v>
      </c>
      <c r="N250" t="n">
        <v>0</v>
      </c>
      <c r="O250" t="n">
        <v>0</v>
      </c>
      <c r="P250" t="n">
        <v>0</v>
      </c>
      <c r="Q250" t="n">
        <v>0</v>
      </c>
      <c r="R250" s="2" t="inlineStr"/>
    </row>
    <row r="251" ht="15" customHeight="1">
      <c r="A251" t="inlineStr">
        <is>
          <t>A 14010-2021</t>
        </is>
      </c>
      <c r="B251" s="1" t="n">
        <v>44277</v>
      </c>
      <c r="C251" s="1" t="n">
        <v>45508</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45508</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15483-2021</t>
        </is>
      </c>
      <c r="B253" s="1" t="n">
        <v>44285</v>
      </c>
      <c r="C253" s="1" t="n">
        <v>45508</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15584-2021</t>
        </is>
      </c>
      <c r="B254" s="1" t="n">
        <v>44285</v>
      </c>
      <c r="C254" s="1" t="n">
        <v>45508</v>
      </c>
      <c r="D254" t="inlineStr">
        <is>
          <t>VÄSTMANLANDS LÄN</t>
        </is>
      </c>
      <c r="E254" t="inlineStr">
        <is>
          <t>SALA</t>
        </is>
      </c>
      <c r="G254" t="n">
        <v>3.4</v>
      </c>
      <c r="H254" t="n">
        <v>0</v>
      </c>
      <c r="I254" t="n">
        <v>0</v>
      </c>
      <c r="J254" t="n">
        <v>0</v>
      </c>
      <c r="K254" t="n">
        <v>0</v>
      </c>
      <c r="L254" t="n">
        <v>0</v>
      </c>
      <c r="M254" t="n">
        <v>0</v>
      </c>
      <c r="N254" t="n">
        <v>0</v>
      </c>
      <c r="O254" t="n">
        <v>0</v>
      </c>
      <c r="P254" t="n">
        <v>0</v>
      </c>
      <c r="Q254" t="n">
        <v>0</v>
      </c>
      <c r="R254" s="2" t="inlineStr"/>
    </row>
    <row r="255" ht="15" customHeight="1">
      <c r="A255" t="inlineStr">
        <is>
          <t>A 16651-2021</t>
        </is>
      </c>
      <c r="B255" s="1" t="n">
        <v>44294</v>
      </c>
      <c r="C255" s="1" t="n">
        <v>45508</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18046-2021</t>
        </is>
      </c>
      <c r="B256" s="1" t="n">
        <v>44301</v>
      </c>
      <c r="C256" s="1" t="n">
        <v>45508</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18189-2021</t>
        </is>
      </c>
      <c r="B257" s="1" t="n">
        <v>44302</v>
      </c>
      <c r="C257" s="1" t="n">
        <v>45508</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18259-2021</t>
        </is>
      </c>
      <c r="B258" s="1" t="n">
        <v>44305</v>
      </c>
      <c r="C258" s="1" t="n">
        <v>45508</v>
      </c>
      <c r="D258" t="inlineStr">
        <is>
          <t>VÄSTMANLANDS LÄN</t>
        </is>
      </c>
      <c r="E258" t="inlineStr">
        <is>
          <t>SALA</t>
        </is>
      </c>
      <c r="G258" t="n">
        <v>0</v>
      </c>
      <c r="H258" t="n">
        <v>0</v>
      </c>
      <c r="I258" t="n">
        <v>0</v>
      </c>
      <c r="J258" t="n">
        <v>0</v>
      </c>
      <c r="K258" t="n">
        <v>0</v>
      </c>
      <c r="L258" t="n">
        <v>0</v>
      </c>
      <c r="M258" t="n">
        <v>0</v>
      </c>
      <c r="N258" t="n">
        <v>0</v>
      </c>
      <c r="O258" t="n">
        <v>0</v>
      </c>
      <c r="P258" t="n">
        <v>0</v>
      </c>
      <c r="Q258" t="n">
        <v>0</v>
      </c>
      <c r="R258" s="2" t="inlineStr"/>
    </row>
    <row r="259" ht="15" customHeight="1">
      <c r="A259" t="inlineStr">
        <is>
          <t>A 18378-2021</t>
        </is>
      </c>
      <c r="B259" s="1" t="n">
        <v>44305</v>
      </c>
      <c r="C259" s="1" t="n">
        <v>45508</v>
      </c>
      <c r="D259" t="inlineStr">
        <is>
          <t>VÄSTMANLANDS LÄN</t>
        </is>
      </c>
      <c r="E259" t="inlineStr">
        <is>
          <t>SALA</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18385-2021</t>
        </is>
      </c>
      <c r="B260" s="1" t="n">
        <v>44305</v>
      </c>
      <c r="C260" s="1" t="n">
        <v>45508</v>
      </c>
      <c r="D260" t="inlineStr">
        <is>
          <t>VÄSTMANLANDS LÄN</t>
        </is>
      </c>
      <c r="E260" t="inlineStr">
        <is>
          <t>SALA</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18951-2021</t>
        </is>
      </c>
      <c r="B261" s="1" t="n">
        <v>44308</v>
      </c>
      <c r="C261" s="1" t="n">
        <v>45508</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21458-2021</t>
        </is>
      </c>
      <c r="B262" s="1" t="n">
        <v>44321</v>
      </c>
      <c r="C262" s="1" t="n">
        <v>45508</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21478-2021</t>
        </is>
      </c>
      <c r="B263" s="1" t="n">
        <v>44321</v>
      </c>
      <c r="C263" s="1" t="n">
        <v>45508</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22019-2021</t>
        </is>
      </c>
      <c r="B264" s="1" t="n">
        <v>44323</v>
      </c>
      <c r="C264" s="1" t="n">
        <v>45508</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22026-2021</t>
        </is>
      </c>
      <c r="B265" s="1" t="n">
        <v>44323</v>
      </c>
      <c r="C265" s="1" t="n">
        <v>45508</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22017-2021</t>
        </is>
      </c>
      <c r="B266" s="1" t="n">
        <v>44323</v>
      </c>
      <c r="C266" s="1" t="n">
        <v>45508</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22362-2021</t>
        </is>
      </c>
      <c r="B267" s="1" t="n">
        <v>44326</v>
      </c>
      <c r="C267" s="1" t="n">
        <v>45508</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23696-2021</t>
        </is>
      </c>
      <c r="B268" s="1" t="n">
        <v>44334</v>
      </c>
      <c r="C268" s="1" t="n">
        <v>45508</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23693-2021</t>
        </is>
      </c>
      <c r="B269" s="1" t="n">
        <v>44334</v>
      </c>
      <c r="C269" s="1" t="n">
        <v>45508</v>
      </c>
      <c r="D269" t="inlineStr">
        <is>
          <t>VÄSTMANLANDS LÄN</t>
        </is>
      </c>
      <c r="E269" t="inlineStr">
        <is>
          <t>SALA</t>
        </is>
      </c>
      <c r="G269" t="n">
        <v>8.4</v>
      </c>
      <c r="H269" t="n">
        <v>0</v>
      </c>
      <c r="I269" t="n">
        <v>0</v>
      </c>
      <c r="J269" t="n">
        <v>0</v>
      </c>
      <c r="K269" t="n">
        <v>0</v>
      </c>
      <c r="L269" t="n">
        <v>0</v>
      </c>
      <c r="M269" t="n">
        <v>0</v>
      </c>
      <c r="N269" t="n">
        <v>0</v>
      </c>
      <c r="O269" t="n">
        <v>0</v>
      </c>
      <c r="P269" t="n">
        <v>0</v>
      </c>
      <c r="Q269" t="n">
        <v>0</v>
      </c>
      <c r="R269" s="2" t="inlineStr"/>
    </row>
    <row r="270" ht="15" customHeight="1">
      <c r="A270" t="inlineStr">
        <is>
          <t>A 24740-2021</t>
        </is>
      </c>
      <c r="B270" s="1" t="n">
        <v>44340</v>
      </c>
      <c r="C270" s="1" t="n">
        <v>45508</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24823-2021</t>
        </is>
      </c>
      <c r="B271" s="1" t="n">
        <v>44340</v>
      </c>
      <c r="C271" s="1" t="n">
        <v>45508</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24755-2021</t>
        </is>
      </c>
      <c r="B272" s="1" t="n">
        <v>44340</v>
      </c>
      <c r="C272" s="1" t="n">
        <v>45508</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45508</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26571-2021</t>
        </is>
      </c>
      <c r="B274" s="1" t="n">
        <v>44348</v>
      </c>
      <c r="C274" s="1" t="n">
        <v>45508</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26570-2021</t>
        </is>
      </c>
      <c r="B275" s="1" t="n">
        <v>44348</v>
      </c>
      <c r="C275" s="1" t="n">
        <v>45508</v>
      </c>
      <c r="D275" t="inlineStr">
        <is>
          <t>VÄSTMANLANDS LÄN</t>
        </is>
      </c>
      <c r="E275" t="inlineStr">
        <is>
          <t>SALA</t>
        </is>
      </c>
      <c r="G275" t="n">
        <v>2.5</v>
      </c>
      <c r="H275" t="n">
        <v>0</v>
      </c>
      <c r="I275" t="n">
        <v>0</v>
      </c>
      <c r="J275" t="n">
        <v>0</v>
      </c>
      <c r="K275" t="n">
        <v>0</v>
      </c>
      <c r="L275" t="n">
        <v>0</v>
      </c>
      <c r="M275" t="n">
        <v>0</v>
      </c>
      <c r="N275" t="n">
        <v>0</v>
      </c>
      <c r="O275" t="n">
        <v>0</v>
      </c>
      <c r="P275" t="n">
        <v>0</v>
      </c>
      <c r="Q275" t="n">
        <v>0</v>
      </c>
      <c r="R275" s="2" t="inlineStr"/>
    </row>
    <row r="276" ht="15" customHeight="1">
      <c r="A276" t="inlineStr">
        <is>
          <t>A 26575-2021</t>
        </is>
      </c>
      <c r="B276" s="1" t="n">
        <v>44348</v>
      </c>
      <c r="C276" s="1" t="n">
        <v>45508</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28425-2021</t>
        </is>
      </c>
      <c r="B277" s="1" t="n">
        <v>44356</v>
      </c>
      <c r="C277" s="1" t="n">
        <v>45508</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30170-2021</t>
        </is>
      </c>
      <c r="B278" s="1" t="n">
        <v>44363</v>
      </c>
      <c r="C278" s="1" t="n">
        <v>45508</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30859-2021</t>
        </is>
      </c>
      <c r="B279" s="1" t="n">
        <v>44365</v>
      </c>
      <c r="C279" s="1" t="n">
        <v>45508</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30904-2021</t>
        </is>
      </c>
      <c r="B280" s="1" t="n">
        <v>44365</v>
      </c>
      <c r="C280" s="1" t="n">
        <v>45508</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30915-2021</t>
        </is>
      </c>
      <c r="B281" s="1" t="n">
        <v>44365</v>
      </c>
      <c r="C281" s="1" t="n">
        <v>45508</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30925-2021</t>
        </is>
      </c>
      <c r="B282" s="1" t="n">
        <v>44365</v>
      </c>
      <c r="C282" s="1" t="n">
        <v>45508</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30918-2021</t>
        </is>
      </c>
      <c r="B283" s="1" t="n">
        <v>44365</v>
      </c>
      <c r="C283" s="1" t="n">
        <v>45508</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45508</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45508</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31452-2021</t>
        </is>
      </c>
      <c r="B286" s="1" t="n">
        <v>44369</v>
      </c>
      <c r="C286" s="1" t="n">
        <v>45508</v>
      </c>
      <c r="D286" t="inlineStr">
        <is>
          <t>VÄSTMANLANDS LÄN</t>
        </is>
      </c>
      <c r="E286" t="inlineStr">
        <is>
          <t>SALA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31470-2021</t>
        </is>
      </c>
      <c r="B287" s="1" t="n">
        <v>44369</v>
      </c>
      <c r="C287" s="1" t="n">
        <v>45508</v>
      </c>
      <c r="D287" t="inlineStr">
        <is>
          <t>VÄSTMANLANDS LÄN</t>
        </is>
      </c>
      <c r="E287" t="inlineStr">
        <is>
          <t>SALA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31904-2021</t>
        </is>
      </c>
      <c r="B288" s="1" t="n">
        <v>44370</v>
      </c>
      <c r="C288" s="1" t="n">
        <v>45508</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32610-2021</t>
        </is>
      </c>
      <c r="B289" s="1" t="n">
        <v>44375</v>
      </c>
      <c r="C289" s="1" t="n">
        <v>45508</v>
      </c>
      <c r="D289" t="inlineStr">
        <is>
          <t>VÄSTMANLANDS LÄN</t>
        </is>
      </c>
      <c r="E289" t="inlineStr">
        <is>
          <t>SALA</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33762-2021</t>
        </is>
      </c>
      <c r="B290" s="1" t="n">
        <v>44378</v>
      </c>
      <c r="C290" s="1" t="n">
        <v>45508</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34814-2021</t>
        </is>
      </c>
      <c r="B291" s="1" t="n">
        <v>44383</v>
      </c>
      <c r="C291" s="1" t="n">
        <v>45508</v>
      </c>
      <c r="D291" t="inlineStr">
        <is>
          <t>VÄSTMANLANDS LÄN</t>
        </is>
      </c>
      <c r="E291" t="inlineStr">
        <is>
          <t>SALA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35207-2021</t>
        </is>
      </c>
      <c r="B292" s="1" t="n">
        <v>44384</v>
      </c>
      <c r="C292" s="1" t="n">
        <v>45508</v>
      </c>
      <c r="D292" t="inlineStr">
        <is>
          <t>VÄSTMANLANDS LÄN</t>
        </is>
      </c>
      <c r="E292" t="inlineStr">
        <is>
          <t>SALA</t>
        </is>
      </c>
      <c r="G292" t="n">
        <v>2.2</v>
      </c>
      <c r="H292" t="n">
        <v>0</v>
      </c>
      <c r="I292" t="n">
        <v>0</v>
      </c>
      <c r="J292" t="n">
        <v>0</v>
      </c>
      <c r="K292" t="n">
        <v>0</v>
      </c>
      <c r="L292" t="n">
        <v>0</v>
      </c>
      <c r="M292" t="n">
        <v>0</v>
      </c>
      <c r="N292" t="n">
        <v>0</v>
      </c>
      <c r="O292" t="n">
        <v>0</v>
      </c>
      <c r="P292" t="n">
        <v>0</v>
      </c>
      <c r="Q292" t="n">
        <v>0</v>
      </c>
      <c r="R292" s="2" t="inlineStr"/>
    </row>
    <row r="293" ht="15" customHeight="1">
      <c r="A293" t="inlineStr">
        <is>
          <t>A 35211-2021</t>
        </is>
      </c>
      <c r="B293" s="1" t="n">
        <v>44384</v>
      </c>
      <c r="C293" s="1" t="n">
        <v>45508</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35451-2021</t>
        </is>
      </c>
      <c r="B294" s="1" t="n">
        <v>44384</v>
      </c>
      <c r="C294" s="1" t="n">
        <v>45508</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35487-2021</t>
        </is>
      </c>
      <c r="B295" s="1" t="n">
        <v>44384</v>
      </c>
      <c r="C295" s="1" t="n">
        <v>45508</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35482-2021</t>
        </is>
      </c>
      <c r="B296" s="1" t="n">
        <v>44384</v>
      </c>
      <c r="C296" s="1" t="n">
        <v>45508</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35921-2021</t>
        </is>
      </c>
      <c r="B297" s="1" t="n">
        <v>44388</v>
      </c>
      <c r="C297" s="1" t="n">
        <v>45508</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37703-2021</t>
        </is>
      </c>
      <c r="B298" s="1" t="n">
        <v>44400</v>
      </c>
      <c r="C298" s="1" t="n">
        <v>45508</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37856-2021</t>
        </is>
      </c>
      <c r="B299" s="1" t="n">
        <v>44403</v>
      </c>
      <c r="C299" s="1" t="n">
        <v>45508</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37872-2021</t>
        </is>
      </c>
      <c r="B300" s="1" t="n">
        <v>44403</v>
      </c>
      <c r="C300" s="1" t="n">
        <v>45508</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37881-2021</t>
        </is>
      </c>
      <c r="B301" s="1" t="n">
        <v>44403</v>
      </c>
      <c r="C301" s="1" t="n">
        <v>45508</v>
      </c>
      <c r="D301" t="inlineStr">
        <is>
          <t>VÄSTMANLANDS LÄN</t>
        </is>
      </c>
      <c r="E301" t="inlineStr">
        <is>
          <t>SALA</t>
        </is>
      </c>
      <c r="G301" t="n">
        <v>4.6</v>
      </c>
      <c r="H301" t="n">
        <v>0</v>
      </c>
      <c r="I301" t="n">
        <v>0</v>
      </c>
      <c r="J301" t="n">
        <v>0</v>
      </c>
      <c r="K301" t="n">
        <v>0</v>
      </c>
      <c r="L301" t="n">
        <v>0</v>
      </c>
      <c r="M301" t="n">
        <v>0</v>
      </c>
      <c r="N301" t="n">
        <v>0</v>
      </c>
      <c r="O301" t="n">
        <v>0</v>
      </c>
      <c r="P301" t="n">
        <v>0</v>
      </c>
      <c r="Q301" t="n">
        <v>0</v>
      </c>
      <c r="R301" s="2" t="inlineStr"/>
    </row>
    <row r="302" ht="15" customHeight="1">
      <c r="A302" t="inlineStr">
        <is>
          <t>A 38195-2021</t>
        </is>
      </c>
      <c r="B302" s="1" t="n">
        <v>44405</v>
      </c>
      <c r="C302" s="1" t="n">
        <v>45508</v>
      </c>
      <c r="D302" t="inlineStr">
        <is>
          <t>VÄSTMANLANDS LÄN</t>
        </is>
      </c>
      <c r="E302" t="inlineStr">
        <is>
          <t>SALA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38634-2021</t>
        </is>
      </c>
      <c r="B303" s="1" t="n">
        <v>44410</v>
      </c>
      <c r="C303" s="1" t="n">
        <v>45508</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45508</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39807-2021</t>
        </is>
      </c>
      <c r="B305" s="1" t="n">
        <v>44417</v>
      </c>
      <c r="C305" s="1" t="n">
        <v>45508</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40157-2021</t>
        </is>
      </c>
      <c r="B306" s="1" t="n">
        <v>44418</v>
      </c>
      <c r="C306" s="1" t="n">
        <v>45508</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40153-2021</t>
        </is>
      </c>
      <c r="B307" s="1" t="n">
        <v>44418</v>
      </c>
      <c r="C307" s="1" t="n">
        <v>45508</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40398-2021</t>
        </is>
      </c>
      <c r="B308" s="1" t="n">
        <v>44419</v>
      </c>
      <c r="C308" s="1" t="n">
        <v>45508</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40659-2021</t>
        </is>
      </c>
      <c r="B309" s="1" t="n">
        <v>44420</v>
      </c>
      <c r="C309" s="1" t="n">
        <v>45508</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40871-2021</t>
        </is>
      </c>
      <c r="B310" s="1" t="n">
        <v>44421</v>
      </c>
      <c r="C310" s="1" t="n">
        <v>45508</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45508</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41583-2021</t>
        </is>
      </c>
      <c r="B312" s="1" t="n">
        <v>44425</v>
      </c>
      <c r="C312" s="1" t="n">
        <v>45508</v>
      </c>
      <c r="D312" t="inlineStr">
        <is>
          <t>VÄSTMANLANDS LÄN</t>
        </is>
      </c>
      <c r="E312" t="inlineStr">
        <is>
          <t>SALA</t>
        </is>
      </c>
      <c r="G312" t="n">
        <v>5</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45508</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43509-2021</t>
        </is>
      </c>
      <c r="B314" s="1" t="n">
        <v>44433</v>
      </c>
      <c r="C314" s="1" t="n">
        <v>45508</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46279-2021</t>
        </is>
      </c>
      <c r="B315" s="1" t="n">
        <v>44442</v>
      </c>
      <c r="C315" s="1" t="n">
        <v>45508</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45508</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45508</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48400-2021</t>
        </is>
      </c>
      <c r="B318" s="1" t="n">
        <v>44449</v>
      </c>
      <c r="C318" s="1" t="n">
        <v>45508</v>
      </c>
      <c r="D318" t="inlineStr">
        <is>
          <t>VÄSTMANLANDS LÄN</t>
        </is>
      </c>
      <c r="E318" t="inlineStr">
        <is>
          <t>SALA</t>
        </is>
      </c>
      <c r="G318" t="n">
        <v>3</v>
      </c>
      <c r="H318" t="n">
        <v>0</v>
      </c>
      <c r="I318" t="n">
        <v>0</v>
      </c>
      <c r="J318" t="n">
        <v>0</v>
      </c>
      <c r="K318" t="n">
        <v>0</v>
      </c>
      <c r="L318" t="n">
        <v>0</v>
      </c>
      <c r="M318" t="n">
        <v>0</v>
      </c>
      <c r="N318" t="n">
        <v>0</v>
      </c>
      <c r="O318" t="n">
        <v>0</v>
      </c>
      <c r="P318" t="n">
        <v>0</v>
      </c>
      <c r="Q318" t="n">
        <v>0</v>
      </c>
      <c r="R318" s="2" t="inlineStr"/>
    </row>
    <row r="319" ht="15" customHeight="1">
      <c r="A319" t="inlineStr">
        <is>
          <t>A 50962-2021</t>
        </is>
      </c>
      <c r="B319" s="1" t="n">
        <v>44460</v>
      </c>
      <c r="C319" s="1" t="n">
        <v>45508</v>
      </c>
      <c r="D319" t="inlineStr">
        <is>
          <t>VÄSTMANLANDS LÄN</t>
        </is>
      </c>
      <c r="E319" t="inlineStr">
        <is>
          <t>SALA</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54030-2021</t>
        </is>
      </c>
      <c r="B320" s="1" t="n">
        <v>44470</v>
      </c>
      <c r="C320" s="1" t="n">
        <v>45508</v>
      </c>
      <c r="D320" t="inlineStr">
        <is>
          <t>VÄSTMANLANDS LÄN</t>
        </is>
      </c>
      <c r="E320" t="inlineStr">
        <is>
          <t>SALA</t>
        </is>
      </c>
      <c r="G320" t="n">
        <v>4.1</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45508</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57049-2021</t>
        </is>
      </c>
      <c r="B322" s="1" t="n">
        <v>44482</v>
      </c>
      <c r="C322" s="1" t="n">
        <v>45508</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57056-2021</t>
        </is>
      </c>
      <c r="B323" s="1" t="n">
        <v>44482</v>
      </c>
      <c r="C323" s="1" t="n">
        <v>45508</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57000-2021</t>
        </is>
      </c>
      <c r="B324" s="1" t="n">
        <v>44482</v>
      </c>
      <c r="C324" s="1" t="n">
        <v>45508</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57131-2021</t>
        </is>
      </c>
      <c r="B325" s="1" t="n">
        <v>44482</v>
      </c>
      <c r="C325" s="1" t="n">
        <v>45508</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57517-2021</t>
        </is>
      </c>
      <c r="B326" s="1" t="n">
        <v>44483</v>
      </c>
      <c r="C326" s="1" t="n">
        <v>45508</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57596-2021</t>
        </is>
      </c>
      <c r="B327" s="1" t="n">
        <v>44483</v>
      </c>
      <c r="C327" s="1" t="n">
        <v>45508</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58107-2021</t>
        </is>
      </c>
      <c r="B328" s="1" t="n">
        <v>44487</v>
      </c>
      <c r="C328" s="1" t="n">
        <v>45508</v>
      </c>
      <c r="D328" t="inlineStr">
        <is>
          <t>VÄSTMANLANDS LÄN</t>
        </is>
      </c>
      <c r="E328" t="inlineStr">
        <is>
          <t>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58106-2021</t>
        </is>
      </c>
      <c r="B329" s="1" t="n">
        <v>44487</v>
      </c>
      <c r="C329" s="1" t="n">
        <v>45508</v>
      </c>
      <c r="D329" t="inlineStr">
        <is>
          <t>VÄSTMANLANDS LÄN</t>
        </is>
      </c>
      <c r="E329" t="inlineStr">
        <is>
          <t>SALA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58522-2021</t>
        </is>
      </c>
      <c r="B330" s="1" t="n">
        <v>44488</v>
      </c>
      <c r="C330" s="1" t="n">
        <v>45508</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58701-2021</t>
        </is>
      </c>
      <c r="B331" s="1" t="n">
        <v>44489</v>
      </c>
      <c r="C331" s="1" t="n">
        <v>45508</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60031-2021</t>
        </is>
      </c>
      <c r="B332" s="1" t="n">
        <v>44495</v>
      </c>
      <c r="C332" s="1" t="n">
        <v>45508</v>
      </c>
      <c r="D332" t="inlineStr">
        <is>
          <t>VÄSTMANLANDS LÄN</t>
        </is>
      </c>
      <c r="E332" t="inlineStr">
        <is>
          <t>SALA</t>
        </is>
      </c>
      <c r="G332" t="n">
        <v>4.3</v>
      </c>
      <c r="H332" t="n">
        <v>0</v>
      </c>
      <c r="I332" t="n">
        <v>0</v>
      </c>
      <c r="J332" t="n">
        <v>0</v>
      </c>
      <c r="K332" t="n">
        <v>0</v>
      </c>
      <c r="L332" t="n">
        <v>0</v>
      </c>
      <c r="M332" t="n">
        <v>0</v>
      </c>
      <c r="N332" t="n">
        <v>0</v>
      </c>
      <c r="O332" t="n">
        <v>0</v>
      </c>
      <c r="P332" t="n">
        <v>0</v>
      </c>
      <c r="Q332" t="n">
        <v>0</v>
      </c>
      <c r="R332" s="2" t="inlineStr"/>
    </row>
    <row r="333" ht="15" customHeight="1">
      <c r="A333" t="inlineStr">
        <is>
          <t>A 60951-2021</t>
        </is>
      </c>
      <c r="B333" s="1" t="n">
        <v>44497</v>
      </c>
      <c r="C333" s="1" t="n">
        <v>45508</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61892-2021</t>
        </is>
      </c>
      <c r="B334" s="1" t="n">
        <v>44502</v>
      </c>
      <c r="C334" s="1" t="n">
        <v>45508</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61874-2021</t>
        </is>
      </c>
      <c r="B335" s="1" t="n">
        <v>44502</v>
      </c>
      <c r="C335" s="1" t="n">
        <v>45508</v>
      </c>
      <c r="D335" t="inlineStr">
        <is>
          <t>VÄSTMANLANDS LÄN</t>
        </is>
      </c>
      <c r="E335" t="inlineStr">
        <is>
          <t>SALA</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61897-2021</t>
        </is>
      </c>
      <c r="B336" s="1" t="n">
        <v>44502</v>
      </c>
      <c r="C336" s="1" t="n">
        <v>45508</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v>
      </c>
      <c r="C337" s="1" t="n">
        <v>45508</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62793-2021</t>
        </is>
      </c>
      <c r="B338" s="1" t="n">
        <v>44504</v>
      </c>
      <c r="C338" s="1" t="n">
        <v>45508</v>
      </c>
      <c r="D338" t="inlineStr">
        <is>
          <t>VÄSTMANLANDS LÄN</t>
        </is>
      </c>
      <c r="E338" t="inlineStr">
        <is>
          <t>SALA</t>
        </is>
      </c>
      <c r="G338" t="n">
        <v>5.7</v>
      </c>
      <c r="H338" t="n">
        <v>0</v>
      </c>
      <c r="I338" t="n">
        <v>0</v>
      </c>
      <c r="J338" t="n">
        <v>0</v>
      </c>
      <c r="K338" t="n">
        <v>0</v>
      </c>
      <c r="L338" t="n">
        <v>0</v>
      </c>
      <c r="M338" t="n">
        <v>0</v>
      </c>
      <c r="N338" t="n">
        <v>0</v>
      </c>
      <c r="O338" t="n">
        <v>0</v>
      </c>
      <c r="P338" t="n">
        <v>0</v>
      </c>
      <c r="Q338" t="n">
        <v>0</v>
      </c>
      <c r="R338" s="2" t="inlineStr"/>
    </row>
    <row r="339" ht="15" customHeight="1">
      <c r="A339" t="inlineStr">
        <is>
          <t>A 62833-2021</t>
        </is>
      </c>
      <c r="B339" s="1" t="n">
        <v>44504</v>
      </c>
      <c r="C339" s="1" t="n">
        <v>45508</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45508</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62967-2021</t>
        </is>
      </c>
      <c r="B341" s="1" t="n">
        <v>44505</v>
      </c>
      <c r="C341" s="1" t="n">
        <v>45508</v>
      </c>
      <c r="D341" t="inlineStr">
        <is>
          <t>VÄSTMANLANDS LÄN</t>
        </is>
      </c>
      <c r="E341" t="inlineStr">
        <is>
          <t>SALA</t>
        </is>
      </c>
      <c r="G341" t="n">
        <v>6.1</v>
      </c>
      <c r="H341" t="n">
        <v>0</v>
      </c>
      <c r="I341" t="n">
        <v>0</v>
      </c>
      <c r="J341" t="n">
        <v>0</v>
      </c>
      <c r="K341" t="n">
        <v>0</v>
      </c>
      <c r="L341" t="n">
        <v>0</v>
      </c>
      <c r="M341" t="n">
        <v>0</v>
      </c>
      <c r="N341" t="n">
        <v>0</v>
      </c>
      <c r="O341" t="n">
        <v>0</v>
      </c>
      <c r="P341" t="n">
        <v>0</v>
      </c>
      <c r="Q341" t="n">
        <v>0</v>
      </c>
      <c r="R341" s="2" t="inlineStr"/>
    </row>
    <row r="342" ht="15" customHeight="1">
      <c r="A342" t="inlineStr">
        <is>
          <t>A 63290-2021</t>
        </is>
      </c>
      <c r="B342" s="1" t="n">
        <v>44505</v>
      </c>
      <c r="C342" s="1" t="n">
        <v>45508</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64931-2021</t>
        </is>
      </c>
      <c r="B343" s="1" t="n">
        <v>44512</v>
      </c>
      <c r="C343" s="1" t="n">
        <v>45508</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64932-2021</t>
        </is>
      </c>
      <c r="B344" s="1" t="n">
        <v>44512</v>
      </c>
      <c r="C344" s="1" t="n">
        <v>45508</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65213-2021</t>
        </is>
      </c>
      <c r="B345" s="1" t="n">
        <v>44515</v>
      </c>
      <c r="C345" s="1" t="n">
        <v>45508</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65321-2021</t>
        </is>
      </c>
      <c r="B346" s="1" t="n">
        <v>44515</v>
      </c>
      <c r="C346" s="1" t="n">
        <v>45508</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65338-2021</t>
        </is>
      </c>
      <c r="B347" s="1" t="n">
        <v>44515</v>
      </c>
      <c r="C347" s="1" t="n">
        <v>45508</v>
      </c>
      <c r="D347" t="inlineStr">
        <is>
          <t>VÄSTMANLANDS LÄN</t>
        </is>
      </c>
      <c r="E347" t="inlineStr">
        <is>
          <t>SALA</t>
        </is>
      </c>
      <c r="G347" t="n">
        <v>0.4</v>
      </c>
      <c r="H347" t="n">
        <v>0</v>
      </c>
      <c r="I347" t="n">
        <v>0</v>
      </c>
      <c r="J347" t="n">
        <v>0</v>
      </c>
      <c r="K347" t="n">
        <v>0</v>
      </c>
      <c r="L347" t="n">
        <v>0</v>
      </c>
      <c r="M347" t="n">
        <v>0</v>
      </c>
      <c r="N347" t="n">
        <v>0</v>
      </c>
      <c r="O347" t="n">
        <v>0</v>
      </c>
      <c r="P347" t="n">
        <v>0</v>
      </c>
      <c r="Q347" t="n">
        <v>0</v>
      </c>
      <c r="R347" s="2" t="inlineStr"/>
    </row>
    <row r="348" ht="15" customHeight="1">
      <c r="A348" t="inlineStr">
        <is>
          <t>A 65353-2021</t>
        </is>
      </c>
      <c r="B348" s="1" t="n">
        <v>44515</v>
      </c>
      <c r="C348" s="1" t="n">
        <v>45508</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65490-2021</t>
        </is>
      </c>
      <c r="B349" s="1" t="n">
        <v>44515</v>
      </c>
      <c r="C349" s="1" t="n">
        <v>45508</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65856-2021</t>
        </is>
      </c>
      <c r="B350" s="1" t="n">
        <v>44517</v>
      </c>
      <c r="C350" s="1" t="n">
        <v>45508</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65818-2021</t>
        </is>
      </c>
      <c r="B351" s="1" t="n">
        <v>44517</v>
      </c>
      <c r="C351" s="1" t="n">
        <v>45508</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65835-2021</t>
        </is>
      </c>
      <c r="B352" s="1" t="n">
        <v>44517</v>
      </c>
      <c r="C352" s="1" t="n">
        <v>45508</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65860-2021</t>
        </is>
      </c>
      <c r="B353" s="1" t="n">
        <v>44517</v>
      </c>
      <c r="C353" s="1" t="n">
        <v>45508</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v>
      </c>
      <c r="C354" s="1" t="n">
        <v>45508</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66508-2021</t>
        </is>
      </c>
      <c r="B355" s="1" t="n">
        <v>44519</v>
      </c>
      <c r="C355" s="1" t="n">
        <v>45508</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66563-2021</t>
        </is>
      </c>
      <c r="B356" s="1" t="n">
        <v>44519</v>
      </c>
      <c r="C356" s="1" t="n">
        <v>45508</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66561-2021</t>
        </is>
      </c>
      <c r="B357" s="1" t="n">
        <v>44519</v>
      </c>
      <c r="C357" s="1" t="n">
        <v>45508</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66908-2021</t>
        </is>
      </c>
      <c r="B358" s="1" t="n">
        <v>44522</v>
      </c>
      <c r="C358" s="1" t="n">
        <v>45508</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66830-2021</t>
        </is>
      </c>
      <c r="B359" s="1" t="n">
        <v>44522</v>
      </c>
      <c r="C359" s="1" t="n">
        <v>45508</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67037-2021</t>
        </is>
      </c>
      <c r="B360" s="1" t="n">
        <v>44522</v>
      </c>
      <c r="C360" s="1" t="n">
        <v>45508</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c r="U360">
        <f>HYPERLINK("https://klasma.github.io/Logging_1981/knärot/A 67037-2021 karta knärot.png", "A 67037-2021")</f>
        <v/>
      </c>
      <c r="V360">
        <f>HYPERLINK("https://klasma.github.io/Logging_1981/klagomål/A 67037-2021 FSC-klagomål.docx", "A 67037-2021")</f>
        <v/>
      </c>
      <c r="W360">
        <f>HYPERLINK("https://klasma.github.io/Logging_1981/klagomålsmail/A 67037-2021 FSC-klagomål mail.docx", "A 67037-2021")</f>
        <v/>
      </c>
      <c r="X360">
        <f>HYPERLINK("https://klasma.github.io/Logging_1981/tillsyn/A 67037-2021 tillsynsbegäran.docx", "A 67037-2021")</f>
        <v/>
      </c>
      <c r="Y360">
        <f>HYPERLINK("https://klasma.github.io/Logging_1981/tillsynsmail/A 67037-2021 tillsynsbegäran mail.docx", "A 67037-2021")</f>
        <v/>
      </c>
    </row>
    <row r="361" ht="15" customHeight="1">
      <c r="A361" t="inlineStr">
        <is>
          <t>A 67965-2021</t>
        </is>
      </c>
      <c r="B361" s="1" t="n">
        <v>44525</v>
      </c>
      <c r="C361" s="1" t="n">
        <v>45508</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67958-2021</t>
        </is>
      </c>
      <c r="B362" s="1" t="n">
        <v>44525</v>
      </c>
      <c r="C362" s="1" t="n">
        <v>45508</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67962-2021</t>
        </is>
      </c>
      <c r="B363" s="1" t="n">
        <v>44525</v>
      </c>
      <c r="C363" s="1" t="n">
        <v>45508</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68355-2021</t>
        </is>
      </c>
      <c r="B364" s="1" t="n">
        <v>44528</v>
      </c>
      <c r="C364" s="1" t="n">
        <v>45508</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68484-2021</t>
        </is>
      </c>
      <c r="B365" s="1" t="n">
        <v>44529</v>
      </c>
      <c r="C365" s="1" t="n">
        <v>45508</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68980-2021</t>
        </is>
      </c>
      <c r="B366" s="1" t="n">
        <v>44529</v>
      </c>
      <c r="C366" s="1" t="n">
        <v>45508</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68864-2021</t>
        </is>
      </c>
      <c r="B367" s="1" t="n">
        <v>44530</v>
      </c>
      <c r="C367" s="1" t="n">
        <v>45508</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69232-2021</t>
        </is>
      </c>
      <c r="B368" s="1" t="n">
        <v>44531</v>
      </c>
      <c r="C368" s="1" t="n">
        <v>45508</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69236-2021</t>
        </is>
      </c>
      <c r="B369" s="1" t="n">
        <v>44531</v>
      </c>
      <c r="C369" s="1" t="n">
        <v>45508</v>
      </c>
      <c r="D369" t="inlineStr">
        <is>
          <t>VÄSTMANLANDS LÄN</t>
        </is>
      </c>
      <c r="E369" t="inlineStr">
        <is>
          <t>SALA</t>
        </is>
      </c>
      <c r="G369" t="n">
        <v>2.8</v>
      </c>
      <c r="H369" t="n">
        <v>0</v>
      </c>
      <c r="I369" t="n">
        <v>0</v>
      </c>
      <c r="J369" t="n">
        <v>0</v>
      </c>
      <c r="K369" t="n">
        <v>0</v>
      </c>
      <c r="L369" t="n">
        <v>0</v>
      </c>
      <c r="M369" t="n">
        <v>0</v>
      </c>
      <c r="N369" t="n">
        <v>0</v>
      </c>
      <c r="O369" t="n">
        <v>0</v>
      </c>
      <c r="P369" t="n">
        <v>0</v>
      </c>
      <c r="Q369" t="n">
        <v>0</v>
      </c>
      <c r="R369" s="2" t="inlineStr"/>
    </row>
    <row r="370" ht="15" customHeight="1">
      <c r="A370" t="inlineStr">
        <is>
          <t>A 70218-2021</t>
        </is>
      </c>
      <c r="B370" s="1" t="n">
        <v>44535</v>
      </c>
      <c r="C370" s="1" t="n">
        <v>45508</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70319-2021</t>
        </is>
      </c>
      <c r="B371" s="1" t="n">
        <v>44536</v>
      </c>
      <c r="C371" s="1" t="n">
        <v>45508</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70655-2021</t>
        </is>
      </c>
      <c r="B372" s="1" t="n">
        <v>44537</v>
      </c>
      <c r="C372" s="1" t="n">
        <v>45508</v>
      </c>
      <c r="D372" t="inlineStr">
        <is>
          <t>VÄSTMANLANDS LÄN</t>
        </is>
      </c>
      <c r="E372" t="inlineStr">
        <is>
          <t>SALA</t>
        </is>
      </c>
      <c r="G372" t="n">
        <v>4.8</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45508</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71471-2021</t>
        </is>
      </c>
      <c r="B374" s="1" t="n">
        <v>44540</v>
      </c>
      <c r="C374" s="1" t="n">
        <v>45508</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71853-2021</t>
        </is>
      </c>
      <c r="B375" s="1" t="n">
        <v>44543</v>
      </c>
      <c r="C375" s="1" t="n">
        <v>45508</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72071-2021</t>
        </is>
      </c>
      <c r="B376" s="1" t="n">
        <v>44544</v>
      </c>
      <c r="C376" s="1" t="n">
        <v>45508</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72405-2021</t>
        </is>
      </c>
      <c r="B377" s="1" t="n">
        <v>44545</v>
      </c>
      <c r="C377" s="1" t="n">
        <v>45508</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72389-2021</t>
        </is>
      </c>
      <c r="B378" s="1" t="n">
        <v>44545</v>
      </c>
      <c r="C378" s="1" t="n">
        <v>45508</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72810-2021</t>
        </is>
      </c>
      <c r="B379" s="1" t="n">
        <v>44546</v>
      </c>
      <c r="C379" s="1" t="n">
        <v>45508</v>
      </c>
      <c r="D379" t="inlineStr">
        <is>
          <t>VÄSTMANLANDS LÄN</t>
        </is>
      </c>
      <c r="E379" t="inlineStr">
        <is>
          <t>SALA</t>
        </is>
      </c>
      <c r="G379" t="n">
        <v>3.3</v>
      </c>
      <c r="H379" t="n">
        <v>0</v>
      </c>
      <c r="I379" t="n">
        <v>0</v>
      </c>
      <c r="J379" t="n">
        <v>0</v>
      </c>
      <c r="K379" t="n">
        <v>0</v>
      </c>
      <c r="L379" t="n">
        <v>0</v>
      </c>
      <c r="M379" t="n">
        <v>0</v>
      </c>
      <c r="N379" t="n">
        <v>0</v>
      </c>
      <c r="O379" t="n">
        <v>0</v>
      </c>
      <c r="P379" t="n">
        <v>0</v>
      </c>
      <c r="Q379" t="n">
        <v>0</v>
      </c>
      <c r="R379" s="2" t="inlineStr"/>
    </row>
    <row r="380" ht="15" customHeight="1">
      <c r="A380" t="inlineStr">
        <is>
          <t>A 72805-2021</t>
        </is>
      </c>
      <c r="B380" s="1" t="n">
        <v>44546</v>
      </c>
      <c r="C380" s="1" t="n">
        <v>45508</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72808-2021</t>
        </is>
      </c>
      <c r="B381" s="1" t="n">
        <v>44546</v>
      </c>
      <c r="C381" s="1" t="n">
        <v>45508</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72776-2021</t>
        </is>
      </c>
      <c r="B382" s="1" t="n">
        <v>44547</v>
      </c>
      <c r="C382" s="1" t="n">
        <v>45508</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73029-2021</t>
        </is>
      </c>
      <c r="B383" s="1" t="n">
        <v>44550</v>
      </c>
      <c r="C383" s="1" t="n">
        <v>45508</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73124-2021</t>
        </is>
      </c>
      <c r="B384" s="1" t="n">
        <v>44550</v>
      </c>
      <c r="C384" s="1" t="n">
        <v>45508</v>
      </c>
      <c r="D384" t="inlineStr">
        <is>
          <t>VÄSTMANLANDS LÄN</t>
        </is>
      </c>
      <c r="E384" t="inlineStr">
        <is>
          <t>SALA</t>
        </is>
      </c>
      <c r="G384" t="n">
        <v>2.8</v>
      </c>
      <c r="H384" t="n">
        <v>0</v>
      </c>
      <c r="I384" t="n">
        <v>0</v>
      </c>
      <c r="J384" t="n">
        <v>0</v>
      </c>
      <c r="K384" t="n">
        <v>0</v>
      </c>
      <c r="L384" t="n">
        <v>0</v>
      </c>
      <c r="M384" t="n">
        <v>0</v>
      </c>
      <c r="N384" t="n">
        <v>0</v>
      </c>
      <c r="O384" t="n">
        <v>0</v>
      </c>
      <c r="P384" t="n">
        <v>0</v>
      </c>
      <c r="Q384" t="n">
        <v>0</v>
      </c>
      <c r="R384" s="2" t="inlineStr"/>
    </row>
    <row r="385" ht="15" customHeight="1">
      <c r="A385" t="inlineStr">
        <is>
          <t>A 73219-2021</t>
        </is>
      </c>
      <c r="B385" s="1" t="n">
        <v>44550</v>
      </c>
      <c r="C385" s="1" t="n">
        <v>45508</v>
      </c>
      <c r="D385" t="inlineStr">
        <is>
          <t>VÄSTMANLANDS LÄN</t>
        </is>
      </c>
      <c r="E385" t="inlineStr">
        <is>
          <t>SALA</t>
        </is>
      </c>
      <c r="G385" t="n">
        <v>7.1</v>
      </c>
      <c r="H385" t="n">
        <v>0</v>
      </c>
      <c r="I385" t="n">
        <v>0</v>
      </c>
      <c r="J385" t="n">
        <v>0</v>
      </c>
      <c r="K385" t="n">
        <v>0</v>
      </c>
      <c r="L385" t="n">
        <v>0</v>
      </c>
      <c r="M385" t="n">
        <v>0</v>
      </c>
      <c r="N385" t="n">
        <v>0</v>
      </c>
      <c r="O385" t="n">
        <v>0</v>
      </c>
      <c r="P385" t="n">
        <v>0</v>
      </c>
      <c r="Q385" t="n">
        <v>0</v>
      </c>
      <c r="R385" s="2" t="inlineStr"/>
    </row>
    <row r="386" ht="15" customHeight="1">
      <c r="A386" t="inlineStr">
        <is>
          <t>A 73423-2021</t>
        </is>
      </c>
      <c r="B386" s="1" t="n">
        <v>44551</v>
      </c>
      <c r="C386" s="1" t="n">
        <v>45508</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73519-2021</t>
        </is>
      </c>
      <c r="B387" s="1" t="n">
        <v>44551</v>
      </c>
      <c r="C387" s="1" t="n">
        <v>45508</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73683-2021</t>
        </is>
      </c>
      <c r="B388" s="1" t="n">
        <v>44552</v>
      </c>
      <c r="C388" s="1" t="n">
        <v>45508</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v>
      </c>
      <c r="C389" s="1" t="n">
        <v>45508</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v>
      </c>
      <c r="C390" s="1" t="n">
        <v>45508</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73606-2021</t>
        </is>
      </c>
      <c r="B391" s="1" t="n">
        <v>44552</v>
      </c>
      <c r="C391" s="1" t="n">
        <v>45508</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73668-2021</t>
        </is>
      </c>
      <c r="B392" s="1" t="n">
        <v>44552</v>
      </c>
      <c r="C392" s="1" t="n">
        <v>45508</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73687-2021</t>
        </is>
      </c>
      <c r="B393" s="1" t="n">
        <v>44552</v>
      </c>
      <c r="C393" s="1" t="n">
        <v>45508</v>
      </c>
      <c r="D393" t="inlineStr">
        <is>
          <t>VÄSTMANLANDS LÄN</t>
        </is>
      </c>
      <c r="E393" t="inlineStr">
        <is>
          <t>SALA</t>
        </is>
      </c>
      <c r="G393" t="n">
        <v>5.6</v>
      </c>
      <c r="H393" t="n">
        <v>0</v>
      </c>
      <c r="I393" t="n">
        <v>0</v>
      </c>
      <c r="J393" t="n">
        <v>0</v>
      </c>
      <c r="K393" t="n">
        <v>0</v>
      </c>
      <c r="L393" t="n">
        <v>0</v>
      </c>
      <c r="M393" t="n">
        <v>0</v>
      </c>
      <c r="N393" t="n">
        <v>0</v>
      </c>
      <c r="O393" t="n">
        <v>0</v>
      </c>
      <c r="P393" t="n">
        <v>0</v>
      </c>
      <c r="Q393" t="n">
        <v>0</v>
      </c>
      <c r="R393" s="2" t="inlineStr"/>
    </row>
    <row r="394" ht="15" customHeight="1">
      <c r="A394" t="inlineStr">
        <is>
          <t>A 73788-2021</t>
        </is>
      </c>
      <c r="B394" s="1" t="n">
        <v>44552</v>
      </c>
      <c r="C394" s="1" t="n">
        <v>45508</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73835-2021</t>
        </is>
      </c>
      <c r="B395" s="1" t="n">
        <v>44552</v>
      </c>
      <c r="C395" s="1" t="n">
        <v>45508</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74123-2021</t>
        </is>
      </c>
      <c r="B396" s="1" t="n">
        <v>44557</v>
      </c>
      <c r="C396" s="1" t="n">
        <v>45508</v>
      </c>
      <c r="D396" t="inlineStr">
        <is>
          <t>VÄSTMANLANDS LÄN</t>
        </is>
      </c>
      <c r="E396" t="inlineStr">
        <is>
          <t>SALA</t>
        </is>
      </c>
      <c r="F396" t="inlineStr">
        <is>
          <t>Kommuner</t>
        </is>
      </c>
      <c r="G396" t="n">
        <v>11.9</v>
      </c>
      <c r="H396" t="n">
        <v>0</v>
      </c>
      <c r="I396" t="n">
        <v>0</v>
      </c>
      <c r="J396" t="n">
        <v>0</v>
      </c>
      <c r="K396" t="n">
        <v>0</v>
      </c>
      <c r="L396" t="n">
        <v>0</v>
      </c>
      <c r="M396" t="n">
        <v>0</v>
      </c>
      <c r="N396" t="n">
        <v>0</v>
      </c>
      <c r="O396" t="n">
        <v>0</v>
      </c>
      <c r="P396" t="n">
        <v>0</v>
      </c>
      <c r="Q396" t="n">
        <v>0</v>
      </c>
      <c r="R396" s="2" t="inlineStr"/>
    </row>
    <row r="397" ht="15" customHeight="1">
      <c r="A397" t="inlineStr">
        <is>
          <t>A 74277-2021</t>
        </is>
      </c>
      <c r="B397" s="1" t="n">
        <v>44558</v>
      </c>
      <c r="C397" s="1" t="n">
        <v>45508</v>
      </c>
      <c r="D397" t="inlineStr">
        <is>
          <t>VÄSTMANLANDS LÄN</t>
        </is>
      </c>
      <c r="E397" t="inlineStr">
        <is>
          <t>SALA</t>
        </is>
      </c>
      <c r="F397" t="inlineStr">
        <is>
          <t>Kommuner</t>
        </is>
      </c>
      <c r="G397" t="n">
        <v>24.4</v>
      </c>
      <c r="H397" t="n">
        <v>0</v>
      </c>
      <c r="I397" t="n">
        <v>0</v>
      </c>
      <c r="J397" t="n">
        <v>0</v>
      </c>
      <c r="K397" t="n">
        <v>0</v>
      </c>
      <c r="L397" t="n">
        <v>0</v>
      </c>
      <c r="M397" t="n">
        <v>0</v>
      </c>
      <c r="N397" t="n">
        <v>0</v>
      </c>
      <c r="O397" t="n">
        <v>0</v>
      </c>
      <c r="P397" t="n">
        <v>0</v>
      </c>
      <c r="Q397" t="n">
        <v>0</v>
      </c>
      <c r="R397" s="2" t="inlineStr"/>
    </row>
    <row r="398" ht="15" customHeight="1">
      <c r="A398" t="inlineStr">
        <is>
          <t>A 617-2022</t>
        </is>
      </c>
      <c r="B398" s="1" t="n">
        <v>44567</v>
      </c>
      <c r="C398" s="1" t="n">
        <v>45508</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45508</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1043-2022</t>
        </is>
      </c>
      <c r="B400" s="1" t="n">
        <v>44571</v>
      </c>
      <c r="C400" s="1" t="n">
        <v>45508</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1162-2022</t>
        </is>
      </c>
      <c r="B401" s="1" t="n">
        <v>44572</v>
      </c>
      <c r="C401" s="1" t="n">
        <v>45508</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1985-2022</t>
        </is>
      </c>
      <c r="B402" s="1" t="n">
        <v>44575</v>
      </c>
      <c r="C402" s="1" t="n">
        <v>45508</v>
      </c>
      <c r="D402" t="inlineStr">
        <is>
          <t>VÄSTMANLANDS LÄN</t>
        </is>
      </c>
      <c r="E402" t="inlineStr">
        <is>
          <t>SALA</t>
        </is>
      </c>
      <c r="G402" t="n">
        <v>1.4</v>
      </c>
      <c r="H402" t="n">
        <v>0</v>
      </c>
      <c r="I402" t="n">
        <v>0</v>
      </c>
      <c r="J402" t="n">
        <v>0</v>
      </c>
      <c r="K402" t="n">
        <v>0</v>
      </c>
      <c r="L402" t="n">
        <v>0</v>
      </c>
      <c r="M402" t="n">
        <v>0</v>
      </c>
      <c r="N402" t="n">
        <v>0</v>
      </c>
      <c r="O402" t="n">
        <v>0</v>
      </c>
      <c r="P402" t="n">
        <v>0</v>
      </c>
      <c r="Q402" t="n">
        <v>0</v>
      </c>
      <c r="R402" s="2" t="inlineStr"/>
    </row>
    <row r="403" ht="15" customHeight="1">
      <c r="A403" t="inlineStr">
        <is>
          <t>A 1993-2022</t>
        </is>
      </c>
      <c r="B403" s="1" t="n">
        <v>44575</v>
      </c>
      <c r="C403" s="1" t="n">
        <v>45508</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2529-2022</t>
        </is>
      </c>
      <c r="B404" s="1" t="n">
        <v>44579</v>
      </c>
      <c r="C404" s="1" t="n">
        <v>45508</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3050-2022</t>
        </is>
      </c>
      <c r="B405" s="1" t="n">
        <v>44582</v>
      </c>
      <c r="C405" s="1" t="n">
        <v>45508</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3201-2022</t>
        </is>
      </c>
      <c r="B406" s="1" t="n">
        <v>44582</v>
      </c>
      <c r="C406" s="1" t="n">
        <v>45508</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3204-2022</t>
        </is>
      </c>
      <c r="B407" s="1" t="n">
        <v>44582</v>
      </c>
      <c r="C407" s="1" t="n">
        <v>45508</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3647-2022</t>
        </is>
      </c>
      <c r="B408" s="1" t="n">
        <v>44586</v>
      </c>
      <c r="C408" s="1" t="n">
        <v>45508</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3888-2022</t>
        </is>
      </c>
      <c r="B409" s="1" t="n">
        <v>44587</v>
      </c>
      <c r="C409" s="1" t="n">
        <v>45508</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3920-2022</t>
        </is>
      </c>
      <c r="B410" s="1" t="n">
        <v>44587</v>
      </c>
      <c r="C410" s="1" t="n">
        <v>45508</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4237-2022</t>
        </is>
      </c>
      <c r="B411" s="1" t="n">
        <v>44588</v>
      </c>
      <c r="C411" s="1" t="n">
        <v>45508</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45508</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4663-2022</t>
        </is>
      </c>
      <c r="B413" s="1" t="n">
        <v>44592</v>
      </c>
      <c r="C413" s="1" t="n">
        <v>45508</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4779-2022</t>
        </is>
      </c>
      <c r="B414" s="1" t="n">
        <v>44592</v>
      </c>
      <c r="C414" s="1" t="n">
        <v>45508</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5335-2022</t>
        </is>
      </c>
      <c r="B415" s="1" t="n">
        <v>44594</v>
      </c>
      <c r="C415" s="1" t="n">
        <v>45508</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5737-2022</t>
        </is>
      </c>
      <c r="B416" s="1" t="n">
        <v>44596</v>
      </c>
      <c r="C416" s="1" t="n">
        <v>45508</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5728-2022</t>
        </is>
      </c>
      <c r="B417" s="1" t="n">
        <v>44596</v>
      </c>
      <c r="C417" s="1" t="n">
        <v>45508</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6097-2022</t>
        </is>
      </c>
      <c r="B418" s="1" t="n">
        <v>44599</v>
      </c>
      <c r="C418" s="1" t="n">
        <v>45508</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6705-2022</t>
        </is>
      </c>
      <c r="B419" s="1" t="n">
        <v>44602</v>
      </c>
      <c r="C419" s="1" t="n">
        <v>45508</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6665-2022</t>
        </is>
      </c>
      <c r="B420" s="1" t="n">
        <v>44602</v>
      </c>
      <c r="C420" s="1" t="n">
        <v>45508</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6667-2022</t>
        </is>
      </c>
      <c r="B421" s="1" t="n">
        <v>44602</v>
      </c>
      <c r="C421" s="1" t="n">
        <v>45508</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6710-2022</t>
        </is>
      </c>
      <c r="B422" s="1" t="n">
        <v>44602</v>
      </c>
      <c r="C422" s="1" t="n">
        <v>45508</v>
      </c>
      <c r="D422" t="inlineStr">
        <is>
          <t>VÄSTMANLANDS LÄN</t>
        </is>
      </c>
      <c r="E422" t="inlineStr">
        <is>
          <t>SALA</t>
        </is>
      </c>
      <c r="G422" t="n">
        <v>6.4</v>
      </c>
      <c r="H422" t="n">
        <v>0</v>
      </c>
      <c r="I422" t="n">
        <v>0</v>
      </c>
      <c r="J422" t="n">
        <v>0</v>
      </c>
      <c r="K422" t="n">
        <v>0</v>
      </c>
      <c r="L422" t="n">
        <v>0</v>
      </c>
      <c r="M422" t="n">
        <v>0</v>
      </c>
      <c r="N422" t="n">
        <v>0</v>
      </c>
      <c r="O422" t="n">
        <v>0</v>
      </c>
      <c r="P422" t="n">
        <v>0</v>
      </c>
      <c r="Q422" t="n">
        <v>0</v>
      </c>
      <c r="R422" s="2" t="inlineStr"/>
    </row>
    <row r="423" ht="15" customHeight="1">
      <c r="A423" t="inlineStr">
        <is>
          <t>A 6957-2022</t>
        </is>
      </c>
      <c r="B423" s="1" t="n">
        <v>44603</v>
      </c>
      <c r="C423" s="1" t="n">
        <v>45508</v>
      </c>
      <c r="D423" t="inlineStr">
        <is>
          <t>VÄSTMANLANDS LÄN</t>
        </is>
      </c>
      <c r="E423" t="inlineStr">
        <is>
          <t>SALA</t>
        </is>
      </c>
      <c r="G423" t="n">
        <v>4.5</v>
      </c>
      <c r="H423" t="n">
        <v>0</v>
      </c>
      <c r="I423" t="n">
        <v>0</v>
      </c>
      <c r="J423" t="n">
        <v>0</v>
      </c>
      <c r="K423" t="n">
        <v>0</v>
      </c>
      <c r="L423" t="n">
        <v>0</v>
      </c>
      <c r="M423" t="n">
        <v>0</v>
      </c>
      <c r="N423" t="n">
        <v>0</v>
      </c>
      <c r="O423" t="n">
        <v>0</v>
      </c>
      <c r="P423" t="n">
        <v>0</v>
      </c>
      <c r="Q423" t="n">
        <v>0</v>
      </c>
      <c r="R423" s="2" t="inlineStr"/>
    </row>
    <row r="424" ht="15" customHeight="1">
      <c r="A424" t="inlineStr">
        <is>
          <t>A 7169-2022</t>
        </is>
      </c>
      <c r="B424" s="1" t="n">
        <v>44604</v>
      </c>
      <c r="C424" s="1" t="n">
        <v>45508</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8130-2022</t>
        </is>
      </c>
      <c r="B425" s="1" t="n">
        <v>44609</v>
      </c>
      <c r="C425" s="1" t="n">
        <v>45508</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9048-2022</t>
        </is>
      </c>
      <c r="B426" s="1" t="n">
        <v>44615</v>
      </c>
      <c r="C426" s="1" t="n">
        <v>45508</v>
      </c>
      <c r="D426" t="inlineStr">
        <is>
          <t>VÄSTMANLANDS LÄN</t>
        </is>
      </c>
      <c r="E426" t="inlineStr">
        <is>
          <t>SALA</t>
        </is>
      </c>
      <c r="G426" t="n">
        <v>5.2</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v>
      </c>
      <c r="C427" s="1" t="n">
        <v>45508</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9075-2022</t>
        </is>
      </c>
      <c r="B428" s="1" t="n">
        <v>44615</v>
      </c>
      <c r="C428" s="1" t="n">
        <v>45508</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9335-2022</t>
        </is>
      </c>
      <c r="B429" s="1" t="n">
        <v>44616</v>
      </c>
      <c r="C429" s="1" t="n">
        <v>45508</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9856-2022</t>
        </is>
      </c>
      <c r="B430" s="1" t="n">
        <v>44620</v>
      </c>
      <c r="C430" s="1" t="n">
        <v>45508</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10083-2022</t>
        </is>
      </c>
      <c r="B431" s="1" t="n">
        <v>44621</v>
      </c>
      <c r="C431" s="1" t="n">
        <v>45508</v>
      </c>
      <c r="D431" t="inlineStr">
        <is>
          <t>VÄSTMANLANDS LÄN</t>
        </is>
      </c>
      <c r="E431" t="inlineStr">
        <is>
          <t>SALA</t>
        </is>
      </c>
      <c r="G431" t="n">
        <v>7.8</v>
      </c>
      <c r="H431" t="n">
        <v>0</v>
      </c>
      <c r="I431" t="n">
        <v>0</v>
      </c>
      <c r="J431" t="n">
        <v>0</v>
      </c>
      <c r="K431" t="n">
        <v>0</v>
      </c>
      <c r="L431" t="n">
        <v>0</v>
      </c>
      <c r="M431" t="n">
        <v>0</v>
      </c>
      <c r="N431" t="n">
        <v>0</v>
      </c>
      <c r="O431" t="n">
        <v>0</v>
      </c>
      <c r="P431" t="n">
        <v>0</v>
      </c>
      <c r="Q431" t="n">
        <v>0</v>
      </c>
      <c r="R431" s="2" t="inlineStr"/>
    </row>
    <row r="432" ht="15" customHeight="1">
      <c r="A432" t="inlineStr">
        <is>
          <t>A 10168-2022</t>
        </is>
      </c>
      <c r="B432" s="1" t="n">
        <v>44622</v>
      </c>
      <c r="C432" s="1" t="n">
        <v>45508</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10434-2022</t>
        </is>
      </c>
      <c r="B433" s="1" t="n">
        <v>44623</v>
      </c>
      <c r="C433" s="1" t="n">
        <v>45508</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10585-2022</t>
        </is>
      </c>
      <c r="B434" s="1" t="n">
        <v>44624</v>
      </c>
      <c r="C434" s="1" t="n">
        <v>45508</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10579-2022</t>
        </is>
      </c>
      <c r="B435" s="1" t="n">
        <v>44624</v>
      </c>
      <c r="C435" s="1" t="n">
        <v>45508</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45508</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12245-2022</t>
        </is>
      </c>
      <c r="B437" s="1" t="n">
        <v>44637</v>
      </c>
      <c r="C437" s="1" t="n">
        <v>45508</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13608-2022</t>
        </is>
      </c>
      <c r="B438" s="1" t="n">
        <v>44648</v>
      </c>
      <c r="C438" s="1" t="n">
        <v>45508</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13962-2022</t>
        </is>
      </c>
      <c r="B439" s="1" t="n">
        <v>44650</v>
      </c>
      <c r="C439" s="1" t="n">
        <v>45508</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v>
      </c>
      <c r="C440" s="1" t="n">
        <v>45508</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16255-2022</t>
        </is>
      </c>
      <c r="B441" s="1" t="n">
        <v>44670</v>
      </c>
      <c r="C441" s="1" t="n">
        <v>45508</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45508</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16768-2022</t>
        </is>
      </c>
      <c r="B443" s="1" t="n">
        <v>44673</v>
      </c>
      <c r="C443" s="1" t="n">
        <v>45508</v>
      </c>
      <c r="D443" t="inlineStr">
        <is>
          <t>VÄSTMANLANDS LÄN</t>
        </is>
      </c>
      <c r="E443" t="inlineStr">
        <is>
          <t>SALA</t>
        </is>
      </c>
      <c r="G443" t="n">
        <v>4.7</v>
      </c>
      <c r="H443" t="n">
        <v>0</v>
      </c>
      <c r="I443" t="n">
        <v>0</v>
      </c>
      <c r="J443" t="n">
        <v>0</v>
      </c>
      <c r="K443" t="n">
        <v>0</v>
      </c>
      <c r="L443" t="n">
        <v>0</v>
      </c>
      <c r="M443" t="n">
        <v>0</v>
      </c>
      <c r="N443" t="n">
        <v>0</v>
      </c>
      <c r="O443" t="n">
        <v>0</v>
      </c>
      <c r="P443" t="n">
        <v>0</v>
      </c>
      <c r="Q443" t="n">
        <v>0</v>
      </c>
      <c r="R443" s="2" t="inlineStr"/>
    </row>
    <row r="444" ht="15" customHeight="1">
      <c r="A444" t="inlineStr">
        <is>
          <t>A 16905-2022</t>
        </is>
      </c>
      <c r="B444" s="1" t="n">
        <v>44676</v>
      </c>
      <c r="C444" s="1" t="n">
        <v>45508</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17897-2022</t>
        </is>
      </c>
      <c r="B445" s="1" t="n">
        <v>44683</v>
      </c>
      <c r="C445" s="1" t="n">
        <v>45508</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19058-2022</t>
        </is>
      </c>
      <c r="B446" s="1" t="n">
        <v>44691</v>
      </c>
      <c r="C446" s="1" t="n">
        <v>45508</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19065-2022</t>
        </is>
      </c>
      <c r="B447" s="1" t="n">
        <v>44691</v>
      </c>
      <c r="C447" s="1" t="n">
        <v>45508</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19751-2022</t>
        </is>
      </c>
      <c r="B448" s="1" t="n">
        <v>44694</v>
      </c>
      <c r="C448" s="1" t="n">
        <v>45508</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19760-2022</t>
        </is>
      </c>
      <c r="B449" s="1" t="n">
        <v>44694</v>
      </c>
      <c r="C449" s="1" t="n">
        <v>45508</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20344-2022</t>
        </is>
      </c>
      <c r="B450" s="1" t="n">
        <v>44699</v>
      </c>
      <c r="C450" s="1" t="n">
        <v>45508</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20352-2022</t>
        </is>
      </c>
      <c r="B451" s="1" t="n">
        <v>44699</v>
      </c>
      <c r="C451" s="1" t="n">
        <v>45508</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20875-2022</t>
        </is>
      </c>
      <c r="B452" s="1" t="n">
        <v>44701</v>
      </c>
      <c r="C452" s="1" t="n">
        <v>45508</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21055-2022</t>
        </is>
      </c>
      <c r="B453" s="1" t="n">
        <v>44704</v>
      </c>
      <c r="C453" s="1" t="n">
        <v>45508</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21053-2022</t>
        </is>
      </c>
      <c r="B454" s="1" t="n">
        <v>44704</v>
      </c>
      <c r="C454" s="1" t="n">
        <v>45508</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21159-2022</t>
        </is>
      </c>
      <c r="B455" s="1" t="n">
        <v>44704</v>
      </c>
      <c r="C455" s="1" t="n">
        <v>45508</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21777-2022</t>
        </is>
      </c>
      <c r="B456" s="1" t="n">
        <v>44708</v>
      </c>
      <c r="C456" s="1" t="n">
        <v>45508</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45508</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22575-2022</t>
        </is>
      </c>
      <c r="B458" s="1" t="n">
        <v>44713</v>
      </c>
      <c r="C458" s="1" t="n">
        <v>45508</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22562-2022</t>
        </is>
      </c>
      <c r="B459" s="1" t="n">
        <v>44713</v>
      </c>
      <c r="C459" s="1" t="n">
        <v>45508</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22811-2022</t>
        </is>
      </c>
      <c r="B460" s="1" t="n">
        <v>44715</v>
      </c>
      <c r="C460" s="1" t="n">
        <v>45508</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23119-2022</t>
        </is>
      </c>
      <c r="B461" s="1" t="n">
        <v>44719</v>
      </c>
      <c r="C461" s="1" t="n">
        <v>45508</v>
      </c>
      <c r="D461" t="inlineStr">
        <is>
          <t>VÄSTMANLANDS LÄN</t>
        </is>
      </c>
      <c r="E461" t="inlineStr">
        <is>
          <t>SALA</t>
        </is>
      </c>
      <c r="G461" t="n">
        <v>7</v>
      </c>
      <c r="H461" t="n">
        <v>0</v>
      </c>
      <c r="I461" t="n">
        <v>0</v>
      </c>
      <c r="J461" t="n">
        <v>0</v>
      </c>
      <c r="K461" t="n">
        <v>0</v>
      </c>
      <c r="L461" t="n">
        <v>0</v>
      </c>
      <c r="M461" t="n">
        <v>0</v>
      </c>
      <c r="N461" t="n">
        <v>0</v>
      </c>
      <c r="O461" t="n">
        <v>0</v>
      </c>
      <c r="P461" t="n">
        <v>0</v>
      </c>
      <c r="Q461" t="n">
        <v>0</v>
      </c>
      <c r="R461" s="2" t="inlineStr"/>
    </row>
    <row r="462" ht="15" customHeight="1">
      <c r="A462" t="inlineStr">
        <is>
          <t>A 23181-2022</t>
        </is>
      </c>
      <c r="B462" s="1" t="n">
        <v>44719</v>
      </c>
      <c r="C462" s="1" t="n">
        <v>45508</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23180-2022</t>
        </is>
      </c>
      <c r="B463" s="1" t="n">
        <v>44719</v>
      </c>
      <c r="C463" s="1" t="n">
        <v>45508</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v>
      </c>
      <c r="C464" s="1" t="n">
        <v>45508</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23757-2022</t>
        </is>
      </c>
      <c r="B465" s="1" t="n">
        <v>44722</v>
      </c>
      <c r="C465" s="1" t="n">
        <v>45508</v>
      </c>
      <c r="D465" t="inlineStr">
        <is>
          <t>VÄSTMANLANDS LÄN</t>
        </is>
      </c>
      <c r="E465" t="inlineStr">
        <is>
          <t>SALA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23847-2022</t>
        </is>
      </c>
      <c r="B466" s="1" t="n">
        <v>44722</v>
      </c>
      <c r="C466" s="1" t="n">
        <v>45508</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24818-2022</t>
        </is>
      </c>
      <c r="B467" s="1" t="n">
        <v>44727</v>
      </c>
      <c r="C467" s="1" t="n">
        <v>45508</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24835-2022</t>
        </is>
      </c>
      <c r="B468" s="1" t="n">
        <v>44727</v>
      </c>
      <c r="C468" s="1" t="n">
        <v>45508</v>
      </c>
      <c r="D468" t="inlineStr">
        <is>
          <t>VÄSTMANLANDS LÄN</t>
        </is>
      </c>
      <c r="E468" t="inlineStr">
        <is>
          <t>SALA</t>
        </is>
      </c>
      <c r="G468" t="n">
        <v>5.8</v>
      </c>
      <c r="H468" t="n">
        <v>0</v>
      </c>
      <c r="I468" t="n">
        <v>0</v>
      </c>
      <c r="J468" t="n">
        <v>0</v>
      </c>
      <c r="K468" t="n">
        <v>0</v>
      </c>
      <c r="L468" t="n">
        <v>0</v>
      </c>
      <c r="M468" t="n">
        <v>0</v>
      </c>
      <c r="N468" t="n">
        <v>0</v>
      </c>
      <c r="O468" t="n">
        <v>0</v>
      </c>
      <c r="P468" t="n">
        <v>0</v>
      </c>
      <c r="Q468" t="n">
        <v>0</v>
      </c>
      <c r="R468" s="2" t="inlineStr"/>
    </row>
    <row r="469" ht="15" customHeight="1">
      <c r="A469" t="inlineStr">
        <is>
          <t>A 24882-2022</t>
        </is>
      </c>
      <c r="B469" s="1" t="n">
        <v>44728</v>
      </c>
      <c r="C469" s="1" t="n">
        <v>45508</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25603-2022</t>
        </is>
      </c>
      <c r="B470" s="1" t="n">
        <v>44732</v>
      </c>
      <c r="C470" s="1" t="n">
        <v>45508</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25748-2022</t>
        </is>
      </c>
      <c r="B471" s="1" t="n">
        <v>44732</v>
      </c>
      <c r="C471" s="1" t="n">
        <v>45508</v>
      </c>
      <c r="D471" t="inlineStr">
        <is>
          <t>VÄSTMANLANDS LÄN</t>
        </is>
      </c>
      <c r="E471" t="inlineStr">
        <is>
          <t>SALA</t>
        </is>
      </c>
      <c r="G471" t="n">
        <v>7.7</v>
      </c>
      <c r="H471" t="n">
        <v>0</v>
      </c>
      <c r="I471" t="n">
        <v>0</v>
      </c>
      <c r="J471" t="n">
        <v>0</v>
      </c>
      <c r="K471" t="n">
        <v>0</v>
      </c>
      <c r="L471" t="n">
        <v>0</v>
      </c>
      <c r="M471" t="n">
        <v>0</v>
      </c>
      <c r="N471" t="n">
        <v>0</v>
      </c>
      <c r="O471" t="n">
        <v>0</v>
      </c>
      <c r="P471" t="n">
        <v>0</v>
      </c>
      <c r="Q471" t="n">
        <v>0</v>
      </c>
      <c r="R471" s="2" t="inlineStr"/>
    </row>
    <row r="472" ht="15" customHeight="1">
      <c r="A472" t="inlineStr">
        <is>
          <t>A 27229-2022</t>
        </is>
      </c>
      <c r="B472" s="1" t="n">
        <v>44741</v>
      </c>
      <c r="C472" s="1" t="n">
        <v>45508</v>
      </c>
      <c r="D472" t="inlineStr">
        <is>
          <t>VÄSTMANLANDS LÄN</t>
        </is>
      </c>
      <c r="E472" t="inlineStr">
        <is>
          <t>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27240-2022</t>
        </is>
      </c>
      <c r="B473" s="1" t="n">
        <v>44741</v>
      </c>
      <c r="C473" s="1" t="n">
        <v>45508</v>
      </c>
      <c r="D473" t="inlineStr">
        <is>
          <t>VÄSTMANLANDS LÄN</t>
        </is>
      </c>
      <c r="E473" t="inlineStr">
        <is>
          <t>SALA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27446-2022</t>
        </is>
      </c>
      <c r="B474" s="1" t="n">
        <v>44742</v>
      </c>
      <c r="C474" s="1" t="n">
        <v>45508</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27528-2022</t>
        </is>
      </c>
      <c r="B475" s="1" t="n">
        <v>44742</v>
      </c>
      <c r="C475" s="1" t="n">
        <v>45508</v>
      </c>
      <c r="D475" t="inlineStr">
        <is>
          <t>VÄSTMANLANDS LÄN</t>
        </is>
      </c>
      <c r="E475" t="inlineStr">
        <is>
          <t>SALA</t>
        </is>
      </c>
      <c r="G475" t="n">
        <v>3.2</v>
      </c>
      <c r="H475" t="n">
        <v>0</v>
      </c>
      <c r="I475" t="n">
        <v>0</v>
      </c>
      <c r="J475" t="n">
        <v>0</v>
      </c>
      <c r="K475" t="n">
        <v>0</v>
      </c>
      <c r="L475" t="n">
        <v>0</v>
      </c>
      <c r="M475" t="n">
        <v>0</v>
      </c>
      <c r="N475" t="n">
        <v>0</v>
      </c>
      <c r="O475" t="n">
        <v>0</v>
      </c>
      <c r="P475" t="n">
        <v>0</v>
      </c>
      <c r="Q475" t="n">
        <v>0</v>
      </c>
      <c r="R475" s="2" t="inlineStr"/>
    </row>
    <row r="476" ht="15" customHeight="1">
      <c r="A476" t="inlineStr">
        <is>
          <t>A 27486-2022</t>
        </is>
      </c>
      <c r="B476" s="1" t="n">
        <v>44742</v>
      </c>
      <c r="C476" s="1" t="n">
        <v>45508</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28069-2022</t>
        </is>
      </c>
      <c r="B477" s="1" t="n">
        <v>44746</v>
      </c>
      <c r="C477" s="1" t="n">
        <v>45508</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28215-2022</t>
        </is>
      </c>
      <c r="B478" s="1" t="n">
        <v>44746</v>
      </c>
      <c r="C478" s="1" t="n">
        <v>45508</v>
      </c>
      <c r="D478" t="inlineStr">
        <is>
          <t>VÄSTMANLANDS LÄN</t>
        </is>
      </c>
      <c r="E478" t="inlineStr">
        <is>
          <t>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28402-2022</t>
        </is>
      </c>
      <c r="B479" s="1" t="n">
        <v>44747</v>
      </c>
      <c r="C479" s="1" t="n">
        <v>45508</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28863-2022</t>
        </is>
      </c>
      <c r="B480" s="1" t="n">
        <v>44749</v>
      </c>
      <c r="C480" s="1" t="n">
        <v>45508</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28875-2022</t>
        </is>
      </c>
      <c r="B481" s="1" t="n">
        <v>44749</v>
      </c>
      <c r="C481" s="1" t="n">
        <v>45508</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28999-2022</t>
        </is>
      </c>
      <c r="B482" s="1" t="n">
        <v>44749</v>
      </c>
      <c r="C482" s="1" t="n">
        <v>45508</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28827-2022</t>
        </is>
      </c>
      <c r="B483" s="1" t="n">
        <v>44749</v>
      </c>
      <c r="C483" s="1" t="n">
        <v>45508</v>
      </c>
      <c r="D483" t="inlineStr">
        <is>
          <t>VÄSTMANLANDS LÄN</t>
        </is>
      </c>
      <c r="E483" t="inlineStr">
        <is>
          <t>SALA</t>
        </is>
      </c>
      <c r="F483" t="inlineStr">
        <is>
          <t>Kommuner</t>
        </is>
      </c>
      <c r="G483" t="n">
        <v>11.9</v>
      </c>
      <c r="H483" t="n">
        <v>0</v>
      </c>
      <c r="I483" t="n">
        <v>0</v>
      </c>
      <c r="J483" t="n">
        <v>0</v>
      </c>
      <c r="K483" t="n">
        <v>0</v>
      </c>
      <c r="L483" t="n">
        <v>0</v>
      </c>
      <c r="M483" t="n">
        <v>0</v>
      </c>
      <c r="N483" t="n">
        <v>0</v>
      </c>
      <c r="O483" t="n">
        <v>0</v>
      </c>
      <c r="P483" t="n">
        <v>0</v>
      </c>
      <c r="Q483" t="n">
        <v>0</v>
      </c>
      <c r="R483" s="2" t="inlineStr"/>
    </row>
    <row r="484" ht="15" customHeight="1">
      <c r="A484" t="inlineStr">
        <is>
          <t>A 28873-2022</t>
        </is>
      </c>
      <c r="B484" s="1" t="n">
        <v>44749</v>
      </c>
      <c r="C484" s="1" t="n">
        <v>45508</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29002-2022</t>
        </is>
      </c>
      <c r="B485" s="1" t="n">
        <v>44749</v>
      </c>
      <c r="C485" s="1" t="n">
        <v>45508</v>
      </c>
      <c r="D485" t="inlineStr">
        <is>
          <t>VÄSTMANLANDS LÄN</t>
        </is>
      </c>
      <c r="E485" t="inlineStr">
        <is>
          <t>SALA</t>
        </is>
      </c>
      <c r="G485" t="n">
        <v>5.4</v>
      </c>
      <c r="H485" t="n">
        <v>0</v>
      </c>
      <c r="I485" t="n">
        <v>0</v>
      </c>
      <c r="J485" t="n">
        <v>0</v>
      </c>
      <c r="K485" t="n">
        <v>0</v>
      </c>
      <c r="L485" t="n">
        <v>0</v>
      </c>
      <c r="M485" t="n">
        <v>0</v>
      </c>
      <c r="N485" t="n">
        <v>0</v>
      </c>
      <c r="O485" t="n">
        <v>0</v>
      </c>
      <c r="P485" t="n">
        <v>0</v>
      </c>
      <c r="Q485" t="n">
        <v>0</v>
      </c>
      <c r="R485" s="2" t="inlineStr"/>
    </row>
    <row r="486" ht="15" customHeight="1">
      <c r="A486" t="inlineStr">
        <is>
          <t>A 28868-2022</t>
        </is>
      </c>
      <c r="B486" s="1" t="n">
        <v>44749</v>
      </c>
      <c r="C486" s="1" t="n">
        <v>45508</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28874-2022</t>
        </is>
      </c>
      <c r="B487" s="1" t="n">
        <v>44749</v>
      </c>
      <c r="C487" s="1" t="n">
        <v>45508</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28879-2022</t>
        </is>
      </c>
      <c r="B488" s="1" t="n">
        <v>44749</v>
      </c>
      <c r="C488" s="1" t="n">
        <v>45508</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45508</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29228-2022</t>
        </is>
      </c>
      <c r="B490" s="1" t="n">
        <v>44750</v>
      </c>
      <c r="C490" s="1" t="n">
        <v>45508</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29233-2022</t>
        </is>
      </c>
      <c r="B491" s="1" t="n">
        <v>44750</v>
      </c>
      <c r="C491" s="1" t="n">
        <v>45508</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29248-2022</t>
        </is>
      </c>
      <c r="B492" s="1" t="n">
        <v>44750</v>
      </c>
      <c r="C492" s="1" t="n">
        <v>45508</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29230-2022</t>
        </is>
      </c>
      <c r="B493" s="1" t="n">
        <v>44750</v>
      </c>
      <c r="C493" s="1" t="n">
        <v>45508</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29133-2022</t>
        </is>
      </c>
      <c r="B494" s="1" t="n">
        <v>44750</v>
      </c>
      <c r="C494" s="1" t="n">
        <v>45508</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v>
      </c>
      <c r="C495" s="1" t="n">
        <v>45508</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29963-2022</t>
        </is>
      </c>
      <c r="B496" s="1" t="n">
        <v>44756</v>
      </c>
      <c r="C496" s="1" t="n">
        <v>45508</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29965-2022</t>
        </is>
      </c>
      <c r="B497" s="1" t="n">
        <v>44756</v>
      </c>
      <c r="C497" s="1" t="n">
        <v>45508</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29982-2022</t>
        </is>
      </c>
      <c r="B498" s="1" t="n">
        <v>44756</v>
      </c>
      <c r="C498" s="1" t="n">
        <v>45508</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30360-2022</t>
        </is>
      </c>
      <c r="B499" s="1" t="n">
        <v>44760</v>
      </c>
      <c r="C499" s="1" t="n">
        <v>45508</v>
      </c>
      <c r="D499" t="inlineStr">
        <is>
          <t>VÄSTMANLANDS LÄN</t>
        </is>
      </c>
      <c r="E499" t="inlineStr">
        <is>
          <t>SALA</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30442-2022</t>
        </is>
      </c>
      <c r="B500" s="1" t="n">
        <v>44761</v>
      </c>
      <c r="C500" s="1" t="n">
        <v>45508</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30971-2022</t>
        </is>
      </c>
      <c r="B501" s="1" t="n">
        <v>44768</v>
      </c>
      <c r="C501" s="1" t="n">
        <v>45508</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31000-2022</t>
        </is>
      </c>
      <c r="B502" s="1" t="n">
        <v>44768</v>
      </c>
      <c r="C502" s="1" t="n">
        <v>45508</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31373-2022</t>
        </is>
      </c>
      <c r="B503" s="1" t="n">
        <v>44774</v>
      </c>
      <c r="C503" s="1" t="n">
        <v>45508</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31380-2022</t>
        </is>
      </c>
      <c r="B504" s="1" t="n">
        <v>44774</v>
      </c>
      <c r="C504" s="1" t="n">
        <v>45508</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31387-2022</t>
        </is>
      </c>
      <c r="B505" s="1" t="n">
        <v>44774</v>
      </c>
      <c r="C505" s="1" t="n">
        <v>45508</v>
      </c>
      <c r="D505" t="inlineStr">
        <is>
          <t>VÄSTMANLANDS LÄN</t>
        </is>
      </c>
      <c r="E505" t="inlineStr">
        <is>
          <t>SALA</t>
        </is>
      </c>
      <c r="G505" t="n">
        <v>5.8</v>
      </c>
      <c r="H505" t="n">
        <v>0</v>
      </c>
      <c r="I505" t="n">
        <v>0</v>
      </c>
      <c r="J505" t="n">
        <v>0</v>
      </c>
      <c r="K505" t="n">
        <v>0</v>
      </c>
      <c r="L505" t="n">
        <v>0</v>
      </c>
      <c r="M505" t="n">
        <v>0</v>
      </c>
      <c r="N505" t="n">
        <v>0</v>
      </c>
      <c r="O505" t="n">
        <v>0</v>
      </c>
      <c r="P505" t="n">
        <v>0</v>
      </c>
      <c r="Q505" t="n">
        <v>0</v>
      </c>
      <c r="R505" s="2" t="inlineStr"/>
    </row>
    <row r="506" ht="15" customHeight="1">
      <c r="A506" t="inlineStr">
        <is>
          <t>A 31394-2022</t>
        </is>
      </c>
      <c r="B506" s="1" t="n">
        <v>44774</v>
      </c>
      <c r="C506" s="1" t="n">
        <v>45508</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v>
      </c>
      <c r="C507" s="1" t="n">
        <v>45508</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34110-2022</t>
        </is>
      </c>
      <c r="B508" s="1" t="n">
        <v>44791</v>
      </c>
      <c r="C508" s="1" t="n">
        <v>45508</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34468-2022</t>
        </is>
      </c>
      <c r="B509" s="1" t="n">
        <v>44792</v>
      </c>
      <c r="C509" s="1" t="n">
        <v>45508</v>
      </c>
      <c r="D509" t="inlineStr">
        <is>
          <t>VÄSTMANLANDS LÄN</t>
        </is>
      </c>
      <c r="E509" t="inlineStr">
        <is>
          <t>SALA</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34737-2022</t>
        </is>
      </c>
      <c r="B510" s="1" t="n">
        <v>44795</v>
      </c>
      <c r="C510" s="1" t="n">
        <v>45508</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35410-2022</t>
        </is>
      </c>
      <c r="B511" s="1" t="n">
        <v>44798</v>
      </c>
      <c r="C511" s="1" t="n">
        <v>45508</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35637-2022</t>
        </is>
      </c>
      <c r="B512" s="1" t="n">
        <v>44799</v>
      </c>
      <c r="C512" s="1" t="n">
        <v>45508</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38081-2022</t>
        </is>
      </c>
      <c r="B513" s="1" t="n">
        <v>44811</v>
      </c>
      <c r="C513" s="1" t="n">
        <v>45508</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38161-2022</t>
        </is>
      </c>
      <c r="B514" s="1" t="n">
        <v>44812</v>
      </c>
      <c r="C514" s="1" t="n">
        <v>45508</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39451-2022</t>
        </is>
      </c>
      <c r="B515" s="1" t="n">
        <v>44818</v>
      </c>
      <c r="C515" s="1" t="n">
        <v>45508</v>
      </c>
      <c r="D515" t="inlineStr">
        <is>
          <t>VÄSTMANLANDS LÄN</t>
        </is>
      </c>
      <c r="E515" t="inlineStr">
        <is>
          <t>SALA</t>
        </is>
      </c>
      <c r="G515" t="n">
        <v>9.4</v>
      </c>
      <c r="H515" t="n">
        <v>0</v>
      </c>
      <c r="I515" t="n">
        <v>0</v>
      </c>
      <c r="J515" t="n">
        <v>0</v>
      </c>
      <c r="K515" t="n">
        <v>0</v>
      </c>
      <c r="L515" t="n">
        <v>0</v>
      </c>
      <c r="M515" t="n">
        <v>0</v>
      </c>
      <c r="N515" t="n">
        <v>0</v>
      </c>
      <c r="O515" t="n">
        <v>0</v>
      </c>
      <c r="P515" t="n">
        <v>0</v>
      </c>
      <c r="Q515" t="n">
        <v>0</v>
      </c>
      <c r="R515" s="2" t="inlineStr"/>
    </row>
    <row r="516" ht="15" customHeight="1">
      <c r="A516" t="inlineStr">
        <is>
          <t>A 39600-2022</t>
        </is>
      </c>
      <c r="B516" s="1" t="n">
        <v>44818</v>
      </c>
      <c r="C516" s="1" t="n">
        <v>45508</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39597-2022</t>
        </is>
      </c>
      <c r="B517" s="1" t="n">
        <v>44818</v>
      </c>
      <c r="C517" s="1" t="n">
        <v>45508</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40094-2022</t>
        </is>
      </c>
      <c r="B518" s="1" t="n">
        <v>44819</v>
      </c>
      <c r="C518" s="1" t="n">
        <v>45508</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40113-2022</t>
        </is>
      </c>
      <c r="B519" s="1" t="n">
        <v>44819</v>
      </c>
      <c r="C519" s="1" t="n">
        <v>45508</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40405-2022</t>
        </is>
      </c>
      <c r="B520" s="1" t="n">
        <v>44823</v>
      </c>
      <c r="C520" s="1" t="n">
        <v>45508</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40597-2022</t>
        </is>
      </c>
      <c r="B521" s="1" t="n">
        <v>44823</v>
      </c>
      <c r="C521" s="1" t="n">
        <v>45508</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41567-2022</t>
        </is>
      </c>
      <c r="B522" s="1" t="n">
        <v>44827</v>
      </c>
      <c r="C522" s="1" t="n">
        <v>45508</v>
      </c>
      <c r="D522" t="inlineStr">
        <is>
          <t>VÄSTMANLANDS LÄN</t>
        </is>
      </c>
      <c r="E522" t="inlineStr">
        <is>
          <t>SALA</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44830</v>
      </c>
      <c r="C523" s="1" t="n">
        <v>45508</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45508</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42447-2022</t>
        </is>
      </c>
      <c r="B525" s="1" t="n">
        <v>44831</v>
      </c>
      <c r="C525" s="1" t="n">
        <v>45508</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42414-2022</t>
        </is>
      </c>
      <c r="B526" s="1" t="n">
        <v>44831</v>
      </c>
      <c r="C526" s="1" t="n">
        <v>45508</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43103-2022</t>
        </is>
      </c>
      <c r="B527" s="1" t="n">
        <v>44833</v>
      </c>
      <c r="C527" s="1" t="n">
        <v>45508</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43101-2022</t>
        </is>
      </c>
      <c r="B528" s="1" t="n">
        <v>44833</v>
      </c>
      <c r="C528" s="1" t="n">
        <v>45508</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v>
      </c>
      <c r="C529" s="1" t="n">
        <v>45508</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44318-2022</t>
        </is>
      </c>
      <c r="B530" s="1" t="n">
        <v>44839</v>
      </c>
      <c r="C530" s="1" t="n">
        <v>45508</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v>
      </c>
      <c r="C531" s="1" t="n">
        <v>45508</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44892-2022</t>
        </is>
      </c>
      <c r="B532" s="1" t="n">
        <v>44841</v>
      </c>
      <c r="C532" s="1" t="n">
        <v>45508</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45015-2022</t>
        </is>
      </c>
      <c r="B533" s="1" t="n">
        <v>44841</v>
      </c>
      <c r="C533" s="1" t="n">
        <v>45508</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44935-2022</t>
        </is>
      </c>
      <c r="B534" s="1" t="n">
        <v>44841</v>
      </c>
      <c r="C534" s="1" t="n">
        <v>45508</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45309-2022</t>
        </is>
      </c>
      <c r="B535" s="1" t="n">
        <v>44844</v>
      </c>
      <c r="C535" s="1" t="n">
        <v>45508</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45517-2022</t>
        </is>
      </c>
      <c r="B536" s="1" t="n">
        <v>44845</v>
      </c>
      <c r="C536" s="1" t="n">
        <v>45508</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45615-2022</t>
        </is>
      </c>
      <c r="B537" s="1" t="n">
        <v>44845</v>
      </c>
      <c r="C537" s="1" t="n">
        <v>45508</v>
      </c>
      <c r="D537" t="inlineStr">
        <is>
          <t>VÄSTMANLANDS LÄN</t>
        </is>
      </c>
      <c r="E537" t="inlineStr">
        <is>
          <t>SALA</t>
        </is>
      </c>
      <c r="F537" t="inlineStr">
        <is>
          <t>Bergvik skog öst AB</t>
        </is>
      </c>
      <c r="G537" t="n">
        <v>10</v>
      </c>
      <c r="H537" t="n">
        <v>0</v>
      </c>
      <c r="I537" t="n">
        <v>0</v>
      </c>
      <c r="J537" t="n">
        <v>0</v>
      </c>
      <c r="K537" t="n">
        <v>0</v>
      </c>
      <c r="L537" t="n">
        <v>0</v>
      </c>
      <c r="M537" t="n">
        <v>0</v>
      </c>
      <c r="N537" t="n">
        <v>0</v>
      </c>
      <c r="O537" t="n">
        <v>0</v>
      </c>
      <c r="P537" t="n">
        <v>0</v>
      </c>
      <c r="Q537" t="n">
        <v>0</v>
      </c>
      <c r="R537" s="2" t="inlineStr"/>
    </row>
    <row r="538" ht="15" customHeight="1">
      <c r="A538" t="inlineStr">
        <is>
          <t>A 46264-2022</t>
        </is>
      </c>
      <c r="B538" s="1" t="n">
        <v>44847</v>
      </c>
      <c r="C538" s="1" t="n">
        <v>45508</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46460-2022</t>
        </is>
      </c>
      <c r="B539" s="1" t="n">
        <v>44848</v>
      </c>
      <c r="C539" s="1" t="n">
        <v>45508</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47086-2022</t>
        </is>
      </c>
      <c r="B540" s="1" t="n">
        <v>44852</v>
      </c>
      <c r="C540" s="1" t="n">
        <v>45508</v>
      </c>
      <c r="D540" t="inlineStr">
        <is>
          <t>VÄSTMANLANDS LÄN</t>
        </is>
      </c>
      <c r="E540" t="inlineStr">
        <is>
          <t>SALA</t>
        </is>
      </c>
      <c r="G540" t="n">
        <v>12.5</v>
      </c>
      <c r="H540" t="n">
        <v>0</v>
      </c>
      <c r="I540" t="n">
        <v>0</v>
      </c>
      <c r="J540" t="n">
        <v>0</v>
      </c>
      <c r="K540" t="n">
        <v>0</v>
      </c>
      <c r="L540" t="n">
        <v>0</v>
      </c>
      <c r="M540" t="n">
        <v>0</v>
      </c>
      <c r="N540" t="n">
        <v>0</v>
      </c>
      <c r="O540" t="n">
        <v>0</v>
      </c>
      <c r="P540" t="n">
        <v>0</v>
      </c>
      <c r="Q540" t="n">
        <v>0</v>
      </c>
      <c r="R540" s="2" t="inlineStr"/>
    </row>
    <row r="541" ht="15" customHeight="1">
      <c r="A541" t="inlineStr">
        <is>
          <t>A 47713-2022</t>
        </is>
      </c>
      <c r="B541" s="1" t="n">
        <v>44854</v>
      </c>
      <c r="C541" s="1" t="n">
        <v>45508</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47715-2022</t>
        </is>
      </c>
      <c r="B542" s="1" t="n">
        <v>44854</v>
      </c>
      <c r="C542" s="1" t="n">
        <v>45508</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47909-2022</t>
        </is>
      </c>
      <c r="B543" s="1" t="n">
        <v>44855</v>
      </c>
      <c r="C543" s="1" t="n">
        <v>45508</v>
      </c>
      <c r="D543" t="inlineStr">
        <is>
          <t>VÄSTMANLANDS LÄN</t>
        </is>
      </c>
      <c r="E543" t="inlineStr">
        <is>
          <t>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48219-2022</t>
        </is>
      </c>
      <c r="B544" s="1" t="n">
        <v>44858</v>
      </c>
      <c r="C544" s="1" t="n">
        <v>45508</v>
      </c>
      <c r="D544" t="inlineStr">
        <is>
          <t>VÄSTMANLANDS LÄN</t>
        </is>
      </c>
      <c r="E544" t="inlineStr">
        <is>
          <t>SALA</t>
        </is>
      </c>
      <c r="G544" t="n">
        <v>3.6</v>
      </c>
      <c r="H544" t="n">
        <v>0</v>
      </c>
      <c r="I544" t="n">
        <v>0</v>
      </c>
      <c r="J544" t="n">
        <v>0</v>
      </c>
      <c r="K544" t="n">
        <v>0</v>
      </c>
      <c r="L544" t="n">
        <v>0</v>
      </c>
      <c r="M544" t="n">
        <v>0</v>
      </c>
      <c r="N544" t="n">
        <v>0</v>
      </c>
      <c r="O544" t="n">
        <v>0</v>
      </c>
      <c r="P544" t="n">
        <v>0</v>
      </c>
      <c r="Q544" t="n">
        <v>0</v>
      </c>
      <c r="R544" s="2" t="inlineStr"/>
    </row>
    <row r="545" ht="15" customHeight="1">
      <c r="A545" t="inlineStr">
        <is>
          <t>A 49086-2022</t>
        </is>
      </c>
      <c r="B545" s="1" t="n">
        <v>44860</v>
      </c>
      <c r="C545" s="1" t="n">
        <v>45508</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49254-2022</t>
        </is>
      </c>
      <c r="B546" s="1" t="n">
        <v>44861</v>
      </c>
      <c r="C546" s="1" t="n">
        <v>45508</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50461-2022</t>
        </is>
      </c>
      <c r="B547" s="1" t="n">
        <v>44861</v>
      </c>
      <c r="C547" s="1" t="n">
        <v>45508</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50479-2022</t>
        </is>
      </c>
      <c r="B548" s="1" t="n">
        <v>44861</v>
      </c>
      <c r="C548" s="1" t="n">
        <v>45508</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51279-2022</t>
        </is>
      </c>
      <c r="B549" s="1" t="n">
        <v>44866</v>
      </c>
      <c r="C549" s="1" t="n">
        <v>45508</v>
      </c>
      <c r="D549" t="inlineStr">
        <is>
          <t>VÄSTMANLANDS LÄN</t>
        </is>
      </c>
      <c r="E549" t="inlineStr">
        <is>
          <t>SALA</t>
        </is>
      </c>
      <c r="G549" t="n">
        <v>3.9</v>
      </c>
      <c r="H549" t="n">
        <v>0</v>
      </c>
      <c r="I549" t="n">
        <v>0</v>
      </c>
      <c r="J549" t="n">
        <v>0</v>
      </c>
      <c r="K549" t="n">
        <v>0</v>
      </c>
      <c r="L549" t="n">
        <v>0</v>
      </c>
      <c r="M549" t="n">
        <v>0</v>
      </c>
      <c r="N549" t="n">
        <v>0</v>
      </c>
      <c r="O549" t="n">
        <v>0</v>
      </c>
      <c r="P549" t="n">
        <v>0</v>
      </c>
      <c r="Q549" t="n">
        <v>0</v>
      </c>
      <c r="R549" s="2" t="inlineStr"/>
    </row>
    <row r="550" ht="15" customHeight="1">
      <c r="A550" t="inlineStr">
        <is>
          <t>A 51377-2022</t>
        </is>
      </c>
      <c r="B550" s="1" t="n">
        <v>44866</v>
      </c>
      <c r="C550" s="1" t="n">
        <v>45508</v>
      </c>
      <c r="D550" t="inlineStr">
        <is>
          <t>VÄSTMANLANDS LÄN</t>
        </is>
      </c>
      <c r="E550" t="inlineStr">
        <is>
          <t>SALA</t>
        </is>
      </c>
      <c r="G550" t="n">
        <v>6.3</v>
      </c>
      <c r="H550" t="n">
        <v>0</v>
      </c>
      <c r="I550" t="n">
        <v>0</v>
      </c>
      <c r="J550" t="n">
        <v>0</v>
      </c>
      <c r="K550" t="n">
        <v>0</v>
      </c>
      <c r="L550" t="n">
        <v>0</v>
      </c>
      <c r="M550" t="n">
        <v>0</v>
      </c>
      <c r="N550" t="n">
        <v>0</v>
      </c>
      <c r="O550" t="n">
        <v>0</v>
      </c>
      <c r="P550" t="n">
        <v>0</v>
      </c>
      <c r="Q550" t="n">
        <v>0</v>
      </c>
      <c r="R550" s="2" t="inlineStr"/>
    </row>
    <row r="551" ht="15" customHeight="1">
      <c r="A551" t="inlineStr">
        <is>
          <t>A 50795-2022</t>
        </is>
      </c>
      <c r="B551" s="1" t="n">
        <v>44867</v>
      </c>
      <c r="C551" s="1" t="n">
        <v>45508</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51600-2022</t>
        </is>
      </c>
      <c r="B552" s="1" t="n">
        <v>44871</v>
      </c>
      <c r="C552" s="1" t="n">
        <v>45508</v>
      </c>
      <c r="D552" t="inlineStr">
        <is>
          <t>VÄSTMANLANDS LÄN</t>
        </is>
      </c>
      <c r="E552" t="inlineStr">
        <is>
          <t>SALA</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51596-2022</t>
        </is>
      </c>
      <c r="B553" s="1" t="n">
        <v>44871</v>
      </c>
      <c r="C553" s="1" t="n">
        <v>45508</v>
      </c>
      <c r="D553" t="inlineStr">
        <is>
          <t>VÄSTMANLANDS LÄN</t>
        </is>
      </c>
      <c r="E553" t="inlineStr">
        <is>
          <t>SALA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52504-2022</t>
        </is>
      </c>
      <c r="B554" s="1" t="n">
        <v>44874</v>
      </c>
      <c r="C554" s="1" t="n">
        <v>45508</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52498-2022</t>
        </is>
      </c>
      <c r="B555" s="1" t="n">
        <v>44874</v>
      </c>
      <c r="C555" s="1" t="n">
        <v>45508</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52630-2022</t>
        </is>
      </c>
      <c r="B556" s="1" t="n">
        <v>44874</v>
      </c>
      <c r="C556" s="1" t="n">
        <v>45508</v>
      </c>
      <c r="D556" t="inlineStr">
        <is>
          <t>VÄSTMANLANDS LÄN</t>
        </is>
      </c>
      <c r="E556" t="inlineStr">
        <is>
          <t>SALA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53425-2022</t>
        </is>
      </c>
      <c r="B557" s="1" t="n">
        <v>44879</v>
      </c>
      <c r="C557" s="1" t="n">
        <v>45508</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53432-2022</t>
        </is>
      </c>
      <c r="B558" s="1" t="n">
        <v>44879</v>
      </c>
      <c r="C558" s="1" t="n">
        <v>45508</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45508</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53630-2022</t>
        </is>
      </c>
      <c r="B560" s="1" t="n">
        <v>44879</v>
      </c>
      <c r="C560" s="1" t="n">
        <v>45508</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53864-2022</t>
        </is>
      </c>
      <c r="B561" s="1" t="n">
        <v>44880</v>
      </c>
      <c r="C561" s="1" t="n">
        <v>45508</v>
      </c>
      <c r="D561" t="inlineStr">
        <is>
          <t>VÄSTMANLANDS LÄN</t>
        </is>
      </c>
      <c r="E561" t="inlineStr">
        <is>
          <t>SALA</t>
        </is>
      </c>
      <c r="G561" t="n">
        <v>5.9</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45508</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53838-2022</t>
        </is>
      </c>
      <c r="B563" s="1" t="n">
        <v>44880</v>
      </c>
      <c r="C563" s="1" t="n">
        <v>45508</v>
      </c>
      <c r="D563" t="inlineStr">
        <is>
          <t>VÄSTMANLANDS LÄN</t>
        </is>
      </c>
      <c r="E563" t="inlineStr">
        <is>
          <t>SALA</t>
        </is>
      </c>
      <c r="G563" t="n">
        <v>3.9</v>
      </c>
      <c r="H563" t="n">
        <v>0</v>
      </c>
      <c r="I563" t="n">
        <v>0</v>
      </c>
      <c r="J563" t="n">
        <v>0</v>
      </c>
      <c r="K563" t="n">
        <v>0</v>
      </c>
      <c r="L563" t="n">
        <v>0</v>
      </c>
      <c r="M563" t="n">
        <v>0</v>
      </c>
      <c r="N563" t="n">
        <v>0</v>
      </c>
      <c r="O563" t="n">
        <v>0</v>
      </c>
      <c r="P563" t="n">
        <v>0</v>
      </c>
      <c r="Q563" t="n">
        <v>0</v>
      </c>
      <c r="R563" s="2" t="inlineStr"/>
    </row>
    <row r="564" ht="15" customHeight="1">
      <c r="A564" t="inlineStr">
        <is>
          <t>A 53997-2022</t>
        </is>
      </c>
      <c r="B564" s="1" t="n">
        <v>44881</v>
      </c>
      <c r="C564" s="1" t="n">
        <v>45508</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55733-2022</t>
        </is>
      </c>
      <c r="B565" s="1" t="n">
        <v>44888</v>
      </c>
      <c r="C565" s="1" t="n">
        <v>45508</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56089-2022</t>
        </is>
      </c>
      <c r="B566" s="1" t="n">
        <v>44889</v>
      </c>
      <c r="C566" s="1" t="n">
        <v>45508</v>
      </c>
      <c r="D566" t="inlineStr">
        <is>
          <t>VÄSTMANLANDS LÄN</t>
        </is>
      </c>
      <c r="E566" t="inlineStr">
        <is>
          <t>SALA</t>
        </is>
      </c>
      <c r="F566" t="inlineStr">
        <is>
          <t>Sveaskog</t>
        </is>
      </c>
      <c r="G566" t="n">
        <v>4.3</v>
      </c>
      <c r="H566" t="n">
        <v>0</v>
      </c>
      <c r="I566" t="n">
        <v>0</v>
      </c>
      <c r="J566" t="n">
        <v>0</v>
      </c>
      <c r="K566" t="n">
        <v>0</v>
      </c>
      <c r="L566" t="n">
        <v>0</v>
      </c>
      <c r="M566" t="n">
        <v>0</v>
      </c>
      <c r="N566" t="n">
        <v>0</v>
      </c>
      <c r="O566" t="n">
        <v>0</v>
      </c>
      <c r="P566" t="n">
        <v>0</v>
      </c>
      <c r="Q566" t="n">
        <v>0</v>
      </c>
      <c r="R566" s="2" t="inlineStr"/>
    </row>
    <row r="567" ht="15" customHeight="1">
      <c r="A567" t="inlineStr">
        <is>
          <t>A 56088-2022</t>
        </is>
      </c>
      <c r="B567" s="1" t="n">
        <v>44889</v>
      </c>
      <c r="C567" s="1" t="n">
        <v>45508</v>
      </c>
      <c r="D567" t="inlineStr">
        <is>
          <t>VÄSTMANLANDS LÄN</t>
        </is>
      </c>
      <c r="E567" t="inlineStr">
        <is>
          <t>SALA</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56234-2022</t>
        </is>
      </c>
      <c r="B568" s="1" t="n">
        <v>44890</v>
      </c>
      <c r="C568" s="1" t="n">
        <v>45508</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56242-2022</t>
        </is>
      </c>
      <c r="B569" s="1" t="n">
        <v>44890</v>
      </c>
      <c r="C569" s="1" t="n">
        <v>45508</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v>
      </c>
      <c r="C570" s="1" t="n">
        <v>45508</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56706-2022</t>
        </is>
      </c>
      <c r="B571" s="1" t="n">
        <v>44893</v>
      </c>
      <c r="C571" s="1" t="n">
        <v>45508</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56547-2022</t>
        </is>
      </c>
      <c r="B572" s="1" t="n">
        <v>44893</v>
      </c>
      <c r="C572" s="1" t="n">
        <v>45508</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56707-2022</t>
        </is>
      </c>
      <c r="B573" s="1" t="n">
        <v>44893</v>
      </c>
      <c r="C573" s="1" t="n">
        <v>45508</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56977-2022</t>
        </is>
      </c>
      <c r="B574" s="1" t="n">
        <v>44894</v>
      </c>
      <c r="C574" s="1" t="n">
        <v>45508</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57371-2022</t>
        </is>
      </c>
      <c r="B575" s="1" t="n">
        <v>44896</v>
      </c>
      <c r="C575" s="1" t="n">
        <v>45508</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58076-2022</t>
        </is>
      </c>
      <c r="B576" s="1" t="n">
        <v>44900</v>
      </c>
      <c r="C576" s="1" t="n">
        <v>45508</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58496-2022</t>
        </is>
      </c>
      <c r="B577" s="1" t="n">
        <v>44902</v>
      </c>
      <c r="C577" s="1" t="n">
        <v>45508</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58502-2022</t>
        </is>
      </c>
      <c r="B578" s="1" t="n">
        <v>44902</v>
      </c>
      <c r="C578" s="1" t="n">
        <v>45508</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59019-2022</t>
        </is>
      </c>
      <c r="B579" s="1" t="n">
        <v>44903</v>
      </c>
      <c r="C579" s="1" t="n">
        <v>45508</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v>
      </c>
      <c r="C580" s="1" t="n">
        <v>45508</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v>
      </c>
      <c r="C581" s="1" t="n">
        <v>45508</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60156-2022</t>
        </is>
      </c>
      <c r="B582" s="1" t="n">
        <v>44909</v>
      </c>
      <c r="C582" s="1" t="n">
        <v>45508</v>
      </c>
      <c r="D582" t="inlineStr">
        <is>
          <t>VÄSTMANLANDS LÄN</t>
        </is>
      </c>
      <c r="E582" t="inlineStr">
        <is>
          <t>SALA</t>
        </is>
      </c>
      <c r="G582" t="n">
        <v>3.4</v>
      </c>
      <c r="H582" t="n">
        <v>0</v>
      </c>
      <c r="I582" t="n">
        <v>0</v>
      </c>
      <c r="J582" t="n">
        <v>0</v>
      </c>
      <c r="K582" t="n">
        <v>0</v>
      </c>
      <c r="L582" t="n">
        <v>0</v>
      </c>
      <c r="M582" t="n">
        <v>0</v>
      </c>
      <c r="N582" t="n">
        <v>0</v>
      </c>
      <c r="O582" t="n">
        <v>0</v>
      </c>
      <c r="P582" t="n">
        <v>0</v>
      </c>
      <c r="Q582" t="n">
        <v>0</v>
      </c>
      <c r="R582" s="2" t="inlineStr"/>
    </row>
    <row r="583" ht="15" customHeight="1">
      <c r="A583" t="inlineStr">
        <is>
          <t>A 60379-2022</t>
        </is>
      </c>
      <c r="B583" s="1" t="n">
        <v>44910</v>
      </c>
      <c r="C583" s="1" t="n">
        <v>45508</v>
      </c>
      <c r="D583" t="inlineStr">
        <is>
          <t>VÄSTMANLANDS LÄN</t>
        </is>
      </c>
      <c r="E583" t="inlineStr">
        <is>
          <t>SALA</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60703-2022</t>
        </is>
      </c>
      <c r="B584" s="1" t="n">
        <v>44912</v>
      </c>
      <c r="C584" s="1" t="n">
        <v>45508</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60974-2022</t>
        </is>
      </c>
      <c r="B585" s="1" t="n">
        <v>44914</v>
      </c>
      <c r="C585" s="1" t="n">
        <v>45508</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62635-2022</t>
        </is>
      </c>
      <c r="B586" s="1" t="n">
        <v>44917</v>
      </c>
      <c r="C586" s="1" t="n">
        <v>45508</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62654-2022</t>
        </is>
      </c>
      <c r="B587" s="1" t="n">
        <v>44917</v>
      </c>
      <c r="C587" s="1" t="n">
        <v>45508</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62651-2022</t>
        </is>
      </c>
      <c r="B588" s="1" t="n">
        <v>44917</v>
      </c>
      <c r="C588" s="1" t="n">
        <v>45508</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62648-2022</t>
        </is>
      </c>
      <c r="B589" s="1" t="n">
        <v>44917</v>
      </c>
      <c r="C589" s="1" t="n">
        <v>45508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61985-2022</t>
        </is>
      </c>
      <c r="B590" s="1" t="n">
        <v>44918</v>
      </c>
      <c r="C590" s="1" t="n">
        <v>45508</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62292-2022</t>
        </is>
      </c>
      <c r="B591" s="1" t="n">
        <v>44923</v>
      </c>
      <c r="C591" s="1" t="n">
        <v>45508</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62300-2022</t>
        </is>
      </c>
      <c r="B592" s="1" t="n">
        <v>44923</v>
      </c>
      <c r="C592" s="1" t="n">
        <v>45508</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1196-2023</t>
        </is>
      </c>
      <c r="B593" s="1" t="n">
        <v>44935</v>
      </c>
      <c r="C593" s="1" t="n">
        <v>45508</v>
      </c>
      <c r="D593" t="inlineStr">
        <is>
          <t>VÄSTMANLANDS LÄN</t>
        </is>
      </c>
      <c r="E593" t="inlineStr">
        <is>
          <t>SALA</t>
        </is>
      </c>
      <c r="G593" t="n">
        <v>4.1</v>
      </c>
      <c r="H593" t="n">
        <v>0</v>
      </c>
      <c r="I593" t="n">
        <v>0</v>
      </c>
      <c r="J593" t="n">
        <v>0</v>
      </c>
      <c r="K593" t="n">
        <v>0</v>
      </c>
      <c r="L593" t="n">
        <v>0</v>
      </c>
      <c r="M593" t="n">
        <v>0</v>
      </c>
      <c r="N593" t="n">
        <v>0</v>
      </c>
      <c r="O593" t="n">
        <v>0</v>
      </c>
      <c r="P593" t="n">
        <v>0</v>
      </c>
      <c r="Q593" t="n">
        <v>0</v>
      </c>
      <c r="R593" s="2" t="inlineStr"/>
    </row>
    <row r="594" ht="15" customHeight="1">
      <c r="A594" t="inlineStr">
        <is>
          <t>A 1638-2023</t>
        </is>
      </c>
      <c r="B594" s="1" t="n">
        <v>44937</v>
      </c>
      <c r="C594" s="1" t="n">
        <v>45508</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1793-2023</t>
        </is>
      </c>
      <c r="B595" s="1" t="n">
        <v>44937</v>
      </c>
      <c r="C595" s="1" t="n">
        <v>45508</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1934-2023</t>
        </is>
      </c>
      <c r="B596" s="1" t="n">
        <v>44939</v>
      </c>
      <c r="C596" s="1" t="n">
        <v>45508</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1967-2023</t>
        </is>
      </c>
      <c r="B597" s="1" t="n">
        <v>44939</v>
      </c>
      <c r="C597" s="1" t="n">
        <v>45508</v>
      </c>
      <c r="D597" t="inlineStr">
        <is>
          <t>VÄSTMANLANDS LÄN</t>
        </is>
      </c>
      <c r="E597" t="inlineStr">
        <is>
          <t>SALA</t>
        </is>
      </c>
      <c r="G597" t="n">
        <v>4.1</v>
      </c>
      <c r="H597" t="n">
        <v>0</v>
      </c>
      <c r="I597" t="n">
        <v>0</v>
      </c>
      <c r="J597" t="n">
        <v>0</v>
      </c>
      <c r="K597" t="n">
        <v>0</v>
      </c>
      <c r="L597" t="n">
        <v>0</v>
      </c>
      <c r="M597" t="n">
        <v>0</v>
      </c>
      <c r="N597" t="n">
        <v>0</v>
      </c>
      <c r="O597" t="n">
        <v>0</v>
      </c>
      <c r="P597" t="n">
        <v>0</v>
      </c>
      <c r="Q597" t="n">
        <v>0</v>
      </c>
      <c r="R597" s="2" t="inlineStr"/>
    </row>
    <row r="598" ht="15" customHeight="1">
      <c r="A598" t="inlineStr">
        <is>
          <t>A 2521-2023</t>
        </is>
      </c>
      <c r="B598" s="1" t="n">
        <v>44943</v>
      </c>
      <c r="C598" s="1" t="n">
        <v>45508</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2900-2023</t>
        </is>
      </c>
      <c r="B599" s="1" t="n">
        <v>44943</v>
      </c>
      <c r="C599" s="1" t="n">
        <v>45508</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3733-2023</t>
        </is>
      </c>
      <c r="B600" s="1" t="n">
        <v>44951</v>
      </c>
      <c r="C600" s="1" t="n">
        <v>45508</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v>
      </c>
      <c r="C601" s="1" t="n">
        <v>45508</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3866-2023</t>
        </is>
      </c>
      <c r="B602" s="1" t="n">
        <v>44951</v>
      </c>
      <c r="C602" s="1" t="n">
        <v>45508</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4853-2023</t>
        </is>
      </c>
      <c r="B603" s="1" t="n">
        <v>44957</v>
      </c>
      <c r="C603" s="1" t="n">
        <v>45508</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4637-2023</t>
        </is>
      </c>
      <c r="B604" s="1" t="n">
        <v>44957</v>
      </c>
      <c r="C604" s="1" t="n">
        <v>45508</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4791-2023</t>
        </is>
      </c>
      <c r="B605" s="1" t="n">
        <v>44957</v>
      </c>
      <c r="C605" s="1" t="n">
        <v>45508</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4797-2023</t>
        </is>
      </c>
      <c r="B606" s="1" t="n">
        <v>44957</v>
      </c>
      <c r="C606" s="1" t="n">
        <v>45508</v>
      </c>
      <c r="D606" t="inlineStr">
        <is>
          <t>VÄSTMANLANDS LÄN</t>
        </is>
      </c>
      <c r="E606" t="inlineStr">
        <is>
          <t>SALA</t>
        </is>
      </c>
      <c r="G606" t="n">
        <v>5.7</v>
      </c>
      <c r="H606" t="n">
        <v>0</v>
      </c>
      <c r="I606" t="n">
        <v>0</v>
      </c>
      <c r="J606" t="n">
        <v>0</v>
      </c>
      <c r="K606" t="n">
        <v>0</v>
      </c>
      <c r="L606" t="n">
        <v>0</v>
      </c>
      <c r="M606" t="n">
        <v>0</v>
      </c>
      <c r="N606" t="n">
        <v>0</v>
      </c>
      <c r="O606" t="n">
        <v>0</v>
      </c>
      <c r="P606" t="n">
        <v>0</v>
      </c>
      <c r="Q606" t="n">
        <v>0</v>
      </c>
      <c r="R606" s="2" t="inlineStr"/>
    </row>
    <row r="607" ht="15" customHeight="1">
      <c r="A607" t="inlineStr">
        <is>
          <t>A 4852-2023</t>
        </is>
      </c>
      <c r="B607" s="1" t="n">
        <v>44957</v>
      </c>
      <c r="C607" s="1" t="n">
        <v>45508</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5782-2023</t>
        </is>
      </c>
      <c r="B608" s="1" t="n">
        <v>44963</v>
      </c>
      <c r="C608" s="1" t="n">
        <v>45508</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6111-2023</t>
        </is>
      </c>
      <c r="B609" s="1" t="n">
        <v>44964</v>
      </c>
      <c r="C609" s="1" t="n">
        <v>45508</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6135-2023</t>
        </is>
      </c>
      <c r="B610" s="1" t="n">
        <v>44964</v>
      </c>
      <c r="C610" s="1" t="n">
        <v>45508</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6167-2023</t>
        </is>
      </c>
      <c r="B611" s="1" t="n">
        <v>44964</v>
      </c>
      <c r="C611" s="1" t="n">
        <v>45508</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6130-2023</t>
        </is>
      </c>
      <c r="B612" s="1" t="n">
        <v>44964</v>
      </c>
      <c r="C612" s="1" t="n">
        <v>45508</v>
      </c>
      <c r="D612" t="inlineStr">
        <is>
          <t>VÄSTMANLANDS LÄN</t>
        </is>
      </c>
      <c r="E612" t="inlineStr">
        <is>
          <t>SALA</t>
        </is>
      </c>
      <c r="G612" t="n">
        <v>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45508</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6139-2023</t>
        </is>
      </c>
      <c r="B614" s="1" t="n">
        <v>44964</v>
      </c>
      <c r="C614" s="1" t="n">
        <v>45508</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6869-2023</t>
        </is>
      </c>
      <c r="B615" s="1" t="n">
        <v>44964</v>
      </c>
      <c r="C615" s="1" t="n">
        <v>45508</v>
      </c>
      <c r="D615" t="inlineStr">
        <is>
          <t>VÄSTMANLANDS LÄN</t>
        </is>
      </c>
      <c r="E615" t="inlineStr">
        <is>
          <t>SALA</t>
        </is>
      </c>
      <c r="G615" t="n">
        <v>11.6</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45508</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6851-2023</t>
        </is>
      </c>
      <c r="B617" s="1" t="n">
        <v>44967</v>
      </c>
      <c r="C617" s="1" t="n">
        <v>45508</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7176-2023</t>
        </is>
      </c>
      <c r="B618" s="1" t="n">
        <v>44970</v>
      </c>
      <c r="C618" s="1" t="n">
        <v>45508</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7193-2023</t>
        </is>
      </c>
      <c r="B619" s="1" t="n">
        <v>44970</v>
      </c>
      <c r="C619" s="1" t="n">
        <v>45508</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7954-2023</t>
        </is>
      </c>
      <c r="B620" s="1" t="n">
        <v>44970</v>
      </c>
      <c r="C620" s="1" t="n">
        <v>45508</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7377-2023</t>
        </is>
      </c>
      <c r="B621" s="1" t="n">
        <v>44971</v>
      </c>
      <c r="C621" s="1" t="n">
        <v>45508</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7351-2023</t>
        </is>
      </c>
      <c r="B622" s="1" t="n">
        <v>44971</v>
      </c>
      <c r="C622" s="1" t="n">
        <v>45508</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7502-2023</t>
        </is>
      </c>
      <c r="B623" s="1" t="n">
        <v>44971</v>
      </c>
      <c r="C623" s="1" t="n">
        <v>45508</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7664-2023</t>
        </is>
      </c>
      <c r="B624" s="1" t="n">
        <v>44972</v>
      </c>
      <c r="C624" s="1" t="n">
        <v>45508</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7635-2023</t>
        </is>
      </c>
      <c r="B625" s="1" t="n">
        <v>44972</v>
      </c>
      <c r="C625" s="1" t="n">
        <v>45508</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7772-2023</t>
        </is>
      </c>
      <c r="B626" s="1" t="n">
        <v>44973</v>
      </c>
      <c r="C626" s="1" t="n">
        <v>45508</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7813-2023</t>
        </is>
      </c>
      <c r="B627" s="1" t="n">
        <v>44973</v>
      </c>
      <c r="C627" s="1" t="n">
        <v>45508</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8047-2023</t>
        </is>
      </c>
      <c r="B628" s="1" t="n">
        <v>44974</v>
      </c>
      <c r="C628" s="1" t="n">
        <v>45508</v>
      </c>
      <c r="D628" t="inlineStr">
        <is>
          <t>VÄSTMANLANDS LÄN</t>
        </is>
      </c>
      <c r="E628" t="inlineStr">
        <is>
          <t>SALA</t>
        </is>
      </c>
      <c r="G628" t="n">
        <v>17.4</v>
      </c>
      <c r="H628" t="n">
        <v>0</v>
      </c>
      <c r="I628" t="n">
        <v>0</v>
      </c>
      <c r="J628" t="n">
        <v>0</v>
      </c>
      <c r="K628" t="n">
        <v>0</v>
      </c>
      <c r="L628" t="n">
        <v>0</v>
      </c>
      <c r="M628" t="n">
        <v>0</v>
      </c>
      <c r="N628" t="n">
        <v>0</v>
      </c>
      <c r="O628" t="n">
        <v>0</v>
      </c>
      <c r="P628" t="n">
        <v>0</v>
      </c>
      <c r="Q628" t="n">
        <v>0</v>
      </c>
      <c r="R628" s="2" t="inlineStr"/>
    </row>
    <row r="629" ht="15" customHeight="1">
      <c r="A629" t="inlineStr">
        <is>
          <t>A 8766-2023</t>
        </is>
      </c>
      <c r="B629" s="1" t="n">
        <v>44978</v>
      </c>
      <c r="C629" s="1" t="n">
        <v>45508</v>
      </c>
      <c r="D629" t="inlineStr">
        <is>
          <t>VÄSTMANLANDS LÄN</t>
        </is>
      </c>
      <c r="E629" t="inlineStr">
        <is>
          <t>SALA</t>
        </is>
      </c>
      <c r="G629" t="n">
        <v>1.2</v>
      </c>
      <c r="H629" t="n">
        <v>0</v>
      </c>
      <c r="I629" t="n">
        <v>0</v>
      </c>
      <c r="J629" t="n">
        <v>0</v>
      </c>
      <c r="K629" t="n">
        <v>0</v>
      </c>
      <c r="L629" t="n">
        <v>0</v>
      </c>
      <c r="M629" t="n">
        <v>0</v>
      </c>
      <c r="N629" t="n">
        <v>0</v>
      </c>
      <c r="O629" t="n">
        <v>0</v>
      </c>
      <c r="P629" t="n">
        <v>0</v>
      </c>
      <c r="Q629" t="n">
        <v>0</v>
      </c>
      <c r="R629" s="2" t="inlineStr"/>
    </row>
    <row r="630" ht="15" customHeight="1">
      <c r="A630" t="inlineStr">
        <is>
          <t>A 9051-2023</t>
        </is>
      </c>
      <c r="B630" s="1" t="n">
        <v>44979</v>
      </c>
      <c r="C630" s="1" t="n">
        <v>45508</v>
      </c>
      <c r="D630" t="inlineStr">
        <is>
          <t>VÄSTMANLANDS LÄN</t>
        </is>
      </c>
      <c r="E630" t="inlineStr">
        <is>
          <t>SALA</t>
        </is>
      </c>
      <c r="G630" t="n">
        <v>4.1</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45508</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11166-2023</t>
        </is>
      </c>
      <c r="B632" s="1" t="n">
        <v>44992</v>
      </c>
      <c r="C632" s="1" t="n">
        <v>45508</v>
      </c>
      <c r="D632" t="inlineStr">
        <is>
          <t>VÄSTMANLANDS LÄN</t>
        </is>
      </c>
      <c r="E632" t="inlineStr">
        <is>
          <t>SALA</t>
        </is>
      </c>
      <c r="G632" t="n">
        <v>3.9</v>
      </c>
      <c r="H632" t="n">
        <v>0</v>
      </c>
      <c r="I632" t="n">
        <v>0</v>
      </c>
      <c r="J632" t="n">
        <v>0</v>
      </c>
      <c r="K632" t="n">
        <v>0</v>
      </c>
      <c r="L632" t="n">
        <v>0</v>
      </c>
      <c r="M632" t="n">
        <v>0</v>
      </c>
      <c r="N632" t="n">
        <v>0</v>
      </c>
      <c r="O632" t="n">
        <v>0</v>
      </c>
      <c r="P632" t="n">
        <v>0</v>
      </c>
      <c r="Q632" t="n">
        <v>0</v>
      </c>
      <c r="R632" s="2" t="inlineStr"/>
    </row>
    <row r="633" ht="15" customHeight="1">
      <c r="A633" t="inlineStr">
        <is>
          <t>A 11183-2023</t>
        </is>
      </c>
      <c r="B633" s="1" t="n">
        <v>44992</v>
      </c>
      <c r="C633" s="1" t="n">
        <v>45508</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11631-2023</t>
        </is>
      </c>
      <c r="B634" s="1" t="n">
        <v>44994</v>
      </c>
      <c r="C634" s="1" t="n">
        <v>45508</v>
      </c>
      <c r="D634" t="inlineStr">
        <is>
          <t>VÄSTMANLANDS LÄN</t>
        </is>
      </c>
      <c r="E634" t="inlineStr">
        <is>
          <t>SALA</t>
        </is>
      </c>
      <c r="F634" t="inlineStr">
        <is>
          <t>Kommuner</t>
        </is>
      </c>
      <c r="G634" t="n">
        <v>1.9</v>
      </c>
      <c r="H634" t="n">
        <v>0</v>
      </c>
      <c r="I634" t="n">
        <v>0</v>
      </c>
      <c r="J634" t="n">
        <v>0</v>
      </c>
      <c r="K634" t="n">
        <v>0</v>
      </c>
      <c r="L634" t="n">
        <v>0</v>
      </c>
      <c r="M634" t="n">
        <v>0</v>
      </c>
      <c r="N634" t="n">
        <v>0</v>
      </c>
      <c r="O634" t="n">
        <v>0</v>
      </c>
      <c r="P634" t="n">
        <v>0</v>
      </c>
      <c r="Q634" t="n">
        <v>0</v>
      </c>
      <c r="R634" s="2" t="inlineStr"/>
    </row>
    <row r="635" ht="15" customHeight="1">
      <c r="A635" t="inlineStr">
        <is>
          <t>A 12231-2023</t>
        </is>
      </c>
      <c r="B635" s="1" t="n">
        <v>44995</v>
      </c>
      <c r="C635" s="1" t="n">
        <v>45508</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12246-2023</t>
        </is>
      </c>
      <c r="B636" s="1" t="n">
        <v>44995</v>
      </c>
      <c r="C636" s="1" t="n">
        <v>45508</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12272-2023</t>
        </is>
      </c>
      <c r="B637" s="1" t="n">
        <v>44995</v>
      </c>
      <c r="C637" s="1" t="n">
        <v>45508</v>
      </c>
      <c r="D637" t="inlineStr">
        <is>
          <t>VÄSTMANLANDS LÄN</t>
        </is>
      </c>
      <c r="E637" t="inlineStr">
        <is>
          <t>SALA</t>
        </is>
      </c>
      <c r="G637" t="n">
        <v>5.2</v>
      </c>
      <c r="H637" t="n">
        <v>0</v>
      </c>
      <c r="I637" t="n">
        <v>0</v>
      </c>
      <c r="J637" t="n">
        <v>0</v>
      </c>
      <c r="K637" t="n">
        <v>0</v>
      </c>
      <c r="L637" t="n">
        <v>0</v>
      </c>
      <c r="M637" t="n">
        <v>0</v>
      </c>
      <c r="N637" t="n">
        <v>0</v>
      </c>
      <c r="O637" t="n">
        <v>0</v>
      </c>
      <c r="P637" t="n">
        <v>0</v>
      </c>
      <c r="Q637" t="n">
        <v>0</v>
      </c>
      <c r="R637" s="2" t="inlineStr"/>
    </row>
    <row r="638" ht="15" customHeight="1">
      <c r="A638" t="inlineStr">
        <is>
          <t>A 12242-2023</t>
        </is>
      </c>
      <c r="B638" s="1" t="n">
        <v>44995</v>
      </c>
      <c r="C638" s="1" t="n">
        <v>45508</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12252-2023</t>
        </is>
      </c>
      <c r="B639" s="1" t="n">
        <v>44995</v>
      </c>
      <c r="C639" s="1" t="n">
        <v>45508</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12225-2023</t>
        </is>
      </c>
      <c r="B640" s="1" t="n">
        <v>44995</v>
      </c>
      <c r="C640" s="1" t="n">
        <v>45508</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12509-2023</t>
        </is>
      </c>
      <c r="B641" s="1" t="n">
        <v>45000</v>
      </c>
      <c r="C641" s="1" t="n">
        <v>45508</v>
      </c>
      <c r="D641" t="inlineStr">
        <is>
          <t>VÄSTMANLANDS LÄN</t>
        </is>
      </c>
      <c r="E641" t="inlineStr">
        <is>
          <t>SALA</t>
        </is>
      </c>
      <c r="G641" t="n">
        <v>13.9</v>
      </c>
      <c r="H641" t="n">
        <v>0</v>
      </c>
      <c r="I641" t="n">
        <v>0</v>
      </c>
      <c r="J641" t="n">
        <v>0</v>
      </c>
      <c r="K641" t="n">
        <v>0</v>
      </c>
      <c r="L641" t="n">
        <v>0</v>
      </c>
      <c r="M641" t="n">
        <v>0</v>
      </c>
      <c r="N641" t="n">
        <v>0</v>
      </c>
      <c r="O641" t="n">
        <v>0</v>
      </c>
      <c r="P641" t="n">
        <v>0</v>
      </c>
      <c r="Q641" t="n">
        <v>0</v>
      </c>
      <c r="R641" s="2" t="inlineStr"/>
    </row>
    <row r="642" ht="15" customHeight="1">
      <c r="A642" t="inlineStr">
        <is>
          <t>A 12510-2023</t>
        </is>
      </c>
      <c r="B642" s="1" t="n">
        <v>45000</v>
      </c>
      <c r="C642" s="1" t="n">
        <v>45508</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13146-2023</t>
        </is>
      </c>
      <c r="B643" s="1" t="n">
        <v>45002</v>
      </c>
      <c r="C643" s="1" t="n">
        <v>45508</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13022-2023</t>
        </is>
      </c>
      <c r="B644" s="1" t="n">
        <v>45002</v>
      </c>
      <c r="C644" s="1" t="n">
        <v>45508</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13151-2023</t>
        </is>
      </c>
      <c r="B645" s="1" t="n">
        <v>45002</v>
      </c>
      <c r="C645" s="1" t="n">
        <v>45508</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45508</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13153-2023</t>
        </is>
      </c>
      <c r="B647" s="1" t="n">
        <v>45002</v>
      </c>
      <c r="C647" s="1" t="n">
        <v>45508</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13059-2023</t>
        </is>
      </c>
      <c r="B648" s="1" t="n">
        <v>45002</v>
      </c>
      <c r="C648" s="1" t="n">
        <v>45508</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13857-2023</t>
        </is>
      </c>
      <c r="B649" s="1" t="n">
        <v>45007</v>
      </c>
      <c r="C649" s="1" t="n">
        <v>45508</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13833-2023</t>
        </is>
      </c>
      <c r="B650" s="1" t="n">
        <v>45007</v>
      </c>
      <c r="C650" s="1" t="n">
        <v>45508</v>
      </c>
      <c r="D650" t="inlineStr">
        <is>
          <t>VÄSTMANLANDS LÄN</t>
        </is>
      </c>
      <c r="E650" t="inlineStr">
        <is>
          <t>SALA</t>
        </is>
      </c>
      <c r="G650" t="n">
        <v>4.3</v>
      </c>
      <c r="H650" t="n">
        <v>0</v>
      </c>
      <c r="I650" t="n">
        <v>0</v>
      </c>
      <c r="J650" t="n">
        <v>0</v>
      </c>
      <c r="K650" t="n">
        <v>0</v>
      </c>
      <c r="L650" t="n">
        <v>0</v>
      </c>
      <c r="M650" t="n">
        <v>0</v>
      </c>
      <c r="N650" t="n">
        <v>0</v>
      </c>
      <c r="O650" t="n">
        <v>0</v>
      </c>
      <c r="P650" t="n">
        <v>0</v>
      </c>
      <c r="Q650" t="n">
        <v>0</v>
      </c>
      <c r="R650" s="2" t="inlineStr"/>
    </row>
    <row r="651" ht="15" customHeight="1">
      <c r="A651" t="inlineStr">
        <is>
          <t>A 13855-2023</t>
        </is>
      </c>
      <c r="B651" s="1" t="n">
        <v>45007</v>
      </c>
      <c r="C651" s="1" t="n">
        <v>45508</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13990-2023</t>
        </is>
      </c>
      <c r="B652" s="1" t="n">
        <v>45007</v>
      </c>
      <c r="C652" s="1" t="n">
        <v>45508</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13987-2023</t>
        </is>
      </c>
      <c r="B653" s="1" t="n">
        <v>45007</v>
      </c>
      <c r="C653" s="1" t="n">
        <v>45508</v>
      </c>
      <c r="D653" t="inlineStr">
        <is>
          <t>VÄSTMANLANDS LÄN</t>
        </is>
      </c>
      <c r="E653" t="inlineStr">
        <is>
          <t>SALA</t>
        </is>
      </c>
      <c r="G653" t="n">
        <v>3.2</v>
      </c>
      <c r="H653" t="n">
        <v>0</v>
      </c>
      <c r="I653" t="n">
        <v>0</v>
      </c>
      <c r="J653" t="n">
        <v>0</v>
      </c>
      <c r="K653" t="n">
        <v>0</v>
      </c>
      <c r="L653" t="n">
        <v>0</v>
      </c>
      <c r="M653" t="n">
        <v>0</v>
      </c>
      <c r="N653" t="n">
        <v>0</v>
      </c>
      <c r="O653" t="n">
        <v>0</v>
      </c>
      <c r="P653" t="n">
        <v>0</v>
      </c>
      <c r="Q653" t="n">
        <v>0</v>
      </c>
      <c r="R653" s="2" t="inlineStr"/>
    </row>
    <row r="654" ht="15" customHeight="1">
      <c r="A654" t="inlineStr">
        <is>
          <t>A 13935-2023</t>
        </is>
      </c>
      <c r="B654" s="1" t="n">
        <v>45008</v>
      </c>
      <c r="C654" s="1" t="n">
        <v>45508</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14578-2023</t>
        </is>
      </c>
      <c r="B655" s="1" t="n">
        <v>45013</v>
      </c>
      <c r="C655" s="1" t="n">
        <v>45508</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14823-2023</t>
        </is>
      </c>
      <c r="B656" s="1" t="n">
        <v>45014</v>
      </c>
      <c r="C656" s="1" t="n">
        <v>45508</v>
      </c>
      <c r="D656" t="inlineStr">
        <is>
          <t>VÄSTMANLANDS LÄN</t>
        </is>
      </c>
      <c r="E656" t="inlineStr">
        <is>
          <t>SALA</t>
        </is>
      </c>
      <c r="F656" t="inlineStr">
        <is>
          <t>Kyrkan</t>
        </is>
      </c>
      <c r="G656" t="n">
        <v>3.1</v>
      </c>
      <c r="H656" t="n">
        <v>0</v>
      </c>
      <c r="I656" t="n">
        <v>0</v>
      </c>
      <c r="J656" t="n">
        <v>0</v>
      </c>
      <c r="K656" t="n">
        <v>0</v>
      </c>
      <c r="L656" t="n">
        <v>0</v>
      </c>
      <c r="M656" t="n">
        <v>0</v>
      </c>
      <c r="N656" t="n">
        <v>0</v>
      </c>
      <c r="O656" t="n">
        <v>0</v>
      </c>
      <c r="P656" t="n">
        <v>0</v>
      </c>
      <c r="Q656" t="n">
        <v>0</v>
      </c>
      <c r="R656" s="2" t="inlineStr"/>
    </row>
    <row r="657" ht="15" customHeight="1">
      <c r="A657" t="inlineStr">
        <is>
          <t>A 14790-2023</t>
        </is>
      </c>
      <c r="B657" s="1" t="n">
        <v>45014</v>
      </c>
      <c r="C657" s="1" t="n">
        <v>45508</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15589-2023</t>
        </is>
      </c>
      <c r="B658" s="1" t="n">
        <v>45020</v>
      </c>
      <c r="C658" s="1" t="n">
        <v>45508</v>
      </c>
      <c r="D658" t="inlineStr">
        <is>
          <t>VÄSTMANLANDS LÄN</t>
        </is>
      </c>
      <c r="E658" t="inlineStr">
        <is>
          <t>SALA</t>
        </is>
      </c>
      <c r="G658" t="n">
        <v>7.5</v>
      </c>
      <c r="H658" t="n">
        <v>0</v>
      </c>
      <c r="I658" t="n">
        <v>0</v>
      </c>
      <c r="J658" t="n">
        <v>0</v>
      </c>
      <c r="K658" t="n">
        <v>0</v>
      </c>
      <c r="L658" t="n">
        <v>0</v>
      </c>
      <c r="M658" t="n">
        <v>0</v>
      </c>
      <c r="N658" t="n">
        <v>0</v>
      </c>
      <c r="O658" t="n">
        <v>0</v>
      </c>
      <c r="P658" t="n">
        <v>0</v>
      </c>
      <c r="Q658" t="n">
        <v>0</v>
      </c>
      <c r="R658" s="2" t="inlineStr"/>
    </row>
    <row r="659" ht="15" customHeight="1">
      <c r="A659" t="inlineStr">
        <is>
          <t>A 15584-2023</t>
        </is>
      </c>
      <c r="B659" s="1" t="n">
        <v>45020</v>
      </c>
      <c r="C659" s="1" t="n">
        <v>45508</v>
      </c>
      <c r="D659" t="inlineStr">
        <is>
          <t>VÄSTMANLANDS LÄN</t>
        </is>
      </c>
      <c r="E659" t="inlineStr">
        <is>
          <t>SALA</t>
        </is>
      </c>
      <c r="G659" t="n">
        <v>4.2</v>
      </c>
      <c r="H659" t="n">
        <v>0</v>
      </c>
      <c r="I659" t="n">
        <v>0</v>
      </c>
      <c r="J659" t="n">
        <v>0</v>
      </c>
      <c r="K659" t="n">
        <v>0</v>
      </c>
      <c r="L659" t="n">
        <v>0</v>
      </c>
      <c r="M659" t="n">
        <v>0</v>
      </c>
      <c r="N659" t="n">
        <v>0</v>
      </c>
      <c r="O659" t="n">
        <v>0</v>
      </c>
      <c r="P659" t="n">
        <v>0</v>
      </c>
      <c r="Q659" t="n">
        <v>0</v>
      </c>
      <c r="R659" s="2" t="inlineStr"/>
    </row>
    <row r="660" ht="15" customHeight="1">
      <c r="A660" t="inlineStr">
        <is>
          <t>A 16003-2023</t>
        </is>
      </c>
      <c r="B660" s="1" t="n">
        <v>45024</v>
      </c>
      <c r="C660" s="1" t="n">
        <v>45508</v>
      </c>
      <c r="D660" t="inlineStr">
        <is>
          <t>VÄSTMANLANDS LÄN</t>
        </is>
      </c>
      <c r="E660" t="inlineStr">
        <is>
          <t>SALA</t>
        </is>
      </c>
      <c r="G660" t="n">
        <v>6.6</v>
      </c>
      <c r="H660" t="n">
        <v>0</v>
      </c>
      <c r="I660" t="n">
        <v>0</v>
      </c>
      <c r="J660" t="n">
        <v>0</v>
      </c>
      <c r="K660" t="n">
        <v>0</v>
      </c>
      <c r="L660" t="n">
        <v>0</v>
      </c>
      <c r="M660" t="n">
        <v>0</v>
      </c>
      <c r="N660" t="n">
        <v>0</v>
      </c>
      <c r="O660" t="n">
        <v>0</v>
      </c>
      <c r="P660" t="n">
        <v>0</v>
      </c>
      <c r="Q660" t="n">
        <v>0</v>
      </c>
      <c r="R660" s="2" t="inlineStr"/>
    </row>
    <row r="661" ht="15" customHeight="1">
      <c r="A661" t="inlineStr">
        <is>
          <t>A 16002-2023</t>
        </is>
      </c>
      <c r="B661" s="1" t="n">
        <v>45024</v>
      </c>
      <c r="C661" s="1" t="n">
        <v>45508</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16041-2023</t>
        </is>
      </c>
      <c r="B662" s="1" t="n">
        <v>45027</v>
      </c>
      <c r="C662" s="1" t="n">
        <v>45508</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16142-2023</t>
        </is>
      </c>
      <c r="B663" s="1" t="n">
        <v>45027</v>
      </c>
      <c r="C663" s="1" t="n">
        <v>45508</v>
      </c>
      <c r="D663" t="inlineStr">
        <is>
          <t>VÄSTMANLANDS LÄN</t>
        </is>
      </c>
      <c r="E663" t="inlineStr">
        <is>
          <t>SALA</t>
        </is>
      </c>
      <c r="G663" t="n">
        <v>6.3</v>
      </c>
      <c r="H663" t="n">
        <v>0</v>
      </c>
      <c r="I663" t="n">
        <v>0</v>
      </c>
      <c r="J663" t="n">
        <v>0</v>
      </c>
      <c r="K663" t="n">
        <v>0</v>
      </c>
      <c r="L663" t="n">
        <v>0</v>
      </c>
      <c r="M663" t="n">
        <v>0</v>
      </c>
      <c r="N663" t="n">
        <v>0</v>
      </c>
      <c r="O663" t="n">
        <v>0</v>
      </c>
      <c r="P663" t="n">
        <v>0</v>
      </c>
      <c r="Q663" t="n">
        <v>0</v>
      </c>
      <c r="R663" s="2" t="inlineStr"/>
    </row>
    <row r="664" ht="15" customHeight="1">
      <c r="A664" t="inlineStr">
        <is>
          <t>A 16083-2023</t>
        </is>
      </c>
      <c r="B664" s="1" t="n">
        <v>45027</v>
      </c>
      <c r="C664" s="1" t="n">
        <v>45508</v>
      </c>
      <c r="D664" t="inlineStr">
        <is>
          <t>VÄSTMANLANDS LÄN</t>
        </is>
      </c>
      <c r="E664" t="inlineStr">
        <is>
          <t>SALA</t>
        </is>
      </c>
      <c r="G664" t="n">
        <v>4.4</v>
      </c>
      <c r="H664" t="n">
        <v>0</v>
      </c>
      <c r="I664" t="n">
        <v>0</v>
      </c>
      <c r="J664" t="n">
        <v>0</v>
      </c>
      <c r="K664" t="n">
        <v>0</v>
      </c>
      <c r="L664" t="n">
        <v>0</v>
      </c>
      <c r="M664" t="n">
        <v>0</v>
      </c>
      <c r="N664" t="n">
        <v>0</v>
      </c>
      <c r="O664" t="n">
        <v>0</v>
      </c>
      <c r="P664" t="n">
        <v>0</v>
      </c>
      <c r="Q664" t="n">
        <v>0</v>
      </c>
      <c r="R664" s="2" t="inlineStr"/>
    </row>
    <row r="665" ht="15" customHeight="1">
      <c r="A665" t="inlineStr">
        <is>
          <t>A 16638-2023</t>
        </is>
      </c>
      <c r="B665" s="1" t="n">
        <v>45027</v>
      </c>
      <c r="C665" s="1" t="n">
        <v>45508</v>
      </c>
      <c r="D665" t="inlineStr">
        <is>
          <t>VÄSTMANLANDS LÄN</t>
        </is>
      </c>
      <c r="E665" t="inlineStr">
        <is>
          <t>SALA</t>
        </is>
      </c>
      <c r="G665" t="n">
        <v>14.8</v>
      </c>
      <c r="H665" t="n">
        <v>0</v>
      </c>
      <c r="I665" t="n">
        <v>0</v>
      </c>
      <c r="J665" t="n">
        <v>0</v>
      </c>
      <c r="K665" t="n">
        <v>0</v>
      </c>
      <c r="L665" t="n">
        <v>0</v>
      </c>
      <c r="M665" t="n">
        <v>0</v>
      </c>
      <c r="N665" t="n">
        <v>0</v>
      </c>
      <c r="O665" t="n">
        <v>0</v>
      </c>
      <c r="P665" t="n">
        <v>0</v>
      </c>
      <c r="Q665" t="n">
        <v>0</v>
      </c>
      <c r="R665" s="2" t="inlineStr"/>
    </row>
    <row r="666" ht="15" customHeight="1">
      <c r="A666" t="inlineStr">
        <is>
          <t>A 16693-2023</t>
        </is>
      </c>
      <c r="B666" s="1" t="n">
        <v>45028</v>
      </c>
      <c r="C666" s="1" t="n">
        <v>45508</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16546-2023</t>
        </is>
      </c>
      <c r="B667" s="1" t="n">
        <v>45029</v>
      </c>
      <c r="C667" s="1" t="n">
        <v>45508</v>
      </c>
      <c r="D667" t="inlineStr">
        <is>
          <t>VÄSTMANLANDS LÄN</t>
        </is>
      </c>
      <c r="E667" t="inlineStr">
        <is>
          <t>SALA</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45508</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16544-2023</t>
        </is>
      </c>
      <c r="B669" s="1" t="n">
        <v>45029</v>
      </c>
      <c r="C669" s="1" t="n">
        <v>45508</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16547-2023</t>
        </is>
      </c>
      <c r="B670" s="1" t="n">
        <v>45029</v>
      </c>
      <c r="C670" s="1" t="n">
        <v>45508</v>
      </c>
      <c r="D670" t="inlineStr">
        <is>
          <t>VÄSTMANLANDS LÄN</t>
        </is>
      </c>
      <c r="E670" t="inlineStr">
        <is>
          <t>SALA</t>
        </is>
      </c>
      <c r="F670" t="inlineStr">
        <is>
          <t>Sveaskog</t>
        </is>
      </c>
      <c r="G670" t="n">
        <v>11.2</v>
      </c>
      <c r="H670" t="n">
        <v>0</v>
      </c>
      <c r="I670" t="n">
        <v>0</v>
      </c>
      <c r="J670" t="n">
        <v>0</v>
      </c>
      <c r="K670" t="n">
        <v>0</v>
      </c>
      <c r="L670" t="n">
        <v>0</v>
      </c>
      <c r="M670" t="n">
        <v>0</v>
      </c>
      <c r="N670" t="n">
        <v>0</v>
      </c>
      <c r="O670" t="n">
        <v>0</v>
      </c>
      <c r="P670" t="n">
        <v>0</v>
      </c>
      <c r="Q670" t="n">
        <v>0</v>
      </c>
      <c r="R670" s="2" t="inlineStr"/>
    </row>
    <row r="671" ht="15" customHeight="1">
      <c r="A671" t="inlineStr">
        <is>
          <t>A 16545-2023</t>
        </is>
      </c>
      <c r="B671" s="1" t="n">
        <v>45029</v>
      </c>
      <c r="C671" s="1" t="n">
        <v>45508</v>
      </c>
      <c r="D671" t="inlineStr">
        <is>
          <t>VÄSTMANLANDS LÄN</t>
        </is>
      </c>
      <c r="E671" t="inlineStr">
        <is>
          <t>SALA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16984-2023</t>
        </is>
      </c>
      <c r="B672" s="1" t="n">
        <v>45033</v>
      </c>
      <c r="C672" s="1" t="n">
        <v>45508</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17079-2023</t>
        </is>
      </c>
      <c r="B673" s="1" t="n">
        <v>45034</v>
      </c>
      <c r="C673" s="1" t="n">
        <v>45508</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45508</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17109-2023</t>
        </is>
      </c>
      <c r="B675" s="1" t="n">
        <v>45034</v>
      </c>
      <c r="C675" s="1" t="n">
        <v>45508</v>
      </c>
      <c r="D675" t="inlineStr">
        <is>
          <t>VÄSTMANLANDS LÄN</t>
        </is>
      </c>
      <c r="E675" t="inlineStr">
        <is>
          <t>SALA</t>
        </is>
      </c>
      <c r="G675" t="n">
        <v>5.8</v>
      </c>
      <c r="H675" t="n">
        <v>0</v>
      </c>
      <c r="I675" t="n">
        <v>0</v>
      </c>
      <c r="J675" t="n">
        <v>0</v>
      </c>
      <c r="K675" t="n">
        <v>0</v>
      </c>
      <c r="L675" t="n">
        <v>0</v>
      </c>
      <c r="M675" t="n">
        <v>0</v>
      </c>
      <c r="N675" t="n">
        <v>0</v>
      </c>
      <c r="O675" t="n">
        <v>0</v>
      </c>
      <c r="P675" t="n">
        <v>0</v>
      </c>
      <c r="Q675" t="n">
        <v>0</v>
      </c>
      <c r="R675" s="2" t="inlineStr"/>
    </row>
    <row r="676" ht="15" customHeight="1">
      <c r="A676" t="inlineStr">
        <is>
          <t>A 17120-2023</t>
        </is>
      </c>
      <c r="B676" s="1" t="n">
        <v>45034</v>
      </c>
      <c r="C676" s="1" t="n">
        <v>45508</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18100-2023</t>
        </is>
      </c>
      <c r="B677" s="1" t="n">
        <v>45040</v>
      </c>
      <c r="C677" s="1" t="n">
        <v>45508</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45508</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18877-2023</t>
        </is>
      </c>
      <c r="B679" s="1" t="n">
        <v>45044</v>
      </c>
      <c r="C679" s="1" t="n">
        <v>45508</v>
      </c>
      <c r="D679" t="inlineStr">
        <is>
          <t>VÄSTMANLANDS LÄN</t>
        </is>
      </c>
      <c r="E679" t="inlineStr">
        <is>
          <t>SALA</t>
        </is>
      </c>
      <c r="F679" t="inlineStr">
        <is>
          <t>Kommuner</t>
        </is>
      </c>
      <c r="G679" t="n">
        <v>4.4</v>
      </c>
      <c r="H679" t="n">
        <v>0</v>
      </c>
      <c r="I679" t="n">
        <v>0</v>
      </c>
      <c r="J679" t="n">
        <v>0</v>
      </c>
      <c r="K679" t="n">
        <v>0</v>
      </c>
      <c r="L679" t="n">
        <v>0</v>
      </c>
      <c r="M679" t="n">
        <v>0</v>
      </c>
      <c r="N679" t="n">
        <v>0</v>
      </c>
      <c r="O679" t="n">
        <v>0</v>
      </c>
      <c r="P679" t="n">
        <v>0</v>
      </c>
      <c r="Q679" t="n">
        <v>0</v>
      </c>
      <c r="R679" s="2" t="inlineStr"/>
    </row>
    <row r="680" ht="15" customHeight="1">
      <c r="A680" t="inlineStr">
        <is>
          <t>A 19916-2023</t>
        </is>
      </c>
      <c r="B680" s="1" t="n">
        <v>45054</v>
      </c>
      <c r="C680" s="1" t="n">
        <v>45508</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20568-2023</t>
        </is>
      </c>
      <c r="B681" s="1" t="n">
        <v>45055</v>
      </c>
      <c r="C681" s="1" t="n">
        <v>45508</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20567-2023</t>
        </is>
      </c>
      <c r="B682" s="1" t="n">
        <v>45055</v>
      </c>
      <c r="C682" s="1" t="n">
        <v>45508</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20405-2023</t>
        </is>
      </c>
      <c r="B683" s="1" t="n">
        <v>45056</v>
      </c>
      <c r="C683" s="1" t="n">
        <v>45508</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20587-2023</t>
        </is>
      </c>
      <c r="B684" s="1" t="n">
        <v>45057</v>
      </c>
      <c r="C684" s="1" t="n">
        <v>45508</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45508</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22097-2023</t>
        </is>
      </c>
      <c r="B686" s="1" t="n">
        <v>45065</v>
      </c>
      <c r="C686" s="1" t="n">
        <v>45508</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22076-2023</t>
        </is>
      </c>
      <c r="B687" s="1" t="n">
        <v>45069</v>
      </c>
      <c r="C687" s="1" t="n">
        <v>45508</v>
      </c>
      <c r="D687" t="inlineStr">
        <is>
          <t>VÄSTMANLANDS LÄN</t>
        </is>
      </c>
      <c r="E687" t="inlineStr">
        <is>
          <t>SALA</t>
        </is>
      </c>
      <c r="G687" t="n">
        <v>5.3</v>
      </c>
      <c r="H687" t="n">
        <v>0</v>
      </c>
      <c r="I687" t="n">
        <v>0</v>
      </c>
      <c r="J687" t="n">
        <v>0</v>
      </c>
      <c r="K687" t="n">
        <v>0</v>
      </c>
      <c r="L687" t="n">
        <v>0</v>
      </c>
      <c r="M687" t="n">
        <v>0</v>
      </c>
      <c r="N687" t="n">
        <v>0</v>
      </c>
      <c r="O687" t="n">
        <v>0</v>
      </c>
      <c r="P687" t="n">
        <v>0</v>
      </c>
      <c r="Q687" t="n">
        <v>0</v>
      </c>
      <c r="R687" s="2" t="inlineStr"/>
    </row>
    <row r="688" ht="15" customHeight="1">
      <c r="A688" t="inlineStr">
        <is>
          <t>A 22146-2023</t>
        </is>
      </c>
      <c r="B688" s="1" t="n">
        <v>45069</v>
      </c>
      <c r="C688" s="1" t="n">
        <v>45508</v>
      </c>
      <c r="D688" t="inlineStr">
        <is>
          <t>VÄSTMANLANDS LÄN</t>
        </is>
      </c>
      <c r="E688" t="inlineStr">
        <is>
          <t>SALA</t>
        </is>
      </c>
      <c r="F688" t="inlineStr">
        <is>
          <t>Kommuner</t>
        </is>
      </c>
      <c r="G688" t="n">
        <v>9.9</v>
      </c>
      <c r="H688" t="n">
        <v>0</v>
      </c>
      <c r="I688" t="n">
        <v>0</v>
      </c>
      <c r="J688" t="n">
        <v>0</v>
      </c>
      <c r="K688" t="n">
        <v>0</v>
      </c>
      <c r="L688" t="n">
        <v>0</v>
      </c>
      <c r="M688" t="n">
        <v>0</v>
      </c>
      <c r="N688" t="n">
        <v>0</v>
      </c>
      <c r="O688" t="n">
        <v>0</v>
      </c>
      <c r="P688" t="n">
        <v>0</v>
      </c>
      <c r="Q688" t="n">
        <v>0</v>
      </c>
      <c r="R688" s="2" t="inlineStr"/>
    </row>
    <row r="689" ht="15" customHeight="1">
      <c r="A689" t="inlineStr">
        <is>
          <t>A 22091-2023</t>
        </is>
      </c>
      <c r="B689" s="1" t="n">
        <v>45069</v>
      </c>
      <c r="C689" s="1" t="n">
        <v>45508</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22082-2023</t>
        </is>
      </c>
      <c r="B690" s="1" t="n">
        <v>45069</v>
      </c>
      <c r="C690" s="1" t="n">
        <v>45508</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22523-2023</t>
        </is>
      </c>
      <c r="B691" s="1" t="n">
        <v>45069</v>
      </c>
      <c r="C691" s="1" t="n">
        <v>45508</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22921-2023</t>
        </is>
      </c>
      <c r="B692" s="1" t="n">
        <v>45070</v>
      </c>
      <c r="C692" s="1" t="n">
        <v>45508</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45508</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22961-2023</t>
        </is>
      </c>
      <c r="B694" s="1" t="n">
        <v>45072</v>
      </c>
      <c r="C694" s="1" t="n">
        <v>45508</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23145-2023</t>
        </is>
      </c>
      <c r="B695" s="1" t="n">
        <v>45075</v>
      </c>
      <c r="C695" s="1" t="n">
        <v>45508</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23146-2023</t>
        </is>
      </c>
      <c r="B696" s="1" t="n">
        <v>45075</v>
      </c>
      <c r="C696" s="1" t="n">
        <v>45508</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23224-2023</t>
        </is>
      </c>
      <c r="B697" s="1" t="n">
        <v>45075</v>
      </c>
      <c r="C697" s="1" t="n">
        <v>45508</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23222-2023</t>
        </is>
      </c>
      <c r="B698" s="1" t="n">
        <v>45075</v>
      </c>
      <c r="C698" s="1" t="n">
        <v>45508</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23232-2023</t>
        </is>
      </c>
      <c r="B699" s="1" t="n">
        <v>45075</v>
      </c>
      <c r="C699" s="1" t="n">
        <v>45508</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23374-2023</t>
        </is>
      </c>
      <c r="B700" s="1" t="n">
        <v>45076</v>
      </c>
      <c r="C700" s="1" t="n">
        <v>45508</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23372-2023</t>
        </is>
      </c>
      <c r="B701" s="1" t="n">
        <v>45076</v>
      </c>
      <c r="C701" s="1" t="n">
        <v>45508</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23659-2023</t>
        </is>
      </c>
      <c r="B702" s="1" t="n">
        <v>45077</v>
      </c>
      <c r="C702" s="1" t="n">
        <v>45508</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24248-2023</t>
        </is>
      </c>
      <c r="B703" s="1" t="n">
        <v>45079</v>
      </c>
      <c r="C703" s="1" t="n">
        <v>45508</v>
      </c>
      <c r="D703" t="inlineStr">
        <is>
          <t>VÄSTMANLANDS LÄN</t>
        </is>
      </c>
      <c r="E703" t="inlineStr">
        <is>
          <t>SALA</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24495-2023</t>
        </is>
      </c>
      <c r="B704" s="1" t="n">
        <v>45082</v>
      </c>
      <c r="C704" s="1" t="n">
        <v>45508</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24585-2023</t>
        </is>
      </c>
      <c r="B705" s="1" t="n">
        <v>45083</v>
      </c>
      <c r="C705" s="1" t="n">
        <v>45508</v>
      </c>
      <c r="D705" t="inlineStr">
        <is>
          <t>VÄSTMANLANDS LÄN</t>
        </is>
      </c>
      <c r="E705" t="inlineStr">
        <is>
          <t>SALA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24584-2023</t>
        </is>
      </c>
      <c r="B706" s="1" t="n">
        <v>45083</v>
      </c>
      <c r="C706" s="1" t="n">
        <v>45508</v>
      </c>
      <c r="D706" t="inlineStr">
        <is>
          <t>VÄSTMANLANDS LÄN</t>
        </is>
      </c>
      <c r="E706" t="inlineStr">
        <is>
          <t>SALA</t>
        </is>
      </c>
      <c r="F706" t="inlineStr">
        <is>
          <t>Sveaskog</t>
        </is>
      </c>
      <c r="G706" t="n">
        <v>7.2</v>
      </c>
      <c r="H706" t="n">
        <v>0</v>
      </c>
      <c r="I706" t="n">
        <v>0</v>
      </c>
      <c r="J706" t="n">
        <v>0</v>
      </c>
      <c r="K706" t="n">
        <v>0</v>
      </c>
      <c r="L706" t="n">
        <v>0</v>
      </c>
      <c r="M706" t="n">
        <v>0</v>
      </c>
      <c r="N706" t="n">
        <v>0</v>
      </c>
      <c r="O706" t="n">
        <v>0</v>
      </c>
      <c r="P706" t="n">
        <v>0</v>
      </c>
      <c r="Q706" t="n">
        <v>0</v>
      </c>
      <c r="R706" s="2" t="inlineStr"/>
    </row>
    <row r="707" ht="15" customHeight="1">
      <c r="A707" t="inlineStr">
        <is>
          <t>A 24586-2023</t>
        </is>
      </c>
      <c r="B707" s="1" t="n">
        <v>45083</v>
      </c>
      <c r="C707" s="1" t="n">
        <v>45508</v>
      </c>
      <c r="D707" t="inlineStr">
        <is>
          <t>VÄSTMANLANDS LÄN</t>
        </is>
      </c>
      <c r="E707" t="inlineStr">
        <is>
          <t>SALA</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24773-2023</t>
        </is>
      </c>
      <c r="B708" s="1" t="n">
        <v>45084</v>
      </c>
      <c r="C708" s="1" t="n">
        <v>45508</v>
      </c>
      <c r="D708" t="inlineStr">
        <is>
          <t>VÄSTMANLANDS LÄN</t>
        </is>
      </c>
      <c r="E708" t="inlineStr">
        <is>
          <t>SALA</t>
        </is>
      </c>
      <c r="G708" t="n">
        <v>5</v>
      </c>
      <c r="H708" t="n">
        <v>0</v>
      </c>
      <c r="I708" t="n">
        <v>0</v>
      </c>
      <c r="J708" t="n">
        <v>0</v>
      </c>
      <c r="K708" t="n">
        <v>0</v>
      </c>
      <c r="L708" t="n">
        <v>0</v>
      </c>
      <c r="M708" t="n">
        <v>0</v>
      </c>
      <c r="N708" t="n">
        <v>0</v>
      </c>
      <c r="O708" t="n">
        <v>0</v>
      </c>
      <c r="P708" t="n">
        <v>0</v>
      </c>
      <c r="Q708" t="n">
        <v>0</v>
      </c>
      <c r="R708" s="2" t="inlineStr"/>
    </row>
    <row r="709" ht="15" customHeight="1">
      <c r="A709" t="inlineStr">
        <is>
          <t>A 24777-2023</t>
        </is>
      </c>
      <c r="B709" s="1" t="n">
        <v>45084</v>
      </c>
      <c r="C709" s="1" t="n">
        <v>45508</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24944-2023</t>
        </is>
      </c>
      <c r="B710" s="1" t="n">
        <v>45085</v>
      </c>
      <c r="C710" s="1" t="n">
        <v>45508</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25260-2023</t>
        </is>
      </c>
      <c r="B711" s="1" t="n">
        <v>45086</v>
      </c>
      <c r="C711" s="1" t="n">
        <v>45508</v>
      </c>
      <c r="D711" t="inlineStr">
        <is>
          <t>VÄSTMANLANDS LÄN</t>
        </is>
      </c>
      <c r="E711" t="inlineStr">
        <is>
          <t>SALA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25233-2023</t>
        </is>
      </c>
      <c r="B712" s="1" t="n">
        <v>45086</v>
      </c>
      <c r="C712" s="1" t="n">
        <v>45508</v>
      </c>
      <c r="D712" t="inlineStr">
        <is>
          <t>VÄSTMANLANDS LÄN</t>
        </is>
      </c>
      <c r="E712" t="inlineStr">
        <is>
          <t>SALA</t>
        </is>
      </c>
      <c r="F712" t="inlineStr">
        <is>
          <t>Kommuner</t>
        </is>
      </c>
      <c r="G712" t="n">
        <v>4.7</v>
      </c>
      <c r="H712" t="n">
        <v>0</v>
      </c>
      <c r="I712" t="n">
        <v>0</v>
      </c>
      <c r="J712" t="n">
        <v>0</v>
      </c>
      <c r="K712" t="n">
        <v>0</v>
      </c>
      <c r="L712" t="n">
        <v>0</v>
      </c>
      <c r="M712" t="n">
        <v>0</v>
      </c>
      <c r="N712" t="n">
        <v>0</v>
      </c>
      <c r="O712" t="n">
        <v>0</v>
      </c>
      <c r="P712" t="n">
        <v>0</v>
      </c>
      <c r="Q712" t="n">
        <v>0</v>
      </c>
      <c r="R712" s="2" t="inlineStr"/>
    </row>
    <row r="713" ht="15" customHeight="1">
      <c r="A713" t="inlineStr">
        <is>
          <t>A 26229-2023</t>
        </is>
      </c>
      <c r="B713" s="1" t="n">
        <v>45086</v>
      </c>
      <c r="C713" s="1" t="n">
        <v>45508</v>
      </c>
      <c r="D713" t="inlineStr">
        <is>
          <t>VÄSTMANLANDS LÄN</t>
        </is>
      </c>
      <c r="E713" t="inlineStr">
        <is>
          <t>SALA</t>
        </is>
      </c>
      <c r="G713" t="n">
        <v>6.6</v>
      </c>
      <c r="H713" t="n">
        <v>0</v>
      </c>
      <c r="I713" t="n">
        <v>0</v>
      </c>
      <c r="J713" t="n">
        <v>0</v>
      </c>
      <c r="K713" t="n">
        <v>0</v>
      </c>
      <c r="L713" t="n">
        <v>0</v>
      </c>
      <c r="M713" t="n">
        <v>0</v>
      </c>
      <c r="N713" t="n">
        <v>0</v>
      </c>
      <c r="O713" t="n">
        <v>0</v>
      </c>
      <c r="P713" t="n">
        <v>0</v>
      </c>
      <c r="Q713" t="n">
        <v>0</v>
      </c>
      <c r="R713" s="2" t="inlineStr"/>
    </row>
    <row r="714" ht="15" customHeight="1">
      <c r="A714" t="inlineStr">
        <is>
          <t>A 25566-2023</t>
        </is>
      </c>
      <c r="B714" s="1" t="n">
        <v>45089</v>
      </c>
      <c r="C714" s="1" t="n">
        <v>45508</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25571-2023</t>
        </is>
      </c>
      <c r="B715" s="1" t="n">
        <v>45089</v>
      </c>
      <c r="C715" s="1" t="n">
        <v>45508</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25576-2023</t>
        </is>
      </c>
      <c r="B716" s="1" t="n">
        <v>45089</v>
      </c>
      <c r="C716" s="1" t="n">
        <v>45508</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25580-2023</t>
        </is>
      </c>
      <c r="B717" s="1" t="n">
        <v>45089</v>
      </c>
      <c r="C717" s="1" t="n">
        <v>45508</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25894-2023</t>
        </is>
      </c>
      <c r="B718" s="1" t="n">
        <v>45090</v>
      </c>
      <c r="C718" s="1" t="n">
        <v>45508</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26607-2023</t>
        </is>
      </c>
      <c r="B719" s="1" t="n">
        <v>45090</v>
      </c>
      <c r="C719" s="1" t="n">
        <v>45508</v>
      </c>
      <c r="D719" t="inlineStr">
        <is>
          <t>VÄSTMANLANDS LÄN</t>
        </is>
      </c>
      <c r="E719" t="inlineStr">
        <is>
          <t>SALA</t>
        </is>
      </c>
      <c r="G719" t="n">
        <v>4.8</v>
      </c>
      <c r="H719" t="n">
        <v>0</v>
      </c>
      <c r="I719" t="n">
        <v>0</v>
      </c>
      <c r="J719" t="n">
        <v>0</v>
      </c>
      <c r="K719" t="n">
        <v>0</v>
      </c>
      <c r="L719" t="n">
        <v>0</v>
      </c>
      <c r="M719" t="n">
        <v>0</v>
      </c>
      <c r="N719" t="n">
        <v>0</v>
      </c>
      <c r="O719" t="n">
        <v>0</v>
      </c>
      <c r="P719" t="n">
        <v>0</v>
      </c>
      <c r="Q719" t="n">
        <v>0</v>
      </c>
      <c r="R719" s="2" t="inlineStr"/>
    </row>
    <row r="720" ht="15" customHeight="1">
      <c r="A720" t="inlineStr">
        <is>
          <t>A 26505-2023</t>
        </is>
      </c>
      <c r="B720" s="1" t="n">
        <v>45092</v>
      </c>
      <c r="C720" s="1" t="n">
        <v>45508</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26509-2023</t>
        </is>
      </c>
      <c r="B721" s="1" t="n">
        <v>45092</v>
      </c>
      <c r="C721" s="1" t="n">
        <v>45508</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26508-2023</t>
        </is>
      </c>
      <c r="B722" s="1" t="n">
        <v>45092</v>
      </c>
      <c r="C722" s="1" t="n">
        <v>45508</v>
      </c>
      <c r="D722" t="inlineStr">
        <is>
          <t>VÄSTMANLANDS LÄN</t>
        </is>
      </c>
      <c r="E722" t="inlineStr">
        <is>
          <t>SALA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26416-2023</t>
        </is>
      </c>
      <c r="B723" s="1" t="n">
        <v>45092</v>
      </c>
      <c r="C723" s="1" t="n">
        <v>45508</v>
      </c>
      <c r="D723" t="inlineStr">
        <is>
          <t>VÄSTMANLANDS LÄN</t>
        </is>
      </c>
      <c r="E723" t="inlineStr">
        <is>
          <t>SALA</t>
        </is>
      </c>
      <c r="G723" t="n">
        <v>2.9</v>
      </c>
      <c r="H723" t="n">
        <v>0</v>
      </c>
      <c r="I723" t="n">
        <v>0</v>
      </c>
      <c r="J723" t="n">
        <v>0</v>
      </c>
      <c r="K723" t="n">
        <v>0</v>
      </c>
      <c r="L723" t="n">
        <v>0</v>
      </c>
      <c r="M723" t="n">
        <v>0</v>
      </c>
      <c r="N723" t="n">
        <v>0</v>
      </c>
      <c r="O723" t="n">
        <v>0</v>
      </c>
      <c r="P723" t="n">
        <v>0</v>
      </c>
      <c r="Q723" t="n">
        <v>0</v>
      </c>
      <c r="R723" s="2" t="inlineStr"/>
    </row>
    <row r="724" ht="15" customHeight="1">
      <c r="A724" t="inlineStr">
        <is>
          <t>A 26507-2023</t>
        </is>
      </c>
      <c r="B724" s="1" t="n">
        <v>45092</v>
      </c>
      <c r="C724" s="1" t="n">
        <v>45508</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v>
      </c>
      <c r="C725" s="1" t="n">
        <v>45508</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26761-2023</t>
        </is>
      </c>
      <c r="B726" s="1" t="n">
        <v>45093</v>
      </c>
      <c r="C726" s="1" t="n">
        <v>45508</v>
      </c>
      <c r="D726" t="inlineStr">
        <is>
          <t>VÄSTMANLANDS LÄN</t>
        </is>
      </c>
      <c r="E726" t="inlineStr">
        <is>
          <t>SALA</t>
        </is>
      </c>
      <c r="G726" t="n">
        <v>4.3</v>
      </c>
      <c r="H726" t="n">
        <v>0</v>
      </c>
      <c r="I726" t="n">
        <v>0</v>
      </c>
      <c r="J726" t="n">
        <v>0</v>
      </c>
      <c r="K726" t="n">
        <v>0</v>
      </c>
      <c r="L726" t="n">
        <v>0</v>
      </c>
      <c r="M726" t="n">
        <v>0</v>
      </c>
      <c r="N726" t="n">
        <v>0</v>
      </c>
      <c r="O726" t="n">
        <v>0</v>
      </c>
      <c r="P726" t="n">
        <v>0</v>
      </c>
      <c r="Q726" t="n">
        <v>0</v>
      </c>
      <c r="R726" s="2" t="inlineStr"/>
    </row>
    <row r="727" ht="15" customHeight="1">
      <c r="A727" t="inlineStr">
        <is>
          <t>A 27023-2023</t>
        </is>
      </c>
      <c r="B727" s="1" t="n">
        <v>45094</v>
      </c>
      <c r="C727" s="1" t="n">
        <v>45508</v>
      </c>
      <c r="D727" t="inlineStr">
        <is>
          <t>VÄSTMANLANDS LÄN</t>
        </is>
      </c>
      <c r="E727" t="inlineStr">
        <is>
          <t>SALA</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27038-2023</t>
        </is>
      </c>
      <c r="B728" s="1" t="n">
        <v>45095</v>
      </c>
      <c r="C728" s="1" t="n">
        <v>45508</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27228-2023</t>
        </is>
      </c>
      <c r="B729" s="1" t="n">
        <v>45096</v>
      </c>
      <c r="C729" s="1" t="n">
        <v>45508</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27255-2023</t>
        </is>
      </c>
      <c r="B730" s="1" t="n">
        <v>45096</v>
      </c>
      <c r="C730" s="1" t="n">
        <v>45508</v>
      </c>
      <c r="D730" t="inlineStr">
        <is>
          <t>VÄSTMANLANDS LÄN</t>
        </is>
      </c>
      <c r="E730" t="inlineStr">
        <is>
          <t>SALA</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27424-2023</t>
        </is>
      </c>
      <c r="B731" s="1" t="n">
        <v>45097</v>
      </c>
      <c r="C731" s="1" t="n">
        <v>45508</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27638-2023</t>
        </is>
      </c>
      <c r="B732" s="1" t="n">
        <v>45097</v>
      </c>
      <c r="C732" s="1" t="n">
        <v>45508</v>
      </c>
      <c r="D732" t="inlineStr">
        <is>
          <t>VÄSTMANLANDS LÄN</t>
        </is>
      </c>
      <c r="E732" t="inlineStr">
        <is>
          <t>SALA</t>
        </is>
      </c>
      <c r="G732" t="n">
        <v>8.4</v>
      </c>
      <c r="H732" t="n">
        <v>0</v>
      </c>
      <c r="I732" t="n">
        <v>0</v>
      </c>
      <c r="J732" t="n">
        <v>0</v>
      </c>
      <c r="K732" t="n">
        <v>0</v>
      </c>
      <c r="L732" t="n">
        <v>0</v>
      </c>
      <c r="M732" t="n">
        <v>0</v>
      </c>
      <c r="N732" t="n">
        <v>0</v>
      </c>
      <c r="O732" t="n">
        <v>0</v>
      </c>
      <c r="P732" t="n">
        <v>0</v>
      </c>
      <c r="Q732" t="n">
        <v>0</v>
      </c>
      <c r="R732" s="2" t="inlineStr"/>
    </row>
    <row r="733" ht="15" customHeight="1">
      <c r="A733" t="inlineStr">
        <is>
          <t>A 27657-2023</t>
        </is>
      </c>
      <c r="B733" s="1" t="n">
        <v>45097</v>
      </c>
      <c r="C733" s="1" t="n">
        <v>45508</v>
      </c>
      <c r="D733" t="inlineStr">
        <is>
          <t>VÄSTMANLANDS LÄN</t>
        </is>
      </c>
      <c r="E733" t="inlineStr">
        <is>
          <t>SALA</t>
        </is>
      </c>
      <c r="G733" t="n">
        <v>0.1</v>
      </c>
      <c r="H733" t="n">
        <v>0</v>
      </c>
      <c r="I733" t="n">
        <v>0</v>
      </c>
      <c r="J733" t="n">
        <v>0</v>
      </c>
      <c r="K733" t="n">
        <v>0</v>
      </c>
      <c r="L733" t="n">
        <v>0</v>
      </c>
      <c r="M733" t="n">
        <v>0</v>
      </c>
      <c r="N733" t="n">
        <v>0</v>
      </c>
      <c r="O733" t="n">
        <v>0</v>
      </c>
      <c r="P733" t="n">
        <v>0</v>
      </c>
      <c r="Q733" t="n">
        <v>0</v>
      </c>
      <c r="R733" s="2" t="inlineStr"/>
    </row>
    <row r="734" ht="15" customHeight="1">
      <c r="A734" t="inlineStr">
        <is>
          <t>A 27744-2023</t>
        </is>
      </c>
      <c r="B734" s="1" t="n">
        <v>45098</v>
      </c>
      <c r="C734" s="1" t="n">
        <v>45508</v>
      </c>
      <c r="D734" t="inlineStr">
        <is>
          <t>VÄSTMANLANDS LÄN</t>
        </is>
      </c>
      <c r="E734" t="inlineStr">
        <is>
          <t>SALA</t>
        </is>
      </c>
      <c r="G734" t="n">
        <v>5.7</v>
      </c>
      <c r="H734" t="n">
        <v>0</v>
      </c>
      <c r="I734" t="n">
        <v>0</v>
      </c>
      <c r="J734" t="n">
        <v>0</v>
      </c>
      <c r="K734" t="n">
        <v>0</v>
      </c>
      <c r="L734" t="n">
        <v>0</v>
      </c>
      <c r="M734" t="n">
        <v>0</v>
      </c>
      <c r="N734" t="n">
        <v>0</v>
      </c>
      <c r="O734" t="n">
        <v>0</v>
      </c>
      <c r="P734" t="n">
        <v>0</v>
      </c>
      <c r="Q734" t="n">
        <v>0</v>
      </c>
      <c r="R734" s="2" t="inlineStr"/>
    </row>
    <row r="735" ht="15" customHeight="1">
      <c r="A735" t="inlineStr">
        <is>
          <t>A 27834-2023</t>
        </is>
      </c>
      <c r="B735" s="1" t="n">
        <v>45098</v>
      </c>
      <c r="C735" s="1" t="n">
        <v>45508</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27824-2023</t>
        </is>
      </c>
      <c r="B736" s="1" t="n">
        <v>45098</v>
      </c>
      <c r="C736" s="1" t="n">
        <v>45508</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27749-2023</t>
        </is>
      </c>
      <c r="B737" s="1" t="n">
        <v>45098</v>
      </c>
      <c r="C737" s="1" t="n">
        <v>45508</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29542-2023</t>
        </is>
      </c>
      <c r="B738" s="1" t="n">
        <v>45098</v>
      </c>
      <c r="C738" s="1" t="n">
        <v>45508</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28328-2023</t>
        </is>
      </c>
      <c r="B739" s="1" t="n">
        <v>45099</v>
      </c>
      <c r="C739" s="1" t="n">
        <v>45508</v>
      </c>
      <c r="D739" t="inlineStr">
        <is>
          <t>VÄSTMANLANDS LÄN</t>
        </is>
      </c>
      <c r="E739" t="inlineStr">
        <is>
          <t>SALA</t>
        </is>
      </c>
      <c r="G739" t="n">
        <v>1.8</v>
      </c>
      <c r="H739" t="n">
        <v>0</v>
      </c>
      <c r="I739" t="n">
        <v>0</v>
      </c>
      <c r="J739" t="n">
        <v>0</v>
      </c>
      <c r="K739" t="n">
        <v>0</v>
      </c>
      <c r="L739" t="n">
        <v>0</v>
      </c>
      <c r="M739" t="n">
        <v>0</v>
      </c>
      <c r="N739" t="n">
        <v>0</v>
      </c>
      <c r="O739" t="n">
        <v>0</v>
      </c>
      <c r="P739" t="n">
        <v>0</v>
      </c>
      <c r="Q739" t="n">
        <v>0</v>
      </c>
      <c r="R739" s="2" t="inlineStr"/>
    </row>
    <row r="740" ht="15" customHeight="1">
      <c r="A740" t="inlineStr">
        <is>
          <t>A 28696-2023</t>
        </is>
      </c>
      <c r="B740" s="1" t="n">
        <v>45103</v>
      </c>
      <c r="C740" s="1" t="n">
        <v>45508</v>
      </c>
      <c r="D740" t="inlineStr">
        <is>
          <t>VÄSTMANLANDS LÄN</t>
        </is>
      </c>
      <c r="E740" t="inlineStr">
        <is>
          <t>SALA</t>
        </is>
      </c>
      <c r="F740" t="inlineStr">
        <is>
          <t>Kommuner</t>
        </is>
      </c>
      <c r="G740" t="n">
        <v>5.9</v>
      </c>
      <c r="H740" t="n">
        <v>0</v>
      </c>
      <c r="I740" t="n">
        <v>0</v>
      </c>
      <c r="J740" t="n">
        <v>0</v>
      </c>
      <c r="K740" t="n">
        <v>0</v>
      </c>
      <c r="L740" t="n">
        <v>0</v>
      </c>
      <c r="M740" t="n">
        <v>0</v>
      </c>
      <c r="N740" t="n">
        <v>0</v>
      </c>
      <c r="O740" t="n">
        <v>0</v>
      </c>
      <c r="P740" t="n">
        <v>0</v>
      </c>
      <c r="Q740" t="n">
        <v>0</v>
      </c>
      <c r="R740" s="2" t="inlineStr"/>
    </row>
    <row r="741" ht="15" customHeight="1">
      <c r="A741" t="inlineStr">
        <is>
          <t>A 29241-2023</t>
        </is>
      </c>
      <c r="B741" s="1" t="n">
        <v>45105</v>
      </c>
      <c r="C741" s="1" t="n">
        <v>45508</v>
      </c>
      <c r="D741" t="inlineStr">
        <is>
          <t>VÄSTMANLANDS LÄN</t>
        </is>
      </c>
      <c r="E741" t="inlineStr">
        <is>
          <t>SALA</t>
        </is>
      </c>
      <c r="F741" t="inlineStr">
        <is>
          <t>Kommuner</t>
        </is>
      </c>
      <c r="G741" t="n">
        <v>4.8</v>
      </c>
      <c r="H741" t="n">
        <v>0</v>
      </c>
      <c r="I741" t="n">
        <v>0</v>
      </c>
      <c r="J741" t="n">
        <v>0</v>
      </c>
      <c r="K741" t="n">
        <v>0</v>
      </c>
      <c r="L741" t="n">
        <v>0</v>
      </c>
      <c r="M741" t="n">
        <v>0</v>
      </c>
      <c r="N741" t="n">
        <v>0</v>
      </c>
      <c r="O741" t="n">
        <v>0</v>
      </c>
      <c r="P741" t="n">
        <v>0</v>
      </c>
      <c r="Q741" t="n">
        <v>0</v>
      </c>
      <c r="R741" s="2" t="inlineStr"/>
    </row>
    <row r="742" ht="15" customHeight="1">
      <c r="A742" t="inlineStr">
        <is>
          <t>A 29727-2023</t>
        </is>
      </c>
      <c r="B742" s="1" t="n">
        <v>45107</v>
      </c>
      <c r="C742" s="1" t="n">
        <v>45508</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31945-2023</t>
        </is>
      </c>
      <c r="B743" s="1" t="n">
        <v>45107</v>
      </c>
      <c r="C743" s="1" t="n">
        <v>45508</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31950-2023</t>
        </is>
      </c>
      <c r="B744" s="1" t="n">
        <v>45107</v>
      </c>
      <c r="C744" s="1" t="n">
        <v>45508</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31953-2023</t>
        </is>
      </c>
      <c r="B745" s="1" t="n">
        <v>45107</v>
      </c>
      <c r="C745" s="1" t="n">
        <v>45508</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31298-2023</t>
        </is>
      </c>
      <c r="B746" s="1" t="n">
        <v>45114</v>
      </c>
      <c r="C746" s="1" t="n">
        <v>45508</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31315-2023</t>
        </is>
      </c>
      <c r="B747" s="1" t="n">
        <v>45114</v>
      </c>
      <c r="C747" s="1" t="n">
        <v>45508</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31646-2023</t>
        </is>
      </c>
      <c r="B748" s="1" t="n">
        <v>45117</v>
      </c>
      <c r="C748" s="1" t="n">
        <v>45508</v>
      </c>
      <c r="D748" t="inlineStr">
        <is>
          <t>VÄSTMANLANDS LÄN</t>
        </is>
      </c>
      <c r="E748" t="inlineStr">
        <is>
          <t>SALA</t>
        </is>
      </c>
      <c r="G748" t="n">
        <v>3.5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45508</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32945-2023</t>
        </is>
      </c>
      <c r="B750" s="1" t="n">
        <v>45125</v>
      </c>
      <c r="C750" s="1" t="n">
        <v>45508</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33152-2023</t>
        </is>
      </c>
      <c r="B751" s="1" t="n">
        <v>45126</v>
      </c>
      <c r="C751" s="1" t="n">
        <v>45508</v>
      </c>
      <c r="D751" t="inlineStr">
        <is>
          <t>VÄSTMANLANDS LÄN</t>
        </is>
      </c>
      <c r="E751" t="inlineStr">
        <is>
          <t>SALA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33151-2023</t>
        </is>
      </c>
      <c r="B752" s="1" t="n">
        <v>45126</v>
      </c>
      <c r="C752" s="1" t="n">
        <v>45508</v>
      </c>
      <c r="D752" t="inlineStr">
        <is>
          <t>VÄSTMANLANDS LÄN</t>
        </is>
      </c>
      <c r="E752" t="inlineStr">
        <is>
          <t>SALA</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33180-2023</t>
        </is>
      </c>
      <c r="B753" s="1" t="n">
        <v>45127</v>
      </c>
      <c r="C753" s="1" t="n">
        <v>45508</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33273-2023</t>
        </is>
      </c>
      <c r="B754" s="1" t="n">
        <v>45127</v>
      </c>
      <c r="C754" s="1" t="n">
        <v>45508</v>
      </c>
      <c r="D754" t="inlineStr">
        <is>
          <t>VÄSTMANLANDS LÄN</t>
        </is>
      </c>
      <c r="E754" t="inlineStr">
        <is>
          <t>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33527-2023</t>
        </is>
      </c>
      <c r="B755" s="1" t="n">
        <v>45131</v>
      </c>
      <c r="C755" s="1" t="n">
        <v>45508</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34361-2023</t>
        </is>
      </c>
      <c r="B756" s="1" t="n">
        <v>45131</v>
      </c>
      <c r="C756" s="1" t="n">
        <v>45508</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v>
      </c>
      <c r="C757" s="1" t="n">
        <v>45508</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33743-2023</t>
        </is>
      </c>
      <c r="B758" s="1" t="n">
        <v>45133</v>
      </c>
      <c r="C758" s="1" t="n">
        <v>45508</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34494-2023</t>
        </is>
      </c>
      <c r="B759" s="1" t="n">
        <v>45133</v>
      </c>
      <c r="C759" s="1" t="n">
        <v>45508</v>
      </c>
      <c r="D759" t="inlineStr">
        <is>
          <t>VÄSTMANLANDS LÄN</t>
        </is>
      </c>
      <c r="E759" t="inlineStr">
        <is>
          <t>SALA</t>
        </is>
      </c>
      <c r="G759" t="n">
        <v>0.8</v>
      </c>
      <c r="H759" t="n">
        <v>0</v>
      </c>
      <c r="I759" t="n">
        <v>0</v>
      </c>
      <c r="J759" t="n">
        <v>0</v>
      </c>
      <c r="K759" t="n">
        <v>0</v>
      </c>
      <c r="L759" t="n">
        <v>0</v>
      </c>
      <c r="M759" t="n">
        <v>0</v>
      </c>
      <c r="N759" t="n">
        <v>0</v>
      </c>
      <c r="O759" t="n">
        <v>0</v>
      </c>
      <c r="P759" t="n">
        <v>0</v>
      </c>
      <c r="Q759" t="n">
        <v>0</v>
      </c>
      <c r="R759" s="2" t="inlineStr"/>
    </row>
    <row r="760" ht="15" customHeight="1">
      <c r="A760" t="inlineStr">
        <is>
          <t>A 34215-2023</t>
        </is>
      </c>
      <c r="B760" s="1" t="n">
        <v>45138</v>
      </c>
      <c r="C760" s="1" t="n">
        <v>45508</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34867-2023</t>
        </is>
      </c>
      <c r="B761" s="1" t="n">
        <v>45142</v>
      </c>
      <c r="C761" s="1" t="n">
        <v>45508</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35434-2023</t>
        </is>
      </c>
      <c r="B762" s="1" t="n">
        <v>45146</v>
      </c>
      <c r="C762" s="1" t="n">
        <v>45508</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45508</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36858-2023</t>
        </is>
      </c>
      <c r="B764" s="1" t="n">
        <v>45154</v>
      </c>
      <c r="C764" s="1" t="n">
        <v>45508</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38773-2023</t>
        </is>
      </c>
      <c r="B765" s="1" t="n">
        <v>45161</v>
      </c>
      <c r="C765" s="1" t="n">
        <v>45508</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38561-2023</t>
        </is>
      </c>
      <c r="B766" s="1" t="n">
        <v>45162</v>
      </c>
      <c r="C766" s="1" t="n">
        <v>45508</v>
      </c>
      <c r="D766" t="inlineStr">
        <is>
          <t>VÄSTMANLANDS LÄN</t>
        </is>
      </c>
      <c r="E766" t="inlineStr">
        <is>
          <t>SALA</t>
        </is>
      </c>
      <c r="G766" t="n">
        <v>2.9</v>
      </c>
      <c r="H766" t="n">
        <v>0</v>
      </c>
      <c r="I766" t="n">
        <v>0</v>
      </c>
      <c r="J766" t="n">
        <v>0</v>
      </c>
      <c r="K766" t="n">
        <v>0</v>
      </c>
      <c r="L766" t="n">
        <v>0</v>
      </c>
      <c r="M766" t="n">
        <v>0</v>
      </c>
      <c r="N766" t="n">
        <v>0</v>
      </c>
      <c r="O766" t="n">
        <v>0</v>
      </c>
      <c r="P766" t="n">
        <v>0</v>
      </c>
      <c r="Q766" t="n">
        <v>0</v>
      </c>
      <c r="R766" s="2" t="inlineStr"/>
    </row>
    <row r="767" ht="15" customHeight="1">
      <c r="A767" t="inlineStr">
        <is>
          <t>A 39011-2023</t>
        </is>
      </c>
      <c r="B767" s="1" t="n">
        <v>45162</v>
      </c>
      <c r="C767" s="1" t="n">
        <v>45508</v>
      </c>
      <c r="D767" t="inlineStr">
        <is>
          <t>VÄSTMANLANDS LÄN</t>
        </is>
      </c>
      <c r="E767" t="inlineStr">
        <is>
          <t>SALA</t>
        </is>
      </c>
      <c r="G767" t="n">
        <v>1.6</v>
      </c>
      <c r="H767" t="n">
        <v>0</v>
      </c>
      <c r="I767" t="n">
        <v>0</v>
      </c>
      <c r="J767" t="n">
        <v>0</v>
      </c>
      <c r="K767" t="n">
        <v>0</v>
      </c>
      <c r="L767" t="n">
        <v>0</v>
      </c>
      <c r="M767" t="n">
        <v>0</v>
      </c>
      <c r="N767" t="n">
        <v>0</v>
      </c>
      <c r="O767" t="n">
        <v>0</v>
      </c>
      <c r="P767" t="n">
        <v>0</v>
      </c>
      <c r="Q767" t="n">
        <v>0</v>
      </c>
      <c r="R767" s="2" t="inlineStr"/>
    </row>
    <row r="768" ht="15" customHeight="1">
      <c r="A768" t="inlineStr">
        <is>
          <t>A 39604-2023</t>
        </is>
      </c>
      <c r="B768" s="1" t="n">
        <v>45163</v>
      </c>
      <c r="C768" s="1" t="n">
        <v>45508</v>
      </c>
      <c r="D768" t="inlineStr">
        <is>
          <t>VÄSTMANLANDS LÄN</t>
        </is>
      </c>
      <c r="E768" t="inlineStr">
        <is>
          <t>SALA</t>
        </is>
      </c>
      <c r="G768" t="n">
        <v>2.7</v>
      </c>
      <c r="H768" t="n">
        <v>0</v>
      </c>
      <c r="I768" t="n">
        <v>0</v>
      </c>
      <c r="J768" t="n">
        <v>0</v>
      </c>
      <c r="K768" t="n">
        <v>0</v>
      </c>
      <c r="L768" t="n">
        <v>0</v>
      </c>
      <c r="M768" t="n">
        <v>0</v>
      </c>
      <c r="N768" t="n">
        <v>0</v>
      </c>
      <c r="O768" t="n">
        <v>0</v>
      </c>
      <c r="P768" t="n">
        <v>0</v>
      </c>
      <c r="Q768" t="n">
        <v>0</v>
      </c>
      <c r="R768" s="2" t="inlineStr"/>
    </row>
    <row r="769" ht="15" customHeight="1">
      <c r="A769" t="inlineStr">
        <is>
          <t>A 39714-2023</t>
        </is>
      </c>
      <c r="B769" s="1" t="n">
        <v>45167</v>
      </c>
      <c r="C769" s="1" t="n">
        <v>45508</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39708-2023</t>
        </is>
      </c>
      <c r="B770" s="1" t="n">
        <v>45167</v>
      </c>
      <c r="C770" s="1" t="n">
        <v>45508</v>
      </c>
      <c r="D770" t="inlineStr">
        <is>
          <t>VÄSTMANLANDS LÄN</t>
        </is>
      </c>
      <c r="E770" t="inlineStr">
        <is>
          <t>SALA</t>
        </is>
      </c>
      <c r="G770" t="n">
        <v>5.3</v>
      </c>
      <c r="H770" t="n">
        <v>0</v>
      </c>
      <c r="I770" t="n">
        <v>0</v>
      </c>
      <c r="J770" t="n">
        <v>0</v>
      </c>
      <c r="K770" t="n">
        <v>0</v>
      </c>
      <c r="L770" t="n">
        <v>0</v>
      </c>
      <c r="M770" t="n">
        <v>0</v>
      </c>
      <c r="N770" t="n">
        <v>0</v>
      </c>
      <c r="O770" t="n">
        <v>0</v>
      </c>
      <c r="P770" t="n">
        <v>0</v>
      </c>
      <c r="Q770" t="n">
        <v>0</v>
      </c>
      <c r="R770" s="2" t="inlineStr"/>
    </row>
    <row r="771" ht="15" customHeight="1">
      <c r="A771" t="inlineStr">
        <is>
          <t>A 39713-2023</t>
        </is>
      </c>
      <c r="B771" s="1" t="n">
        <v>45167</v>
      </c>
      <c r="C771" s="1" t="n">
        <v>45508</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40214-2023</t>
        </is>
      </c>
      <c r="B772" s="1" t="n">
        <v>45169</v>
      </c>
      <c r="C772" s="1" t="n">
        <v>45508</v>
      </c>
      <c r="D772" t="inlineStr">
        <is>
          <t>VÄSTMANLANDS LÄN</t>
        </is>
      </c>
      <c r="E772" t="inlineStr">
        <is>
          <t>SALA</t>
        </is>
      </c>
      <c r="G772" t="n">
        <v>5.5</v>
      </c>
      <c r="H772" t="n">
        <v>0</v>
      </c>
      <c r="I772" t="n">
        <v>0</v>
      </c>
      <c r="J772" t="n">
        <v>0</v>
      </c>
      <c r="K772" t="n">
        <v>0</v>
      </c>
      <c r="L772" t="n">
        <v>0</v>
      </c>
      <c r="M772" t="n">
        <v>0</v>
      </c>
      <c r="N772" t="n">
        <v>0</v>
      </c>
      <c r="O772" t="n">
        <v>0</v>
      </c>
      <c r="P772" t="n">
        <v>0</v>
      </c>
      <c r="Q772" t="n">
        <v>0</v>
      </c>
      <c r="R772" s="2" t="inlineStr"/>
    </row>
    <row r="773" ht="15" customHeight="1">
      <c r="A773" t="inlineStr">
        <is>
          <t>A 41613-2023</t>
        </is>
      </c>
      <c r="B773" s="1" t="n">
        <v>45173</v>
      </c>
      <c r="C773" s="1" t="n">
        <v>45508</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41619-2023</t>
        </is>
      </c>
      <c r="B774" s="1" t="n">
        <v>45173</v>
      </c>
      <c r="C774" s="1" t="n">
        <v>45508</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42312-2023</t>
        </is>
      </c>
      <c r="B775" s="1" t="n">
        <v>45175</v>
      </c>
      <c r="C775" s="1" t="n">
        <v>45508</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42938-2023</t>
        </is>
      </c>
      <c r="B776" s="1" t="n">
        <v>45179</v>
      </c>
      <c r="C776" s="1" t="n">
        <v>45508</v>
      </c>
      <c r="D776" t="inlineStr">
        <is>
          <t>VÄSTMANLANDS LÄN</t>
        </is>
      </c>
      <c r="E776" t="inlineStr">
        <is>
          <t>SALA</t>
        </is>
      </c>
      <c r="G776" t="n">
        <v>10.9</v>
      </c>
      <c r="H776" t="n">
        <v>0</v>
      </c>
      <c r="I776" t="n">
        <v>0</v>
      </c>
      <c r="J776" t="n">
        <v>0</v>
      </c>
      <c r="K776" t="n">
        <v>0</v>
      </c>
      <c r="L776" t="n">
        <v>0</v>
      </c>
      <c r="M776" t="n">
        <v>0</v>
      </c>
      <c r="N776" t="n">
        <v>0</v>
      </c>
      <c r="O776" t="n">
        <v>0</v>
      </c>
      <c r="P776" t="n">
        <v>0</v>
      </c>
      <c r="Q776" t="n">
        <v>0</v>
      </c>
      <c r="R776" s="2" t="inlineStr"/>
    </row>
    <row r="777" ht="15" customHeight="1">
      <c r="A777" t="inlineStr">
        <is>
          <t>A 42984-2023</t>
        </is>
      </c>
      <c r="B777" s="1" t="n">
        <v>45179</v>
      </c>
      <c r="C777" s="1" t="n">
        <v>45508</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42991-2023</t>
        </is>
      </c>
      <c r="B778" s="1" t="n">
        <v>45179</v>
      </c>
      <c r="C778" s="1" t="n">
        <v>45508</v>
      </c>
      <c r="D778" t="inlineStr">
        <is>
          <t>VÄSTMANLANDS LÄN</t>
        </is>
      </c>
      <c r="E778" t="inlineStr">
        <is>
          <t>SALA</t>
        </is>
      </c>
      <c r="G778" t="n">
        <v>3.6</v>
      </c>
      <c r="H778" t="n">
        <v>0</v>
      </c>
      <c r="I778" t="n">
        <v>0</v>
      </c>
      <c r="J778" t="n">
        <v>0</v>
      </c>
      <c r="K778" t="n">
        <v>0</v>
      </c>
      <c r="L778" t="n">
        <v>0</v>
      </c>
      <c r="M778" t="n">
        <v>0</v>
      </c>
      <c r="N778" t="n">
        <v>0</v>
      </c>
      <c r="O778" t="n">
        <v>0</v>
      </c>
      <c r="P778" t="n">
        <v>0</v>
      </c>
      <c r="Q778" t="n">
        <v>0</v>
      </c>
      <c r="R778" s="2" t="inlineStr"/>
    </row>
    <row r="779" ht="15" customHeight="1">
      <c r="A779" t="inlineStr">
        <is>
          <t>A 44247-2023</t>
        </is>
      </c>
      <c r="B779" s="1" t="n">
        <v>45182</v>
      </c>
      <c r="C779" s="1" t="n">
        <v>45508</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43188-2023</t>
        </is>
      </c>
      <c r="B780" s="1" t="n">
        <v>45183</v>
      </c>
      <c r="C780" s="1" t="n">
        <v>45508</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43184-2023</t>
        </is>
      </c>
      <c r="B781" s="1" t="n">
        <v>45183</v>
      </c>
      <c r="C781" s="1" t="n">
        <v>45508</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43205-2023</t>
        </is>
      </c>
      <c r="B782" s="1" t="n">
        <v>45183</v>
      </c>
      <c r="C782" s="1" t="n">
        <v>45508</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43176-2023</t>
        </is>
      </c>
      <c r="B783" s="1" t="n">
        <v>45183</v>
      </c>
      <c r="C783" s="1" t="n">
        <v>45508</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43187-2023</t>
        </is>
      </c>
      <c r="B784" s="1" t="n">
        <v>45183</v>
      </c>
      <c r="C784" s="1" t="n">
        <v>45508</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43363-2023</t>
        </is>
      </c>
      <c r="B785" s="1" t="n">
        <v>45183</v>
      </c>
      <c r="C785" s="1" t="n">
        <v>45508</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43362-2023</t>
        </is>
      </c>
      <c r="B786" s="1" t="n">
        <v>45183</v>
      </c>
      <c r="C786" s="1" t="n">
        <v>45508</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44713-2023</t>
        </is>
      </c>
      <c r="B787" s="1" t="n">
        <v>45184</v>
      </c>
      <c r="C787" s="1" t="n">
        <v>45508</v>
      </c>
      <c r="D787" t="inlineStr">
        <is>
          <t>VÄSTMANLANDS LÄN</t>
        </is>
      </c>
      <c r="E787" t="inlineStr">
        <is>
          <t>SALA</t>
        </is>
      </c>
      <c r="F787" t="inlineStr">
        <is>
          <t>Kyrkan</t>
        </is>
      </c>
      <c r="G787" t="n">
        <v>7.6</v>
      </c>
      <c r="H787" t="n">
        <v>0</v>
      </c>
      <c r="I787" t="n">
        <v>0</v>
      </c>
      <c r="J787" t="n">
        <v>0</v>
      </c>
      <c r="K787" t="n">
        <v>0</v>
      </c>
      <c r="L787" t="n">
        <v>0</v>
      </c>
      <c r="M787" t="n">
        <v>0</v>
      </c>
      <c r="N787" t="n">
        <v>0</v>
      </c>
      <c r="O787" t="n">
        <v>0</v>
      </c>
      <c r="P787" t="n">
        <v>0</v>
      </c>
      <c r="Q787" t="n">
        <v>0</v>
      </c>
      <c r="R787" s="2" t="inlineStr"/>
    </row>
    <row r="788" ht="15" customHeight="1">
      <c r="A788" t="inlineStr">
        <is>
          <t>A 44720-2023</t>
        </is>
      </c>
      <c r="B788" s="1" t="n">
        <v>45184</v>
      </c>
      <c r="C788" s="1" t="n">
        <v>45508</v>
      </c>
      <c r="D788" t="inlineStr">
        <is>
          <t>VÄSTMANLANDS LÄN</t>
        </is>
      </c>
      <c r="E788" t="inlineStr">
        <is>
          <t>SALA</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44297-2023</t>
        </is>
      </c>
      <c r="B789" s="1" t="n">
        <v>45188</v>
      </c>
      <c r="C789" s="1" t="n">
        <v>45508</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44846-2023</t>
        </is>
      </c>
      <c r="B790" s="1" t="n">
        <v>45190</v>
      </c>
      <c r="C790" s="1" t="n">
        <v>45508</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44857-2023</t>
        </is>
      </c>
      <c r="B791" s="1" t="n">
        <v>45190</v>
      </c>
      <c r="C791" s="1" t="n">
        <v>45508</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46352-2023</t>
        </is>
      </c>
      <c r="B792" s="1" t="n">
        <v>45192</v>
      </c>
      <c r="C792" s="1" t="n">
        <v>45508</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46355-2023</t>
        </is>
      </c>
      <c r="B793" s="1" t="n">
        <v>45192</v>
      </c>
      <c r="C793" s="1" t="n">
        <v>45508</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46350-2023</t>
        </is>
      </c>
      <c r="B794" s="1" t="n">
        <v>45192</v>
      </c>
      <c r="C794" s="1" t="n">
        <v>45508</v>
      </c>
      <c r="D794" t="inlineStr">
        <is>
          <t>VÄSTMANLANDS LÄN</t>
        </is>
      </c>
      <c r="E794" t="inlineStr">
        <is>
          <t>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45531-2023</t>
        </is>
      </c>
      <c r="B795" s="1" t="n">
        <v>45194</v>
      </c>
      <c r="C795" s="1" t="n">
        <v>45508</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45602-2023</t>
        </is>
      </c>
      <c r="B796" s="1" t="n">
        <v>45194</v>
      </c>
      <c r="C796" s="1" t="n">
        <v>45508</v>
      </c>
      <c r="D796" t="inlineStr">
        <is>
          <t>VÄSTMANLANDS LÄN</t>
        </is>
      </c>
      <c r="E796" t="inlineStr">
        <is>
          <t>SALA</t>
        </is>
      </c>
      <c r="G796" t="n">
        <v>1.9</v>
      </c>
      <c r="H796" t="n">
        <v>0</v>
      </c>
      <c r="I796" t="n">
        <v>0</v>
      </c>
      <c r="J796" t="n">
        <v>0</v>
      </c>
      <c r="K796" t="n">
        <v>0</v>
      </c>
      <c r="L796" t="n">
        <v>0</v>
      </c>
      <c r="M796" t="n">
        <v>0</v>
      </c>
      <c r="N796" t="n">
        <v>0</v>
      </c>
      <c r="O796" t="n">
        <v>0</v>
      </c>
      <c r="P796" t="n">
        <v>0</v>
      </c>
      <c r="Q796" t="n">
        <v>0</v>
      </c>
      <c r="R796" s="2" t="inlineStr"/>
    </row>
    <row r="797" ht="15" customHeight="1">
      <c r="A797" t="inlineStr">
        <is>
          <t>A 45790-2023</t>
        </is>
      </c>
      <c r="B797" s="1" t="n">
        <v>45195</v>
      </c>
      <c r="C797" s="1" t="n">
        <v>45508</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46226-2023</t>
        </is>
      </c>
      <c r="B798" s="1" t="n">
        <v>45196</v>
      </c>
      <c r="C798" s="1" t="n">
        <v>45508</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47501-2023</t>
        </is>
      </c>
      <c r="B799" s="1" t="n">
        <v>45202</v>
      </c>
      <c r="C799" s="1" t="n">
        <v>45508</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50876-2023</t>
        </is>
      </c>
      <c r="B800" s="1" t="n">
        <v>45211</v>
      </c>
      <c r="C800" s="1" t="n">
        <v>45508</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50241-2023</t>
        </is>
      </c>
      <c r="B801" s="1" t="n">
        <v>45216</v>
      </c>
      <c r="C801" s="1" t="n">
        <v>45508</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51203-2023</t>
        </is>
      </c>
      <c r="B802" s="1" t="n">
        <v>45219</v>
      </c>
      <c r="C802" s="1" t="n">
        <v>45508</v>
      </c>
      <c r="D802" t="inlineStr">
        <is>
          <t>VÄSTMANLANDS LÄN</t>
        </is>
      </c>
      <c r="E802" t="inlineStr">
        <is>
          <t>SALA</t>
        </is>
      </c>
      <c r="F802" t="inlineStr">
        <is>
          <t>Kommuner</t>
        </is>
      </c>
      <c r="G802" t="n">
        <v>2.7</v>
      </c>
      <c r="H802" t="n">
        <v>0</v>
      </c>
      <c r="I802" t="n">
        <v>0</v>
      </c>
      <c r="J802" t="n">
        <v>0</v>
      </c>
      <c r="K802" t="n">
        <v>0</v>
      </c>
      <c r="L802" t="n">
        <v>0</v>
      </c>
      <c r="M802" t="n">
        <v>0</v>
      </c>
      <c r="N802" t="n">
        <v>0</v>
      </c>
      <c r="O802" t="n">
        <v>0</v>
      </c>
      <c r="P802" t="n">
        <v>0</v>
      </c>
      <c r="Q802" t="n">
        <v>0</v>
      </c>
      <c r="R802" s="2" t="inlineStr"/>
    </row>
    <row r="803" ht="15" customHeight="1">
      <c r="A803" t="inlineStr">
        <is>
          <t>A 51848-2023</t>
        </is>
      </c>
      <c r="B803" s="1" t="n">
        <v>45223</v>
      </c>
      <c r="C803" s="1" t="n">
        <v>45508</v>
      </c>
      <c r="D803" t="inlineStr">
        <is>
          <t>VÄSTMANLANDS LÄN</t>
        </is>
      </c>
      <c r="E803" t="inlineStr">
        <is>
          <t>SALA</t>
        </is>
      </c>
      <c r="G803" t="n">
        <v>7</v>
      </c>
      <c r="H803" t="n">
        <v>0</v>
      </c>
      <c r="I803" t="n">
        <v>0</v>
      </c>
      <c r="J803" t="n">
        <v>0</v>
      </c>
      <c r="K803" t="n">
        <v>0</v>
      </c>
      <c r="L803" t="n">
        <v>0</v>
      </c>
      <c r="M803" t="n">
        <v>0</v>
      </c>
      <c r="N803" t="n">
        <v>0</v>
      </c>
      <c r="O803" t="n">
        <v>0</v>
      </c>
      <c r="P803" t="n">
        <v>0</v>
      </c>
      <c r="Q803" t="n">
        <v>0</v>
      </c>
      <c r="R803" s="2" t="inlineStr"/>
    </row>
    <row r="804" ht="15" customHeight="1">
      <c r="A804" t="inlineStr">
        <is>
          <t>A 52654-2023</t>
        </is>
      </c>
      <c r="B804" s="1" t="n">
        <v>45225</v>
      </c>
      <c r="C804" s="1" t="n">
        <v>45508</v>
      </c>
      <c r="D804" t="inlineStr">
        <is>
          <t>VÄSTMANLANDS LÄN</t>
        </is>
      </c>
      <c r="E804" t="inlineStr">
        <is>
          <t>SALA</t>
        </is>
      </c>
      <c r="G804" t="n">
        <v>4.6</v>
      </c>
      <c r="H804" t="n">
        <v>0</v>
      </c>
      <c r="I804" t="n">
        <v>0</v>
      </c>
      <c r="J804" t="n">
        <v>0</v>
      </c>
      <c r="K804" t="n">
        <v>0</v>
      </c>
      <c r="L804" t="n">
        <v>0</v>
      </c>
      <c r="M804" t="n">
        <v>0</v>
      </c>
      <c r="N804" t="n">
        <v>0</v>
      </c>
      <c r="O804" t="n">
        <v>0</v>
      </c>
      <c r="P804" t="n">
        <v>0</v>
      </c>
      <c r="Q804" t="n">
        <v>0</v>
      </c>
      <c r="R804" s="2" t="inlineStr"/>
    </row>
    <row r="805" ht="15" customHeight="1">
      <c r="A805" t="inlineStr">
        <is>
          <t>A 54910-2023</t>
        </is>
      </c>
      <c r="B805" s="1" t="n">
        <v>45229</v>
      </c>
      <c r="C805" s="1" t="n">
        <v>45508</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55024-2023</t>
        </is>
      </c>
      <c r="B806" s="1" t="n">
        <v>45229</v>
      </c>
      <c r="C806" s="1" t="n">
        <v>45508</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55032-2023</t>
        </is>
      </c>
      <c r="B807" s="1" t="n">
        <v>45229</v>
      </c>
      <c r="C807" s="1" t="n">
        <v>45508</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45508</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55040-2023</t>
        </is>
      </c>
      <c r="B809" s="1" t="n">
        <v>45229</v>
      </c>
      <c r="C809" s="1" t="n">
        <v>45508</v>
      </c>
      <c r="D809" t="inlineStr">
        <is>
          <t>VÄSTMANLANDS LÄN</t>
        </is>
      </c>
      <c r="E809" t="inlineStr">
        <is>
          <t>SALA</t>
        </is>
      </c>
      <c r="G809" t="n">
        <v>3.3</v>
      </c>
      <c r="H809" t="n">
        <v>0</v>
      </c>
      <c r="I809" t="n">
        <v>0</v>
      </c>
      <c r="J809" t="n">
        <v>0</v>
      </c>
      <c r="K809" t="n">
        <v>0</v>
      </c>
      <c r="L809" t="n">
        <v>0</v>
      </c>
      <c r="M809" t="n">
        <v>0</v>
      </c>
      <c r="N809" t="n">
        <v>0</v>
      </c>
      <c r="O809" t="n">
        <v>0</v>
      </c>
      <c r="P809" t="n">
        <v>0</v>
      </c>
      <c r="Q809" t="n">
        <v>0</v>
      </c>
      <c r="R809" s="2" t="inlineStr"/>
    </row>
    <row r="810" ht="15" customHeight="1">
      <c r="A810" t="inlineStr">
        <is>
          <t>A 53877-2023</t>
        </is>
      </c>
      <c r="B810" s="1" t="n">
        <v>45231</v>
      </c>
      <c r="C810" s="1" t="n">
        <v>45508</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53951-2023</t>
        </is>
      </c>
      <c r="B811" s="1" t="n">
        <v>45231</v>
      </c>
      <c r="C811" s="1" t="n">
        <v>45508</v>
      </c>
      <c r="D811" t="inlineStr">
        <is>
          <t>VÄSTMANLANDS LÄN</t>
        </is>
      </c>
      <c r="E811" t="inlineStr">
        <is>
          <t>SALA</t>
        </is>
      </c>
      <c r="F811" t="inlineStr">
        <is>
          <t>Kommuner</t>
        </is>
      </c>
      <c r="G811" t="n">
        <v>8.4</v>
      </c>
      <c r="H811" t="n">
        <v>0</v>
      </c>
      <c r="I811" t="n">
        <v>0</v>
      </c>
      <c r="J811" t="n">
        <v>0</v>
      </c>
      <c r="K811" t="n">
        <v>0</v>
      </c>
      <c r="L811" t="n">
        <v>0</v>
      </c>
      <c r="M811" t="n">
        <v>0</v>
      </c>
      <c r="N811" t="n">
        <v>0</v>
      </c>
      <c r="O811" t="n">
        <v>0</v>
      </c>
      <c r="P811" t="n">
        <v>0</v>
      </c>
      <c r="Q811" t="n">
        <v>0</v>
      </c>
      <c r="R811" s="2" t="inlineStr"/>
      <c r="U811">
        <f>HYPERLINK("https://klasma.github.io/Logging_1981/knärot/A 53951-2023 karta knärot.png", "A 53951-2023")</f>
        <v/>
      </c>
      <c r="V811">
        <f>HYPERLINK("https://klasma.github.io/Logging_1981/klagomål/A 53951-2023 FSC-klagomål.docx", "A 53951-2023")</f>
        <v/>
      </c>
      <c r="W811">
        <f>HYPERLINK("https://klasma.github.io/Logging_1981/klagomålsmail/A 53951-2023 FSC-klagomål mail.docx", "A 53951-2023")</f>
        <v/>
      </c>
      <c r="X811">
        <f>HYPERLINK("https://klasma.github.io/Logging_1981/tillsyn/A 53951-2023 tillsynsbegäran.docx", "A 53951-2023")</f>
        <v/>
      </c>
      <c r="Y811">
        <f>HYPERLINK("https://klasma.github.io/Logging_1981/tillsynsmail/A 53951-2023 tillsynsbegäran mail.docx", "A 53951-2023")</f>
        <v/>
      </c>
    </row>
    <row r="812" ht="15" customHeight="1">
      <c r="A812" t="inlineStr">
        <is>
          <t>A 54125-2023</t>
        </is>
      </c>
      <c r="B812" s="1" t="n">
        <v>45232</v>
      </c>
      <c r="C812" s="1" t="n">
        <v>45508</v>
      </c>
      <c r="D812" t="inlineStr">
        <is>
          <t>VÄSTMANLANDS LÄN</t>
        </is>
      </c>
      <c r="E812" t="inlineStr">
        <is>
          <t>SALA</t>
        </is>
      </c>
      <c r="G812" t="n">
        <v>3.7</v>
      </c>
      <c r="H812" t="n">
        <v>0</v>
      </c>
      <c r="I812" t="n">
        <v>0</v>
      </c>
      <c r="J812" t="n">
        <v>0</v>
      </c>
      <c r="K812" t="n">
        <v>0</v>
      </c>
      <c r="L812" t="n">
        <v>0</v>
      </c>
      <c r="M812" t="n">
        <v>0</v>
      </c>
      <c r="N812" t="n">
        <v>0</v>
      </c>
      <c r="O812" t="n">
        <v>0</v>
      </c>
      <c r="P812" t="n">
        <v>0</v>
      </c>
      <c r="Q812" t="n">
        <v>0</v>
      </c>
      <c r="R812" s="2" t="inlineStr"/>
    </row>
    <row r="813" ht="15" customHeight="1">
      <c r="A813" t="inlineStr">
        <is>
          <t>A 54114-2023</t>
        </is>
      </c>
      <c r="B813" s="1" t="n">
        <v>45232</v>
      </c>
      <c r="C813" s="1" t="n">
        <v>45508</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54118-2023</t>
        </is>
      </c>
      <c r="B814" s="1" t="n">
        <v>45232</v>
      </c>
      <c r="C814" s="1" t="n">
        <v>45508</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55556-2023</t>
        </is>
      </c>
      <c r="B815" s="1" t="n">
        <v>45232</v>
      </c>
      <c r="C815" s="1" t="n">
        <v>45508</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45508</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45508</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45508</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45508</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45508</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45508</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45508</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45508</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45508</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45508</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45508</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45508</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45508</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45508</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45508</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45508</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45508</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45508</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45508</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45508</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45508</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45508</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45508</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45508</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45508</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45508</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45508</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45508</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45508</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45508</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45508</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45508</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45508</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45508</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45508</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45508</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45508</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45508</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45508</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45508</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45508</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45508</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45508</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45508</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45508</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45508</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45508</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45508</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45508</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45508</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45508</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45508</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45508</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45508</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45508</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45508</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45508</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45508</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45508</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45508</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45508</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45508</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45508</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45508</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45508</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45508</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45508</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45508</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45508</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45508</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45508</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45508</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45508</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45508</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45508</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45508</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45508</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45508</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45508</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45508</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45508</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45508</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45508</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45508</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45508</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45508</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45508</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45508</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45508</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45508</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45508</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45508</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45508</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45508</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45508</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45508</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45508</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45508</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45508</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45508</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45508</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45508</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45508</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45508</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45508</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45508</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45508</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45508</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45508</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45508</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45508</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45508</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45508</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45508</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45508</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45508</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45508</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45508</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45508</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45508</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45508</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45508</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45508</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45508</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45508</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45508</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45508</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45508</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45508</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45508</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45508</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45508</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23317-2024</t>
        </is>
      </c>
      <c r="B948" s="1" t="n">
        <v>45453</v>
      </c>
      <c r="C948" s="1" t="n">
        <v>45508</v>
      </c>
      <c r="D948" t="inlineStr">
        <is>
          <t>VÄSTMANLANDS LÄN</t>
        </is>
      </c>
      <c r="E948" t="inlineStr">
        <is>
          <t>SALA</t>
        </is>
      </c>
      <c r="G948" t="n">
        <v>6.5</v>
      </c>
      <c r="H948" t="n">
        <v>0</v>
      </c>
      <c r="I948" t="n">
        <v>0</v>
      </c>
      <c r="J948" t="n">
        <v>0</v>
      </c>
      <c r="K948" t="n">
        <v>0</v>
      </c>
      <c r="L948" t="n">
        <v>0</v>
      </c>
      <c r="M948" t="n">
        <v>0</v>
      </c>
      <c r="N948" t="n">
        <v>0</v>
      </c>
      <c r="O948" t="n">
        <v>0</v>
      </c>
      <c r="P948" t="n">
        <v>0</v>
      </c>
      <c r="Q948" t="n">
        <v>0</v>
      </c>
      <c r="R948" s="2" t="inlineStr"/>
    </row>
    <row r="949" ht="15" customHeight="1">
      <c r="A949" t="inlineStr">
        <is>
          <t>A 23406-2024</t>
        </is>
      </c>
      <c r="B949" s="1" t="n">
        <v>45453</v>
      </c>
      <c r="C949" s="1" t="n">
        <v>45508</v>
      </c>
      <c r="D949" t="inlineStr">
        <is>
          <t>VÄSTMANLANDS LÄN</t>
        </is>
      </c>
      <c r="E949" t="inlineStr">
        <is>
          <t>SALA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45508</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45508</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45508</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45508</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45508</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45508</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45508</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45508</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45508</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24866-2024</t>
        </is>
      </c>
      <c r="B959" s="1" t="n">
        <v>45461</v>
      </c>
      <c r="C959" s="1" t="n">
        <v>45508</v>
      </c>
      <c r="D959" t="inlineStr">
        <is>
          <t>VÄSTMANLANDS LÄN</t>
        </is>
      </c>
      <c r="E959" t="inlineStr">
        <is>
          <t>SALA</t>
        </is>
      </c>
      <c r="G959" t="n">
        <v>2.8</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45508</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24864-2024</t>
        </is>
      </c>
      <c r="B961" s="1" t="n">
        <v>45461</v>
      </c>
      <c r="C961" s="1" t="n">
        <v>45508</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45508</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45508</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45508</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25891-2024</t>
        </is>
      </c>
      <c r="B965" s="1" t="n">
        <v>45467</v>
      </c>
      <c r="C965" s="1" t="n">
        <v>45508</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25868-2024</t>
        </is>
      </c>
      <c r="B966" s="1" t="n">
        <v>45467</v>
      </c>
      <c r="C966" s="1" t="n">
        <v>45508</v>
      </c>
      <c r="D966" t="inlineStr">
        <is>
          <t>VÄSTMANLANDS LÄN</t>
        </is>
      </c>
      <c r="E966" t="inlineStr">
        <is>
          <t>SALA</t>
        </is>
      </c>
      <c r="G966" t="n">
        <v>0.8</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45508</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26848-2024</t>
        </is>
      </c>
      <c r="B968" s="1" t="n">
        <v>45470</v>
      </c>
      <c r="C968" s="1" t="n">
        <v>45508</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26844-2024</t>
        </is>
      </c>
      <c r="B969" s="1" t="n">
        <v>45470</v>
      </c>
      <c r="C969" s="1" t="n">
        <v>45508</v>
      </c>
      <c r="D969" t="inlineStr">
        <is>
          <t>VÄSTMANLANDS LÄN</t>
        </is>
      </c>
      <c r="E969" t="inlineStr">
        <is>
          <t>SALA</t>
        </is>
      </c>
      <c r="G969" t="n">
        <v>2.6</v>
      </c>
      <c r="H969" t="n">
        <v>0</v>
      </c>
      <c r="I969" t="n">
        <v>0</v>
      </c>
      <c r="J969" t="n">
        <v>0</v>
      </c>
      <c r="K969" t="n">
        <v>0</v>
      </c>
      <c r="L969" t="n">
        <v>0</v>
      </c>
      <c r="M969" t="n">
        <v>0</v>
      </c>
      <c r="N969" t="n">
        <v>0</v>
      </c>
      <c r="O969" t="n">
        <v>0</v>
      </c>
      <c r="P969" t="n">
        <v>0</v>
      </c>
      <c r="Q969" t="n">
        <v>0</v>
      </c>
      <c r="R969" s="2" t="inlineStr"/>
    </row>
    <row r="970" ht="15" customHeight="1">
      <c r="A970" t="inlineStr">
        <is>
          <t>A 27097-2024</t>
        </is>
      </c>
      <c r="B970" s="1" t="n">
        <v>45471</v>
      </c>
      <c r="C970" s="1" t="n">
        <v>45508</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27262-2024</t>
        </is>
      </c>
      <c r="B971" s="1" t="n">
        <v>45471</v>
      </c>
      <c r="C971" s="1" t="n">
        <v>45508</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45508</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28082-2024</t>
        </is>
      </c>
      <c r="B973" s="1" t="n">
        <v>45476</v>
      </c>
      <c r="C973" s="1" t="n">
        <v>45508</v>
      </c>
      <c r="D973" t="inlineStr">
        <is>
          <t>VÄSTMANLANDS LÄN</t>
        </is>
      </c>
      <c r="E973" t="inlineStr">
        <is>
          <t>SALA</t>
        </is>
      </c>
      <c r="G973" t="n">
        <v>4.7</v>
      </c>
      <c r="H973" t="n">
        <v>0</v>
      </c>
      <c r="I973" t="n">
        <v>0</v>
      </c>
      <c r="J973" t="n">
        <v>0</v>
      </c>
      <c r="K973" t="n">
        <v>0</v>
      </c>
      <c r="L973" t="n">
        <v>0</v>
      </c>
      <c r="M973" t="n">
        <v>0</v>
      </c>
      <c r="N973" t="n">
        <v>0</v>
      </c>
      <c r="O973" t="n">
        <v>0</v>
      </c>
      <c r="P973" t="n">
        <v>0</v>
      </c>
      <c r="Q973" t="n">
        <v>0</v>
      </c>
      <c r="R973" s="2" t="inlineStr"/>
    </row>
    <row r="974" ht="15" customHeight="1">
      <c r="A974" t="inlineStr">
        <is>
          <t>A 28093-2024</t>
        </is>
      </c>
      <c r="B974" s="1" t="n">
        <v>45476</v>
      </c>
      <c r="C974" s="1" t="n">
        <v>45508</v>
      </c>
      <c r="D974" t="inlineStr">
        <is>
          <t>VÄSTMANLANDS LÄN</t>
        </is>
      </c>
      <c r="E974" t="inlineStr">
        <is>
          <t>SALA</t>
        </is>
      </c>
      <c r="G974" t="n">
        <v>4.2</v>
      </c>
      <c r="H974" t="n">
        <v>0</v>
      </c>
      <c r="I974" t="n">
        <v>0</v>
      </c>
      <c r="J974" t="n">
        <v>0</v>
      </c>
      <c r="K974" t="n">
        <v>0</v>
      </c>
      <c r="L974" t="n">
        <v>0</v>
      </c>
      <c r="M974" t="n">
        <v>0</v>
      </c>
      <c r="N974" t="n">
        <v>0</v>
      </c>
      <c r="O974" t="n">
        <v>0</v>
      </c>
      <c r="P974" t="n">
        <v>0</v>
      </c>
      <c r="Q974" t="n">
        <v>0</v>
      </c>
      <c r="R974" s="2" t="inlineStr"/>
    </row>
    <row r="975" ht="15" customHeight="1">
      <c r="A975" t="inlineStr">
        <is>
          <t>A 28439-2024</t>
        </is>
      </c>
      <c r="B975" s="1" t="n">
        <v>45477</v>
      </c>
      <c r="C975" s="1" t="n">
        <v>45508</v>
      </c>
      <c r="D975" t="inlineStr">
        <is>
          <t>VÄSTMANLANDS LÄN</t>
        </is>
      </c>
      <c r="E975" t="inlineStr">
        <is>
          <t>SALA</t>
        </is>
      </c>
      <c r="G975" t="n">
        <v>9.5</v>
      </c>
      <c r="H975" t="n">
        <v>0</v>
      </c>
      <c r="I975" t="n">
        <v>0</v>
      </c>
      <c r="J975" t="n">
        <v>0</v>
      </c>
      <c r="K975" t="n">
        <v>0</v>
      </c>
      <c r="L975" t="n">
        <v>0</v>
      </c>
      <c r="M975" t="n">
        <v>0</v>
      </c>
      <c r="N975" t="n">
        <v>0</v>
      </c>
      <c r="O975" t="n">
        <v>0</v>
      </c>
      <c r="P975" t="n">
        <v>0</v>
      </c>
      <c r="Q975" t="n">
        <v>0</v>
      </c>
      <c r="R975" s="2" t="inlineStr"/>
    </row>
    <row r="976" ht="15" customHeight="1">
      <c r="A976" t="inlineStr">
        <is>
          <t>A 28614-2024</t>
        </is>
      </c>
      <c r="B976" s="1" t="n">
        <v>45478</v>
      </c>
      <c r="C976" s="1" t="n">
        <v>45508</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28661-2024</t>
        </is>
      </c>
      <c r="B977" s="1" t="n">
        <v>45478</v>
      </c>
      <c r="C977" s="1" t="n">
        <v>45508</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29019-2024</t>
        </is>
      </c>
      <c r="B978" s="1" t="n">
        <v>45481</v>
      </c>
      <c r="C978" s="1" t="n">
        <v>45508</v>
      </c>
      <c r="D978" t="inlineStr">
        <is>
          <t>VÄSTMANLANDS LÄN</t>
        </is>
      </c>
      <c r="E978" t="inlineStr">
        <is>
          <t>SALA</t>
        </is>
      </c>
      <c r="G978" t="n">
        <v>7.4</v>
      </c>
      <c r="H978" t="n">
        <v>0</v>
      </c>
      <c r="I978" t="n">
        <v>0</v>
      </c>
      <c r="J978" t="n">
        <v>0</v>
      </c>
      <c r="K978" t="n">
        <v>0</v>
      </c>
      <c r="L978" t="n">
        <v>0</v>
      </c>
      <c r="M978" t="n">
        <v>0</v>
      </c>
      <c r="N978" t="n">
        <v>0</v>
      </c>
      <c r="O978" t="n">
        <v>0</v>
      </c>
      <c r="P978" t="n">
        <v>0</v>
      </c>
      <c r="Q978" t="n">
        <v>0</v>
      </c>
      <c r="R978" s="2" t="inlineStr"/>
    </row>
    <row r="979" ht="15" customHeight="1">
      <c r="A979" t="inlineStr">
        <is>
          <t>A 30028-2024</t>
        </is>
      </c>
      <c r="B979" s="1" t="n">
        <v>45485</v>
      </c>
      <c r="C979" s="1" t="n">
        <v>45508</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29929-2024</t>
        </is>
      </c>
      <c r="B980" s="1" t="n">
        <v>45488</v>
      </c>
      <c r="C980" s="1" t="n">
        <v>45508</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30613-2024</t>
        </is>
      </c>
      <c r="B981" s="1" t="n">
        <v>45495</v>
      </c>
      <c r="C981" s="1" t="n">
        <v>45508</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31235-2024</t>
        </is>
      </c>
      <c r="B982" s="1" t="n">
        <v>45503</v>
      </c>
      <c r="C982" s="1" t="n">
        <v>45508</v>
      </c>
      <c r="D982" t="inlineStr">
        <is>
          <t>VÄSTMANLANDS LÄN</t>
        </is>
      </c>
      <c r="E982" t="inlineStr">
        <is>
          <t>SALA</t>
        </is>
      </c>
      <c r="G982" t="n">
        <v>5.3</v>
      </c>
      <c r="H982" t="n">
        <v>0</v>
      </c>
      <c r="I982" t="n">
        <v>0</v>
      </c>
      <c r="J982" t="n">
        <v>0</v>
      </c>
      <c r="K982" t="n">
        <v>0</v>
      </c>
      <c r="L982" t="n">
        <v>0</v>
      </c>
      <c r="M982" t="n">
        <v>0</v>
      </c>
      <c r="N982" t="n">
        <v>0</v>
      </c>
      <c r="O982" t="n">
        <v>0</v>
      </c>
      <c r="P982" t="n">
        <v>0</v>
      </c>
      <c r="Q982" t="n">
        <v>0</v>
      </c>
      <c r="R982" s="2" t="inlineStr"/>
    </row>
    <row r="983" ht="15" customHeight="1">
      <c r="A983" t="inlineStr">
        <is>
          <t>A 31405-2024</t>
        </is>
      </c>
      <c r="B983" s="1" t="n">
        <v>45505</v>
      </c>
      <c r="C983" s="1" t="n">
        <v>45508</v>
      </c>
      <c r="D983" t="inlineStr">
        <is>
          <t>VÄSTMANLANDS LÄN</t>
        </is>
      </c>
      <c r="E983" t="inlineStr">
        <is>
          <t>SALA</t>
        </is>
      </c>
      <c r="G983" t="n">
        <v>5.2</v>
      </c>
      <c r="H983" t="n">
        <v>0</v>
      </c>
      <c r="I983" t="n">
        <v>0</v>
      </c>
      <c r="J983" t="n">
        <v>0</v>
      </c>
      <c r="K983" t="n">
        <v>0</v>
      </c>
      <c r="L983" t="n">
        <v>0</v>
      </c>
      <c r="M983" t="n">
        <v>0</v>
      </c>
      <c r="N983" t="n">
        <v>0</v>
      </c>
      <c r="O983" t="n">
        <v>0</v>
      </c>
      <c r="P983" t="n">
        <v>0</v>
      </c>
      <c r="Q983" t="n">
        <v>0</v>
      </c>
      <c r="R983" s="2" t="inlineStr"/>
    </row>
    <row r="984" ht="15" customHeight="1">
      <c r="A984" t="inlineStr">
        <is>
          <t>A 31601-2024</t>
        </is>
      </c>
      <c r="B984" s="1" t="n">
        <v>45506</v>
      </c>
      <c r="C984" s="1" t="n">
        <v>45508</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31599-2024</t>
        </is>
      </c>
      <c r="B985" s="1" t="n">
        <v>45506</v>
      </c>
      <c r="C985" s="1" t="n">
        <v>45508</v>
      </c>
      <c r="D985" t="inlineStr">
        <is>
          <t>VÄSTMANLANDS LÄN</t>
        </is>
      </c>
      <c r="E985" t="inlineStr">
        <is>
          <t>SALA</t>
        </is>
      </c>
      <c r="G985" t="n">
        <v>0.9</v>
      </c>
      <c r="H985" t="n">
        <v>0</v>
      </c>
      <c r="I985" t="n">
        <v>0</v>
      </c>
      <c r="J985" t="n">
        <v>0</v>
      </c>
      <c r="K985" t="n">
        <v>0</v>
      </c>
      <c r="L985" t="n">
        <v>0</v>
      </c>
      <c r="M985" t="n">
        <v>0</v>
      </c>
      <c r="N985" t="n">
        <v>0</v>
      </c>
      <c r="O985" t="n">
        <v>0</v>
      </c>
      <c r="P985" t="n">
        <v>0</v>
      </c>
      <c r="Q985" t="n">
        <v>0</v>
      </c>
      <c r="R985" s="2" t="inlineStr"/>
    </row>
    <row r="986" ht="15" customHeight="1">
      <c r="A986" t="inlineStr">
        <is>
          <t>A 31609-2024</t>
        </is>
      </c>
      <c r="B986" s="1" t="n">
        <v>45506</v>
      </c>
      <c r="C986" s="1" t="n">
        <v>45508</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31655-2024</t>
        </is>
      </c>
      <c r="B987" s="1" t="n">
        <v>45506</v>
      </c>
      <c r="C987" s="1" t="n">
        <v>45508</v>
      </c>
      <c r="D987" t="inlineStr">
        <is>
          <t>VÄSTMANLANDS LÄN</t>
        </is>
      </c>
      <c r="E987" t="inlineStr">
        <is>
          <t>SALA</t>
        </is>
      </c>
      <c r="G987" t="n">
        <v>1</v>
      </c>
      <c r="H987" t="n">
        <v>0</v>
      </c>
      <c r="I987" t="n">
        <v>0</v>
      </c>
      <c r="J987" t="n">
        <v>0</v>
      </c>
      <c r="K987" t="n">
        <v>0</v>
      </c>
      <c r="L987" t="n">
        <v>0</v>
      </c>
      <c r="M987" t="n">
        <v>0</v>
      </c>
      <c r="N987" t="n">
        <v>0</v>
      </c>
      <c r="O987" t="n">
        <v>0</v>
      </c>
      <c r="P987" t="n">
        <v>0</v>
      </c>
      <c r="Q987" t="n">
        <v>0</v>
      </c>
      <c r="R987" s="2" t="inlineStr"/>
    </row>
    <row r="988" ht="15" customHeight="1">
      <c r="A988" t="inlineStr">
        <is>
          <t>A 31597-2024</t>
        </is>
      </c>
      <c r="B988" s="1" t="n">
        <v>45506</v>
      </c>
      <c r="C988" s="1" t="n">
        <v>45508</v>
      </c>
      <c r="D988" t="inlineStr">
        <is>
          <t>VÄSTMANLANDS LÄN</t>
        </is>
      </c>
      <c r="E988" t="inlineStr">
        <is>
          <t>SALA</t>
        </is>
      </c>
      <c r="G988" t="n">
        <v>2.4</v>
      </c>
      <c r="H988" t="n">
        <v>0</v>
      </c>
      <c r="I988" t="n">
        <v>0</v>
      </c>
      <c r="J988" t="n">
        <v>0</v>
      </c>
      <c r="K988" t="n">
        <v>0</v>
      </c>
      <c r="L988" t="n">
        <v>0</v>
      </c>
      <c r="M988" t="n">
        <v>0</v>
      </c>
      <c r="N988" t="n">
        <v>0</v>
      </c>
      <c r="O988" t="n">
        <v>0</v>
      </c>
      <c r="P988" t="n">
        <v>0</v>
      </c>
      <c r="Q988" t="n">
        <v>0</v>
      </c>
      <c r="R988" s="2" t="inlineStr"/>
    </row>
    <row r="989" ht="15" customHeight="1">
      <c r="A989" t="inlineStr">
        <is>
          <t>A 31608-2024</t>
        </is>
      </c>
      <c r="B989" s="1" t="n">
        <v>45506</v>
      </c>
      <c r="C989" s="1" t="n">
        <v>45508</v>
      </c>
      <c r="D989" t="inlineStr">
        <is>
          <t>VÄSTMANLANDS LÄN</t>
        </is>
      </c>
      <c r="E989" t="inlineStr">
        <is>
          <t>SALA</t>
        </is>
      </c>
      <c r="G989" t="n">
        <v>1.7</v>
      </c>
      <c r="H989" t="n">
        <v>0</v>
      </c>
      <c r="I989" t="n">
        <v>0</v>
      </c>
      <c r="J989" t="n">
        <v>0</v>
      </c>
      <c r="K989" t="n">
        <v>0</v>
      </c>
      <c r="L989" t="n">
        <v>0</v>
      </c>
      <c r="M989" t="n">
        <v>0</v>
      </c>
      <c r="N989" t="n">
        <v>0</v>
      </c>
      <c r="O989" t="n">
        <v>0</v>
      </c>
      <c r="P989" t="n">
        <v>0</v>
      </c>
      <c r="Q989" t="n">
        <v>0</v>
      </c>
      <c r="R989" s="2" t="inlineStr"/>
    </row>
    <row r="990">
      <c r="A990" t="inlineStr">
        <is>
          <t>A 31612-2024</t>
        </is>
      </c>
      <c r="B990" s="1" t="n">
        <v>45506</v>
      </c>
      <c r="C990" s="1" t="n">
        <v>45508</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2024-08-04T11:16:57Z</dcterms:created>
  <dcterms:modified xmlns:dcterms="http://purl.org/dc/terms/" xmlns:xsi="http://www.w3.org/2001/XMLSchema-instance" xsi:type="dcterms:W3CDTF">2024-08-04T11:16:58Z</dcterms:modified>
</cp:coreProperties>
</file>