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45824</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45824</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45824</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45824</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45824</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45824</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45824</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45824</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45824</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45824</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45824</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45824</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45824</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45824</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45824</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45824</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45824</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45824</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45824</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45824</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45824</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45824</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45824</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45824</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45824</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45824</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45824</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45824</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45824</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45824</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45824</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45824</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45824</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45824</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45824</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45824</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45824</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45824</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45824</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45824</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45824</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45824</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45824</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45824</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45824</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45824</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45824</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45824</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45824</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45824</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45824</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45824</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45824</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45824</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45824</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45824</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45824</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45824</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45824</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45824</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45824</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45824</v>
      </c>
      <c r="D63" t="inlineStr">
        <is>
          <t>VÄSTMANLANDS LÄN</t>
        </is>
      </c>
      <c r="E63" t="inlineStr">
        <is>
          <t>SALA</t>
        </is>
      </c>
      <c r="G63" t="n">
        <v>13.1</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45824</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45824</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45824</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45824</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45824</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45824</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45824</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45824</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45824</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45824</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45824</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45824</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45824</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45824</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45824</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45824</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45824</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45824</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45824</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45824</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45824</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45824</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45824</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45824</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45824</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45824</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45824</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45824</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45824</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45824</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45824</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45824</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45824</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45824</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45824</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18255-2019</t>
        </is>
      </c>
      <c r="B99" s="1" t="n">
        <v>43558</v>
      </c>
      <c r="C99" s="1" t="n">
        <v>45824</v>
      </c>
      <c r="D99" t="inlineStr">
        <is>
          <t>VÄSTMANLANDS LÄN</t>
        </is>
      </c>
      <c r="E99" t="inlineStr">
        <is>
          <t>SALA</t>
        </is>
      </c>
      <c r="F99" t="inlineStr">
        <is>
          <t>Kommuner</t>
        </is>
      </c>
      <c r="G99" t="n">
        <v>2.2</v>
      </c>
      <c r="H99" t="n">
        <v>0</v>
      </c>
      <c r="I99" t="n">
        <v>0</v>
      </c>
      <c r="J99" t="n">
        <v>0</v>
      </c>
      <c r="K99" t="n">
        <v>0</v>
      </c>
      <c r="L99" t="n">
        <v>0</v>
      </c>
      <c r="M99" t="n">
        <v>0</v>
      </c>
      <c r="N99" t="n">
        <v>0</v>
      </c>
      <c r="O99" t="n">
        <v>0</v>
      </c>
      <c r="P99" t="n">
        <v>0</v>
      </c>
      <c r="Q99" t="n">
        <v>0</v>
      </c>
      <c r="R99" s="2" t="inlineStr"/>
    </row>
    <row r="100" ht="15" customHeight="1">
      <c r="A100" t="inlineStr">
        <is>
          <t>A 18352-2019</t>
        </is>
      </c>
      <c r="B100" s="1" t="n">
        <v>43559</v>
      </c>
      <c r="C100" s="1" t="n">
        <v>45824</v>
      </c>
      <c r="D100" t="inlineStr">
        <is>
          <t>VÄSTMANLANDS LÄN</t>
        </is>
      </c>
      <c r="E100" t="inlineStr">
        <is>
          <t>SALA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18791-2019</t>
        </is>
      </c>
      <c r="B101" s="1" t="n">
        <v>43562</v>
      </c>
      <c r="C101" s="1" t="n">
        <v>45824</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18961-2019</t>
        </is>
      </c>
      <c r="B102" s="1" t="n">
        <v>43563</v>
      </c>
      <c r="C102" s="1" t="n">
        <v>45824</v>
      </c>
      <c r="D102" t="inlineStr">
        <is>
          <t>VÄSTMANLANDS LÄN</t>
        </is>
      </c>
      <c r="E102" t="inlineStr">
        <is>
          <t>SALA</t>
        </is>
      </c>
      <c r="F102" t="inlineStr">
        <is>
          <t>Kommuner</t>
        </is>
      </c>
      <c r="G102" t="n">
        <v>1.5</v>
      </c>
      <c r="H102" t="n">
        <v>0</v>
      </c>
      <c r="I102" t="n">
        <v>0</v>
      </c>
      <c r="J102" t="n">
        <v>0</v>
      </c>
      <c r="K102" t="n">
        <v>0</v>
      </c>
      <c r="L102" t="n">
        <v>0</v>
      </c>
      <c r="M102" t="n">
        <v>0</v>
      </c>
      <c r="N102" t="n">
        <v>0</v>
      </c>
      <c r="O102" t="n">
        <v>0</v>
      </c>
      <c r="P102" t="n">
        <v>0</v>
      </c>
      <c r="Q102" t="n">
        <v>0</v>
      </c>
      <c r="R102" s="2" t="inlineStr"/>
    </row>
    <row r="103" ht="15" customHeight="1">
      <c r="A103" t="inlineStr">
        <is>
          <t>A 19869-2019</t>
        </is>
      </c>
      <c r="B103" s="1" t="n">
        <v>43567</v>
      </c>
      <c r="C103" s="1" t="n">
        <v>45824</v>
      </c>
      <c r="D103" t="inlineStr">
        <is>
          <t>VÄSTMANLANDS LÄN</t>
        </is>
      </c>
      <c r="E103" t="inlineStr">
        <is>
          <t>SALA</t>
        </is>
      </c>
      <c r="G103" t="n">
        <v>1.6</v>
      </c>
      <c r="H103" t="n">
        <v>0</v>
      </c>
      <c r="I103" t="n">
        <v>0</v>
      </c>
      <c r="J103" t="n">
        <v>0</v>
      </c>
      <c r="K103" t="n">
        <v>0</v>
      </c>
      <c r="L103" t="n">
        <v>0</v>
      </c>
      <c r="M103" t="n">
        <v>0</v>
      </c>
      <c r="N103" t="n">
        <v>0</v>
      </c>
      <c r="O103" t="n">
        <v>0</v>
      </c>
      <c r="P103" t="n">
        <v>0</v>
      </c>
      <c r="Q103" t="n">
        <v>0</v>
      </c>
      <c r="R103" s="2" t="inlineStr"/>
    </row>
    <row r="104" ht="15" customHeight="1">
      <c r="A104" t="inlineStr">
        <is>
          <t>A 21985-2019</t>
        </is>
      </c>
      <c r="B104" s="1" t="n">
        <v>43584</v>
      </c>
      <c r="C104" s="1" t="n">
        <v>45824</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22249-2019</t>
        </is>
      </c>
      <c r="B105" s="1" t="n">
        <v>43585</v>
      </c>
      <c r="C105" s="1" t="n">
        <v>45824</v>
      </c>
      <c r="D105" t="inlineStr">
        <is>
          <t>VÄSTMANLANDS LÄN</t>
        </is>
      </c>
      <c r="E105" t="inlineStr">
        <is>
          <t>SALA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22833-2019</t>
        </is>
      </c>
      <c r="B106" s="1" t="n">
        <v>43591</v>
      </c>
      <c r="C106" s="1" t="n">
        <v>45824</v>
      </c>
      <c r="D106" t="inlineStr">
        <is>
          <t>VÄSTMANLANDS LÄN</t>
        </is>
      </c>
      <c r="E106" t="inlineStr">
        <is>
          <t>SALA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25005-2019</t>
        </is>
      </c>
      <c r="B107" s="1" t="n">
        <v>43602</v>
      </c>
      <c r="C107" s="1" t="n">
        <v>45824</v>
      </c>
      <c r="D107" t="inlineStr">
        <is>
          <t>VÄSTMANLANDS LÄN</t>
        </is>
      </c>
      <c r="E107" t="inlineStr">
        <is>
          <t>SALA</t>
        </is>
      </c>
      <c r="F107" t="inlineStr">
        <is>
          <t>Kommuner</t>
        </is>
      </c>
      <c r="G107" t="n">
        <v>4.3</v>
      </c>
      <c r="H107" t="n">
        <v>0</v>
      </c>
      <c r="I107" t="n">
        <v>0</v>
      </c>
      <c r="J107" t="n">
        <v>0</v>
      </c>
      <c r="K107" t="n">
        <v>0</v>
      </c>
      <c r="L107" t="n">
        <v>0</v>
      </c>
      <c r="M107" t="n">
        <v>0</v>
      </c>
      <c r="N107" t="n">
        <v>0</v>
      </c>
      <c r="O107" t="n">
        <v>0</v>
      </c>
      <c r="P107" t="n">
        <v>0</v>
      </c>
      <c r="Q107" t="n">
        <v>0</v>
      </c>
      <c r="R107" s="2" t="inlineStr"/>
    </row>
    <row r="108" ht="15" customHeight="1">
      <c r="A108" t="inlineStr">
        <is>
          <t>A 25814-2019</t>
        </is>
      </c>
      <c r="B108" s="1" t="n">
        <v>43608</v>
      </c>
      <c r="C108" s="1" t="n">
        <v>45824</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26861-2019</t>
        </is>
      </c>
      <c r="B109" s="1" t="n">
        <v>43613</v>
      </c>
      <c r="C109" s="1" t="n">
        <v>45824</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27164-2019</t>
        </is>
      </c>
      <c r="B110" s="1" t="n">
        <v>43614</v>
      </c>
      <c r="C110" s="1" t="n">
        <v>45824</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27040-2019</t>
        </is>
      </c>
      <c r="B111" s="1" t="n">
        <v>43614</v>
      </c>
      <c r="C111" s="1" t="n">
        <v>45824</v>
      </c>
      <c r="D111" t="inlineStr">
        <is>
          <t>VÄSTMANLANDS LÄN</t>
        </is>
      </c>
      <c r="E111" t="inlineStr">
        <is>
          <t>SALA</t>
        </is>
      </c>
      <c r="G111" t="n">
        <v>1.4</v>
      </c>
      <c r="H111" t="n">
        <v>0</v>
      </c>
      <c r="I111" t="n">
        <v>0</v>
      </c>
      <c r="J111" t="n">
        <v>0</v>
      </c>
      <c r="K111" t="n">
        <v>0</v>
      </c>
      <c r="L111" t="n">
        <v>0</v>
      </c>
      <c r="M111" t="n">
        <v>0</v>
      </c>
      <c r="N111" t="n">
        <v>0</v>
      </c>
      <c r="O111" t="n">
        <v>0</v>
      </c>
      <c r="P111" t="n">
        <v>0</v>
      </c>
      <c r="Q111" t="n">
        <v>0</v>
      </c>
      <c r="R111" s="2" t="inlineStr"/>
    </row>
    <row r="112" ht="15" customHeight="1">
      <c r="A112" t="inlineStr">
        <is>
          <t>A 28132-2019</t>
        </is>
      </c>
      <c r="B112" s="1" t="n">
        <v>43621</v>
      </c>
      <c r="C112" s="1" t="n">
        <v>45824</v>
      </c>
      <c r="D112" t="inlineStr">
        <is>
          <t>VÄSTMANLANDS LÄN</t>
        </is>
      </c>
      <c r="E112" t="inlineStr">
        <is>
          <t>SALA</t>
        </is>
      </c>
      <c r="G112" t="n">
        <v>2.4</v>
      </c>
      <c r="H112" t="n">
        <v>0</v>
      </c>
      <c r="I112" t="n">
        <v>0</v>
      </c>
      <c r="J112" t="n">
        <v>0</v>
      </c>
      <c r="K112" t="n">
        <v>0</v>
      </c>
      <c r="L112" t="n">
        <v>0</v>
      </c>
      <c r="M112" t="n">
        <v>0</v>
      </c>
      <c r="N112" t="n">
        <v>0</v>
      </c>
      <c r="O112" t="n">
        <v>0</v>
      </c>
      <c r="P112" t="n">
        <v>0</v>
      </c>
      <c r="Q112" t="n">
        <v>0</v>
      </c>
      <c r="R112" s="2" t="inlineStr"/>
    </row>
    <row r="113" ht="15" customHeight="1">
      <c r="A113" t="inlineStr">
        <is>
          <t>A 28143-2019</t>
        </is>
      </c>
      <c r="B113" s="1" t="n">
        <v>43621</v>
      </c>
      <c r="C113" s="1" t="n">
        <v>45824</v>
      </c>
      <c r="D113" t="inlineStr">
        <is>
          <t>VÄSTMANLANDS LÄN</t>
        </is>
      </c>
      <c r="E113" t="inlineStr">
        <is>
          <t>SALA</t>
        </is>
      </c>
      <c r="G113" t="n">
        <v>2.3</v>
      </c>
      <c r="H113" t="n">
        <v>0</v>
      </c>
      <c r="I113" t="n">
        <v>0</v>
      </c>
      <c r="J113" t="n">
        <v>0</v>
      </c>
      <c r="K113" t="n">
        <v>0</v>
      </c>
      <c r="L113" t="n">
        <v>0</v>
      </c>
      <c r="M113" t="n">
        <v>0</v>
      </c>
      <c r="N113" t="n">
        <v>0</v>
      </c>
      <c r="O113" t="n">
        <v>0</v>
      </c>
      <c r="P113" t="n">
        <v>0</v>
      </c>
      <c r="Q113" t="n">
        <v>0</v>
      </c>
      <c r="R113" s="2" t="inlineStr"/>
    </row>
    <row r="114" ht="15" customHeight="1">
      <c r="A114" t="inlineStr">
        <is>
          <t>A 28162-2019</t>
        </is>
      </c>
      <c r="B114" s="1" t="n">
        <v>43621</v>
      </c>
      <c r="C114" s="1" t="n">
        <v>45824</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29023-2019</t>
        </is>
      </c>
      <c r="B115" s="1" t="n">
        <v>43628</v>
      </c>
      <c r="C115" s="1" t="n">
        <v>45824</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29331-2019</t>
        </is>
      </c>
      <c r="B116" s="1" t="n">
        <v>43629</v>
      </c>
      <c r="C116" s="1" t="n">
        <v>45824</v>
      </c>
      <c r="D116" t="inlineStr">
        <is>
          <t>VÄSTMANLANDS LÄN</t>
        </is>
      </c>
      <c r="E116" t="inlineStr">
        <is>
          <t>SALA</t>
        </is>
      </c>
      <c r="G116" t="n">
        <v>5</v>
      </c>
      <c r="H116" t="n">
        <v>0</v>
      </c>
      <c r="I116" t="n">
        <v>0</v>
      </c>
      <c r="J116" t="n">
        <v>0</v>
      </c>
      <c r="K116" t="n">
        <v>0</v>
      </c>
      <c r="L116" t="n">
        <v>0</v>
      </c>
      <c r="M116" t="n">
        <v>0</v>
      </c>
      <c r="N116" t="n">
        <v>0</v>
      </c>
      <c r="O116" t="n">
        <v>0</v>
      </c>
      <c r="P116" t="n">
        <v>0</v>
      </c>
      <c r="Q116" t="n">
        <v>0</v>
      </c>
      <c r="R116" s="2" t="inlineStr"/>
    </row>
    <row r="117" ht="15" customHeight="1">
      <c r="A117" t="inlineStr">
        <is>
          <t>A 31225-2019</t>
        </is>
      </c>
      <c r="B117" s="1" t="n">
        <v>43635</v>
      </c>
      <c r="C117" s="1" t="n">
        <v>45824</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30974-2019</t>
        </is>
      </c>
      <c r="B118" s="1" t="n">
        <v>43639</v>
      </c>
      <c r="C118" s="1" t="n">
        <v>45824</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34709-2019</t>
        </is>
      </c>
      <c r="B119" s="1" t="n">
        <v>43648</v>
      </c>
      <c r="C119" s="1" t="n">
        <v>45824</v>
      </c>
      <c r="D119" t="inlineStr">
        <is>
          <t>VÄSTMANLANDS LÄN</t>
        </is>
      </c>
      <c r="E119" t="inlineStr">
        <is>
          <t>SALA</t>
        </is>
      </c>
      <c r="G119" t="n">
        <v>1.7</v>
      </c>
      <c r="H119" t="n">
        <v>0</v>
      </c>
      <c r="I119" t="n">
        <v>0</v>
      </c>
      <c r="J119" t="n">
        <v>0</v>
      </c>
      <c r="K119" t="n">
        <v>0</v>
      </c>
      <c r="L119" t="n">
        <v>0</v>
      </c>
      <c r="M119" t="n">
        <v>0</v>
      </c>
      <c r="N119" t="n">
        <v>0</v>
      </c>
      <c r="O119" t="n">
        <v>0</v>
      </c>
      <c r="P119" t="n">
        <v>0</v>
      </c>
      <c r="Q119" t="n">
        <v>0</v>
      </c>
      <c r="R119" s="2" t="inlineStr"/>
    </row>
    <row r="120" ht="15" customHeight="1">
      <c r="A120" t="inlineStr">
        <is>
          <t>A 35690-2019</t>
        </is>
      </c>
      <c r="B120" s="1" t="n">
        <v>43664</v>
      </c>
      <c r="C120" s="1" t="n">
        <v>45824</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36142-2019</t>
        </is>
      </c>
      <c r="B121" s="1" t="n">
        <v>43668</v>
      </c>
      <c r="C121" s="1" t="n">
        <v>45824</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36429-2019</t>
        </is>
      </c>
      <c r="B122" s="1" t="n">
        <v>43670</v>
      </c>
      <c r="C122" s="1" t="n">
        <v>45824</v>
      </c>
      <c r="D122" t="inlineStr">
        <is>
          <t>VÄSTMANLANDS LÄN</t>
        </is>
      </c>
      <c r="E122" t="inlineStr">
        <is>
          <t>SALA</t>
        </is>
      </c>
      <c r="G122" t="n">
        <v>2</v>
      </c>
      <c r="H122" t="n">
        <v>0</v>
      </c>
      <c r="I122" t="n">
        <v>0</v>
      </c>
      <c r="J122" t="n">
        <v>0</v>
      </c>
      <c r="K122" t="n">
        <v>0</v>
      </c>
      <c r="L122" t="n">
        <v>0</v>
      </c>
      <c r="M122" t="n">
        <v>0</v>
      </c>
      <c r="N122" t="n">
        <v>0</v>
      </c>
      <c r="O122" t="n">
        <v>0</v>
      </c>
      <c r="P122" t="n">
        <v>0</v>
      </c>
      <c r="Q122" t="n">
        <v>0</v>
      </c>
      <c r="R122" s="2" t="inlineStr"/>
    </row>
    <row r="123" ht="15" customHeight="1">
      <c r="A123" t="inlineStr">
        <is>
          <t>A 36600-2019</t>
        </is>
      </c>
      <c r="B123" s="1" t="n">
        <v>43671</v>
      </c>
      <c r="C123" s="1" t="n">
        <v>45824</v>
      </c>
      <c r="D123" t="inlineStr">
        <is>
          <t>VÄSTMANLANDS LÄN</t>
        </is>
      </c>
      <c r="E123" t="inlineStr">
        <is>
          <t>SALA</t>
        </is>
      </c>
      <c r="F123" t="inlineStr">
        <is>
          <t>Kyrkan</t>
        </is>
      </c>
      <c r="G123" t="n">
        <v>4.3</v>
      </c>
      <c r="H123" t="n">
        <v>0</v>
      </c>
      <c r="I123" t="n">
        <v>0</v>
      </c>
      <c r="J123" t="n">
        <v>0</v>
      </c>
      <c r="K123" t="n">
        <v>0</v>
      </c>
      <c r="L123" t="n">
        <v>0</v>
      </c>
      <c r="M123" t="n">
        <v>0</v>
      </c>
      <c r="N123" t="n">
        <v>0</v>
      </c>
      <c r="O123" t="n">
        <v>0</v>
      </c>
      <c r="P123" t="n">
        <v>0</v>
      </c>
      <c r="Q123" t="n">
        <v>0</v>
      </c>
      <c r="R123" s="2" t="inlineStr"/>
    </row>
    <row r="124" ht="15" customHeight="1">
      <c r="A124" t="inlineStr">
        <is>
          <t>A 37186-2019</t>
        </is>
      </c>
      <c r="B124" s="1" t="n">
        <v>43677</v>
      </c>
      <c r="C124" s="1" t="n">
        <v>45824</v>
      </c>
      <c r="D124" t="inlineStr">
        <is>
          <t>VÄSTMANLANDS LÄN</t>
        </is>
      </c>
      <c r="E124" t="inlineStr">
        <is>
          <t>SALA</t>
        </is>
      </c>
      <c r="G124" t="n">
        <v>1.8</v>
      </c>
      <c r="H124" t="n">
        <v>0</v>
      </c>
      <c r="I124" t="n">
        <v>0</v>
      </c>
      <c r="J124" t="n">
        <v>0</v>
      </c>
      <c r="K124" t="n">
        <v>0</v>
      </c>
      <c r="L124" t="n">
        <v>0</v>
      </c>
      <c r="M124" t="n">
        <v>0</v>
      </c>
      <c r="N124" t="n">
        <v>0</v>
      </c>
      <c r="O124" t="n">
        <v>0</v>
      </c>
      <c r="P124" t="n">
        <v>0</v>
      </c>
      <c r="Q124" t="n">
        <v>0</v>
      </c>
      <c r="R124" s="2" t="inlineStr"/>
    </row>
    <row r="125" ht="15" customHeight="1">
      <c r="A125" t="inlineStr">
        <is>
          <t>A 37533-2019</t>
        </is>
      </c>
      <c r="B125" s="1" t="n">
        <v>43679</v>
      </c>
      <c r="C125" s="1" t="n">
        <v>45824</v>
      </c>
      <c r="D125" t="inlineStr">
        <is>
          <t>VÄSTMANLANDS LÄN</t>
        </is>
      </c>
      <c r="E125" t="inlineStr">
        <is>
          <t>SALA</t>
        </is>
      </c>
      <c r="G125" t="n">
        <v>7.9</v>
      </c>
      <c r="H125" t="n">
        <v>0</v>
      </c>
      <c r="I125" t="n">
        <v>0</v>
      </c>
      <c r="J125" t="n">
        <v>0</v>
      </c>
      <c r="K125" t="n">
        <v>0</v>
      </c>
      <c r="L125" t="n">
        <v>0</v>
      </c>
      <c r="M125" t="n">
        <v>0</v>
      </c>
      <c r="N125" t="n">
        <v>0</v>
      </c>
      <c r="O125" t="n">
        <v>0</v>
      </c>
      <c r="P125" t="n">
        <v>0</v>
      </c>
      <c r="Q125" t="n">
        <v>0</v>
      </c>
      <c r="R125" s="2" t="inlineStr"/>
    </row>
    <row r="126" ht="15" customHeight="1">
      <c r="A126" t="inlineStr">
        <is>
          <t>A 38645-2019</t>
        </is>
      </c>
      <c r="B126" s="1" t="n">
        <v>43686</v>
      </c>
      <c r="C126" s="1" t="n">
        <v>45824</v>
      </c>
      <c r="D126" t="inlineStr">
        <is>
          <t>VÄSTMANLANDS LÄN</t>
        </is>
      </c>
      <c r="E126" t="inlineStr">
        <is>
          <t>SALA</t>
        </is>
      </c>
      <c r="G126" t="n">
        <v>1.5</v>
      </c>
      <c r="H126" t="n">
        <v>0</v>
      </c>
      <c r="I126" t="n">
        <v>0</v>
      </c>
      <c r="J126" t="n">
        <v>0</v>
      </c>
      <c r="K126" t="n">
        <v>0</v>
      </c>
      <c r="L126" t="n">
        <v>0</v>
      </c>
      <c r="M126" t="n">
        <v>0</v>
      </c>
      <c r="N126" t="n">
        <v>0</v>
      </c>
      <c r="O126" t="n">
        <v>0</v>
      </c>
      <c r="P126" t="n">
        <v>0</v>
      </c>
      <c r="Q126" t="n">
        <v>0</v>
      </c>
      <c r="R126" s="2" t="inlineStr"/>
    </row>
    <row r="127" ht="15" customHeight="1">
      <c r="A127" t="inlineStr">
        <is>
          <t>A 41259-2019</t>
        </is>
      </c>
      <c r="B127" s="1" t="n">
        <v>43698</v>
      </c>
      <c r="C127" s="1" t="n">
        <v>45824</v>
      </c>
      <c r="D127" t="inlineStr">
        <is>
          <t>VÄSTMANLANDS LÄN</t>
        </is>
      </c>
      <c r="E127" t="inlineStr">
        <is>
          <t>SALA</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45302-2019</t>
        </is>
      </c>
      <c r="B128" s="1" t="n">
        <v>43707</v>
      </c>
      <c r="C128" s="1" t="n">
        <v>45824</v>
      </c>
      <c r="D128" t="inlineStr">
        <is>
          <t>VÄSTMANLANDS LÄN</t>
        </is>
      </c>
      <c r="E128" t="inlineStr">
        <is>
          <t>SALA</t>
        </is>
      </c>
      <c r="G128" t="n">
        <v>2.1</v>
      </c>
      <c r="H128" t="n">
        <v>0</v>
      </c>
      <c r="I128" t="n">
        <v>0</v>
      </c>
      <c r="J128" t="n">
        <v>0</v>
      </c>
      <c r="K128" t="n">
        <v>0</v>
      </c>
      <c r="L128" t="n">
        <v>0</v>
      </c>
      <c r="M128" t="n">
        <v>0</v>
      </c>
      <c r="N128" t="n">
        <v>0</v>
      </c>
      <c r="O128" t="n">
        <v>0</v>
      </c>
      <c r="P128" t="n">
        <v>0</v>
      </c>
      <c r="Q128" t="n">
        <v>0</v>
      </c>
      <c r="R128" s="2" t="inlineStr"/>
    </row>
    <row r="129" ht="15" customHeight="1">
      <c r="A129" t="inlineStr">
        <is>
          <t>A 46936-2019</t>
        </is>
      </c>
      <c r="B129" s="1" t="n">
        <v>43719</v>
      </c>
      <c r="C129" s="1" t="n">
        <v>45824</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45824</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45824</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52756-2019</t>
        </is>
      </c>
      <c r="B132" s="1" t="n">
        <v>43739</v>
      </c>
      <c r="C132" s="1" t="n">
        <v>45824</v>
      </c>
      <c r="D132" t="inlineStr">
        <is>
          <t>VÄSTMANLANDS LÄN</t>
        </is>
      </c>
      <c r="E132" t="inlineStr">
        <is>
          <t>SALA</t>
        </is>
      </c>
      <c r="G132" t="n">
        <v>4.2</v>
      </c>
      <c r="H132" t="n">
        <v>0</v>
      </c>
      <c r="I132" t="n">
        <v>0</v>
      </c>
      <c r="J132" t="n">
        <v>0</v>
      </c>
      <c r="K132" t="n">
        <v>0</v>
      </c>
      <c r="L132" t="n">
        <v>0</v>
      </c>
      <c r="M132" t="n">
        <v>0</v>
      </c>
      <c r="N132" t="n">
        <v>0</v>
      </c>
      <c r="O132" t="n">
        <v>0</v>
      </c>
      <c r="P132" t="n">
        <v>0</v>
      </c>
      <c r="Q132" t="n">
        <v>0</v>
      </c>
      <c r="R132" s="2" t="inlineStr"/>
    </row>
    <row r="133" ht="15" customHeight="1">
      <c r="A133" t="inlineStr">
        <is>
          <t>A 51854-2019</t>
        </is>
      </c>
      <c r="B133" s="1" t="n">
        <v>43741</v>
      </c>
      <c r="C133" s="1" t="n">
        <v>45824</v>
      </c>
      <c r="D133" t="inlineStr">
        <is>
          <t>VÄSTMANLANDS LÄN</t>
        </is>
      </c>
      <c r="E133" t="inlineStr">
        <is>
          <t>SALA</t>
        </is>
      </c>
      <c r="G133" t="n">
        <v>2</v>
      </c>
      <c r="H133" t="n">
        <v>0</v>
      </c>
      <c r="I133" t="n">
        <v>0</v>
      </c>
      <c r="J133" t="n">
        <v>0</v>
      </c>
      <c r="K133" t="n">
        <v>0</v>
      </c>
      <c r="L133" t="n">
        <v>0</v>
      </c>
      <c r="M133" t="n">
        <v>0</v>
      </c>
      <c r="N133" t="n">
        <v>0</v>
      </c>
      <c r="O133" t="n">
        <v>0</v>
      </c>
      <c r="P133" t="n">
        <v>0</v>
      </c>
      <c r="Q133" t="n">
        <v>0</v>
      </c>
      <c r="R133" s="2" t="inlineStr"/>
    </row>
    <row r="134" ht="15" customHeight="1">
      <c r="A134" t="inlineStr">
        <is>
          <t>A 54393-2019</t>
        </is>
      </c>
      <c r="B134" s="1" t="n">
        <v>43746</v>
      </c>
      <c r="C134" s="1" t="n">
        <v>45824</v>
      </c>
      <c r="D134" t="inlineStr">
        <is>
          <t>VÄSTMANLANDS LÄN</t>
        </is>
      </c>
      <c r="E134" t="inlineStr">
        <is>
          <t>SALA</t>
        </is>
      </c>
      <c r="G134" t="n">
        <v>3.2</v>
      </c>
      <c r="H134" t="n">
        <v>0</v>
      </c>
      <c r="I134" t="n">
        <v>0</v>
      </c>
      <c r="J134" t="n">
        <v>0</v>
      </c>
      <c r="K134" t="n">
        <v>0</v>
      </c>
      <c r="L134" t="n">
        <v>0</v>
      </c>
      <c r="M134" t="n">
        <v>0</v>
      </c>
      <c r="N134" t="n">
        <v>0</v>
      </c>
      <c r="O134" t="n">
        <v>0</v>
      </c>
      <c r="P134" t="n">
        <v>0</v>
      </c>
      <c r="Q134" t="n">
        <v>0</v>
      </c>
      <c r="R134" s="2" t="inlineStr"/>
    </row>
    <row r="135" ht="15" customHeight="1">
      <c r="A135" t="inlineStr">
        <is>
          <t>A 54069-2019</t>
        </is>
      </c>
      <c r="B135" s="1" t="n">
        <v>43752</v>
      </c>
      <c r="C135" s="1" t="n">
        <v>45824</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57743-2019</t>
        </is>
      </c>
      <c r="B136" s="1" t="n">
        <v>43768</v>
      </c>
      <c r="C136" s="1" t="n">
        <v>45824</v>
      </c>
      <c r="D136" t="inlineStr">
        <is>
          <t>VÄSTMANLANDS LÄN</t>
        </is>
      </c>
      <c r="E136" t="inlineStr">
        <is>
          <t>SALA</t>
        </is>
      </c>
      <c r="G136" t="n">
        <v>3.8</v>
      </c>
      <c r="H136" t="n">
        <v>0</v>
      </c>
      <c r="I136" t="n">
        <v>0</v>
      </c>
      <c r="J136" t="n">
        <v>0</v>
      </c>
      <c r="K136" t="n">
        <v>0</v>
      </c>
      <c r="L136" t="n">
        <v>0</v>
      </c>
      <c r="M136" t="n">
        <v>0</v>
      </c>
      <c r="N136" t="n">
        <v>0</v>
      </c>
      <c r="O136" t="n">
        <v>0</v>
      </c>
      <c r="P136" t="n">
        <v>0</v>
      </c>
      <c r="Q136" t="n">
        <v>0</v>
      </c>
      <c r="R136" s="2" t="inlineStr"/>
    </row>
    <row r="137" ht="15" customHeight="1">
      <c r="A137" t="inlineStr">
        <is>
          <t>A 58003-2019</t>
        </is>
      </c>
      <c r="B137" s="1" t="n">
        <v>43769</v>
      </c>
      <c r="C137" s="1" t="n">
        <v>45824</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58027-2019</t>
        </is>
      </c>
      <c r="B138" s="1" t="n">
        <v>43769</v>
      </c>
      <c r="C138" s="1" t="n">
        <v>45824</v>
      </c>
      <c r="D138" t="inlineStr">
        <is>
          <t>VÄSTMANLANDS LÄN</t>
        </is>
      </c>
      <c r="E138" t="inlineStr">
        <is>
          <t>SALA</t>
        </is>
      </c>
      <c r="G138" t="n">
        <v>2.4</v>
      </c>
      <c r="H138" t="n">
        <v>0</v>
      </c>
      <c r="I138" t="n">
        <v>0</v>
      </c>
      <c r="J138" t="n">
        <v>0</v>
      </c>
      <c r="K138" t="n">
        <v>0</v>
      </c>
      <c r="L138" t="n">
        <v>0</v>
      </c>
      <c r="M138" t="n">
        <v>0</v>
      </c>
      <c r="N138" t="n">
        <v>0</v>
      </c>
      <c r="O138" t="n">
        <v>0</v>
      </c>
      <c r="P138" t="n">
        <v>0</v>
      </c>
      <c r="Q138" t="n">
        <v>0</v>
      </c>
      <c r="R138" s="2" t="inlineStr"/>
    </row>
    <row r="139" ht="15" customHeight="1">
      <c r="A139" t="inlineStr">
        <is>
          <t>A 58681-2019</t>
        </is>
      </c>
      <c r="B139" s="1" t="n">
        <v>43773</v>
      </c>
      <c r="C139" s="1" t="n">
        <v>45824</v>
      </c>
      <c r="D139" t="inlineStr">
        <is>
          <t>VÄSTMANLANDS LÄN</t>
        </is>
      </c>
      <c r="E139" t="inlineStr">
        <is>
          <t>SALA</t>
        </is>
      </c>
      <c r="G139" t="n">
        <v>3</v>
      </c>
      <c r="H139" t="n">
        <v>0</v>
      </c>
      <c r="I139" t="n">
        <v>0</v>
      </c>
      <c r="J139" t="n">
        <v>0</v>
      </c>
      <c r="K139" t="n">
        <v>0</v>
      </c>
      <c r="L139" t="n">
        <v>0</v>
      </c>
      <c r="M139" t="n">
        <v>0</v>
      </c>
      <c r="N139" t="n">
        <v>0</v>
      </c>
      <c r="O139" t="n">
        <v>0</v>
      </c>
      <c r="P139" t="n">
        <v>0</v>
      </c>
      <c r="Q139" t="n">
        <v>0</v>
      </c>
      <c r="R139" s="2" t="inlineStr"/>
    </row>
    <row r="140" ht="15" customHeight="1">
      <c r="A140" t="inlineStr">
        <is>
          <t>A 58917-2019</t>
        </is>
      </c>
      <c r="B140" s="1" t="n">
        <v>43774</v>
      </c>
      <c r="C140" s="1" t="n">
        <v>45824</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59147-2019</t>
        </is>
      </c>
      <c r="B141" s="1" t="n">
        <v>43775</v>
      </c>
      <c r="C141" s="1" t="n">
        <v>45824</v>
      </c>
      <c r="D141" t="inlineStr">
        <is>
          <t>VÄSTMANLANDS LÄN</t>
        </is>
      </c>
      <c r="E141" t="inlineStr">
        <is>
          <t>SALA</t>
        </is>
      </c>
      <c r="F141" t="inlineStr">
        <is>
          <t>Övriga Aktiebolag</t>
        </is>
      </c>
      <c r="G141" t="n">
        <v>69.8</v>
      </c>
      <c r="H141" t="n">
        <v>0</v>
      </c>
      <c r="I141" t="n">
        <v>0</v>
      </c>
      <c r="J141" t="n">
        <v>0</v>
      </c>
      <c r="K141" t="n">
        <v>0</v>
      </c>
      <c r="L141" t="n">
        <v>0</v>
      </c>
      <c r="M141" t="n">
        <v>0</v>
      </c>
      <c r="N141" t="n">
        <v>0</v>
      </c>
      <c r="O141" t="n">
        <v>0</v>
      </c>
      <c r="P141" t="n">
        <v>0</v>
      </c>
      <c r="Q141" t="n">
        <v>0</v>
      </c>
      <c r="R141" s="2" t="inlineStr"/>
    </row>
    <row r="142" ht="15" customHeight="1">
      <c r="A142" t="inlineStr">
        <is>
          <t>A 60007-2019</t>
        </is>
      </c>
      <c r="B142" s="1" t="n">
        <v>43777</v>
      </c>
      <c r="C142" s="1" t="n">
        <v>45824</v>
      </c>
      <c r="D142" t="inlineStr">
        <is>
          <t>VÄSTMANLANDS LÄN</t>
        </is>
      </c>
      <c r="E142" t="inlineStr">
        <is>
          <t>SALA</t>
        </is>
      </c>
      <c r="F142" t="inlineStr">
        <is>
          <t>Kyrkan</t>
        </is>
      </c>
      <c r="G142" t="n">
        <v>5.1</v>
      </c>
      <c r="H142" t="n">
        <v>0</v>
      </c>
      <c r="I142" t="n">
        <v>0</v>
      </c>
      <c r="J142" t="n">
        <v>0</v>
      </c>
      <c r="K142" t="n">
        <v>0</v>
      </c>
      <c r="L142" t="n">
        <v>0</v>
      </c>
      <c r="M142" t="n">
        <v>0</v>
      </c>
      <c r="N142" t="n">
        <v>0</v>
      </c>
      <c r="O142" t="n">
        <v>0</v>
      </c>
      <c r="P142" t="n">
        <v>0</v>
      </c>
      <c r="Q142" t="n">
        <v>0</v>
      </c>
      <c r="R142" s="2" t="inlineStr"/>
    </row>
    <row r="143" ht="15" customHeight="1">
      <c r="A143" t="inlineStr">
        <is>
          <t>A 60012-2019</t>
        </is>
      </c>
      <c r="B143" s="1" t="n">
        <v>43777</v>
      </c>
      <c r="C143" s="1" t="n">
        <v>45824</v>
      </c>
      <c r="D143" t="inlineStr">
        <is>
          <t>VÄSTMANLANDS LÄN</t>
        </is>
      </c>
      <c r="E143" t="inlineStr">
        <is>
          <t>SALA</t>
        </is>
      </c>
      <c r="F143" t="inlineStr">
        <is>
          <t>Kyrkan</t>
        </is>
      </c>
      <c r="G143" t="n">
        <v>1.5</v>
      </c>
      <c r="H143" t="n">
        <v>0</v>
      </c>
      <c r="I143" t="n">
        <v>0</v>
      </c>
      <c r="J143" t="n">
        <v>0</v>
      </c>
      <c r="K143" t="n">
        <v>0</v>
      </c>
      <c r="L143" t="n">
        <v>0</v>
      </c>
      <c r="M143" t="n">
        <v>0</v>
      </c>
      <c r="N143" t="n">
        <v>0</v>
      </c>
      <c r="O143" t="n">
        <v>0</v>
      </c>
      <c r="P143" t="n">
        <v>0</v>
      </c>
      <c r="Q143" t="n">
        <v>0</v>
      </c>
      <c r="R143" s="2" t="inlineStr"/>
    </row>
    <row r="144" ht="15" customHeight="1">
      <c r="A144" t="inlineStr">
        <is>
          <t>A 61270-2019</t>
        </is>
      </c>
      <c r="B144" s="1" t="n">
        <v>43783</v>
      </c>
      <c r="C144" s="1" t="n">
        <v>45824</v>
      </c>
      <c r="D144" t="inlineStr">
        <is>
          <t>VÄSTMANLANDS LÄN</t>
        </is>
      </c>
      <c r="E144" t="inlineStr">
        <is>
          <t>SALA</t>
        </is>
      </c>
      <c r="G144" t="n">
        <v>3.3</v>
      </c>
      <c r="H144" t="n">
        <v>0</v>
      </c>
      <c r="I144" t="n">
        <v>0</v>
      </c>
      <c r="J144" t="n">
        <v>0</v>
      </c>
      <c r="K144" t="n">
        <v>0</v>
      </c>
      <c r="L144" t="n">
        <v>0</v>
      </c>
      <c r="M144" t="n">
        <v>0</v>
      </c>
      <c r="N144" t="n">
        <v>0</v>
      </c>
      <c r="O144" t="n">
        <v>0</v>
      </c>
      <c r="P144" t="n">
        <v>0</v>
      </c>
      <c r="Q144" t="n">
        <v>0</v>
      </c>
      <c r="R144" s="2" t="inlineStr"/>
    </row>
    <row r="145" ht="15" customHeight="1">
      <c r="A145" t="inlineStr">
        <is>
          <t>A 61394-2019</t>
        </is>
      </c>
      <c r="B145" s="1" t="n">
        <v>43783</v>
      </c>
      <c r="C145" s="1" t="n">
        <v>45824</v>
      </c>
      <c r="D145" t="inlineStr">
        <is>
          <t>VÄSTMANLANDS LÄN</t>
        </is>
      </c>
      <c r="E145" t="inlineStr">
        <is>
          <t>SALA</t>
        </is>
      </c>
      <c r="G145" t="n">
        <v>7.8</v>
      </c>
      <c r="H145" t="n">
        <v>0</v>
      </c>
      <c r="I145" t="n">
        <v>0</v>
      </c>
      <c r="J145" t="n">
        <v>0</v>
      </c>
      <c r="K145" t="n">
        <v>0</v>
      </c>
      <c r="L145" t="n">
        <v>0</v>
      </c>
      <c r="M145" t="n">
        <v>0</v>
      </c>
      <c r="N145" t="n">
        <v>0</v>
      </c>
      <c r="O145" t="n">
        <v>0</v>
      </c>
      <c r="P145" t="n">
        <v>0</v>
      </c>
      <c r="Q145" t="n">
        <v>0</v>
      </c>
      <c r="R145" s="2" t="inlineStr"/>
    </row>
    <row r="146" ht="15" customHeight="1">
      <c r="A146" t="inlineStr">
        <is>
          <t>A 61758-2019</t>
        </is>
      </c>
      <c r="B146" s="1" t="n">
        <v>43784</v>
      </c>
      <c r="C146" s="1" t="n">
        <v>45824</v>
      </c>
      <c r="D146" t="inlineStr">
        <is>
          <t>VÄSTMANLANDS LÄN</t>
        </is>
      </c>
      <c r="E146" t="inlineStr">
        <is>
          <t>SALA</t>
        </is>
      </c>
      <c r="G146" t="n">
        <v>1.3</v>
      </c>
      <c r="H146" t="n">
        <v>0</v>
      </c>
      <c r="I146" t="n">
        <v>0</v>
      </c>
      <c r="J146" t="n">
        <v>0</v>
      </c>
      <c r="K146" t="n">
        <v>0</v>
      </c>
      <c r="L146" t="n">
        <v>0</v>
      </c>
      <c r="M146" t="n">
        <v>0</v>
      </c>
      <c r="N146" t="n">
        <v>0</v>
      </c>
      <c r="O146" t="n">
        <v>0</v>
      </c>
      <c r="P146" t="n">
        <v>0</v>
      </c>
      <c r="Q146" t="n">
        <v>0</v>
      </c>
      <c r="R146" s="2" t="inlineStr"/>
    </row>
    <row r="147" ht="15" customHeight="1">
      <c r="A147" t="inlineStr">
        <is>
          <t>A 62390-2019</t>
        </is>
      </c>
      <c r="B147" s="1" t="n">
        <v>43788</v>
      </c>
      <c r="C147" s="1" t="n">
        <v>45824</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64164-2019</t>
        </is>
      </c>
      <c r="B148" s="1" t="n">
        <v>43791</v>
      </c>
      <c r="C148" s="1" t="n">
        <v>45824</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63369-2019</t>
        </is>
      </c>
      <c r="B149" s="1" t="n">
        <v>43794</v>
      </c>
      <c r="C149" s="1" t="n">
        <v>45824</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63498-2019</t>
        </is>
      </c>
      <c r="B150" s="1" t="n">
        <v>43794</v>
      </c>
      <c r="C150" s="1" t="n">
        <v>45824</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64090-2019</t>
        </is>
      </c>
      <c r="B151" s="1" t="n">
        <v>43796</v>
      </c>
      <c r="C151" s="1" t="n">
        <v>45824</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64092-2019</t>
        </is>
      </c>
      <c r="B152" s="1" t="n">
        <v>43796</v>
      </c>
      <c r="C152" s="1" t="n">
        <v>45824</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65021-2019</t>
        </is>
      </c>
      <c r="B153" s="1" t="n">
        <v>43801</v>
      </c>
      <c r="C153" s="1" t="n">
        <v>45824</v>
      </c>
      <c r="D153" t="inlineStr">
        <is>
          <t>VÄSTMANLANDS LÄN</t>
        </is>
      </c>
      <c r="E153" t="inlineStr">
        <is>
          <t>SALA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66089-2019</t>
        </is>
      </c>
      <c r="B154" s="1" t="n">
        <v>43807</v>
      </c>
      <c r="C154" s="1" t="n">
        <v>45824</v>
      </c>
      <c r="D154" t="inlineStr">
        <is>
          <t>VÄSTMANLANDS LÄN</t>
        </is>
      </c>
      <c r="E154" t="inlineStr">
        <is>
          <t>SALA</t>
        </is>
      </c>
      <c r="G154" t="n">
        <v>17.1</v>
      </c>
      <c r="H154" t="n">
        <v>0</v>
      </c>
      <c r="I154" t="n">
        <v>0</v>
      </c>
      <c r="J154" t="n">
        <v>0</v>
      </c>
      <c r="K154" t="n">
        <v>0</v>
      </c>
      <c r="L154" t="n">
        <v>0</v>
      </c>
      <c r="M154" t="n">
        <v>0</v>
      </c>
      <c r="N154" t="n">
        <v>0</v>
      </c>
      <c r="O154" t="n">
        <v>0</v>
      </c>
      <c r="P154" t="n">
        <v>0</v>
      </c>
      <c r="Q154" t="n">
        <v>0</v>
      </c>
      <c r="R154" s="2" t="inlineStr"/>
    </row>
    <row r="155" ht="15" customHeight="1">
      <c r="A155" t="inlineStr">
        <is>
          <t>A 66216-2019</t>
        </is>
      </c>
      <c r="B155" s="1" t="n">
        <v>43808</v>
      </c>
      <c r="C155" s="1" t="n">
        <v>45824</v>
      </c>
      <c r="D155" t="inlineStr">
        <is>
          <t>VÄSTMANLANDS LÄN</t>
        </is>
      </c>
      <c r="E155" t="inlineStr">
        <is>
          <t>SALA</t>
        </is>
      </c>
      <c r="F155" t="inlineStr">
        <is>
          <t>Kommuner</t>
        </is>
      </c>
      <c r="G155" t="n">
        <v>3.7</v>
      </c>
      <c r="H155" t="n">
        <v>0</v>
      </c>
      <c r="I155" t="n">
        <v>0</v>
      </c>
      <c r="J155" t="n">
        <v>0</v>
      </c>
      <c r="K155" t="n">
        <v>0</v>
      </c>
      <c r="L155" t="n">
        <v>0</v>
      </c>
      <c r="M155" t="n">
        <v>0</v>
      </c>
      <c r="N155" t="n">
        <v>0</v>
      </c>
      <c r="O155" t="n">
        <v>0</v>
      </c>
      <c r="P155" t="n">
        <v>0</v>
      </c>
      <c r="Q155" t="n">
        <v>0</v>
      </c>
      <c r="R155" s="2" t="inlineStr"/>
    </row>
    <row r="156" ht="15" customHeight="1">
      <c r="A156" t="inlineStr">
        <is>
          <t>A 67360-2019</t>
        </is>
      </c>
      <c r="B156" s="1" t="n">
        <v>43812</v>
      </c>
      <c r="C156" s="1" t="n">
        <v>45824</v>
      </c>
      <c r="D156" t="inlineStr">
        <is>
          <t>VÄSTMANLANDS LÄN</t>
        </is>
      </c>
      <c r="E156" t="inlineStr">
        <is>
          <t>SALA</t>
        </is>
      </c>
      <c r="G156" t="n">
        <v>4.9</v>
      </c>
      <c r="H156" t="n">
        <v>0</v>
      </c>
      <c r="I156" t="n">
        <v>0</v>
      </c>
      <c r="J156" t="n">
        <v>0</v>
      </c>
      <c r="K156" t="n">
        <v>0</v>
      </c>
      <c r="L156" t="n">
        <v>0</v>
      </c>
      <c r="M156" t="n">
        <v>0</v>
      </c>
      <c r="N156" t="n">
        <v>0</v>
      </c>
      <c r="O156" t="n">
        <v>0</v>
      </c>
      <c r="P156" t="n">
        <v>0</v>
      </c>
      <c r="Q156" t="n">
        <v>0</v>
      </c>
      <c r="R156" s="2" t="inlineStr"/>
    </row>
    <row r="157" ht="15" customHeight="1">
      <c r="A157" t="inlineStr">
        <is>
          <t>A 68398-2019</t>
        </is>
      </c>
      <c r="B157" s="1" t="n">
        <v>43818</v>
      </c>
      <c r="C157" s="1" t="n">
        <v>45824</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68394-2019</t>
        </is>
      </c>
      <c r="B158" s="1" t="n">
        <v>43818</v>
      </c>
      <c r="C158" s="1" t="n">
        <v>45824</v>
      </c>
      <c r="D158" t="inlineStr">
        <is>
          <t>VÄSTMANLANDS LÄN</t>
        </is>
      </c>
      <c r="E158" t="inlineStr">
        <is>
          <t>SALA</t>
        </is>
      </c>
      <c r="G158" t="n">
        <v>1.6</v>
      </c>
      <c r="H158" t="n">
        <v>0</v>
      </c>
      <c r="I158" t="n">
        <v>0</v>
      </c>
      <c r="J158" t="n">
        <v>0</v>
      </c>
      <c r="K158" t="n">
        <v>0</v>
      </c>
      <c r="L158" t="n">
        <v>0</v>
      </c>
      <c r="M158" t="n">
        <v>0</v>
      </c>
      <c r="N158" t="n">
        <v>0</v>
      </c>
      <c r="O158" t="n">
        <v>0</v>
      </c>
      <c r="P158" t="n">
        <v>0</v>
      </c>
      <c r="Q158" t="n">
        <v>0</v>
      </c>
      <c r="R158" s="2" t="inlineStr"/>
    </row>
    <row r="159" ht="15" customHeight="1">
      <c r="A159" t="inlineStr">
        <is>
          <t>A 1465-2020</t>
        </is>
      </c>
      <c r="B159" s="1" t="n">
        <v>43822</v>
      </c>
      <c r="C159" s="1" t="n">
        <v>45824</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63-2020</t>
        </is>
      </c>
      <c r="B160" s="1" t="n">
        <v>43832</v>
      </c>
      <c r="C160" s="1" t="n">
        <v>45824</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151-2020</t>
        </is>
      </c>
      <c r="B161" s="1" t="n">
        <v>43833</v>
      </c>
      <c r="C161" s="1" t="n">
        <v>45824</v>
      </c>
      <c r="D161" t="inlineStr">
        <is>
          <t>VÄSTMANLANDS LÄN</t>
        </is>
      </c>
      <c r="E161" t="inlineStr">
        <is>
          <t>SALA</t>
        </is>
      </c>
      <c r="F161" t="inlineStr">
        <is>
          <t>Kyrkan</t>
        </is>
      </c>
      <c r="G161" t="n">
        <v>6.5</v>
      </c>
      <c r="H161" t="n">
        <v>0</v>
      </c>
      <c r="I161" t="n">
        <v>0</v>
      </c>
      <c r="J161" t="n">
        <v>0</v>
      </c>
      <c r="K161" t="n">
        <v>0</v>
      </c>
      <c r="L161" t="n">
        <v>0</v>
      </c>
      <c r="M161" t="n">
        <v>0</v>
      </c>
      <c r="N161" t="n">
        <v>0</v>
      </c>
      <c r="O161" t="n">
        <v>0</v>
      </c>
      <c r="P161" t="n">
        <v>0</v>
      </c>
      <c r="Q161" t="n">
        <v>0</v>
      </c>
      <c r="R161" s="2" t="inlineStr"/>
    </row>
    <row r="162" ht="15" customHeight="1">
      <c r="A162" t="inlineStr">
        <is>
          <t>A 161-2020</t>
        </is>
      </c>
      <c r="B162" s="1" t="n">
        <v>43833</v>
      </c>
      <c r="C162" s="1" t="n">
        <v>45824</v>
      </c>
      <c r="D162" t="inlineStr">
        <is>
          <t>VÄSTMANLANDS LÄN</t>
        </is>
      </c>
      <c r="E162" t="inlineStr">
        <is>
          <t>SALA</t>
        </is>
      </c>
      <c r="F162" t="inlineStr">
        <is>
          <t>Kyrkan</t>
        </is>
      </c>
      <c r="G162" t="n">
        <v>1.6</v>
      </c>
      <c r="H162" t="n">
        <v>0</v>
      </c>
      <c r="I162" t="n">
        <v>0</v>
      </c>
      <c r="J162" t="n">
        <v>0</v>
      </c>
      <c r="K162" t="n">
        <v>0</v>
      </c>
      <c r="L162" t="n">
        <v>0</v>
      </c>
      <c r="M162" t="n">
        <v>0</v>
      </c>
      <c r="N162" t="n">
        <v>0</v>
      </c>
      <c r="O162" t="n">
        <v>0</v>
      </c>
      <c r="P162" t="n">
        <v>0</v>
      </c>
      <c r="Q162" t="n">
        <v>0</v>
      </c>
      <c r="R162" s="2" t="inlineStr"/>
    </row>
    <row r="163" ht="15" customHeight="1">
      <c r="A163" t="inlineStr">
        <is>
          <t>A 297-2020</t>
        </is>
      </c>
      <c r="B163" s="1" t="n">
        <v>43837</v>
      </c>
      <c r="C163" s="1" t="n">
        <v>45824</v>
      </c>
      <c r="D163" t="inlineStr">
        <is>
          <t>VÄSTMANLANDS LÄN</t>
        </is>
      </c>
      <c r="E163" t="inlineStr">
        <is>
          <t>SALA</t>
        </is>
      </c>
      <c r="F163" t="inlineStr">
        <is>
          <t>Kyrkan</t>
        </is>
      </c>
      <c r="G163" t="n">
        <v>0.3</v>
      </c>
      <c r="H163" t="n">
        <v>0</v>
      </c>
      <c r="I163" t="n">
        <v>0</v>
      </c>
      <c r="J163" t="n">
        <v>0</v>
      </c>
      <c r="K163" t="n">
        <v>0</v>
      </c>
      <c r="L163" t="n">
        <v>0</v>
      </c>
      <c r="M163" t="n">
        <v>0</v>
      </c>
      <c r="N163" t="n">
        <v>0</v>
      </c>
      <c r="O163" t="n">
        <v>0</v>
      </c>
      <c r="P163" t="n">
        <v>0</v>
      </c>
      <c r="Q163" t="n">
        <v>0</v>
      </c>
      <c r="R163" s="2" t="inlineStr"/>
    </row>
    <row r="164" ht="15" customHeight="1">
      <c r="A164" t="inlineStr">
        <is>
          <t>A 496-2020</t>
        </is>
      </c>
      <c r="B164" s="1" t="n">
        <v>43837</v>
      </c>
      <c r="C164" s="1" t="n">
        <v>45824</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1005-2020</t>
        </is>
      </c>
      <c r="B165" s="1" t="n">
        <v>43839</v>
      </c>
      <c r="C165" s="1" t="n">
        <v>45824</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1272-2020</t>
        </is>
      </c>
      <c r="B166" s="1" t="n">
        <v>43841</v>
      </c>
      <c r="C166" s="1" t="n">
        <v>45824</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1346-2020</t>
        </is>
      </c>
      <c r="B167" s="1" t="n">
        <v>43843</v>
      </c>
      <c r="C167" s="1" t="n">
        <v>45824</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3935-2020</t>
        </is>
      </c>
      <c r="B168" s="1" t="n">
        <v>43846</v>
      </c>
      <c r="C168" s="1" t="n">
        <v>45824</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2588-2020</t>
        </is>
      </c>
      <c r="B169" s="1" t="n">
        <v>43847</v>
      </c>
      <c r="C169" s="1" t="n">
        <v>45824</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4630-2020</t>
        </is>
      </c>
      <c r="B170" s="1" t="n">
        <v>43851</v>
      </c>
      <c r="C170" s="1" t="n">
        <v>45824</v>
      </c>
      <c r="D170" t="inlineStr">
        <is>
          <t>VÄSTMANLANDS LÄN</t>
        </is>
      </c>
      <c r="E170" t="inlineStr">
        <is>
          <t>SALA</t>
        </is>
      </c>
      <c r="G170" t="n">
        <v>0.4</v>
      </c>
      <c r="H170" t="n">
        <v>0</v>
      </c>
      <c r="I170" t="n">
        <v>0</v>
      </c>
      <c r="J170" t="n">
        <v>0</v>
      </c>
      <c r="K170" t="n">
        <v>0</v>
      </c>
      <c r="L170" t="n">
        <v>0</v>
      </c>
      <c r="M170" t="n">
        <v>0</v>
      </c>
      <c r="N170" t="n">
        <v>0</v>
      </c>
      <c r="O170" t="n">
        <v>0</v>
      </c>
      <c r="P170" t="n">
        <v>0</v>
      </c>
      <c r="Q170" t="n">
        <v>0</v>
      </c>
      <c r="R170" s="2" t="inlineStr"/>
    </row>
    <row r="171" ht="15" customHeight="1">
      <c r="A171" t="inlineStr">
        <is>
          <t>A 3590-2020</t>
        </is>
      </c>
      <c r="B171" s="1" t="n">
        <v>43853</v>
      </c>
      <c r="C171" s="1" t="n">
        <v>45824</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4866-2020</t>
        </is>
      </c>
      <c r="B172" s="1" t="n">
        <v>43859</v>
      </c>
      <c r="C172" s="1" t="n">
        <v>45824</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5201-2020</t>
        </is>
      </c>
      <c r="B173" s="1" t="n">
        <v>43860</v>
      </c>
      <c r="C173" s="1" t="n">
        <v>45824</v>
      </c>
      <c r="D173" t="inlineStr">
        <is>
          <t>VÄSTMANLANDS LÄN</t>
        </is>
      </c>
      <c r="E173" t="inlineStr">
        <is>
          <t>SALA</t>
        </is>
      </c>
      <c r="F173" t="inlineStr">
        <is>
          <t>Kyrkan</t>
        </is>
      </c>
      <c r="G173" t="n">
        <v>5</v>
      </c>
      <c r="H173" t="n">
        <v>0</v>
      </c>
      <c r="I173" t="n">
        <v>0</v>
      </c>
      <c r="J173" t="n">
        <v>0</v>
      </c>
      <c r="K173" t="n">
        <v>0</v>
      </c>
      <c r="L173" t="n">
        <v>0</v>
      </c>
      <c r="M173" t="n">
        <v>0</v>
      </c>
      <c r="N173" t="n">
        <v>0</v>
      </c>
      <c r="O173" t="n">
        <v>0</v>
      </c>
      <c r="P173" t="n">
        <v>0</v>
      </c>
      <c r="Q173" t="n">
        <v>0</v>
      </c>
      <c r="R173" s="2" t="inlineStr"/>
    </row>
    <row r="174" ht="15" customHeight="1">
      <c r="A174" t="inlineStr">
        <is>
          <t>A 5163-2020</t>
        </is>
      </c>
      <c r="B174" s="1" t="n">
        <v>43860</v>
      </c>
      <c r="C174" s="1" t="n">
        <v>45824</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5191-2020</t>
        </is>
      </c>
      <c r="B175" s="1" t="n">
        <v>43860</v>
      </c>
      <c r="C175" s="1" t="n">
        <v>45824</v>
      </c>
      <c r="D175" t="inlineStr">
        <is>
          <t>VÄSTMANLANDS LÄN</t>
        </is>
      </c>
      <c r="E175" t="inlineStr">
        <is>
          <t>SALA</t>
        </is>
      </c>
      <c r="F175" t="inlineStr">
        <is>
          <t>Kyrkan</t>
        </is>
      </c>
      <c r="G175" t="n">
        <v>10.9</v>
      </c>
      <c r="H175" t="n">
        <v>0</v>
      </c>
      <c r="I175" t="n">
        <v>0</v>
      </c>
      <c r="J175" t="n">
        <v>0</v>
      </c>
      <c r="K175" t="n">
        <v>0</v>
      </c>
      <c r="L175" t="n">
        <v>0</v>
      </c>
      <c r="M175" t="n">
        <v>0</v>
      </c>
      <c r="N175" t="n">
        <v>0</v>
      </c>
      <c r="O175" t="n">
        <v>0</v>
      </c>
      <c r="P175" t="n">
        <v>0</v>
      </c>
      <c r="Q175" t="n">
        <v>0</v>
      </c>
      <c r="R175" s="2" t="inlineStr"/>
    </row>
    <row r="176" ht="15" customHeight="1">
      <c r="A176" t="inlineStr">
        <is>
          <t>A 5320-2020</t>
        </is>
      </c>
      <c r="B176" s="1" t="n">
        <v>43860</v>
      </c>
      <c r="C176" s="1" t="n">
        <v>45824</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5587-2020</t>
        </is>
      </c>
      <c r="B177" s="1" t="n">
        <v>43861</v>
      </c>
      <c r="C177" s="1" t="n">
        <v>45824</v>
      </c>
      <c r="D177" t="inlineStr">
        <is>
          <t>VÄSTMANLANDS LÄN</t>
        </is>
      </c>
      <c r="E177" t="inlineStr">
        <is>
          <t>SALA</t>
        </is>
      </c>
      <c r="G177" t="n">
        <v>9.6</v>
      </c>
      <c r="H177" t="n">
        <v>0</v>
      </c>
      <c r="I177" t="n">
        <v>0</v>
      </c>
      <c r="J177" t="n">
        <v>0</v>
      </c>
      <c r="K177" t="n">
        <v>0</v>
      </c>
      <c r="L177" t="n">
        <v>0</v>
      </c>
      <c r="M177" t="n">
        <v>0</v>
      </c>
      <c r="N177" t="n">
        <v>0</v>
      </c>
      <c r="O177" t="n">
        <v>0</v>
      </c>
      <c r="P177" t="n">
        <v>0</v>
      </c>
      <c r="Q177" t="n">
        <v>0</v>
      </c>
      <c r="R177" s="2" t="inlineStr"/>
    </row>
    <row r="178" ht="15" customHeight="1">
      <c r="A178" t="inlineStr">
        <is>
          <t>A 5750-2020</t>
        </is>
      </c>
      <c r="B178" s="1" t="n">
        <v>43864</v>
      </c>
      <c r="C178" s="1" t="n">
        <v>45824</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6185-2020</t>
        </is>
      </c>
      <c r="B179" s="1" t="n">
        <v>43865</v>
      </c>
      <c r="C179" s="1" t="n">
        <v>45824</v>
      </c>
      <c r="D179" t="inlineStr">
        <is>
          <t>VÄSTMANLANDS LÄN</t>
        </is>
      </c>
      <c r="E179" t="inlineStr">
        <is>
          <t>SALA</t>
        </is>
      </c>
      <c r="G179" t="n">
        <v>1.4</v>
      </c>
      <c r="H179" t="n">
        <v>0</v>
      </c>
      <c r="I179" t="n">
        <v>0</v>
      </c>
      <c r="J179" t="n">
        <v>0</v>
      </c>
      <c r="K179" t="n">
        <v>0</v>
      </c>
      <c r="L179" t="n">
        <v>0</v>
      </c>
      <c r="M179" t="n">
        <v>0</v>
      </c>
      <c r="N179" t="n">
        <v>0</v>
      </c>
      <c r="O179" t="n">
        <v>0</v>
      </c>
      <c r="P179" t="n">
        <v>0</v>
      </c>
      <c r="Q179" t="n">
        <v>0</v>
      </c>
      <c r="R179" s="2" t="inlineStr"/>
    </row>
    <row r="180" ht="15" customHeight="1">
      <c r="A180" t="inlineStr">
        <is>
          <t>A 7190-2020</t>
        </is>
      </c>
      <c r="B180" s="1" t="n">
        <v>43868</v>
      </c>
      <c r="C180" s="1" t="n">
        <v>45824</v>
      </c>
      <c r="D180" t="inlineStr">
        <is>
          <t>VÄSTMANLANDS LÄN</t>
        </is>
      </c>
      <c r="E180" t="inlineStr">
        <is>
          <t>SALA</t>
        </is>
      </c>
      <c r="G180" t="n">
        <v>4.5</v>
      </c>
      <c r="H180" t="n">
        <v>0</v>
      </c>
      <c r="I180" t="n">
        <v>0</v>
      </c>
      <c r="J180" t="n">
        <v>0</v>
      </c>
      <c r="K180" t="n">
        <v>0</v>
      </c>
      <c r="L180" t="n">
        <v>0</v>
      </c>
      <c r="M180" t="n">
        <v>0</v>
      </c>
      <c r="N180" t="n">
        <v>0</v>
      </c>
      <c r="O180" t="n">
        <v>0</v>
      </c>
      <c r="P180" t="n">
        <v>0</v>
      </c>
      <c r="Q180" t="n">
        <v>0</v>
      </c>
      <c r="R180" s="2" t="inlineStr"/>
    </row>
    <row r="181" ht="15" customHeight="1">
      <c r="A181" t="inlineStr">
        <is>
          <t>A 10010-2020</t>
        </is>
      </c>
      <c r="B181" s="1" t="n">
        <v>43882</v>
      </c>
      <c r="C181" s="1" t="n">
        <v>45824</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10276-2020</t>
        </is>
      </c>
      <c r="B182" s="1" t="n">
        <v>43885</v>
      </c>
      <c r="C182" s="1" t="n">
        <v>45824</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10811-2020</t>
        </is>
      </c>
      <c r="B183" s="1" t="n">
        <v>43888</v>
      </c>
      <c r="C183" s="1" t="n">
        <v>45824</v>
      </c>
      <c r="D183" t="inlineStr">
        <is>
          <t>VÄSTMANLANDS LÄN</t>
        </is>
      </c>
      <c r="E183" t="inlineStr">
        <is>
          <t>SALA</t>
        </is>
      </c>
      <c r="G183" t="n">
        <v>3.9</v>
      </c>
      <c r="H183" t="n">
        <v>0</v>
      </c>
      <c r="I183" t="n">
        <v>0</v>
      </c>
      <c r="J183" t="n">
        <v>0</v>
      </c>
      <c r="K183" t="n">
        <v>0</v>
      </c>
      <c r="L183" t="n">
        <v>0</v>
      </c>
      <c r="M183" t="n">
        <v>0</v>
      </c>
      <c r="N183" t="n">
        <v>0</v>
      </c>
      <c r="O183" t="n">
        <v>0</v>
      </c>
      <c r="P183" t="n">
        <v>0</v>
      </c>
      <c r="Q183" t="n">
        <v>0</v>
      </c>
      <c r="R183" s="2" t="inlineStr"/>
    </row>
    <row r="184" ht="15" customHeight="1">
      <c r="A184" t="inlineStr">
        <is>
          <t>A 14110-2020</t>
        </is>
      </c>
      <c r="B184" s="1" t="n">
        <v>43900</v>
      </c>
      <c r="C184" s="1" t="n">
        <v>45824</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13643-2020</t>
        </is>
      </c>
      <c r="B185" s="1" t="n">
        <v>43903</v>
      </c>
      <c r="C185" s="1" t="n">
        <v>45824</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13936-2020</t>
        </is>
      </c>
      <c r="B186" s="1" t="n">
        <v>43903</v>
      </c>
      <c r="C186" s="1" t="n">
        <v>45824</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14049-2020</t>
        </is>
      </c>
      <c r="B187" s="1" t="n">
        <v>43906</v>
      </c>
      <c r="C187" s="1" t="n">
        <v>45824</v>
      </c>
      <c r="D187" t="inlineStr">
        <is>
          <t>VÄSTMANLANDS LÄN</t>
        </is>
      </c>
      <c r="E187" t="inlineStr">
        <is>
          <t>SALA</t>
        </is>
      </c>
      <c r="G187" t="n">
        <v>4.4</v>
      </c>
      <c r="H187" t="n">
        <v>0</v>
      </c>
      <c r="I187" t="n">
        <v>0</v>
      </c>
      <c r="J187" t="n">
        <v>0</v>
      </c>
      <c r="K187" t="n">
        <v>0</v>
      </c>
      <c r="L187" t="n">
        <v>0</v>
      </c>
      <c r="M187" t="n">
        <v>0</v>
      </c>
      <c r="N187" t="n">
        <v>0</v>
      </c>
      <c r="O187" t="n">
        <v>0</v>
      </c>
      <c r="P187" t="n">
        <v>0</v>
      </c>
      <c r="Q187" t="n">
        <v>0</v>
      </c>
      <c r="R187" s="2" t="inlineStr"/>
    </row>
    <row r="188" ht="15" customHeight="1">
      <c r="A188" t="inlineStr">
        <is>
          <t>A 14542-2020</t>
        </is>
      </c>
      <c r="B188" s="1" t="n">
        <v>43908</v>
      </c>
      <c r="C188" s="1" t="n">
        <v>45824</v>
      </c>
      <c r="D188" t="inlineStr">
        <is>
          <t>VÄSTMANLANDS LÄN</t>
        </is>
      </c>
      <c r="E188" t="inlineStr">
        <is>
          <t>SALA</t>
        </is>
      </c>
      <c r="G188" t="n">
        <v>4.1</v>
      </c>
      <c r="H188" t="n">
        <v>0</v>
      </c>
      <c r="I188" t="n">
        <v>0</v>
      </c>
      <c r="J188" t="n">
        <v>0</v>
      </c>
      <c r="K188" t="n">
        <v>0</v>
      </c>
      <c r="L188" t="n">
        <v>0</v>
      </c>
      <c r="M188" t="n">
        <v>0</v>
      </c>
      <c r="N188" t="n">
        <v>0</v>
      </c>
      <c r="O188" t="n">
        <v>0</v>
      </c>
      <c r="P188" t="n">
        <v>0</v>
      </c>
      <c r="Q188" t="n">
        <v>0</v>
      </c>
      <c r="R188" s="2" t="inlineStr"/>
    </row>
    <row r="189" ht="15" customHeight="1">
      <c r="A189" t="inlineStr">
        <is>
          <t>A 16480-2020</t>
        </is>
      </c>
      <c r="B189" s="1" t="n">
        <v>43914</v>
      </c>
      <c r="C189" s="1" t="n">
        <v>45824</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15850-2020</t>
        </is>
      </c>
      <c r="B190" s="1" t="n">
        <v>43915</v>
      </c>
      <c r="C190" s="1" t="n">
        <v>45824</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15748-2020</t>
        </is>
      </c>
      <c r="B191" s="1" t="n">
        <v>43915</v>
      </c>
      <c r="C191" s="1" t="n">
        <v>45824</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16093-2020</t>
        </is>
      </c>
      <c r="B192" s="1" t="n">
        <v>43916</v>
      </c>
      <c r="C192" s="1" t="n">
        <v>45824</v>
      </c>
      <c r="D192" t="inlineStr">
        <is>
          <t>VÄSTMANLANDS LÄN</t>
        </is>
      </c>
      <c r="E192" t="inlineStr">
        <is>
          <t>SALA</t>
        </is>
      </c>
      <c r="G192" t="n">
        <v>1.6</v>
      </c>
      <c r="H192" t="n">
        <v>0</v>
      </c>
      <c r="I192" t="n">
        <v>0</v>
      </c>
      <c r="J192" t="n">
        <v>0</v>
      </c>
      <c r="K192" t="n">
        <v>0</v>
      </c>
      <c r="L192" t="n">
        <v>0</v>
      </c>
      <c r="M192" t="n">
        <v>0</v>
      </c>
      <c r="N192" t="n">
        <v>0</v>
      </c>
      <c r="O192" t="n">
        <v>0</v>
      </c>
      <c r="P192" t="n">
        <v>0</v>
      </c>
      <c r="Q192" t="n">
        <v>0</v>
      </c>
      <c r="R192" s="2" t="inlineStr"/>
    </row>
    <row r="193" ht="15" customHeight="1">
      <c r="A193" t="inlineStr">
        <is>
          <t>A 17139-2020</t>
        </is>
      </c>
      <c r="B193" s="1" t="n">
        <v>43922</v>
      </c>
      <c r="C193" s="1" t="n">
        <v>45824</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17205-2020</t>
        </is>
      </c>
      <c r="B194" s="1" t="n">
        <v>43922</v>
      </c>
      <c r="C194" s="1" t="n">
        <v>45824</v>
      </c>
      <c r="D194" t="inlineStr">
        <is>
          <t>VÄSTMANLANDS LÄN</t>
        </is>
      </c>
      <c r="E194" t="inlineStr">
        <is>
          <t>SALA</t>
        </is>
      </c>
      <c r="G194" t="n">
        <v>3.2</v>
      </c>
      <c r="H194" t="n">
        <v>0</v>
      </c>
      <c r="I194" t="n">
        <v>0</v>
      </c>
      <c r="J194" t="n">
        <v>0</v>
      </c>
      <c r="K194" t="n">
        <v>0</v>
      </c>
      <c r="L194" t="n">
        <v>0</v>
      </c>
      <c r="M194" t="n">
        <v>0</v>
      </c>
      <c r="N194" t="n">
        <v>0</v>
      </c>
      <c r="O194" t="n">
        <v>0</v>
      </c>
      <c r="P194" t="n">
        <v>0</v>
      </c>
      <c r="Q194" t="n">
        <v>0</v>
      </c>
      <c r="R194" s="2" t="inlineStr"/>
    </row>
    <row r="195" ht="15" customHeight="1">
      <c r="A195" t="inlineStr">
        <is>
          <t>A 17355-2020</t>
        </is>
      </c>
      <c r="B195" s="1" t="n">
        <v>43923</v>
      </c>
      <c r="C195" s="1" t="n">
        <v>45824</v>
      </c>
      <c r="D195" t="inlineStr">
        <is>
          <t>VÄSTMANLANDS LÄN</t>
        </is>
      </c>
      <c r="E195" t="inlineStr">
        <is>
          <t>SALA</t>
        </is>
      </c>
      <c r="G195" t="n">
        <v>0.4</v>
      </c>
      <c r="H195" t="n">
        <v>0</v>
      </c>
      <c r="I195" t="n">
        <v>0</v>
      </c>
      <c r="J195" t="n">
        <v>0</v>
      </c>
      <c r="K195" t="n">
        <v>0</v>
      </c>
      <c r="L195" t="n">
        <v>0</v>
      </c>
      <c r="M195" t="n">
        <v>0</v>
      </c>
      <c r="N195" t="n">
        <v>0</v>
      </c>
      <c r="O195" t="n">
        <v>0</v>
      </c>
      <c r="P195" t="n">
        <v>0</v>
      </c>
      <c r="Q195" t="n">
        <v>0</v>
      </c>
      <c r="R195" s="2" t="inlineStr"/>
    </row>
    <row r="196" ht="15" customHeight="1">
      <c r="A196" t="inlineStr">
        <is>
          <t>A 17492-2020</t>
        </is>
      </c>
      <c r="B196" s="1" t="n">
        <v>43923</v>
      </c>
      <c r="C196" s="1" t="n">
        <v>45824</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18772-2020</t>
        </is>
      </c>
      <c r="B197" s="1" t="n">
        <v>43930</v>
      </c>
      <c r="C197" s="1" t="n">
        <v>45824</v>
      </c>
      <c r="D197" t="inlineStr">
        <is>
          <t>VÄSTMANLANDS LÄN</t>
        </is>
      </c>
      <c r="E197" t="inlineStr">
        <is>
          <t>SALA</t>
        </is>
      </c>
      <c r="G197" t="n">
        <v>3.5</v>
      </c>
      <c r="H197" t="n">
        <v>0</v>
      </c>
      <c r="I197" t="n">
        <v>0</v>
      </c>
      <c r="J197" t="n">
        <v>0</v>
      </c>
      <c r="K197" t="n">
        <v>0</v>
      </c>
      <c r="L197" t="n">
        <v>0</v>
      </c>
      <c r="M197" t="n">
        <v>0</v>
      </c>
      <c r="N197" t="n">
        <v>0</v>
      </c>
      <c r="O197" t="n">
        <v>0</v>
      </c>
      <c r="P197" t="n">
        <v>0</v>
      </c>
      <c r="Q197" t="n">
        <v>0</v>
      </c>
      <c r="R197" s="2" t="inlineStr"/>
    </row>
    <row r="198" ht="15" customHeight="1">
      <c r="A198" t="inlineStr">
        <is>
          <t>A 19071-2020</t>
        </is>
      </c>
      <c r="B198" s="1" t="n">
        <v>43936</v>
      </c>
      <c r="C198" s="1" t="n">
        <v>45824</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19480-2020</t>
        </is>
      </c>
      <c r="B199" s="1" t="n">
        <v>43936</v>
      </c>
      <c r="C199" s="1" t="n">
        <v>45824</v>
      </c>
      <c r="D199" t="inlineStr">
        <is>
          <t>VÄSTMANLANDS LÄN</t>
        </is>
      </c>
      <c r="E199" t="inlineStr">
        <is>
          <t>SALA</t>
        </is>
      </c>
      <c r="G199" t="n">
        <v>4.8</v>
      </c>
      <c r="H199" t="n">
        <v>0</v>
      </c>
      <c r="I199" t="n">
        <v>0</v>
      </c>
      <c r="J199" t="n">
        <v>0</v>
      </c>
      <c r="K199" t="n">
        <v>0</v>
      </c>
      <c r="L199" t="n">
        <v>0</v>
      </c>
      <c r="M199" t="n">
        <v>0</v>
      </c>
      <c r="N199" t="n">
        <v>0</v>
      </c>
      <c r="O199" t="n">
        <v>0</v>
      </c>
      <c r="P199" t="n">
        <v>0</v>
      </c>
      <c r="Q199" t="n">
        <v>0</v>
      </c>
      <c r="R199" s="2" t="inlineStr"/>
    </row>
    <row r="200" ht="15" customHeight="1">
      <c r="A200" t="inlineStr">
        <is>
          <t>A 22305-2020</t>
        </is>
      </c>
      <c r="B200" s="1" t="n">
        <v>43957</v>
      </c>
      <c r="C200" s="1" t="n">
        <v>45824</v>
      </c>
      <c r="D200" t="inlineStr">
        <is>
          <t>VÄSTMANLANDS LÄN</t>
        </is>
      </c>
      <c r="E200" t="inlineStr">
        <is>
          <t>SALA</t>
        </is>
      </c>
      <c r="G200" t="n">
        <v>2.9</v>
      </c>
      <c r="H200" t="n">
        <v>0</v>
      </c>
      <c r="I200" t="n">
        <v>0</v>
      </c>
      <c r="J200" t="n">
        <v>0</v>
      </c>
      <c r="K200" t="n">
        <v>0</v>
      </c>
      <c r="L200" t="n">
        <v>0</v>
      </c>
      <c r="M200" t="n">
        <v>0</v>
      </c>
      <c r="N200" t="n">
        <v>0</v>
      </c>
      <c r="O200" t="n">
        <v>0</v>
      </c>
      <c r="P200" t="n">
        <v>0</v>
      </c>
      <c r="Q200" t="n">
        <v>0</v>
      </c>
      <c r="R200" s="2" t="inlineStr"/>
    </row>
    <row r="201" ht="15" customHeight="1">
      <c r="A201" t="inlineStr">
        <is>
          <t>A 22058-2020</t>
        </is>
      </c>
      <c r="B201" s="1" t="n">
        <v>43959</v>
      </c>
      <c r="C201" s="1" t="n">
        <v>45824</v>
      </c>
      <c r="D201" t="inlineStr">
        <is>
          <t>VÄSTMANLANDS LÄN</t>
        </is>
      </c>
      <c r="E201" t="inlineStr">
        <is>
          <t>SALA</t>
        </is>
      </c>
      <c r="G201" t="n">
        <v>3.1</v>
      </c>
      <c r="H201" t="n">
        <v>0</v>
      </c>
      <c r="I201" t="n">
        <v>0</v>
      </c>
      <c r="J201" t="n">
        <v>0</v>
      </c>
      <c r="K201" t="n">
        <v>0</v>
      </c>
      <c r="L201" t="n">
        <v>0</v>
      </c>
      <c r="M201" t="n">
        <v>0</v>
      </c>
      <c r="N201" t="n">
        <v>0</v>
      </c>
      <c r="O201" t="n">
        <v>0</v>
      </c>
      <c r="P201" t="n">
        <v>0</v>
      </c>
      <c r="Q201" t="n">
        <v>0</v>
      </c>
      <c r="R201" s="2" t="inlineStr"/>
    </row>
    <row r="202" ht="15" customHeight="1">
      <c r="A202" t="inlineStr">
        <is>
          <t>A 24235-2020</t>
        </is>
      </c>
      <c r="B202" s="1" t="n">
        <v>43976</v>
      </c>
      <c r="C202" s="1" t="n">
        <v>45824</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24763-2020</t>
        </is>
      </c>
      <c r="B203" s="1" t="n">
        <v>43978</v>
      </c>
      <c r="C203" s="1" t="n">
        <v>45824</v>
      </c>
      <c r="D203" t="inlineStr">
        <is>
          <t>VÄSTMANLANDS LÄN</t>
        </is>
      </c>
      <c r="E203" t="inlineStr">
        <is>
          <t>SALA</t>
        </is>
      </c>
      <c r="G203" t="n">
        <v>3.6</v>
      </c>
      <c r="H203" t="n">
        <v>0</v>
      </c>
      <c r="I203" t="n">
        <v>0</v>
      </c>
      <c r="J203" t="n">
        <v>0</v>
      </c>
      <c r="K203" t="n">
        <v>0</v>
      </c>
      <c r="L203" t="n">
        <v>0</v>
      </c>
      <c r="M203" t="n">
        <v>0</v>
      </c>
      <c r="N203" t="n">
        <v>0</v>
      </c>
      <c r="O203" t="n">
        <v>0</v>
      </c>
      <c r="P203" t="n">
        <v>0</v>
      </c>
      <c r="Q203" t="n">
        <v>0</v>
      </c>
      <c r="R203" s="2" t="inlineStr"/>
    </row>
    <row r="204" ht="15" customHeight="1">
      <c r="A204" t="inlineStr">
        <is>
          <t>A 26098-2020</t>
        </is>
      </c>
      <c r="B204" s="1" t="n">
        <v>43985</v>
      </c>
      <c r="C204" s="1" t="n">
        <v>45824</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26425-2020</t>
        </is>
      </c>
      <c r="B205" s="1" t="n">
        <v>43987</v>
      </c>
      <c r="C205" s="1" t="n">
        <v>45824</v>
      </c>
      <c r="D205" t="inlineStr">
        <is>
          <t>VÄSTMANLANDS LÄN</t>
        </is>
      </c>
      <c r="E205" t="inlineStr">
        <is>
          <t>SALA</t>
        </is>
      </c>
      <c r="G205" t="n">
        <v>6.3</v>
      </c>
      <c r="H205" t="n">
        <v>0</v>
      </c>
      <c r="I205" t="n">
        <v>0</v>
      </c>
      <c r="J205" t="n">
        <v>0</v>
      </c>
      <c r="K205" t="n">
        <v>0</v>
      </c>
      <c r="L205" t="n">
        <v>0</v>
      </c>
      <c r="M205" t="n">
        <v>0</v>
      </c>
      <c r="N205" t="n">
        <v>0</v>
      </c>
      <c r="O205" t="n">
        <v>0</v>
      </c>
      <c r="P205" t="n">
        <v>0</v>
      </c>
      <c r="Q205" t="n">
        <v>0</v>
      </c>
      <c r="R205" s="2" t="inlineStr"/>
    </row>
    <row r="206" ht="15" customHeight="1">
      <c r="A206" t="inlineStr">
        <is>
          <t>A 26937-2020</t>
        </is>
      </c>
      <c r="B206" s="1" t="n">
        <v>43990</v>
      </c>
      <c r="C206" s="1" t="n">
        <v>45824</v>
      </c>
      <c r="D206" t="inlineStr">
        <is>
          <t>VÄSTMANLANDS LÄN</t>
        </is>
      </c>
      <c r="E206" t="inlineStr">
        <is>
          <t>SALA</t>
        </is>
      </c>
      <c r="F206" t="inlineStr">
        <is>
          <t>Bergvik skog öst AB</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27730-2020</t>
        </is>
      </c>
      <c r="B207" s="1" t="n">
        <v>43994</v>
      </c>
      <c r="C207" s="1" t="n">
        <v>45824</v>
      </c>
      <c r="D207" t="inlineStr">
        <is>
          <t>VÄSTMANLANDS LÄN</t>
        </is>
      </c>
      <c r="E207" t="inlineStr">
        <is>
          <t>SALA</t>
        </is>
      </c>
      <c r="G207" t="n">
        <v>2.1</v>
      </c>
      <c r="H207" t="n">
        <v>0</v>
      </c>
      <c r="I207" t="n">
        <v>0</v>
      </c>
      <c r="J207" t="n">
        <v>0</v>
      </c>
      <c r="K207" t="n">
        <v>0</v>
      </c>
      <c r="L207" t="n">
        <v>0</v>
      </c>
      <c r="M207" t="n">
        <v>0</v>
      </c>
      <c r="N207" t="n">
        <v>0</v>
      </c>
      <c r="O207" t="n">
        <v>0</v>
      </c>
      <c r="P207" t="n">
        <v>0</v>
      </c>
      <c r="Q207" t="n">
        <v>0</v>
      </c>
      <c r="R207" s="2" t="inlineStr"/>
    </row>
    <row r="208" ht="15" customHeight="1">
      <c r="A208" t="inlineStr">
        <is>
          <t>A 29845-2020</t>
        </is>
      </c>
      <c r="B208" s="1" t="n">
        <v>44005</v>
      </c>
      <c r="C208" s="1" t="n">
        <v>45824</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29821-2020</t>
        </is>
      </c>
      <c r="B209" s="1" t="n">
        <v>44005</v>
      </c>
      <c r="C209" s="1" t="n">
        <v>45824</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29925-2020</t>
        </is>
      </c>
      <c r="B210" s="1" t="n">
        <v>44006</v>
      </c>
      <c r="C210" s="1" t="n">
        <v>45824</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30327-2020</t>
        </is>
      </c>
      <c r="B211" s="1" t="n">
        <v>44007</v>
      </c>
      <c r="C211" s="1" t="n">
        <v>45824</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32371-2020</t>
        </is>
      </c>
      <c r="B212" s="1" t="n">
        <v>44018</v>
      </c>
      <c r="C212" s="1" t="n">
        <v>45824</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32367-2020</t>
        </is>
      </c>
      <c r="B213" s="1" t="n">
        <v>44018</v>
      </c>
      <c r="C213" s="1" t="n">
        <v>45824</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32368-2020</t>
        </is>
      </c>
      <c r="B214" s="1" t="n">
        <v>44018</v>
      </c>
      <c r="C214" s="1" t="n">
        <v>45824</v>
      </c>
      <c r="D214" t="inlineStr">
        <is>
          <t>VÄSTMANLANDS LÄN</t>
        </is>
      </c>
      <c r="E214" t="inlineStr">
        <is>
          <t>SALA</t>
        </is>
      </c>
      <c r="G214" t="n">
        <v>3.4</v>
      </c>
      <c r="H214" t="n">
        <v>0</v>
      </c>
      <c r="I214" t="n">
        <v>0</v>
      </c>
      <c r="J214" t="n">
        <v>0</v>
      </c>
      <c r="K214" t="n">
        <v>0</v>
      </c>
      <c r="L214" t="n">
        <v>0</v>
      </c>
      <c r="M214" t="n">
        <v>0</v>
      </c>
      <c r="N214" t="n">
        <v>0</v>
      </c>
      <c r="O214" t="n">
        <v>0</v>
      </c>
      <c r="P214" t="n">
        <v>0</v>
      </c>
      <c r="Q214" t="n">
        <v>0</v>
      </c>
      <c r="R214" s="2" t="inlineStr"/>
    </row>
    <row r="215" ht="15" customHeight="1">
      <c r="A215" t="inlineStr">
        <is>
          <t>A 32377-2020</t>
        </is>
      </c>
      <c r="B215" s="1" t="n">
        <v>44018</v>
      </c>
      <c r="C215" s="1" t="n">
        <v>45824</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33181-2020</t>
        </is>
      </c>
      <c r="B216" s="1" t="n">
        <v>44021</v>
      </c>
      <c r="C216" s="1" t="n">
        <v>45824</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34430-2020</t>
        </is>
      </c>
      <c r="B217" s="1" t="n">
        <v>44032</v>
      </c>
      <c r="C217" s="1" t="n">
        <v>45824</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34429-2020</t>
        </is>
      </c>
      <c r="B218" s="1" t="n">
        <v>44032</v>
      </c>
      <c r="C218" s="1" t="n">
        <v>45824</v>
      </c>
      <c r="D218" t="inlineStr">
        <is>
          <t>VÄSTMANLANDS LÄN</t>
        </is>
      </c>
      <c r="E218" t="inlineStr">
        <is>
          <t>SALA</t>
        </is>
      </c>
      <c r="G218" t="n">
        <v>3.6</v>
      </c>
      <c r="H218" t="n">
        <v>0</v>
      </c>
      <c r="I218" t="n">
        <v>0</v>
      </c>
      <c r="J218" t="n">
        <v>0</v>
      </c>
      <c r="K218" t="n">
        <v>0</v>
      </c>
      <c r="L218" t="n">
        <v>0</v>
      </c>
      <c r="M218" t="n">
        <v>0</v>
      </c>
      <c r="N218" t="n">
        <v>0</v>
      </c>
      <c r="O218" t="n">
        <v>0</v>
      </c>
      <c r="P218" t="n">
        <v>0</v>
      </c>
      <c r="Q218" t="n">
        <v>0</v>
      </c>
      <c r="R218" s="2" t="inlineStr"/>
    </row>
    <row r="219" ht="15" customHeight="1">
      <c r="A219" t="inlineStr">
        <is>
          <t>A 37008-2020</t>
        </is>
      </c>
      <c r="B219" s="1" t="n">
        <v>44054</v>
      </c>
      <c r="C219" s="1" t="n">
        <v>45824</v>
      </c>
      <c r="D219" t="inlineStr">
        <is>
          <t>VÄSTMANLANDS LÄN</t>
        </is>
      </c>
      <c r="E219" t="inlineStr">
        <is>
          <t>SALA</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37098-2020</t>
        </is>
      </c>
      <c r="B220" s="1" t="n">
        <v>44054</v>
      </c>
      <c r="C220" s="1" t="n">
        <v>45824</v>
      </c>
      <c r="D220" t="inlineStr">
        <is>
          <t>VÄSTMANLANDS LÄN</t>
        </is>
      </c>
      <c r="E220" t="inlineStr">
        <is>
          <t>SALA</t>
        </is>
      </c>
      <c r="F220" t="inlineStr">
        <is>
          <t>Kommuner</t>
        </is>
      </c>
      <c r="G220" t="n">
        <v>3.8</v>
      </c>
      <c r="H220" t="n">
        <v>0</v>
      </c>
      <c r="I220" t="n">
        <v>0</v>
      </c>
      <c r="J220" t="n">
        <v>0</v>
      </c>
      <c r="K220" t="n">
        <v>0</v>
      </c>
      <c r="L220" t="n">
        <v>0</v>
      </c>
      <c r="M220" t="n">
        <v>0</v>
      </c>
      <c r="N220" t="n">
        <v>0</v>
      </c>
      <c r="O220" t="n">
        <v>0</v>
      </c>
      <c r="P220" t="n">
        <v>0</v>
      </c>
      <c r="Q220" t="n">
        <v>0</v>
      </c>
      <c r="R220" s="2" t="inlineStr"/>
    </row>
    <row r="221" ht="15" customHeight="1">
      <c r="A221" t="inlineStr">
        <is>
          <t>A 37150-2020</t>
        </is>
      </c>
      <c r="B221" s="1" t="n">
        <v>44054</v>
      </c>
      <c r="C221" s="1" t="n">
        <v>45824</v>
      </c>
      <c r="D221" t="inlineStr">
        <is>
          <t>VÄSTMANLANDS LÄN</t>
        </is>
      </c>
      <c r="E221" t="inlineStr">
        <is>
          <t>SALA</t>
        </is>
      </c>
      <c r="F221" t="inlineStr">
        <is>
          <t>Kommuner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38579-2020</t>
        </is>
      </c>
      <c r="B222" s="1" t="n">
        <v>44061</v>
      </c>
      <c r="C222" s="1" t="n">
        <v>45824</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38713-2020</t>
        </is>
      </c>
      <c r="B223" s="1" t="n">
        <v>44061</v>
      </c>
      <c r="C223" s="1" t="n">
        <v>45824</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39519-2020</t>
        </is>
      </c>
      <c r="B224" s="1" t="n">
        <v>44064</v>
      </c>
      <c r="C224" s="1" t="n">
        <v>45824</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39818-2020</t>
        </is>
      </c>
      <c r="B225" s="1" t="n">
        <v>44067</v>
      </c>
      <c r="C225" s="1" t="n">
        <v>45824</v>
      </c>
      <c r="D225" t="inlineStr">
        <is>
          <t>VÄSTMANLANDS LÄN</t>
        </is>
      </c>
      <c r="E225" t="inlineStr">
        <is>
          <t>SALA</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41493-2020</t>
        </is>
      </c>
      <c r="B226" s="1" t="n">
        <v>44074</v>
      </c>
      <c r="C226" s="1" t="n">
        <v>45824</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41485-2020</t>
        </is>
      </c>
      <c r="B227" s="1" t="n">
        <v>44074</v>
      </c>
      <c r="C227" s="1" t="n">
        <v>45824</v>
      </c>
      <c r="D227" t="inlineStr">
        <is>
          <t>VÄSTMANLANDS LÄN</t>
        </is>
      </c>
      <c r="E227" t="inlineStr">
        <is>
          <t>SALA</t>
        </is>
      </c>
      <c r="G227" t="n">
        <v>4.7</v>
      </c>
      <c r="H227" t="n">
        <v>0</v>
      </c>
      <c r="I227" t="n">
        <v>0</v>
      </c>
      <c r="J227" t="n">
        <v>0</v>
      </c>
      <c r="K227" t="n">
        <v>0</v>
      </c>
      <c r="L227" t="n">
        <v>0</v>
      </c>
      <c r="M227" t="n">
        <v>0</v>
      </c>
      <c r="N227" t="n">
        <v>0</v>
      </c>
      <c r="O227" t="n">
        <v>0</v>
      </c>
      <c r="P227" t="n">
        <v>0</v>
      </c>
      <c r="Q227" t="n">
        <v>0</v>
      </c>
      <c r="R227" s="2" t="inlineStr"/>
    </row>
    <row r="228" ht="15" customHeight="1">
      <c r="A228" t="inlineStr">
        <is>
          <t>A 42344-2020</t>
        </is>
      </c>
      <c r="B228" s="1" t="n">
        <v>44076</v>
      </c>
      <c r="C228" s="1" t="n">
        <v>45824</v>
      </c>
      <c r="D228" t="inlineStr">
        <is>
          <t>VÄSTMANLANDS LÄN</t>
        </is>
      </c>
      <c r="E228" t="inlineStr">
        <is>
          <t>SALA</t>
        </is>
      </c>
      <c r="G228" t="n">
        <v>5.1</v>
      </c>
      <c r="H228" t="n">
        <v>0</v>
      </c>
      <c r="I228" t="n">
        <v>0</v>
      </c>
      <c r="J228" t="n">
        <v>0</v>
      </c>
      <c r="K228" t="n">
        <v>0</v>
      </c>
      <c r="L228" t="n">
        <v>0</v>
      </c>
      <c r="M228" t="n">
        <v>0</v>
      </c>
      <c r="N228" t="n">
        <v>0</v>
      </c>
      <c r="O228" t="n">
        <v>0</v>
      </c>
      <c r="P228" t="n">
        <v>0</v>
      </c>
      <c r="Q228" t="n">
        <v>0</v>
      </c>
      <c r="R228" s="2" t="inlineStr"/>
    </row>
    <row r="229" ht="15" customHeight="1">
      <c r="A229" t="inlineStr">
        <is>
          <t>A 42345-2020</t>
        </is>
      </c>
      <c r="B229" s="1" t="n">
        <v>44076</v>
      </c>
      <c r="C229" s="1" t="n">
        <v>45824</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42346-2020</t>
        </is>
      </c>
      <c r="B230" s="1" t="n">
        <v>44076</v>
      </c>
      <c r="C230" s="1" t="n">
        <v>45824</v>
      </c>
      <c r="D230" t="inlineStr">
        <is>
          <t>VÄSTMANLANDS LÄN</t>
        </is>
      </c>
      <c r="E230" t="inlineStr">
        <is>
          <t>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43349-2020</t>
        </is>
      </c>
      <c r="B231" s="1" t="n">
        <v>44081</v>
      </c>
      <c r="C231" s="1" t="n">
        <v>45824</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44652-2020</t>
        </is>
      </c>
      <c r="B232" s="1" t="n">
        <v>44085</v>
      </c>
      <c r="C232" s="1" t="n">
        <v>45824</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44950-2020</t>
        </is>
      </c>
      <c r="B233" s="1" t="n">
        <v>44088</v>
      </c>
      <c r="C233" s="1" t="n">
        <v>45824</v>
      </c>
      <c r="D233" t="inlineStr">
        <is>
          <t>VÄSTMANLANDS LÄN</t>
        </is>
      </c>
      <c r="E233" t="inlineStr">
        <is>
          <t>SALA</t>
        </is>
      </c>
      <c r="G233" t="n">
        <v>9</v>
      </c>
      <c r="H233" t="n">
        <v>0</v>
      </c>
      <c r="I233" t="n">
        <v>0</v>
      </c>
      <c r="J233" t="n">
        <v>0</v>
      </c>
      <c r="K233" t="n">
        <v>0</v>
      </c>
      <c r="L233" t="n">
        <v>0</v>
      </c>
      <c r="M233" t="n">
        <v>0</v>
      </c>
      <c r="N233" t="n">
        <v>0</v>
      </c>
      <c r="O233" t="n">
        <v>0</v>
      </c>
      <c r="P233" t="n">
        <v>0</v>
      </c>
      <c r="Q233" t="n">
        <v>0</v>
      </c>
      <c r="R233" s="2" t="inlineStr"/>
    </row>
    <row r="234" ht="15" customHeight="1">
      <c r="A234" t="inlineStr">
        <is>
          <t>A 46965-2020</t>
        </is>
      </c>
      <c r="B234" s="1" t="n">
        <v>44096</v>
      </c>
      <c r="C234" s="1" t="n">
        <v>45824</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47054-2020</t>
        </is>
      </c>
      <c r="B235" s="1" t="n">
        <v>44096</v>
      </c>
      <c r="C235" s="1" t="n">
        <v>45824</v>
      </c>
      <c r="D235" t="inlineStr">
        <is>
          <t>VÄSTMANLANDS LÄN</t>
        </is>
      </c>
      <c r="E235" t="inlineStr">
        <is>
          <t>SALA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47208-2020</t>
        </is>
      </c>
      <c r="B236" s="1" t="n">
        <v>44097</v>
      </c>
      <c r="C236" s="1" t="n">
        <v>45824</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50559-2020</t>
        </is>
      </c>
      <c r="B237" s="1" t="n">
        <v>44110</v>
      </c>
      <c r="C237" s="1" t="n">
        <v>45824</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50801-2020</t>
        </is>
      </c>
      <c r="B238" s="1" t="n">
        <v>44111</v>
      </c>
      <c r="C238" s="1" t="n">
        <v>45824</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50818-2020</t>
        </is>
      </c>
      <c r="B239" s="1" t="n">
        <v>44111</v>
      </c>
      <c r="C239" s="1" t="n">
        <v>45824</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54322-2020</t>
        </is>
      </c>
      <c r="B240" s="1" t="n">
        <v>44126</v>
      </c>
      <c r="C240" s="1" t="n">
        <v>45824</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54923-2020</t>
        </is>
      </c>
      <c r="B241" s="1" t="n">
        <v>44127</v>
      </c>
      <c r="C241" s="1" t="n">
        <v>45824</v>
      </c>
      <c r="D241" t="inlineStr">
        <is>
          <t>VÄSTMANLANDS LÄN</t>
        </is>
      </c>
      <c r="E241" t="inlineStr">
        <is>
          <t>SALA</t>
        </is>
      </c>
      <c r="G241" t="n">
        <v>4.9</v>
      </c>
      <c r="H241" t="n">
        <v>0</v>
      </c>
      <c r="I241" t="n">
        <v>0</v>
      </c>
      <c r="J241" t="n">
        <v>0</v>
      </c>
      <c r="K241" t="n">
        <v>0</v>
      </c>
      <c r="L241" t="n">
        <v>0</v>
      </c>
      <c r="M241" t="n">
        <v>0</v>
      </c>
      <c r="N241" t="n">
        <v>0</v>
      </c>
      <c r="O241" t="n">
        <v>0</v>
      </c>
      <c r="P241" t="n">
        <v>0</v>
      </c>
      <c r="Q241" t="n">
        <v>0</v>
      </c>
      <c r="R241" s="2" t="inlineStr"/>
    </row>
    <row r="242" ht="15" customHeight="1">
      <c r="A242" t="inlineStr">
        <is>
          <t>A 54931-2020</t>
        </is>
      </c>
      <c r="B242" s="1" t="n">
        <v>44127</v>
      </c>
      <c r="C242" s="1" t="n">
        <v>45824</v>
      </c>
      <c r="D242" t="inlineStr">
        <is>
          <t>VÄSTMANLANDS LÄN</t>
        </is>
      </c>
      <c r="E242" t="inlineStr">
        <is>
          <t>SALA</t>
        </is>
      </c>
      <c r="G242" t="n">
        <v>7</v>
      </c>
      <c r="H242" t="n">
        <v>0</v>
      </c>
      <c r="I242" t="n">
        <v>0</v>
      </c>
      <c r="J242" t="n">
        <v>0</v>
      </c>
      <c r="K242" t="n">
        <v>0</v>
      </c>
      <c r="L242" t="n">
        <v>0</v>
      </c>
      <c r="M242" t="n">
        <v>0</v>
      </c>
      <c r="N242" t="n">
        <v>0</v>
      </c>
      <c r="O242" t="n">
        <v>0</v>
      </c>
      <c r="P242" t="n">
        <v>0</v>
      </c>
      <c r="Q242" t="n">
        <v>0</v>
      </c>
      <c r="R242" s="2" t="inlineStr"/>
    </row>
    <row r="243" ht="15" customHeight="1">
      <c r="A243" t="inlineStr">
        <is>
          <t>A 55439-2020</t>
        </is>
      </c>
      <c r="B243" s="1" t="n">
        <v>44130</v>
      </c>
      <c r="C243" s="1" t="n">
        <v>45824</v>
      </c>
      <c r="D243" t="inlineStr">
        <is>
          <t>VÄSTMANLANDS LÄN</t>
        </is>
      </c>
      <c r="E243" t="inlineStr">
        <is>
          <t>SALA</t>
        </is>
      </c>
      <c r="G243" t="n">
        <v>4.3</v>
      </c>
      <c r="H243" t="n">
        <v>0</v>
      </c>
      <c r="I243" t="n">
        <v>0</v>
      </c>
      <c r="J243" t="n">
        <v>0</v>
      </c>
      <c r="K243" t="n">
        <v>0</v>
      </c>
      <c r="L243" t="n">
        <v>0</v>
      </c>
      <c r="M243" t="n">
        <v>0</v>
      </c>
      <c r="N243" t="n">
        <v>0</v>
      </c>
      <c r="O243" t="n">
        <v>0</v>
      </c>
      <c r="P243" t="n">
        <v>0</v>
      </c>
      <c r="Q243" t="n">
        <v>0</v>
      </c>
      <c r="R243" s="2" t="inlineStr"/>
    </row>
    <row r="244" ht="15" customHeight="1">
      <c r="A244" t="inlineStr">
        <is>
          <t>A 55881-2020</t>
        </is>
      </c>
      <c r="B244" s="1" t="n">
        <v>44132</v>
      </c>
      <c r="C244" s="1" t="n">
        <v>45824</v>
      </c>
      <c r="D244" t="inlineStr">
        <is>
          <t>VÄSTMANLANDS LÄN</t>
        </is>
      </c>
      <c r="E244" t="inlineStr">
        <is>
          <t>SALA</t>
        </is>
      </c>
      <c r="G244" t="n">
        <v>3</v>
      </c>
      <c r="H244" t="n">
        <v>0</v>
      </c>
      <c r="I244" t="n">
        <v>0</v>
      </c>
      <c r="J244" t="n">
        <v>0</v>
      </c>
      <c r="K244" t="n">
        <v>0</v>
      </c>
      <c r="L244" t="n">
        <v>0</v>
      </c>
      <c r="M244" t="n">
        <v>0</v>
      </c>
      <c r="N244" t="n">
        <v>0</v>
      </c>
      <c r="O244" t="n">
        <v>0</v>
      </c>
      <c r="P244" t="n">
        <v>0</v>
      </c>
      <c r="Q244" t="n">
        <v>0</v>
      </c>
      <c r="R244" s="2" t="inlineStr"/>
    </row>
    <row r="245" ht="15" customHeight="1">
      <c r="A245" t="inlineStr">
        <is>
          <t>A 56134-2020</t>
        </is>
      </c>
      <c r="B245" s="1" t="n">
        <v>44132</v>
      </c>
      <c r="C245" s="1" t="n">
        <v>45824</v>
      </c>
      <c r="D245" t="inlineStr">
        <is>
          <t>VÄSTMANLANDS LÄN</t>
        </is>
      </c>
      <c r="E245" t="inlineStr">
        <is>
          <t>SALA</t>
        </is>
      </c>
      <c r="G245" t="n">
        <v>4.7</v>
      </c>
      <c r="H245" t="n">
        <v>0</v>
      </c>
      <c r="I245" t="n">
        <v>0</v>
      </c>
      <c r="J245" t="n">
        <v>0</v>
      </c>
      <c r="K245" t="n">
        <v>0</v>
      </c>
      <c r="L245" t="n">
        <v>0</v>
      </c>
      <c r="M245" t="n">
        <v>0</v>
      </c>
      <c r="N245" t="n">
        <v>0</v>
      </c>
      <c r="O245" t="n">
        <v>0</v>
      </c>
      <c r="P245" t="n">
        <v>0</v>
      </c>
      <c r="Q245" t="n">
        <v>0</v>
      </c>
      <c r="R245" s="2" t="inlineStr"/>
    </row>
    <row r="246" ht="15" customHeight="1">
      <c r="A246" t="inlineStr">
        <is>
          <t>A 56098-2020</t>
        </is>
      </c>
      <c r="B246" s="1" t="n">
        <v>44132</v>
      </c>
      <c r="C246" s="1" t="n">
        <v>45824</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57800-2020</t>
        </is>
      </c>
      <c r="B247" s="1" t="n">
        <v>44141</v>
      </c>
      <c r="C247" s="1" t="n">
        <v>45824</v>
      </c>
      <c r="D247" t="inlineStr">
        <is>
          <t>VÄSTMANLANDS LÄN</t>
        </is>
      </c>
      <c r="E247" t="inlineStr">
        <is>
          <t>SALA</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45824</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58781-2020</t>
        </is>
      </c>
      <c r="B249" s="1" t="n">
        <v>44146</v>
      </c>
      <c r="C249" s="1" t="n">
        <v>45824</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58912-2020</t>
        </is>
      </c>
      <c r="B250" s="1" t="n">
        <v>44146</v>
      </c>
      <c r="C250" s="1" t="n">
        <v>45824</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61415-2020</t>
        </is>
      </c>
      <c r="B251" s="1" t="n">
        <v>44156</v>
      </c>
      <c r="C251" s="1" t="n">
        <v>45824</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62275-2020</t>
        </is>
      </c>
      <c r="B252" s="1" t="n">
        <v>44158</v>
      </c>
      <c r="C252" s="1" t="n">
        <v>45824</v>
      </c>
      <c r="D252" t="inlineStr">
        <is>
          <t>VÄSTMANLANDS LÄN</t>
        </is>
      </c>
      <c r="E252" t="inlineStr">
        <is>
          <t>SALA</t>
        </is>
      </c>
      <c r="G252" t="n">
        <v>4.9</v>
      </c>
      <c r="H252" t="n">
        <v>0</v>
      </c>
      <c r="I252" t="n">
        <v>0</v>
      </c>
      <c r="J252" t="n">
        <v>0</v>
      </c>
      <c r="K252" t="n">
        <v>0</v>
      </c>
      <c r="L252" t="n">
        <v>0</v>
      </c>
      <c r="M252" t="n">
        <v>0</v>
      </c>
      <c r="N252" t="n">
        <v>0</v>
      </c>
      <c r="O252" t="n">
        <v>0</v>
      </c>
      <c r="P252" t="n">
        <v>0</v>
      </c>
      <c r="Q252" t="n">
        <v>0</v>
      </c>
      <c r="R252" s="2" t="inlineStr"/>
    </row>
    <row r="253" ht="15" customHeight="1">
      <c r="A253" t="inlineStr">
        <is>
          <t>A 62680-2020</t>
        </is>
      </c>
      <c r="B253" s="1" t="n">
        <v>44161</v>
      </c>
      <c r="C253" s="1" t="n">
        <v>45824</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64940-2020</t>
        </is>
      </c>
      <c r="B254" s="1" t="n">
        <v>44172</v>
      </c>
      <c r="C254" s="1" t="n">
        <v>45824</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66821-2020</t>
        </is>
      </c>
      <c r="B255" s="1" t="n">
        <v>44179</v>
      </c>
      <c r="C255" s="1" t="n">
        <v>45824</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68113-2020</t>
        </is>
      </c>
      <c r="B256" s="1" t="n">
        <v>44182</v>
      </c>
      <c r="C256" s="1" t="n">
        <v>45824</v>
      </c>
      <c r="D256" t="inlineStr">
        <is>
          <t>VÄSTMANLANDS LÄN</t>
        </is>
      </c>
      <c r="E256" t="inlineStr">
        <is>
          <t>SALA</t>
        </is>
      </c>
      <c r="G256" t="n">
        <v>3.6</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45824</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69192-2020</t>
        </is>
      </c>
      <c r="B258" s="1" t="n">
        <v>44191</v>
      </c>
      <c r="C258" s="1" t="n">
        <v>45824</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69195-2020</t>
        </is>
      </c>
      <c r="B259" s="1" t="n">
        <v>44191</v>
      </c>
      <c r="C259" s="1" t="n">
        <v>45824</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69319-2020</t>
        </is>
      </c>
      <c r="B260" s="1" t="n">
        <v>44193</v>
      </c>
      <c r="C260" s="1" t="n">
        <v>45824</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69318-2020</t>
        </is>
      </c>
      <c r="B261" s="1" t="n">
        <v>44193</v>
      </c>
      <c r="C261" s="1" t="n">
        <v>45824</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1599-2021</t>
        </is>
      </c>
      <c r="B262" s="1" t="n">
        <v>44209</v>
      </c>
      <c r="C262" s="1" t="n">
        <v>45824</v>
      </c>
      <c r="D262" t="inlineStr">
        <is>
          <t>VÄSTMANLANDS LÄN</t>
        </is>
      </c>
      <c r="E262" t="inlineStr">
        <is>
          <t>SALA</t>
        </is>
      </c>
      <c r="G262" t="n">
        <v>9.6</v>
      </c>
      <c r="H262" t="n">
        <v>0</v>
      </c>
      <c r="I262" t="n">
        <v>0</v>
      </c>
      <c r="J262" t="n">
        <v>0</v>
      </c>
      <c r="K262" t="n">
        <v>0</v>
      </c>
      <c r="L262" t="n">
        <v>0</v>
      </c>
      <c r="M262" t="n">
        <v>0</v>
      </c>
      <c r="N262" t="n">
        <v>0</v>
      </c>
      <c r="O262" t="n">
        <v>0</v>
      </c>
      <c r="P262" t="n">
        <v>0</v>
      </c>
      <c r="Q262" t="n">
        <v>0</v>
      </c>
      <c r="R262" s="2" t="inlineStr"/>
      <c r="U262">
        <f>HYPERLINK("https://klasma.github.io/Logging_1981/knärot/A 1599-2021 karta knärot.png", "A 1599-2021")</f>
        <v/>
      </c>
      <c r="V262">
        <f>HYPERLINK("https://klasma.github.io/Logging_1981/klagomål/A 1599-2021 FSC-klagomål.docx", "A 1599-2021")</f>
        <v/>
      </c>
      <c r="W262">
        <f>HYPERLINK("https://klasma.github.io/Logging_1981/klagomålsmail/A 1599-2021 FSC-klagomål mail.docx", "A 1599-2021")</f>
        <v/>
      </c>
      <c r="X262">
        <f>HYPERLINK("https://klasma.github.io/Logging_1981/tillsyn/A 1599-2021 tillsynsbegäran.docx", "A 1599-2021")</f>
        <v/>
      </c>
      <c r="Y262">
        <f>HYPERLINK("https://klasma.github.io/Logging_1981/tillsynsmail/A 1599-2021 tillsynsbegäran mail.docx", "A 1599-2021")</f>
        <v/>
      </c>
    </row>
    <row r="263" ht="15" customHeight="1">
      <c r="A263" t="inlineStr">
        <is>
          <t>A 2443-2021</t>
        </is>
      </c>
      <c r="B263" s="1" t="n">
        <v>44214</v>
      </c>
      <c r="C263" s="1" t="n">
        <v>45824</v>
      </c>
      <c r="D263" t="inlineStr">
        <is>
          <t>VÄSTMANLANDS LÄN</t>
        </is>
      </c>
      <c r="E263" t="inlineStr">
        <is>
          <t>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4736-2021</t>
        </is>
      </c>
      <c r="B264" s="1" t="n">
        <v>44225</v>
      </c>
      <c r="C264" s="1" t="n">
        <v>45824</v>
      </c>
      <c r="D264" t="inlineStr">
        <is>
          <t>VÄSTMANLANDS LÄN</t>
        </is>
      </c>
      <c r="E264" t="inlineStr">
        <is>
          <t>SALA</t>
        </is>
      </c>
      <c r="G264" t="n">
        <v>4.2</v>
      </c>
      <c r="H264" t="n">
        <v>0</v>
      </c>
      <c r="I264" t="n">
        <v>0</v>
      </c>
      <c r="J264" t="n">
        <v>0</v>
      </c>
      <c r="K264" t="n">
        <v>0</v>
      </c>
      <c r="L264" t="n">
        <v>0</v>
      </c>
      <c r="M264" t="n">
        <v>0</v>
      </c>
      <c r="N264" t="n">
        <v>0</v>
      </c>
      <c r="O264" t="n">
        <v>0</v>
      </c>
      <c r="P264" t="n">
        <v>0</v>
      </c>
      <c r="Q264" t="n">
        <v>0</v>
      </c>
      <c r="R264" s="2" t="inlineStr"/>
    </row>
    <row r="265" ht="15" customHeight="1">
      <c r="A265" t="inlineStr">
        <is>
          <t>A 6088-2021</t>
        </is>
      </c>
      <c r="B265" s="1" t="n">
        <v>44232</v>
      </c>
      <c r="C265" s="1" t="n">
        <v>45824</v>
      </c>
      <c r="D265" t="inlineStr">
        <is>
          <t>VÄSTMANLANDS LÄN</t>
        </is>
      </c>
      <c r="E265" t="inlineStr">
        <is>
          <t>SALA</t>
        </is>
      </c>
      <c r="G265" t="n">
        <v>0.2</v>
      </c>
      <c r="H265" t="n">
        <v>0</v>
      </c>
      <c r="I265" t="n">
        <v>0</v>
      </c>
      <c r="J265" t="n">
        <v>0</v>
      </c>
      <c r="K265" t="n">
        <v>0</v>
      </c>
      <c r="L265" t="n">
        <v>0</v>
      </c>
      <c r="M265" t="n">
        <v>0</v>
      </c>
      <c r="N265" t="n">
        <v>0</v>
      </c>
      <c r="O265" t="n">
        <v>0</v>
      </c>
      <c r="P265" t="n">
        <v>0</v>
      </c>
      <c r="Q265" t="n">
        <v>0</v>
      </c>
      <c r="R265" s="2" t="inlineStr"/>
    </row>
    <row r="266" ht="15" customHeight="1">
      <c r="A266" t="inlineStr">
        <is>
          <t>A 6308-2021</t>
        </is>
      </c>
      <c r="B266" s="1" t="n">
        <v>44235</v>
      </c>
      <c r="C266" s="1" t="n">
        <v>45824</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7681-2021</t>
        </is>
      </c>
      <c r="B267" s="1" t="n">
        <v>44242</v>
      </c>
      <c r="C267" s="1" t="n">
        <v>45824</v>
      </c>
      <c r="D267" t="inlineStr">
        <is>
          <t>VÄSTMANLANDS LÄN</t>
        </is>
      </c>
      <c r="E267" t="inlineStr">
        <is>
          <t>SALA</t>
        </is>
      </c>
      <c r="F267" t="inlineStr">
        <is>
          <t>Sveaskog</t>
        </is>
      </c>
      <c r="G267" t="n">
        <v>16.1</v>
      </c>
      <c r="H267" t="n">
        <v>0</v>
      </c>
      <c r="I267" t="n">
        <v>0</v>
      </c>
      <c r="J267" t="n">
        <v>0</v>
      </c>
      <c r="K267" t="n">
        <v>0</v>
      </c>
      <c r="L267" t="n">
        <v>0</v>
      </c>
      <c r="M267" t="n">
        <v>0</v>
      </c>
      <c r="N267" t="n">
        <v>0</v>
      </c>
      <c r="O267" t="n">
        <v>0</v>
      </c>
      <c r="P267" t="n">
        <v>0</v>
      </c>
      <c r="Q267" t="n">
        <v>0</v>
      </c>
      <c r="R267" s="2" t="inlineStr"/>
    </row>
    <row r="268" ht="15" customHeight="1">
      <c r="A268" t="inlineStr">
        <is>
          <t>A 7968-2021</t>
        </is>
      </c>
      <c r="B268" s="1" t="n">
        <v>44243</v>
      </c>
      <c r="C268" s="1" t="n">
        <v>45824</v>
      </c>
      <c r="D268" t="inlineStr">
        <is>
          <t>VÄSTMANLANDS LÄN</t>
        </is>
      </c>
      <c r="E268" t="inlineStr">
        <is>
          <t>SALA</t>
        </is>
      </c>
      <c r="G268" t="n">
        <v>3.1</v>
      </c>
      <c r="H268" t="n">
        <v>0</v>
      </c>
      <c r="I268" t="n">
        <v>0</v>
      </c>
      <c r="J268" t="n">
        <v>0</v>
      </c>
      <c r="K268" t="n">
        <v>0</v>
      </c>
      <c r="L268" t="n">
        <v>0</v>
      </c>
      <c r="M268" t="n">
        <v>0</v>
      </c>
      <c r="N268" t="n">
        <v>0</v>
      </c>
      <c r="O268" t="n">
        <v>0</v>
      </c>
      <c r="P268" t="n">
        <v>0</v>
      </c>
      <c r="Q268" t="n">
        <v>0</v>
      </c>
      <c r="R268" s="2" t="inlineStr"/>
    </row>
    <row r="269" ht="15" customHeight="1">
      <c r="A269" t="inlineStr">
        <is>
          <t>A 7955-2021</t>
        </is>
      </c>
      <c r="B269" s="1" t="n">
        <v>44243</v>
      </c>
      <c r="C269" s="1" t="n">
        <v>45824</v>
      </c>
      <c r="D269" t="inlineStr">
        <is>
          <t>VÄSTMANLANDS LÄN</t>
        </is>
      </c>
      <c r="E269" t="inlineStr">
        <is>
          <t>SALA</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8513-2021</t>
        </is>
      </c>
      <c r="B270" s="1" t="n">
        <v>44244</v>
      </c>
      <c r="C270" s="1" t="n">
        <v>45824</v>
      </c>
      <c r="D270" t="inlineStr">
        <is>
          <t>VÄSTMANLANDS LÄN</t>
        </is>
      </c>
      <c r="E270" t="inlineStr">
        <is>
          <t>SALA</t>
        </is>
      </c>
      <c r="G270" t="n">
        <v>1</v>
      </c>
      <c r="H270" t="n">
        <v>0</v>
      </c>
      <c r="I270" t="n">
        <v>0</v>
      </c>
      <c r="J270" t="n">
        <v>0</v>
      </c>
      <c r="K270" t="n">
        <v>0</v>
      </c>
      <c r="L270" t="n">
        <v>0</v>
      </c>
      <c r="M270" t="n">
        <v>0</v>
      </c>
      <c r="N270" t="n">
        <v>0</v>
      </c>
      <c r="O270" t="n">
        <v>0</v>
      </c>
      <c r="P270" t="n">
        <v>0</v>
      </c>
      <c r="Q270" t="n">
        <v>0</v>
      </c>
      <c r="R270" s="2" t="inlineStr"/>
    </row>
    <row r="271" ht="15" customHeight="1">
      <c r="A271" t="inlineStr">
        <is>
          <t>A 10154-2021</t>
        </is>
      </c>
      <c r="B271" s="1" t="n">
        <v>44256</v>
      </c>
      <c r="C271" s="1" t="n">
        <v>45824</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10812-2021</t>
        </is>
      </c>
      <c r="B272" s="1" t="n">
        <v>44259</v>
      </c>
      <c r="C272" s="1" t="n">
        <v>45824</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11017-2021</t>
        </is>
      </c>
      <c r="B273" s="1" t="n">
        <v>44260</v>
      </c>
      <c r="C273" s="1" t="n">
        <v>45824</v>
      </c>
      <c r="D273" t="inlineStr">
        <is>
          <t>VÄSTMANLANDS LÄN</t>
        </is>
      </c>
      <c r="E273" t="inlineStr">
        <is>
          <t>SALA</t>
        </is>
      </c>
      <c r="F273" t="inlineStr">
        <is>
          <t>Kyrkan</t>
        </is>
      </c>
      <c r="G273" t="n">
        <v>1.2</v>
      </c>
      <c r="H273" t="n">
        <v>0</v>
      </c>
      <c r="I273" t="n">
        <v>0</v>
      </c>
      <c r="J273" t="n">
        <v>0</v>
      </c>
      <c r="K273" t="n">
        <v>0</v>
      </c>
      <c r="L273" t="n">
        <v>0</v>
      </c>
      <c r="M273" t="n">
        <v>0</v>
      </c>
      <c r="N273" t="n">
        <v>0</v>
      </c>
      <c r="O273" t="n">
        <v>0</v>
      </c>
      <c r="P273" t="n">
        <v>0</v>
      </c>
      <c r="Q273" t="n">
        <v>0</v>
      </c>
      <c r="R273" s="2" t="inlineStr"/>
    </row>
    <row r="274" ht="15" customHeight="1">
      <c r="A274" t="inlineStr">
        <is>
          <t>A 11007-2021</t>
        </is>
      </c>
      <c r="B274" s="1" t="n">
        <v>44260</v>
      </c>
      <c r="C274" s="1" t="n">
        <v>45824</v>
      </c>
      <c r="D274" t="inlineStr">
        <is>
          <t>VÄSTMANLANDS LÄN</t>
        </is>
      </c>
      <c r="E274" t="inlineStr">
        <is>
          <t>SALA</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11560-2021</t>
        </is>
      </c>
      <c r="B275" s="1" t="n">
        <v>44264</v>
      </c>
      <c r="C275" s="1" t="n">
        <v>45824</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13112-2021</t>
        </is>
      </c>
      <c r="B276" s="1" t="n">
        <v>44272</v>
      </c>
      <c r="C276" s="1" t="n">
        <v>45824</v>
      </c>
      <c r="D276" t="inlineStr">
        <is>
          <t>VÄSTMANLANDS LÄN</t>
        </is>
      </c>
      <c r="E276" t="inlineStr">
        <is>
          <t>SALA</t>
        </is>
      </c>
      <c r="G276" t="n">
        <v>3.7</v>
      </c>
      <c r="H276" t="n">
        <v>0</v>
      </c>
      <c r="I276" t="n">
        <v>0</v>
      </c>
      <c r="J276" t="n">
        <v>0</v>
      </c>
      <c r="K276" t="n">
        <v>0</v>
      </c>
      <c r="L276" t="n">
        <v>0</v>
      </c>
      <c r="M276" t="n">
        <v>0</v>
      </c>
      <c r="N276" t="n">
        <v>0</v>
      </c>
      <c r="O276" t="n">
        <v>0</v>
      </c>
      <c r="P276" t="n">
        <v>0</v>
      </c>
      <c r="Q276" t="n">
        <v>0</v>
      </c>
      <c r="R276" s="2" t="inlineStr"/>
    </row>
    <row r="277" ht="15" customHeight="1">
      <c r="A277" t="inlineStr">
        <is>
          <t>A 14010-2021</t>
        </is>
      </c>
      <c r="B277" s="1" t="n">
        <v>44277</v>
      </c>
      <c r="C277" s="1" t="n">
        <v>45824</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15354-2021</t>
        </is>
      </c>
      <c r="B278" s="1" t="n">
        <v>44284</v>
      </c>
      <c r="C278" s="1" t="n">
        <v>45824</v>
      </c>
      <c r="D278" t="inlineStr">
        <is>
          <t>VÄSTMANLANDS LÄN</t>
        </is>
      </c>
      <c r="E278" t="inlineStr">
        <is>
          <t>SALA</t>
        </is>
      </c>
      <c r="F278" t="inlineStr">
        <is>
          <t>Kyrkan</t>
        </is>
      </c>
      <c r="G278" t="n">
        <v>8.5</v>
      </c>
      <c r="H278" t="n">
        <v>0</v>
      </c>
      <c r="I278" t="n">
        <v>0</v>
      </c>
      <c r="J278" t="n">
        <v>0</v>
      </c>
      <c r="K278" t="n">
        <v>0</v>
      </c>
      <c r="L278" t="n">
        <v>0</v>
      </c>
      <c r="M278" t="n">
        <v>0</v>
      </c>
      <c r="N278" t="n">
        <v>0</v>
      </c>
      <c r="O278" t="n">
        <v>0</v>
      </c>
      <c r="P278" t="n">
        <v>0</v>
      </c>
      <c r="Q278" t="n">
        <v>0</v>
      </c>
      <c r="R278" s="2" t="inlineStr"/>
    </row>
    <row r="279" ht="15" customHeight="1">
      <c r="A279" t="inlineStr">
        <is>
          <t>A 15483-2021</t>
        </is>
      </c>
      <c r="B279" s="1" t="n">
        <v>44285</v>
      </c>
      <c r="C279" s="1" t="n">
        <v>45824</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15584-2021</t>
        </is>
      </c>
      <c r="B280" s="1" t="n">
        <v>44285</v>
      </c>
      <c r="C280" s="1" t="n">
        <v>45824</v>
      </c>
      <c r="D280" t="inlineStr">
        <is>
          <t>VÄSTMANLANDS LÄN</t>
        </is>
      </c>
      <c r="E280" t="inlineStr">
        <is>
          <t>SALA</t>
        </is>
      </c>
      <c r="G280" t="n">
        <v>3.4</v>
      </c>
      <c r="H280" t="n">
        <v>0</v>
      </c>
      <c r="I280" t="n">
        <v>0</v>
      </c>
      <c r="J280" t="n">
        <v>0</v>
      </c>
      <c r="K280" t="n">
        <v>0</v>
      </c>
      <c r="L280" t="n">
        <v>0</v>
      </c>
      <c r="M280" t="n">
        <v>0</v>
      </c>
      <c r="N280" t="n">
        <v>0</v>
      </c>
      <c r="O280" t="n">
        <v>0</v>
      </c>
      <c r="P280" t="n">
        <v>0</v>
      </c>
      <c r="Q280" t="n">
        <v>0</v>
      </c>
      <c r="R280" s="2" t="inlineStr"/>
    </row>
    <row r="281" ht="15" customHeight="1">
      <c r="A281" t="inlineStr">
        <is>
          <t>A 16651-2021</t>
        </is>
      </c>
      <c r="B281" s="1" t="n">
        <v>44294</v>
      </c>
      <c r="C281" s="1" t="n">
        <v>45824</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18046-2021</t>
        </is>
      </c>
      <c r="B282" s="1" t="n">
        <v>44301</v>
      </c>
      <c r="C282" s="1" t="n">
        <v>45824</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18189-2021</t>
        </is>
      </c>
      <c r="B283" s="1" t="n">
        <v>44302</v>
      </c>
      <c r="C283" s="1" t="n">
        <v>45824</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18259-2021</t>
        </is>
      </c>
      <c r="B284" s="1" t="n">
        <v>44305</v>
      </c>
      <c r="C284" s="1" t="n">
        <v>45824</v>
      </c>
      <c r="D284" t="inlineStr">
        <is>
          <t>VÄSTMANLANDS LÄN</t>
        </is>
      </c>
      <c r="E284" t="inlineStr">
        <is>
          <t>SALA</t>
        </is>
      </c>
      <c r="G284" t="n">
        <v>0</v>
      </c>
      <c r="H284" t="n">
        <v>0</v>
      </c>
      <c r="I284" t="n">
        <v>0</v>
      </c>
      <c r="J284" t="n">
        <v>0</v>
      </c>
      <c r="K284" t="n">
        <v>0</v>
      </c>
      <c r="L284" t="n">
        <v>0</v>
      </c>
      <c r="M284" t="n">
        <v>0</v>
      </c>
      <c r="N284" t="n">
        <v>0</v>
      </c>
      <c r="O284" t="n">
        <v>0</v>
      </c>
      <c r="P284" t="n">
        <v>0</v>
      </c>
      <c r="Q284" t="n">
        <v>0</v>
      </c>
      <c r="R284" s="2" t="inlineStr"/>
    </row>
    <row r="285" ht="15" customHeight="1">
      <c r="A285" t="inlineStr">
        <is>
          <t>A 18378-2021</t>
        </is>
      </c>
      <c r="B285" s="1" t="n">
        <v>44305</v>
      </c>
      <c r="C285" s="1" t="n">
        <v>45824</v>
      </c>
      <c r="D285" t="inlineStr">
        <is>
          <t>VÄSTMANLANDS LÄN</t>
        </is>
      </c>
      <c r="E285" t="inlineStr">
        <is>
          <t>SALA</t>
        </is>
      </c>
      <c r="F285" t="inlineStr">
        <is>
          <t>Kommuner</t>
        </is>
      </c>
      <c r="G285" t="n">
        <v>0.9</v>
      </c>
      <c r="H285" t="n">
        <v>0</v>
      </c>
      <c r="I285" t="n">
        <v>0</v>
      </c>
      <c r="J285" t="n">
        <v>0</v>
      </c>
      <c r="K285" t="n">
        <v>0</v>
      </c>
      <c r="L285" t="n">
        <v>0</v>
      </c>
      <c r="M285" t="n">
        <v>0</v>
      </c>
      <c r="N285" t="n">
        <v>0</v>
      </c>
      <c r="O285" t="n">
        <v>0</v>
      </c>
      <c r="P285" t="n">
        <v>0</v>
      </c>
      <c r="Q285" t="n">
        <v>0</v>
      </c>
      <c r="R285" s="2" t="inlineStr"/>
    </row>
    <row r="286" ht="15" customHeight="1">
      <c r="A286" t="inlineStr">
        <is>
          <t>A 18385-2021</t>
        </is>
      </c>
      <c r="B286" s="1" t="n">
        <v>44305</v>
      </c>
      <c r="C286" s="1" t="n">
        <v>45824</v>
      </c>
      <c r="D286" t="inlineStr">
        <is>
          <t>VÄSTMANLANDS LÄN</t>
        </is>
      </c>
      <c r="E286" t="inlineStr">
        <is>
          <t>SALA</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18951-2021</t>
        </is>
      </c>
      <c r="B287" s="1" t="n">
        <v>44308</v>
      </c>
      <c r="C287" s="1" t="n">
        <v>45824</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21458-2021</t>
        </is>
      </c>
      <c r="B288" s="1" t="n">
        <v>44321</v>
      </c>
      <c r="C288" s="1" t="n">
        <v>45824</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21478-2021</t>
        </is>
      </c>
      <c r="B289" s="1" t="n">
        <v>44321</v>
      </c>
      <c r="C289" s="1" t="n">
        <v>45824</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22019-2021</t>
        </is>
      </c>
      <c r="B290" s="1" t="n">
        <v>44323</v>
      </c>
      <c r="C290" s="1" t="n">
        <v>45824</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22026-2021</t>
        </is>
      </c>
      <c r="B291" s="1" t="n">
        <v>44323</v>
      </c>
      <c r="C291" s="1" t="n">
        <v>45824</v>
      </c>
      <c r="D291" t="inlineStr">
        <is>
          <t>VÄSTMANLANDS LÄN</t>
        </is>
      </c>
      <c r="E291" t="inlineStr">
        <is>
          <t>SALA</t>
        </is>
      </c>
      <c r="G291" t="n">
        <v>2.9</v>
      </c>
      <c r="H291" t="n">
        <v>0</v>
      </c>
      <c r="I291" t="n">
        <v>0</v>
      </c>
      <c r="J291" t="n">
        <v>0</v>
      </c>
      <c r="K291" t="n">
        <v>0</v>
      </c>
      <c r="L291" t="n">
        <v>0</v>
      </c>
      <c r="M291" t="n">
        <v>0</v>
      </c>
      <c r="N291" t="n">
        <v>0</v>
      </c>
      <c r="O291" t="n">
        <v>0</v>
      </c>
      <c r="P291" t="n">
        <v>0</v>
      </c>
      <c r="Q291" t="n">
        <v>0</v>
      </c>
      <c r="R291" s="2" t="inlineStr"/>
    </row>
    <row r="292" ht="15" customHeight="1">
      <c r="A292" t="inlineStr">
        <is>
          <t>A 22017-2021</t>
        </is>
      </c>
      <c r="B292" s="1" t="n">
        <v>44323</v>
      </c>
      <c r="C292" s="1" t="n">
        <v>45824</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22362-2021</t>
        </is>
      </c>
      <c r="B293" s="1" t="n">
        <v>44326</v>
      </c>
      <c r="C293" s="1" t="n">
        <v>45824</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23696-2021</t>
        </is>
      </c>
      <c r="B294" s="1" t="n">
        <v>44334</v>
      </c>
      <c r="C294" s="1" t="n">
        <v>45824</v>
      </c>
      <c r="D294" t="inlineStr">
        <is>
          <t>VÄSTMANLANDS LÄN</t>
        </is>
      </c>
      <c r="E294" t="inlineStr">
        <is>
          <t>SALA</t>
        </is>
      </c>
      <c r="G294" t="n">
        <v>2.4</v>
      </c>
      <c r="H294" t="n">
        <v>0</v>
      </c>
      <c r="I294" t="n">
        <v>0</v>
      </c>
      <c r="J294" t="n">
        <v>0</v>
      </c>
      <c r="K294" t="n">
        <v>0</v>
      </c>
      <c r="L294" t="n">
        <v>0</v>
      </c>
      <c r="M294" t="n">
        <v>0</v>
      </c>
      <c r="N294" t="n">
        <v>0</v>
      </c>
      <c r="O294" t="n">
        <v>0</v>
      </c>
      <c r="P294" t="n">
        <v>0</v>
      </c>
      <c r="Q294" t="n">
        <v>0</v>
      </c>
      <c r="R294" s="2" t="inlineStr"/>
    </row>
    <row r="295" ht="15" customHeight="1">
      <c r="A295" t="inlineStr">
        <is>
          <t>A 23693-2021</t>
        </is>
      </c>
      <c r="B295" s="1" t="n">
        <v>44334</v>
      </c>
      <c r="C295" s="1" t="n">
        <v>45824</v>
      </c>
      <c r="D295" t="inlineStr">
        <is>
          <t>VÄSTMANLANDS LÄN</t>
        </is>
      </c>
      <c r="E295" t="inlineStr">
        <is>
          <t>SALA</t>
        </is>
      </c>
      <c r="G295" t="n">
        <v>8.4</v>
      </c>
      <c r="H295" t="n">
        <v>0</v>
      </c>
      <c r="I295" t="n">
        <v>0</v>
      </c>
      <c r="J295" t="n">
        <v>0</v>
      </c>
      <c r="K295" t="n">
        <v>0</v>
      </c>
      <c r="L295" t="n">
        <v>0</v>
      </c>
      <c r="M295" t="n">
        <v>0</v>
      </c>
      <c r="N295" t="n">
        <v>0</v>
      </c>
      <c r="O295" t="n">
        <v>0</v>
      </c>
      <c r="P295" t="n">
        <v>0</v>
      </c>
      <c r="Q295" t="n">
        <v>0</v>
      </c>
      <c r="R295" s="2" t="inlineStr"/>
    </row>
    <row r="296" ht="15" customHeight="1">
      <c r="A296" t="inlineStr">
        <is>
          <t>A 24740-2021</t>
        </is>
      </c>
      <c r="B296" s="1" t="n">
        <v>44340</v>
      </c>
      <c r="C296" s="1" t="n">
        <v>45824</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24823-2021</t>
        </is>
      </c>
      <c r="B297" s="1" t="n">
        <v>44340</v>
      </c>
      <c r="C297" s="1" t="n">
        <v>45824</v>
      </c>
      <c r="D297" t="inlineStr">
        <is>
          <t>VÄSTMANLANDS LÄN</t>
        </is>
      </c>
      <c r="E297" t="inlineStr">
        <is>
          <t>SALA</t>
        </is>
      </c>
      <c r="G297" t="n">
        <v>4.9</v>
      </c>
      <c r="H297" t="n">
        <v>0</v>
      </c>
      <c r="I297" t="n">
        <v>0</v>
      </c>
      <c r="J297" t="n">
        <v>0</v>
      </c>
      <c r="K297" t="n">
        <v>0</v>
      </c>
      <c r="L297" t="n">
        <v>0</v>
      </c>
      <c r="M297" t="n">
        <v>0</v>
      </c>
      <c r="N297" t="n">
        <v>0</v>
      </c>
      <c r="O297" t="n">
        <v>0</v>
      </c>
      <c r="P297" t="n">
        <v>0</v>
      </c>
      <c r="Q297" t="n">
        <v>0</v>
      </c>
      <c r="R297" s="2" t="inlineStr"/>
    </row>
    <row r="298" ht="15" customHeight="1">
      <c r="A298" t="inlineStr">
        <is>
          <t>A 24755-2021</t>
        </is>
      </c>
      <c r="B298" s="1" t="n">
        <v>44340</v>
      </c>
      <c r="C298" s="1" t="n">
        <v>45824</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26579-2021</t>
        </is>
      </c>
      <c r="B299" s="1" t="n">
        <v>44348</v>
      </c>
      <c r="C299" s="1" t="n">
        <v>45824</v>
      </c>
      <c r="D299" t="inlineStr">
        <is>
          <t>VÄSTMANLANDS LÄN</t>
        </is>
      </c>
      <c r="E299" t="inlineStr">
        <is>
          <t>SALA</t>
        </is>
      </c>
      <c r="G299" t="n">
        <v>1.6</v>
      </c>
      <c r="H299" t="n">
        <v>0</v>
      </c>
      <c r="I299" t="n">
        <v>0</v>
      </c>
      <c r="J299" t="n">
        <v>0</v>
      </c>
      <c r="K299" t="n">
        <v>0</v>
      </c>
      <c r="L299" t="n">
        <v>0</v>
      </c>
      <c r="M299" t="n">
        <v>0</v>
      </c>
      <c r="N299" t="n">
        <v>0</v>
      </c>
      <c r="O299" t="n">
        <v>0</v>
      </c>
      <c r="P299" t="n">
        <v>0</v>
      </c>
      <c r="Q299" t="n">
        <v>0</v>
      </c>
      <c r="R299" s="2" t="inlineStr"/>
    </row>
    <row r="300" ht="15" customHeight="1">
      <c r="A300" t="inlineStr">
        <is>
          <t>A 26570-2021</t>
        </is>
      </c>
      <c r="B300" s="1" t="n">
        <v>44348</v>
      </c>
      <c r="C300" s="1" t="n">
        <v>45824</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26575-2021</t>
        </is>
      </c>
      <c r="B301" s="1" t="n">
        <v>44348</v>
      </c>
      <c r="C301" s="1" t="n">
        <v>45824</v>
      </c>
      <c r="D301" t="inlineStr">
        <is>
          <t>VÄSTMANLANDS LÄN</t>
        </is>
      </c>
      <c r="E301" t="inlineStr">
        <is>
          <t>SALA</t>
        </is>
      </c>
      <c r="G301" t="n">
        <v>2.7</v>
      </c>
      <c r="H301" t="n">
        <v>0</v>
      </c>
      <c r="I301" t="n">
        <v>0</v>
      </c>
      <c r="J301" t="n">
        <v>0</v>
      </c>
      <c r="K301" t="n">
        <v>0</v>
      </c>
      <c r="L301" t="n">
        <v>0</v>
      </c>
      <c r="M301" t="n">
        <v>0</v>
      </c>
      <c r="N301" t="n">
        <v>0</v>
      </c>
      <c r="O301" t="n">
        <v>0</v>
      </c>
      <c r="P301" t="n">
        <v>0</v>
      </c>
      <c r="Q301" t="n">
        <v>0</v>
      </c>
      <c r="R301" s="2" t="inlineStr"/>
    </row>
    <row r="302" ht="15" customHeight="1">
      <c r="A302" t="inlineStr">
        <is>
          <t>A 28425-2021</t>
        </is>
      </c>
      <c r="B302" s="1" t="n">
        <v>44356</v>
      </c>
      <c r="C302" s="1" t="n">
        <v>45824</v>
      </c>
      <c r="D302" t="inlineStr">
        <is>
          <t>VÄSTMANLANDS LÄN</t>
        </is>
      </c>
      <c r="E302" t="inlineStr">
        <is>
          <t>SALA</t>
        </is>
      </c>
      <c r="G302" t="n">
        <v>3.7</v>
      </c>
      <c r="H302" t="n">
        <v>0</v>
      </c>
      <c r="I302" t="n">
        <v>0</v>
      </c>
      <c r="J302" t="n">
        <v>0</v>
      </c>
      <c r="K302" t="n">
        <v>0</v>
      </c>
      <c r="L302" t="n">
        <v>0</v>
      </c>
      <c r="M302" t="n">
        <v>0</v>
      </c>
      <c r="N302" t="n">
        <v>0</v>
      </c>
      <c r="O302" t="n">
        <v>0</v>
      </c>
      <c r="P302" t="n">
        <v>0</v>
      </c>
      <c r="Q302" t="n">
        <v>0</v>
      </c>
      <c r="R302" s="2" t="inlineStr"/>
    </row>
    <row r="303" ht="15" customHeight="1">
      <c r="A303" t="inlineStr">
        <is>
          <t>A 30170-2021</t>
        </is>
      </c>
      <c r="B303" s="1" t="n">
        <v>44363</v>
      </c>
      <c r="C303" s="1" t="n">
        <v>45824</v>
      </c>
      <c r="D303" t="inlineStr">
        <is>
          <t>VÄSTMANLANDS LÄN</t>
        </is>
      </c>
      <c r="E303" t="inlineStr">
        <is>
          <t>SALA</t>
        </is>
      </c>
      <c r="G303" t="n">
        <v>7.2</v>
      </c>
      <c r="H303" t="n">
        <v>0</v>
      </c>
      <c r="I303" t="n">
        <v>0</v>
      </c>
      <c r="J303" t="n">
        <v>0</v>
      </c>
      <c r="K303" t="n">
        <v>0</v>
      </c>
      <c r="L303" t="n">
        <v>0</v>
      </c>
      <c r="M303" t="n">
        <v>0</v>
      </c>
      <c r="N303" t="n">
        <v>0</v>
      </c>
      <c r="O303" t="n">
        <v>0</v>
      </c>
      <c r="P303" t="n">
        <v>0</v>
      </c>
      <c r="Q303" t="n">
        <v>0</v>
      </c>
      <c r="R303" s="2" t="inlineStr"/>
    </row>
    <row r="304" ht="15" customHeight="1">
      <c r="A304" t="inlineStr">
        <is>
          <t>A 30859-2021</t>
        </is>
      </c>
      <c r="B304" s="1" t="n">
        <v>44365</v>
      </c>
      <c r="C304" s="1" t="n">
        <v>45824</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30904-2021</t>
        </is>
      </c>
      <c r="B305" s="1" t="n">
        <v>44365</v>
      </c>
      <c r="C305" s="1" t="n">
        <v>45824</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30915-2021</t>
        </is>
      </c>
      <c r="B306" s="1" t="n">
        <v>44365</v>
      </c>
      <c r="C306" s="1" t="n">
        <v>45824</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30925-2021</t>
        </is>
      </c>
      <c r="B307" s="1" t="n">
        <v>44365</v>
      </c>
      <c r="C307" s="1" t="n">
        <v>45824</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30918-2021</t>
        </is>
      </c>
      <c r="B308" s="1" t="n">
        <v>44365</v>
      </c>
      <c r="C308" s="1" t="n">
        <v>45824</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31072-2021</t>
        </is>
      </c>
      <c r="B309" s="1" t="n">
        <v>44368</v>
      </c>
      <c r="C309" s="1" t="n">
        <v>45824</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31082-2021</t>
        </is>
      </c>
      <c r="B310" s="1" t="n">
        <v>44368</v>
      </c>
      <c r="C310" s="1" t="n">
        <v>45824</v>
      </c>
      <c r="D310" t="inlineStr">
        <is>
          <t>VÄSTMANLANDS LÄN</t>
        </is>
      </c>
      <c r="E310" t="inlineStr">
        <is>
          <t>SALA</t>
        </is>
      </c>
      <c r="G310" t="n">
        <v>2</v>
      </c>
      <c r="H310" t="n">
        <v>0</v>
      </c>
      <c r="I310" t="n">
        <v>0</v>
      </c>
      <c r="J310" t="n">
        <v>0</v>
      </c>
      <c r="K310" t="n">
        <v>0</v>
      </c>
      <c r="L310" t="n">
        <v>0</v>
      </c>
      <c r="M310" t="n">
        <v>0</v>
      </c>
      <c r="N310" t="n">
        <v>0</v>
      </c>
      <c r="O310" t="n">
        <v>0</v>
      </c>
      <c r="P310" t="n">
        <v>0</v>
      </c>
      <c r="Q310" t="n">
        <v>0</v>
      </c>
      <c r="R310" s="2" t="inlineStr"/>
    </row>
    <row r="311" ht="15" customHeight="1">
      <c r="A311" t="inlineStr">
        <is>
          <t>A 31452-2021</t>
        </is>
      </c>
      <c r="B311" s="1" t="n">
        <v>44369</v>
      </c>
      <c r="C311" s="1" t="n">
        <v>45824</v>
      </c>
      <c r="D311" t="inlineStr">
        <is>
          <t>VÄSTMANLANDS LÄN</t>
        </is>
      </c>
      <c r="E311" t="inlineStr">
        <is>
          <t>SALA</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31470-2021</t>
        </is>
      </c>
      <c r="B312" s="1" t="n">
        <v>44369</v>
      </c>
      <c r="C312" s="1" t="n">
        <v>45824</v>
      </c>
      <c r="D312" t="inlineStr">
        <is>
          <t>VÄSTMANLANDS LÄN</t>
        </is>
      </c>
      <c r="E312" t="inlineStr">
        <is>
          <t>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31904-2021</t>
        </is>
      </c>
      <c r="B313" s="1" t="n">
        <v>44370</v>
      </c>
      <c r="C313" s="1" t="n">
        <v>45824</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32610-2021</t>
        </is>
      </c>
      <c r="B314" s="1" t="n">
        <v>44375</v>
      </c>
      <c r="C314" s="1" t="n">
        <v>45824</v>
      </c>
      <c r="D314" t="inlineStr">
        <is>
          <t>VÄSTMANLANDS LÄN</t>
        </is>
      </c>
      <c r="E314" t="inlineStr">
        <is>
          <t>SALA</t>
        </is>
      </c>
      <c r="F314" t="inlineStr">
        <is>
          <t>Sveaskog</t>
        </is>
      </c>
      <c r="G314" t="n">
        <v>4.1</v>
      </c>
      <c r="H314" t="n">
        <v>0</v>
      </c>
      <c r="I314" t="n">
        <v>0</v>
      </c>
      <c r="J314" t="n">
        <v>0</v>
      </c>
      <c r="K314" t="n">
        <v>0</v>
      </c>
      <c r="L314" t="n">
        <v>0</v>
      </c>
      <c r="M314" t="n">
        <v>0</v>
      </c>
      <c r="N314" t="n">
        <v>0</v>
      </c>
      <c r="O314" t="n">
        <v>0</v>
      </c>
      <c r="P314" t="n">
        <v>0</v>
      </c>
      <c r="Q314" t="n">
        <v>0</v>
      </c>
      <c r="R314" s="2" t="inlineStr"/>
    </row>
    <row r="315" ht="15" customHeight="1">
      <c r="A315" t="inlineStr">
        <is>
          <t>A 33762-2021</t>
        </is>
      </c>
      <c r="B315" s="1" t="n">
        <v>44378</v>
      </c>
      <c r="C315" s="1" t="n">
        <v>45824</v>
      </c>
      <c r="D315" t="inlineStr">
        <is>
          <t>VÄSTMANLANDS LÄN</t>
        </is>
      </c>
      <c r="E315" t="inlineStr">
        <is>
          <t>SALA</t>
        </is>
      </c>
      <c r="G315" t="n">
        <v>3.4</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45824</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35207-2021</t>
        </is>
      </c>
      <c r="B317" s="1" t="n">
        <v>44384</v>
      </c>
      <c r="C317" s="1" t="n">
        <v>45824</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35211-2021</t>
        </is>
      </c>
      <c r="B318" s="1" t="n">
        <v>44384</v>
      </c>
      <c r="C318" s="1" t="n">
        <v>45824</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35451-2021</t>
        </is>
      </c>
      <c r="B319" s="1" t="n">
        <v>44384</v>
      </c>
      <c r="C319" s="1" t="n">
        <v>45824</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35487-2021</t>
        </is>
      </c>
      <c r="B320" s="1" t="n">
        <v>44384</v>
      </c>
      <c r="C320" s="1" t="n">
        <v>45824</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35482-2021</t>
        </is>
      </c>
      <c r="B321" s="1" t="n">
        <v>44384</v>
      </c>
      <c r="C321" s="1" t="n">
        <v>45824</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35921-2021</t>
        </is>
      </c>
      <c r="B322" s="1" t="n">
        <v>44388</v>
      </c>
      <c r="C322" s="1" t="n">
        <v>45824</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37703-2021</t>
        </is>
      </c>
      <c r="B323" s="1" t="n">
        <v>44400</v>
      </c>
      <c r="C323" s="1" t="n">
        <v>45824</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37856-2021</t>
        </is>
      </c>
      <c r="B324" s="1" t="n">
        <v>44403</v>
      </c>
      <c r="C324" s="1" t="n">
        <v>45824</v>
      </c>
      <c r="D324" t="inlineStr">
        <is>
          <t>VÄSTMANLANDS LÄN</t>
        </is>
      </c>
      <c r="E324" t="inlineStr">
        <is>
          <t>SALA</t>
        </is>
      </c>
      <c r="G324" t="n">
        <v>3.1</v>
      </c>
      <c r="H324" t="n">
        <v>0</v>
      </c>
      <c r="I324" t="n">
        <v>0</v>
      </c>
      <c r="J324" t="n">
        <v>0</v>
      </c>
      <c r="K324" t="n">
        <v>0</v>
      </c>
      <c r="L324" t="n">
        <v>0</v>
      </c>
      <c r="M324" t="n">
        <v>0</v>
      </c>
      <c r="N324" t="n">
        <v>0</v>
      </c>
      <c r="O324" t="n">
        <v>0</v>
      </c>
      <c r="P324" t="n">
        <v>0</v>
      </c>
      <c r="Q324" t="n">
        <v>0</v>
      </c>
      <c r="R324" s="2" t="inlineStr"/>
    </row>
    <row r="325" ht="15" customHeight="1">
      <c r="A325" t="inlineStr">
        <is>
          <t>A 37872-2021</t>
        </is>
      </c>
      <c r="B325" s="1" t="n">
        <v>44403</v>
      </c>
      <c r="C325" s="1" t="n">
        <v>45824</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37881-2021</t>
        </is>
      </c>
      <c r="B326" s="1" t="n">
        <v>44403</v>
      </c>
      <c r="C326" s="1" t="n">
        <v>45824</v>
      </c>
      <c r="D326" t="inlineStr">
        <is>
          <t>VÄSTMANLANDS LÄN</t>
        </is>
      </c>
      <c r="E326" t="inlineStr">
        <is>
          <t>SALA</t>
        </is>
      </c>
      <c r="G326" t="n">
        <v>4.6</v>
      </c>
      <c r="H326" t="n">
        <v>0</v>
      </c>
      <c r="I326" t="n">
        <v>0</v>
      </c>
      <c r="J326" t="n">
        <v>0</v>
      </c>
      <c r="K326" t="n">
        <v>0</v>
      </c>
      <c r="L326" t="n">
        <v>0</v>
      </c>
      <c r="M326" t="n">
        <v>0</v>
      </c>
      <c r="N326" t="n">
        <v>0</v>
      </c>
      <c r="O326" t="n">
        <v>0</v>
      </c>
      <c r="P326" t="n">
        <v>0</v>
      </c>
      <c r="Q326" t="n">
        <v>0</v>
      </c>
      <c r="R326" s="2" t="inlineStr"/>
    </row>
    <row r="327" ht="15" customHeight="1">
      <c r="A327" t="inlineStr">
        <is>
          <t>A 38195-2021</t>
        </is>
      </c>
      <c r="B327" s="1" t="n">
        <v>44405</v>
      </c>
      <c r="C327" s="1" t="n">
        <v>45824</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38634-2021</t>
        </is>
      </c>
      <c r="B328" s="1" t="n">
        <v>44410</v>
      </c>
      <c r="C328" s="1" t="n">
        <v>45824</v>
      </c>
      <c r="D328" t="inlineStr">
        <is>
          <t>VÄSTMANLANDS LÄN</t>
        </is>
      </c>
      <c r="E328" t="inlineStr">
        <is>
          <t>SALA</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39439-2021</t>
        </is>
      </c>
      <c r="B329" s="1" t="n">
        <v>44414</v>
      </c>
      <c r="C329" s="1" t="n">
        <v>45824</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39807-2021</t>
        </is>
      </c>
      <c r="B330" s="1" t="n">
        <v>44417</v>
      </c>
      <c r="C330" s="1" t="n">
        <v>45824</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40157-2021</t>
        </is>
      </c>
      <c r="B331" s="1" t="n">
        <v>44418</v>
      </c>
      <c r="C331" s="1" t="n">
        <v>45824</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40153-2021</t>
        </is>
      </c>
      <c r="B332" s="1" t="n">
        <v>44418</v>
      </c>
      <c r="C332" s="1" t="n">
        <v>45824</v>
      </c>
      <c r="D332" t="inlineStr">
        <is>
          <t>VÄSTMANLANDS LÄN</t>
        </is>
      </c>
      <c r="E332" t="inlineStr">
        <is>
          <t>SALA</t>
        </is>
      </c>
      <c r="G332" t="n">
        <v>2.8</v>
      </c>
      <c r="H332" t="n">
        <v>0</v>
      </c>
      <c r="I332" t="n">
        <v>0</v>
      </c>
      <c r="J332" t="n">
        <v>0</v>
      </c>
      <c r="K332" t="n">
        <v>0</v>
      </c>
      <c r="L332" t="n">
        <v>0</v>
      </c>
      <c r="M332" t="n">
        <v>0</v>
      </c>
      <c r="N332" t="n">
        <v>0</v>
      </c>
      <c r="O332" t="n">
        <v>0</v>
      </c>
      <c r="P332" t="n">
        <v>0</v>
      </c>
      <c r="Q332" t="n">
        <v>0</v>
      </c>
      <c r="R332" s="2" t="inlineStr"/>
    </row>
    <row r="333" ht="15" customHeight="1">
      <c r="A333" t="inlineStr">
        <is>
          <t>A 40398-2021</t>
        </is>
      </c>
      <c r="B333" s="1" t="n">
        <v>44419</v>
      </c>
      <c r="C333" s="1" t="n">
        <v>45824</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40659-2021</t>
        </is>
      </c>
      <c r="B334" s="1" t="n">
        <v>44420</v>
      </c>
      <c r="C334" s="1" t="n">
        <v>45824</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40871-2021</t>
        </is>
      </c>
      <c r="B335" s="1" t="n">
        <v>44421</v>
      </c>
      <c r="C335" s="1" t="n">
        <v>45824</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41292-2021</t>
        </is>
      </c>
      <c r="B336" s="1" t="n">
        <v>44424</v>
      </c>
      <c r="C336" s="1" t="n">
        <v>45824</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41583-2021</t>
        </is>
      </c>
      <c r="B337" s="1" t="n">
        <v>44425</v>
      </c>
      <c r="C337" s="1" t="n">
        <v>45824</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43292-2021</t>
        </is>
      </c>
      <c r="B338" s="1" t="n">
        <v>44432</v>
      </c>
      <c r="C338" s="1" t="n">
        <v>45824</v>
      </c>
      <c r="D338" t="inlineStr">
        <is>
          <t>VÄSTMANLANDS LÄN</t>
        </is>
      </c>
      <c r="E338" t="inlineStr">
        <is>
          <t>SALA</t>
        </is>
      </c>
      <c r="G338" t="n">
        <v>15</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45824</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46279-2021</t>
        </is>
      </c>
      <c r="B340" s="1" t="n">
        <v>44442</v>
      </c>
      <c r="C340" s="1" t="n">
        <v>45824</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47701-2021</t>
        </is>
      </c>
      <c r="B341" s="1" t="n">
        <v>44448</v>
      </c>
      <c r="C341" s="1" t="n">
        <v>45824</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47683-2021</t>
        </is>
      </c>
      <c r="B342" s="1" t="n">
        <v>44448</v>
      </c>
      <c r="C342" s="1" t="n">
        <v>45824</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48400-2021</t>
        </is>
      </c>
      <c r="B343" s="1" t="n">
        <v>44449</v>
      </c>
      <c r="C343" s="1" t="n">
        <v>45824</v>
      </c>
      <c r="D343" t="inlineStr">
        <is>
          <t>VÄSTMANLANDS LÄN</t>
        </is>
      </c>
      <c r="E343" t="inlineStr">
        <is>
          <t>SALA</t>
        </is>
      </c>
      <c r="G343" t="n">
        <v>3</v>
      </c>
      <c r="H343" t="n">
        <v>0</v>
      </c>
      <c r="I343" t="n">
        <v>0</v>
      </c>
      <c r="J343" t="n">
        <v>0</v>
      </c>
      <c r="K343" t="n">
        <v>0</v>
      </c>
      <c r="L343" t="n">
        <v>0</v>
      </c>
      <c r="M343" t="n">
        <v>0</v>
      </c>
      <c r="N343" t="n">
        <v>0</v>
      </c>
      <c r="O343" t="n">
        <v>0</v>
      </c>
      <c r="P343" t="n">
        <v>0</v>
      </c>
      <c r="Q343" t="n">
        <v>0</v>
      </c>
      <c r="R343" s="2" t="inlineStr"/>
    </row>
    <row r="344" ht="15" customHeight="1">
      <c r="A344" t="inlineStr">
        <is>
          <t>A 50962-2021</t>
        </is>
      </c>
      <c r="B344" s="1" t="n">
        <v>44460</v>
      </c>
      <c r="C344" s="1" t="n">
        <v>45824</v>
      </c>
      <c r="D344" t="inlineStr">
        <is>
          <t>VÄSTMANLANDS LÄN</t>
        </is>
      </c>
      <c r="E344" t="inlineStr">
        <is>
          <t>SALA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54030-2021</t>
        </is>
      </c>
      <c r="B345" s="1" t="n">
        <v>44470</v>
      </c>
      <c r="C345" s="1" t="n">
        <v>45824</v>
      </c>
      <c r="D345" t="inlineStr">
        <is>
          <t>VÄSTMANLANDS LÄN</t>
        </is>
      </c>
      <c r="E345" t="inlineStr">
        <is>
          <t>SALA</t>
        </is>
      </c>
      <c r="G345" t="n">
        <v>4.1</v>
      </c>
      <c r="H345" t="n">
        <v>0</v>
      </c>
      <c r="I345" t="n">
        <v>0</v>
      </c>
      <c r="J345" t="n">
        <v>0</v>
      </c>
      <c r="K345" t="n">
        <v>0</v>
      </c>
      <c r="L345" t="n">
        <v>0</v>
      </c>
      <c r="M345" t="n">
        <v>0</v>
      </c>
      <c r="N345" t="n">
        <v>0</v>
      </c>
      <c r="O345" t="n">
        <v>0</v>
      </c>
      <c r="P345" t="n">
        <v>0</v>
      </c>
      <c r="Q345" t="n">
        <v>0</v>
      </c>
      <c r="R345" s="2" t="inlineStr"/>
    </row>
    <row r="346" ht="15" customHeight="1">
      <c r="A346" t="inlineStr">
        <is>
          <t>A 54520-2021</t>
        </is>
      </c>
      <c r="B346" s="1" t="n">
        <v>44473</v>
      </c>
      <c r="C346" s="1" t="n">
        <v>45824</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57049-2021</t>
        </is>
      </c>
      <c r="B347" s="1" t="n">
        <v>44482</v>
      </c>
      <c r="C347" s="1" t="n">
        <v>45824</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57056-2021</t>
        </is>
      </c>
      <c r="B348" s="1" t="n">
        <v>44482</v>
      </c>
      <c r="C348" s="1" t="n">
        <v>45824</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57000-2021</t>
        </is>
      </c>
      <c r="B349" s="1" t="n">
        <v>44482</v>
      </c>
      <c r="C349" s="1" t="n">
        <v>45824</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57131-2021</t>
        </is>
      </c>
      <c r="B350" s="1" t="n">
        <v>44482</v>
      </c>
      <c r="C350" s="1" t="n">
        <v>45824</v>
      </c>
      <c r="D350" t="inlineStr">
        <is>
          <t>VÄSTMANLANDS LÄN</t>
        </is>
      </c>
      <c r="E350" t="inlineStr">
        <is>
          <t>SALA</t>
        </is>
      </c>
      <c r="G350" t="n">
        <v>2.3</v>
      </c>
      <c r="H350" t="n">
        <v>0</v>
      </c>
      <c r="I350" t="n">
        <v>0</v>
      </c>
      <c r="J350" t="n">
        <v>0</v>
      </c>
      <c r="K350" t="n">
        <v>0</v>
      </c>
      <c r="L350" t="n">
        <v>0</v>
      </c>
      <c r="M350" t="n">
        <v>0</v>
      </c>
      <c r="N350" t="n">
        <v>0</v>
      </c>
      <c r="O350" t="n">
        <v>0</v>
      </c>
      <c r="P350" t="n">
        <v>0</v>
      </c>
      <c r="Q350" t="n">
        <v>0</v>
      </c>
      <c r="R350" s="2" t="inlineStr"/>
    </row>
    <row r="351" ht="15" customHeight="1">
      <c r="A351" t="inlineStr">
        <is>
          <t>A 57517-2021</t>
        </is>
      </c>
      <c r="B351" s="1" t="n">
        <v>44483</v>
      </c>
      <c r="C351" s="1" t="n">
        <v>45824</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57596-2021</t>
        </is>
      </c>
      <c r="B352" s="1" t="n">
        <v>44483</v>
      </c>
      <c r="C352" s="1" t="n">
        <v>45824</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58107-2021</t>
        </is>
      </c>
      <c r="B353" s="1" t="n">
        <v>44487</v>
      </c>
      <c r="C353" s="1" t="n">
        <v>45824</v>
      </c>
      <c r="D353" t="inlineStr">
        <is>
          <t>VÄSTMANLANDS LÄN</t>
        </is>
      </c>
      <c r="E353" t="inlineStr">
        <is>
          <t>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58106-2021</t>
        </is>
      </c>
      <c r="B354" s="1" t="n">
        <v>44487</v>
      </c>
      <c r="C354" s="1" t="n">
        <v>45824</v>
      </c>
      <c r="D354" t="inlineStr">
        <is>
          <t>VÄSTMANLANDS LÄN</t>
        </is>
      </c>
      <c r="E354" t="inlineStr">
        <is>
          <t>SALA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58522-2021</t>
        </is>
      </c>
      <c r="B355" s="1" t="n">
        <v>44488</v>
      </c>
      <c r="C355" s="1" t="n">
        <v>45824</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58701-2021</t>
        </is>
      </c>
      <c r="B356" s="1" t="n">
        <v>44489</v>
      </c>
      <c r="C356" s="1" t="n">
        <v>45824</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60031-2021</t>
        </is>
      </c>
      <c r="B357" s="1" t="n">
        <v>44495</v>
      </c>
      <c r="C357" s="1" t="n">
        <v>45824</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60951-2021</t>
        </is>
      </c>
      <c r="B358" s="1" t="n">
        <v>44497</v>
      </c>
      <c r="C358" s="1" t="n">
        <v>45824</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61892-2021</t>
        </is>
      </c>
      <c r="B359" s="1" t="n">
        <v>44502</v>
      </c>
      <c r="C359" s="1" t="n">
        <v>45824</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61874-2021</t>
        </is>
      </c>
      <c r="B360" s="1" t="n">
        <v>44502</v>
      </c>
      <c r="C360" s="1" t="n">
        <v>45824</v>
      </c>
      <c r="D360" t="inlineStr">
        <is>
          <t>VÄSTMANLANDS LÄN</t>
        </is>
      </c>
      <c r="E360" t="inlineStr">
        <is>
          <t>SALA</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61897-2021</t>
        </is>
      </c>
      <c r="B361" s="1" t="n">
        <v>44502</v>
      </c>
      <c r="C361" s="1" t="n">
        <v>45824</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v>
      </c>
      <c r="C362" s="1" t="n">
        <v>45824</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62793-2021</t>
        </is>
      </c>
      <c r="B363" s="1" t="n">
        <v>44504</v>
      </c>
      <c r="C363" s="1" t="n">
        <v>45824</v>
      </c>
      <c r="D363" t="inlineStr">
        <is>
          <t>VÄSTMANLANDS LÄN</t>
        </is>
      </c>
      <c r="E363" t="inlineStr">
        <is>
          <t>SALA</t>
        </is>
      </c>
      <c r="G363" t="n">
        <v>5.7</v>
      </c>
      <c r="H363" t="n">
        <v>0</v>
      </c>
      <c r="I363" t="n">
        <v>0</v>
      </c>
      <c r="J363" t="n">
        <v>0</v>
      </c>
      <c r="K363" t="n">
        <v>0</v>
      </c>
      <c r="L363" t="n">
        <v>0</v>
      </c>
      <c r="M363" t="n">
        <v>0</v>
      </c>
      <c r="N363" t="n">
        <v>0</v>
      </c>
      <c r="O363" t="n">
        <v>0</v>
      </c>
      <c r="P363" t="n">
        <v>0</v>
      </c>
      <c r="Q363" t="n">
        <v>0</v>
      </c>
      <c r="R363" s="2" t="inlineStr"/>
    </row>
    <row r="364" ht="15" customHeight="1">
      <c r="A364" t="inlineStr">
        <is>
          <t>A 62833-2021</t>
        </is>
      </c>
      <c r="B364" s="1" t="n">
        <v>44504</v>
      </c>
      <c r="C364" s="1" t="n">
        <v>45824</v>
      </c>
      <c r="D364" t="inlineStr">
        <is>
          <t>VÄSTMANLANDS LÄN</t>
        </is>
      </c>
      <c r="E364" t="inlineStr">
        <is>
          <t>SALA</t>
        </is>
      </c>
      <c r="G364" t="n">
        <v>5</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45824</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62967-2021</t>
        </is>
      </c>
      <c r="B366" s="1" t="n">
        <v>44505</v>
      </c>
      <c r="C366" s="1" t="n">
        <v>45824</v>
      </c>
      <c r="D366" t="inlineStr">
        <is>
          <t>VÄSTMANLANDS LÄN</t>
        </is>
      </c>
      <c r="E366" t="inlineStr">
        <is>
          <t>SALA</t>
        </is>
      </c>
      <c r="G366" t="n">
        <v>6.1</v>
      </c>
      <c r="H366" t="n">
        <v>0</v>
      </c>
      <c r="I366" t="n">
        <v>0</v>
      </c>
      <c r="J366" t="n">
        <v>0</v>
      </c>
      <c r="K366" t="n">
        <v>0</v>
      </c>
      <c r="L366" t="n">
        <v>0</v>
      </c>
      <c r="M366" t="n">
        <v>0</v>
      </c>
      <c r="N366" t="n">
        <v>0</v>
      </c>
      <c r="O366" t="n">
        <v>0</v>
      </c>
      <c r="P366" t="n">
        <v>0</v>
      </c>
      <c r="Q366" t="n">
        <v>0</v>
      </c>
      <c r="R366" s="2" t="inlineStr"/>
    </row>
    <row r="367" ht="15" customHeight="1">
      <c r="A367" t="inlineStr">
        <is>
          <t>A 63290-2021</t>
        </is>
      </c>
      <c r="B367" s="1" t="n">
        <v>44505</v>
      </c>
      <c r="C367" s="1" t="n">
        <v>45824</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64931-2021</t>
        </is>
      </c>
      <c r="B368" s="1" t="n">
        <v>44512</v>
      </c>
      <c r="C368" s="1" t="n">
        <v>45824</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64932-2021</t>
        </is>
      </c>
      <c r="B369" s="1" t="n">
        <v>44512</v>
      </c>
      <c r="C369" s="1" t="n">
        <v>45824</v>
      </c>
      <c r="D369" t="inlineStr">
        <is>
          <t>VÄSTMANLANDS LÄN</t>
        </is>
      </c>
      <c r="E369" t="inlineStr">
        <is>
          <t>SALA</t>
        </is>
      </c>
      <c r="G369" t="n">
        <v>0.8</v>
      </c>
      <c r="H369" t="n">
        <v>0</v>
      </c>
      <c r="I369" t="n">
        <v>0</v>
      </c>
      <c r="J369" t="n">
        <v>0</v>
      </c>
      <c r="K369" t="n">
        <v>0</v>
      </c>
      <c r="L369" t="n">
        <v>0</v>
      </c>
      <c r="M369" t="n">
        <v>0</v>
      </c>
      <c r="N369" t="n">
        <v>0</v>
      </c>
      <c r="O369" t="n">
        <v>0</v>
      </c>
      <c r="P369" t="n">
        <v>0</v>
      </c>
      <c r="Q369" t="n">
        <v>0</v>
      </c>
      <c r="R369" s="2" t="inlineStr"/>
    </row>
    <row r="370" ht="15" customHeight="1">
      <c r="A370" t="inlineStr">
        <is>
          <t>A 65213-2021</t>
        </is>
      </c>
      <c r="B370" s="1" t="n">
        <v>44515</v>
      </c>
      <c r="C370" s="1" t="n">
        <v>45824</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65321-2021</t>
        </is>
      </c>
      <c r="B371" s="1" t="n">
        <v>44515</v>
      </c>
      <c r="C371" s="1" t="n">
        <v>45824</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65338-2021</t>
        </is>
      </c>
      <c r="B372" s="1" t="n">
        <v>44515</v>
      </c>
      <c r="C372" s="1" t="n">
        <v>45824</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65353-2021</t>
        </is>
      </c>
      <c r="B373" s="1" t="n">
        <v>44515</v>
      </c>
      <c r="C373" s="1" t="n">
        <v>45824</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65490-2021</t>
        </is>
      </c>
      <c r="B374" s="1" t="n">
        <v>44515</v>
      </c>
      <c r="C374" s="1" t="n">
        <v>45824</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65856-2021</t>
        </is>
      </c>
      <c r="B375" s="1" t="n">
        <v>44517</v>
      </c>
      <c r="C375" s="1" t="n">
        <v>45824</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65818-2021</t>
        </is>
      </c>
      <c r="B376" s="1" t="n">
        <v>44517</v>
      </c>
      <c r="C376" s="1" t="n">
        <v>45824</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45824</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65860-2021</t>
        </is>
      </c>
      <c r="B378" s="1" t="n">
        <v>44517</v>
      </c>
      <c r="C378" s="1" t="n">
        <v>45824</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66307-2021</t>
        </is>
      </c>
      <c r="B379" s="1" t="n">
        <v>44518</v>
      </c>
      <c r="C379" s="1" t="n">
        <v>45824</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66508-2021</t>
        </is>
      </c>
      <c r="B380" s="1" t="n">
        <v>44519</v>
      </c>
      <c r="C380" s="1" t="n">
        <v>45824</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66563-2021</t>
        </is>
      </c>
      <c r="B381" s="1" t="n">
        <v>44519</v>
      </c>
      <c r="C381" s="1" t="n">
        <v>45824</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66561-2021</t>
        </is>
      </c>
      <c r="B382" s="1" t="n">
        <v>44519</v>
      </c>
      <c r="C382" s="1" t="n">
        <v>45824</v>
      </c>
      <c r="D382" t="inlineStr">
        <is>
          <t>VÄSTMANLANDS LÄN</t>
        </is>
      </c>
      <c r="E382" t="inlineStr">
        <is>
          <t>SALA</t>
        </is>
      </c>
      <c r="G382" t="n">
        <v>0.3</v>
      </c>
      <c r="H382" t="n">
        <v>0</v>
      </c>
      <c r="I382" t="n">
        <v>0</v>
      </c>
      <c r="J382" t="n">
        <v>0</v>
      </c>
      <c r="K382" t="n">
        <v>0</v>
      </c>
      <c r="L382" t="n">
        <v>0</v>
      </c>
      <c r="M382" t="n">
        <v>0</v>
      </c>
      <c r="N382" t="n">
        <v>0</v>
      </c>
      <c r="O382" t="n">
        <v>0</v>
      </c>
      <c r="P382" t="n">
        <v>0</v>
      </c>
      <c r="Q382" t="n">
        <v>0</v>
      </c>
      <c r="R382" s="2" t="inlineStr"/>
    </row>
    <row r="383" ht="15" customHeight="1">
      <c r="A383" t="inlineStr">
        <is>
          <t>A 66908-2021</t>
        </is>
      </c>
      <c r="B383" s="1" t="n">
        <v>44522</v>
      </c>
      <c r="C383" s="1" t="n">
        <v>45824</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66830-2021</t>
        </is>
      </c>
      <c r="B384" s="1" t="n">
        <v>44522</v>
      </c>
      <c r="C384" s="1" t="n">
        <v>45824</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67037-2021</t>
        </is>
      </c>
      <c r="B385" s="1" t="n">
        <v>44522</v>
      </c>
      <c r="C385" s="1" t="n">
        <v>45824</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c r="U385">
        <f>HYPERLINK("https://klasma.github.io/Logging_1981/knärot/A 67037-2021 karta knärot.png", "A 67037-2021")</f>
        <v/>
      </c>
      <c r="V385">
        <f>HYPERLINK("https://klasma.github.io/Logging_1981/klagomål/A 67037-2021 FSC-klagomål.docx", "A 67037-2021")</f>
        <v/>
      </c>
      <c r="W385">
        <f>HYPERLINK("https://klasma.github.io/Logging_1981/klagomålsmail/A 67037-2021 FSC-klagomål mail.docx", "A 67037-2021")</f>
        <v/>
      </c>
      <c r="X385">
        <f>HYPERLINK("https://klasma.github.io/Logging_1981/tillsyn/A 67037-2021 tillsynsbegäran.docx", "A 67037-2021")</f>
        <v/>
      </c>
      <c r="Y385">
        <f>HYPERLINK("https://klasma.github.io/Logging_1981/tillsynsmail/A 67037-2021 tillsynsbegäran mail.docx", "A 67037-2021")</f>
        <v/>
      </c>
    </row>
    <row r="386" ht="15" customHeight="1">
      <c r="A386" t="inlineStr">
        <is>
          <t>A 67965-2021</t>
        </is>
      </c>
      <c r="B386" s="1" t="n">
        <v>44525</v>
      </c>
      <c r="C386" s="1" t="n">
        <v>45824</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67958-2021</t>
        </is>
      </c>
      <c r="B387" s="1" t="n">
        <v>44525</v>
      </c>
      <c r="C387" s="1" t="n">
        <v>45824</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67962-2021</t>
        </is>
      </c>
      <c r="B388" s="1" t="n">
        <v>44525</v>
      </c>
      <c r="C388" s="1" t="n">
        <v>45824</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68355-2021</t>
        </is>
      </c>
      <c r="B389" s="1" t="n">
        <v>44528</v>
      </c>
      <c r="C389" s="1" t="n">
        <v>45824</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68484-2021</t>
        </is>
      </c>
      <c r="B390" s="1" t="n">
        <v>44529</v>
      </c>
      <c r="C390" s="1" t="n">
        <v>45824</v>
      </c>
      <c r="D390" t="inlineStr">
        <is>
          <t>VÄSTMANLANDS LÄN</t>
        </is>
      </c>
      <c r="E390" t="inlineStr">
        <is>
          <t>SALA</t>
        </is>
      </c>
      <c r="G390" t="n">
        <v>1.7</v>
      </c>
      <c r="H390" t="n">
        <v>0</v>
      </c>
      <c r="I390" t="n">
        <v>0</v>
      </c>
      <c r="J390" t="n">
        <v>0</v>
      </c>
      <c r="K390" t="n">
        <v>0</v>
      </c>
      <c r="L390" t="n">
        <v>0</v>
      </c>
      <c r="M390" t="n">
        <v>0</v>
      </c>
      <c r="N390" t="n">
        <v>0</v>
      </c>
      <c r="O390" t="n">
        <v>0</v>
      </c>
      <c r="P390" t="n">
        <v>0</v>
      </c>
      <c r="Q390" t="n">
        <v>0</v>
      </c>
      <c r="R390" s="2" t="inlineStr"/>
    </row>
    <row r="391" ht="15" customHeight="1">
      <c r="A391" t="inlineStr">
        <is>
          <t>A 68980-2021</t>
        </is>
      </c>
      <c r="B391" s="1" t="n">
        <v>44529</v>
      </c>
      <c r="C391" s="1" t="n">
        <v>45824</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68864-2021</t>
        </is>
      </c>
      <c r="B392" s="1" t="n">
        <v>44530</v>
      </c>
      <c r="C392" s="1" t="n">
        <v>45824</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69232-2021</t>
        </is>
      </c>
      <c r="B393" s="1" t="n">
        <v>44531</v>
      </c>
      <c r="C393" s="1" t="n">
        <v>45824</v>
      </c>
      <c r="D393" t="inlineStr">
        <is>
          <t>VÄSTMANLANDS LÄN</t>
        </is>
      </c>
      <c r="E393" t="inlineStr">
        <is>
          <t>SALA</t>
        </is>
      </c>
      <c r="G393" t="n">
        <v>2.3</v>
      </c>
      <c r="H393" t="n">
        <v>0</v>
      </c>
      <c r="I393" t="n">
        <v>0</v>
      </c>
      <c r="J393" t="n">
        <v>0</v>
      </c>
      <c r="K393" t="n">
        <v>0</v>
      </c>
      <c r="L393" t="n">
        <v>0</v>
      </c>
      <c r="M393" t="n">
        <v>0</v>
      </c>
      <c r="N393" t="n">
        <v>0</v>
      </c>
      <c r="O393" t="n">
        <v>0</v>
      </c>
      <c r="P393" t="n">
        <v>0</v>
      </c>
      <c r="Q393" t="n">
        <v>0</v>
      </c>
      <c r="R393" s="2" t="inlineStr"/>
    </row>
    <row r="394" ht="15" customHeight="1">
      <c r="A394" t="inlineStr">
        <is>
          <t>A 69236-2021</t>
        </is>
      </c>
      <c r="B394" s="1" t="n">
        <v>44531</v>
      </c>
      <c r="C394" s="1" t="n">
        <v>45824</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70218-2021</t>
        </is>
      </c>
      <c r="B395" s="1" t="n">
        <v>44535</v>
      </c>
      <c r="C395" s="1" t="n">
        <v>45824</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70319-2021</t>
        </is>
      </c>
      <c r="B396" s="1" t="n">
        <v>44536</v>
      </c>
      <c r="C396" s="1" t="n">
        <v>45824</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70655-2021</t>
        </is>
      </c>
      <c r="B397" s="1" t="n">
        <v>44537</v>
      </c>
      <c r="C397" s="1" t="n">
        <v>45824</v>
      </c>
      <c r="D397" t="inlineStr">
        <is>
          <t>VÄSTMANLANDS LÄN</t>
        </is>
      </c>
      <c r="E397" t="inlineStr">
        <is>
          <t>SALA</t>
        </is>
      </c>
      <c r="G397" t="n">
        <v>4.8</v>
      </c>
      <c r="H397" t="n">
        <v>0</v>
      </c>
      <c r="I397" t="n">
        <v>0</v>
      </c>
      <c r="J397" t="n">
        <v>0</v>
      </c>
      <c r="K397" t="n">
        <v>0</v>
      </c>
      <c r="L397" t="n">
        <v>0</v>
      </c>
      <c r="M397" t="n">
        <v>0</v>
      </c>
      <c r="N397" t="n">
        <v>0</v>
      </c>
      <c r="O397" t="n">
        <v>0</v>
      </c>
      <c r="P397" t="n">
        <v>0</v>
      </c>
      <c r="Q397" t="n">
        <v>0</v>
      </c>
      <c r="R397" s="2" t="inlineStr"/>
    </row>
    <row r="398" ht="15" customHeight="1">
      <c r="A398" t="inlineStr">
        <is>
          <t>A 70958-2021</t>
        </is>
      </c>
      <c r="B398" s="1" t="n">
        <v>44538</v>
      </c>
      <c r="C398" s="1" t="n">
        <v>45824</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71471-2021</t>
        </is>
      </c>
      <c r="B399" s="1" t="n">
        <v>44540</v>
      </c>
      <c r="C399" s="1" t="n">
        <v>45824</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71853-2021</t>
        </is>
      </c>
      <c r="B400" s="1" t="n">
        <v>44543</v>
      </c>
      <c r="C400" s="1" t="n">
        <v>45824</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72071-2021</t>
        </is>
      </c>
      <c r="B401" s="1" t="n">
        <v>44544</v>
      </c>
      <c r="C401" s="1" t="n">
        <v>45824</v>
      </c>
      <c r="D401" t="inlineStr">
        <is>
          <t>VÄSTMANLANDS LÄN</t>
        </is>
      </c>
      <c r="E401" t="inlineStr">
        <is>
          <t>SALA</t>
        </is>
      </c>
      <c r="G401" t="n">
        <v>3.5</v>
      </c>
      <c r="H401" t="n">
        <v>0</v>
      </c>
      <c r="I401" t="n">
        <v>0</v>
      </c>
      <c r="J401" t="n">
        <v>0</v>
      </c>
      <c r="K401" t="n">
        <v>0</v>
      </c>
      <c r="L401" t="n">
        <v>0</v>
      </c>
      <c r="M401" t="n">
        <v>0</v>
      </c>
      <c r="N401" t="n">
        <v>0</v>
      </c>
      <c r="O401" t="n">
        <v>0</v>
      </c>
      <c r="P401" t="n">
        <v>0</v>
      </c>
      <c r="Q401" t="n">
        <v>0</v>
      </c>
      <c r="R401" s="2" t="inlineStr"/>
    </row>
    <row r="402" ht="15" customHeight="1">
      <c r="A402" t="inlineStr">
        <is>
          <t>A 72405-2021</t>
        </is>
      </c>
      <c r="B402" s="1" t="n">
        <v>44545</v>
      </c>
      <c r="C402" s="1" t="n">
        <v>45824</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72389-2021</t>
        </is>
      </c>
      <c r="B403" s="1" t="n">
        <v>44545</v>
      </c>
      <c r="C403" s="1" t="n">
        <v>45824</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72810-2021</t>
        </is>
      </c>
      <c r="B404" s="1" t="n">
        <v>44546</v>
      </c>
      <c r="C404" s="1" t="n">
        <v>45824</v>
      </c>
      <c r="D404" t="inlineStr">
        <is>
          <t>VÄSTMANLANDS LÄN</t>
        </is>
      </c>
      <c r="E404" t="inlineStr">
        <is>
          <t>SALA</t>
        </is>
      </c>
      <c r="G404" t="n">
        <v>3.3</v>
      </c>
      <c r="H404" t="n">
        <v>0</v>
      </c>
      <c r="I404" t="n">
        <v>0</v>
      </c>
      <c r="J404" t="n">
        <v>0</v>
      </c>
      <c r="K404" t="n">
        <v>0</v>
      </c>
      <c r="L404" t="n">
        <v>0</v>
      </c>
      <c r="M404" t="n">
        <v>0</v>
      </c>
      <c r="N404" t="n">
        <v>0</v>
      </c>
      <c r="O404" t="n">
        <v>0</v>
      </c>
      <c r="P404" t="n">
        <v>0</v>
      </c>
      <c r="Q404" t="n">
        <v>0</v>
      </c>
      <c r="R404" s="2" t="inlineStr"/>
    </row>
    <row r="405" ht="15" customHeight="1">
      <c r="A405" t="inlineStr">
        <is>
          <t>A 72805-2021</t>
        </is>
      </c>
      <c r="B405" s="1" t="n">
        <v>44546</v>
      </c>
      <c r="C405" s="1" t="n">
        <v>45824</v>
      </c>
      <c r="D405" t="inlineStr">
        <is>
          <t>VÄSTMANLANDS LÄN</t>
        </is>
      </c>
      <c r="E405" t="inlineStr">
        <is>
          <t>SALA</t>
        </is>
      </c>
      <c r="G405" t="n">
        <v>7.8</v>
      </c>
      <c r="H405" t="n">
        <v>0</v>
      </c>
      <c r="I405" t="n">
        <v>0</v>
      </c>
      <c r="J405" t="n">
        <v>0</v>
      </c>
      <c r="K405" t="n">
        <v>0</v>
      </c>
      <c r="L405" t="n">
        <v>0</v>
      </c>
      <c r="M405" t="n">
        <v>0</v>
      </c>
      <c r="N405" t="n">
        <v>0</v>
      </c>
      <c r="O405" t="n">
        <v>0</v>
      </c>
      <c r="P405" t="n">
        <v>0</v>
      </c>
      <c r="Q405" t="n">
        <v>0</v>
      </c>
      <c r="R405" s="2" t="inlineStr"/>
    </row>
    <row r="406" ht="15" customHeight="1">
      <c r="A406" t="inlineStr">
        <is>
          <t>A 72808-2021</t>
        </is>
      </c>
      <c r="B406" s="1" t="n">
        <v>44546</v>
      </c>
      <c r="C406" s="1" t="n">
        <v>45824</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72776-2021</t>
        </is>
      </c>
      <c r="B407" s="1" t="n">
        <v>44547</v>
      </c>
      <c r="C407" s="1" t="n">
        <v>45824</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73029-2021</t>
        </is>
      </c>
      <c r="B408" s="1" t="n">
        <v>44550</v>
      </c>
      <c r="C408" s="1" t="n">
        <v>45824</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73124-2021</t>
        </is>
      </c>
      <c r="B409" s="1" t="n">
        <v>44550</v>
      </c>
      <c r="C409" s="1" t="n">
        <v>45824</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73219-2021</t>
        </is>
      </c>
      <c r="B410" s="1" t="n">
        <v>44550</v>
      </c>
      <c r="C410" s="1" t="n">
        <v>45824</v>
      </c>
      <c r="D410" t="inlineStr">
        <is>
          <t>VÄSTMANLANDS LÄN</t>
        </is>
      </c>
      <c r="E410" t="inlineStr">
        <is>
          <t>SALA</t>
        </is>
      </c>
      <c r="G410" t="n">
        <v>7.1</v>
      </c>
      <c r="H410" t="n">
        <v>0</v>
      </c>
      <c r="I410" t="n">
        <v>0</v>
      </c>
      <c r="J410" t="n">
        <v>0</v>
      </c>
      <c r="K410" t="n">
        <v>0</v>
      </c>
      <c r="L410" t="n">
        <v>0</v>
      </c>
      <c r="M410" t="n">
        <v>0</v>
      </c>
      <c r="N410" t="n">
        <v>0</v>
      </c>
      <c r="O410" t="n">
        <v>0</v>
      </c>
      <c r="P410" t="n">
        <v>0</v>
      </c>
      <c r="Q410" t="n">
        <v>0</v>
      </c>
      <c r="R410" s="2" t="inlineStr"/>
    </row>
    <row r="411" ht="15" customHeight="1">
      <c r="A411" t="inlineStr">
        <is>
          <t>A 73423-2021</t>
        </is>
      </c>
      <c r="B411" s="1" t="n">
        <v>44551</v>
      </c>
      <c r="C411" s="1" t="n">
        <v>45824</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73519-2021</t>
        </is>
      </c>
      <c r="B412" s="1" t="n">
        <v>44551</v>
      </c>
      <c r="C412" s="1" t="n">
        <v>45824</v>
      </c>
      <c r="D412" t="inlineStr">
        <is>
          <t>VÄSTMANLANDS LÄN</t>
        </is>
      </c>
      <c r="E412" t="inlineStr">
        <is>
          <t>SALA</t>
        </is>
      </c>
      <c r="G412" t="n">
        <v>0.3</v>
      </c>
      <c r="H412" t="n">
        <v>0</v>
      </c>
      <c r="I412" t="n">
        <v>0</v>
      </c>
      <c r="J412" t="n">
        <v>0</v>
      </c>
      <c r="K412" t="n">
        <v>0</v>
      </c>
      <c r="L412" t="n">
        <v>0</v>
      </c>
      <c r="M412" t="n">
        <v>0</v>
      </c>
      <c r="N412" t="n">
        <v>0</v>
      </c>
      <c r="O412" t="n">
        <v>0</v>
      </c>
      <c r="P412" t="n">
        <v>0</v>
      </c>
      <c r="Q412" t="n">
        <v>0</v>
      </c>
      <c r="R412" s="2" t="inlineStr"/>
    </row>
    <row r="413" ht="15" customHeight="1">
      <c r="A413" t="inlineStr">
        <is>
          <t>A 73683-2021</t>
        </is>
      </c>
      <c r="B413" s="1" t="n">
        <v>44552</v>
      </c>
      <c r="C413" s="1" t="n">
        <v>45824</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73663-2021</t>
        </is>
      </c>
      <c r="B414" s="1" t="n">
        <v>44552</v>
      </c>
      <c r="C414" s="1" t="n">
        <v>45824</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73673-2021</t>
        </is>
      </c>
      <c r="B415" s="1" t="n">
        <v>44552</v>
      </c>
      <c r="C415" s="1" t="n">
        <v>45824</v>
      </c>
      <c r="D415" t="inlineStr">
        <is>
          <t>VÄSTMANLANDS LÄN</t>
        </is>
      </c>
      <c r="E415" t="inlineStr">
        <is>
          <t>SALA</t>
        </is>
      </c>
      <c r="G415" t="n">
        <v>11.4</v>
      </c>
      <c r="H415" t="n">
        <v>0</v>
      </c>
      <c r="I415" t="n">
        <v>0</v>
      </c>
      <c r="J415" t="n">
        <v>0</v>
      </c>
      <c r="K415" t="n">
        <v>0</v>
      </c>
      <c r="L415" t="n">
        <v>0</v>
      </c>
      <c r="M415" t="n">
        <v>0</v>
      </c>
      <c r="N415" t="n">
        <v>0</v>
      </c>
      <c r="O415" t="n">
        <v>0</v>
      </c>
      <c r="P415" t="n">
        <v>0</v>
      </c>
      <c r="Q415" t="n">
        <v>0</v>
      </c>
      <c r="R415" s="2" t="inlineStr"/>
    </row>
    <row r="416" ht="15" customHeight="1">
      <c r="A416" t="inlineStr">
        <is>
          <t>A 73606-2021</t>
        </is>
      </c>
      <c r="B416" s="1" t="n">
        <v>44552</v>
      </c>
      <c r="C416" s="1" t="n">
        <v>45824</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73668-2021</t>
        </is>
      </c>
      <c r="B417" s="1" t="n">
        <v>44552</v>
      </c>
      <c r="C417" s="1" t="n">
        <v>45824</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73687-2021</t>
        </is>
      </c>
      <c r="B418" s="1" t="n">
        <v>44552</v>
      </c>
      <c r="C418" s="1" t="n">
        <v>45824</v>
      </c>
      <c r="D418" t="inlineStr">
        <is>
          <t>VÄSTMANLANDS LÄN</t>
        </is>
      </c>
      <c r="E418" t="inlineStr">
        <is>
          <t>SALA</t>
        </is>
      </c>
      <c r="G418" t="n">
        <v>5.6</v>
      </c>
      <c r="H418" t="n">
        <v>0</v>
      </c>
      <c r="I418" t="n">
        <v>0</v>
      </c>
      <c r="J418" t="n">
        <v>0</v>
      </c>
      <c r="K418" t="n">
        <v>0</v>
      </c>
      <c r="L418" t="n">
        <v>0</v>
      </c>
      <c r="M418" t="n">
        <v>0</v>
      </c>
      <c r="N418" t="n">
        <v>0</v>
      </c>
      <c r="O418" t="n">
        <v>0</v>
      </c>
      <c r="P418" t="n">
        <v>0</v>
      </c>
      <c r="Q418" t="n">
        <v>0</v>
      </c>
      <c r="R418" s="2" t="inlineStr"/>
    </row>
    <row r="419" ht="15" customHeight="1">
      <c r="A419" t="inlineStr">
        <is>
          <t>A 73788-2021</t>
        </is>
      </c>
      <c r="B419" s="1" t="n">
        <v>44552</v>
      </c>
      <c r="C419" s="1" t="n">
        <v>45824</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73835-2021</t>
        </is>
      </c>
      <c r="B420" s="1" t="n">
        <v>44552</v>
      </c>
      <c r="C420" s="1" t="n">
        <v>45824</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74123-2021</t>
        </is>
      </c>
      <c r="B421" s="1" t="n">
        <v>44557</v>
      </c>
      <c r="C421" s="1" t="n">
        <v>45824</v>
      </c>
      <c r="D421" t="inlineStr">
        <is>
          <t>VÄSTMANLANDS LÄN</t>
        </is>
      </c>
      <c r="E421" t="inlineStr">
        <is>
          <t>SALA</t>
        </is>
      </c>
      <c r="F421" t="inlineStr">
        <is>
          <t>Kommuner</t>
        </is>
      </c>
      <c r="G421" t="n">
        <v>11.9</v>
      </c>
      <c r="H421" t="n">
        <v>0</v>
      </c>
      <c r="I421" t="n">
        <v>0</v>
      </c>
      <c r="J421" t="n">
        <v>0</v>
      </c>
      <c r="K421" t="n">
        <v>0</v>
      </c>
      <c r="L421" t="n">
        <v>0</v>
      </c>
      <c r="M421" t="n">
        <v>0</v>
      </c>
      <c r="N421" t="n">
        <v>0</v>
      </c>
      <c r="O421" t="n">
        <v>0</v>
      </c>
      <c r="P421" t="n">
        <v>0</v>
      </c>
      <c r="Q421" t="n">
        <v>0</v>
      </c>
      <c r="R421" s="2" t="inlineStr"/>
    </row>
    <row r="422" ht="15" customHeight="1">
      <c r="A422" t="inlineStr">
        <is>
          <t>A 74277-2021</t>
        </is>
      </c>
      <c r="B422" s="1" t="n">
        <v>44558</v>
      </c>
      <c r="C422" s="1" t="n">
        <v>45824</v>
      </c>
      <c r="D422" t="inlineStr">
        <is>
          <t>VÄSTMANLANDS LÄN</t>
        </is>
      </c>
      <c r="E422" t="inlineStr">
        <is>
          <t>SALA</t>
        </is>
      </c>
      <c r="F422" t="inlineStr">
        <is>
          <t>Kommuner</t>
        </is>
      </c>
      <c r="G422" t="n">
        <v>24.4</v>
      </c>
      <c r="H422" t="n">
        <v>0</v>
      </c>
      <c r="I422" t="n">
        <v>0</v>
      </c>
      <c r="J422" t="n">
        <v>0</v>
      </c>
      <c r="K422" t="n">
        <v>0</v>
      </c>
      <c r="L422" t="n">
        <v>0</v>
      </c>
      <c r="M422" t="n">
        <v>0</v>
      </c>
      <c r="N422" t="n">
        <v>0</v>
      </c>
      <c r="O422" t="n">
        <v>0</v>
      </c>
      <c r="P422" t="n">
        <v>0</v>
      </c>
      <c r="Q422" t="n">
        <v>0</v>
      </c>
      <c r="R422" s="2" t="inlineStr"/>
    </row>
    <row r="423" ht="15" customHeight="1">
      <c r="A423" t="inlineStr">
        <is>
          <t>A 617-2022</t>
        </is>
      </c>
      <c r="B423" s="1" t="n">
        <v>44567</v>
      </c>
      <c r="C423" s="1" t="n">
        <v>45824</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939-2022</t>
        </is>
      </c>
      <c r="B424" s="1" t="n">
        <v>44571</v>
      </c>
      <c r="C424" s="1" t="n">
        <v>45824</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1043-2022</t>
        </is>
      </c>
      <c r="B425" s="1" t="n">
        <v>44571</v>
      </c>
      <c r="C425" s="1" t="n">
        <v>45824</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1162-2022</t>
        </is>
      </c>
      <c r="B426" s="1" t="n">
        <v>44572</v>
      </c>
      <c r="C426" s="1" t="n">
        <v>45824</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1985-2022</t>
        </is>
      </c>
      <c r="B427" s="1" t="n">
        <v>44575</v>
      </c>
      <c r="C427" s="1" t="n">
        <v>45824</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1993-2022</t>
        </is>
      </c>
      <c r="B428" s="1" t="n">
        <v>44575</v>
      </c>
      <c r="C428" s="1" t="n">
        <v>45824</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v>
      </c>
      <c r="C429" s="1" t="n">
        <v>45824</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3050-2022</t>
        </is>
      </c>
      <c r="B430" s="1" t="n">
        <v>44582</v>
      </c>
      <c r="C430" s="1" t="n">
        <v>45824</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3201-2022</t>
        </is>
      </c>
      <c r="B431" s="1" t="n">
        <v>44582</v>
      </c>
      <c r="C431" s="1" t="n">
        <v>45824</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3204-2022</t>
        </is>
      </c>
      <c r="B432" s="1" t="n">
        <v>44582</v>
      </c>
      <c r="C432" s="1" t="n">
        <v>45824</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3647-2022</t>
        </is>
      </c>
      <c r="B433" s="1" t="n">
        <v>44586</v>
      </c>
      <c r="C433" s="1" t="n">
        <v>45824</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3888-2022</t>
        </is>
      </c>
      <c r="B434" s="1" t="n">
        <v>44587</v>
      </c>
      <c r="C434" s="1" t="n">
        <v>45824</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3920-2022</t>
        </is>
      </c>
      <c r="B435" s="1" t="n">
        <v>44587</v>
      </c>
      <c r="C435" s="1" t="n">
        <v>45824</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4237-2022</t>
        </is>
      </c>
      <c r="B436" s="1" t="n">
        <v>44588</v>
      </c>
      <c r="C436" s="1" t="n">
        <v>45824</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4281-2022</t>
        </is>
      </c>
      <c r="B437" s="1" t="n">
        <v>44588</v>
      </c>
      <c r="C437" s="1" t="n">
        <v>45824</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4663-2022</t>
        </is>
      </c>
      <c r="B438" s="1" t="n">
        <v>44592</v>
      </c>
      <c r="C438" s="1" t="n">
        <v>45824</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4779-2022</t>
        </is>
      </c>
      <c r="B439" s="1" t="n">
        <v>44592</v>
      </c>
      <c r="C439" s="1" t="n">
        <v>45824</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5335-2022</t>
        </is>
      </c>
      <c r="B440" s="1" t="n">
        <v>44594</v>
      </c>
      <c r="C440" s="1" t="n">
        <v>45824</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5737-2022</t>
        </is>
      </c>
      <c r="B441" s="1" t="n">
        <v>44596</v>
      </c>
      <c r="C441" s="1" t="n">
        <v>45824</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5728-2022</t>
        </is>
      </c>
      <c r="B442" s="1" t="n">
        <v>44596</v>
      </c>
      <c r="C442" s="1" t="n">
        <v>45824</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6097-2022</t>
        </is>
      </c>
      <c r="B443" s="1" t="n">
        <v>44599</v>
      </c>
      <c r="C443" s="1" t="n">
        <v>45824</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6705-2022</t>
        </is>
      </c>
      <c r="B444" s="1" t="n">
        <v>44602</v>
      </c>
      <c r="C444" s="1" t="n">
        <v>45824</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6665-2022</t>
        </is>
      </c>
      <c r="B445" s="1" t="n">
        <v>44602</v>
      </c>
      <c r="C445" s="1" t="n">
        <v>45824</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6667-2022</t>
        </is>
      </c>
      <c r="B446" s="1" t="n">
        <v>44602</v>
      </c>
      <c r="C446" s="1" t="n">
        <v>45824</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6710-2022</t>
        </is>
      </c>
      <c r="B447" s="1" t="n">
        <v>44602</v>
      </c>
      <c r="C447" s="1" t="n">
        <v>45824</v>
      </c>
      <c r="D447" t="inlineStr">
        <is>
          <t>VÄSTMANLANDS LÄN</t>
        </is>
      </c>
      <c r="E447" t="inlineStr">
        <is>
          <t>SALA</t>
        </is>
      </c>
      <c r="G447" t="n">
        <v>6.4</v>
      </c>
      <c r="H447" t="n">
        <v>0</v>
      </c>
      <c r="I447" t="n">
        <v>0</v>
      </c>
      <c r="J447" t="n">
        <v>0</v>
      </c>
      <c r="K447" t="n">
        <v>0</v>
      </c>
      <c r="L447" t="n">
        <v>0</v>
      </c>
      <c r="M447" t="n">
        <v>0</v>
      </c>
      <c r="N447" t="n">
        <v>0</v>
      </c>
      <c r="O447" t="n">
        <v>0</v>
      </c>
      <c r="P447" t="n">
        <v>0</v>
      </c>
      <c r="Q447" t="n">
        <v>0</v>
      </c>
      <c r="R447" s="2" t="inlineStr"/>
    </row>
    <row r="448" ht="15" customHeight="1">
      <c r="A448" t="inlineStr">
        <is>
          <t>A 6957-2022</t>
        </is>
      </c>
      <c r="B448" s="1" t="n">
        <v>44603</v>
      </c>
      <c r="C448" s="1" t="n">
        <v>45824</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7169-2022</t>
        </is>
      </c>
      <c r="B449" s="1" t="n">
        <v>44604</v>
      </c>
      <c r="C449" s="1" t="n">
        <v>45824</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8130-2022</t>
        </is>
      </c>
      <c r="B450" s="1" t="n">
        <v>44609</v>
      </c>
      <c r="C450" s="1" t="n">
        <v>45824</v>
      </c>
      <c r="D450" t="inlineStr">
        <is>
          <t>VÄSTMANLANDS LÄN</t>
        </is>
      </c>
      <c r="E450" t="inlineStr">
        <is>
          <t>SALA</t>
        </is>
      </c>
      <c r="G450" t="n">
        <v>3.5</v>
      </c>
      <c r="H450" t="n">
        <v>0</v>
      </c>
      <c r="I450" t="n">
        <v>0</v>
      </c>
      <c r="J450" t="n">
        <v>0</v>
      </c>
      <c r="K450" t="n">
        <v>0</v>
      </c>
      <c r="L450" t="n">
        <v>0</v>
      </c>
      <c r="M450" t="n">
        <v>0</v>
      </c>
      <c r="N450" t="n">
        <v>0</v>
      </c>
      <c r="O450" t="n">
        <v>0</v>
      </c>
      <c r="P450" t="n">
        <v>0</v>
      </c>
      <c r="Q450" t="n">
        <v>0</v>
      </c>
      <c r="R450" s="2" t="inlineStr"/>
    </row>
    <row r="451" ht="15" customHeight="1">
      <c r="A451" t="inlineStr">
        <is>
          <t>A 9048-2022</t>
        </is>
      </c>
      <c r="B451" s="1" t="n">
        <v>44615</v>
      </c>
      <c r="C451" s="1" t="n">
        <v>45824</v>
      </c>
      <c r="D451" t="inlineStr">
        <is>
          <t>VÄSTMANLANDS LÄN</t>
        </is>
      </c>
      <c r="E451" t="inlineStr">
        <is>
          <t>SALA</t>
        </is>
      </c>
      <c r="G451" t="n">
        <v>5.2</v>
      </c>
      <c r="H451" t="n">
        <v>0</v>
      </c>
      <c r="I451" t="n">
        <v>0</v>
      </c>
      <c r="J451" t="n">
        <v>0</v>
      </c>
      <c r="K451" t="n">
        <v>0</v>
      </c>
      <c r="L451" t="n">
        <v>0</v>
      </c>
      <c r="M451" t="n">
        <v>0</v>
      </c>
      <c r="N451" t="n">
        <v>0</v>
      </c>
      <c r="O451" t="n">
        <v>0</v>
      </c>
      <c r="P451" t="n">
        <v>0</v>
      </c>
      <c r="Q451" t="n">
        <v>0</v>
      </c>
      <c r="R451" s="2" t="inlineStr"/>
    </row>
    <row r="452" ht="15" customHeight="1">
      <c r="A452" t="inlineStr">
        <is>
          <t>A 9050-2022</t>
        </is>
      </c>
      <c r="B452" s="1" t="n">
        <v>44615</v>
      </c>
      <c r="C452" s="1" t="n">
        <v>45824</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9075-2022</t>
        </is>
      </c>
      <c r="B453" s="1" t="n">
        <v>44615</v>
      </c>
      <c r="C453" s="1" t="n">
        <v>45824</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9335-2022</t>
        </is>
      </c>
      <c r="B454" s="1" t="n">
        <v>44616</v>
      </c>
      <c r="C454" s="1" t="n">
        <v>45824</v>
      </c>
      <c r="D454" t="inlineStr">
        <is>
          <t>VÄSTMANLANDS LÄN</t>
        </is>
      </c>
      <c r="E454" t="inlineStr">
        <is>
          <t>SALA</t>
        </is>
      </c>
      <c r="G454" t="n">
        <v>1.5</v>
      </c>
      <c r="H454" t="n">
        <v>0</v>
      </c>
      <c r="I454" t="n">
        <v>0</v>
      </c>
      <c r="J454" t="n">
        <v>0</v>
      </c>
      <c r="K454" t="n">
        <v>0</v>
      </c>
      <c r="L454" t="n">
        <v>0</v>
      </c>
      <c r="M454" t="n">
        <v>0</v>
      </c>
      <c r="N454" t="n">
        <v>0</v>
      </c>
      <c r="O454" t="n">
        <v>0</v>
      </c>
      <c r="P454" t="n">
        <v>0</v>
      </c>
      <c r="Q454" t="n">
        <v>0</v>
      </c>
      <c r="R454" s="2" t="inlineStr"/>
    </row>
    <row r="455" ht="15" customHeight="1">
      <c r="A455" t="inlineStr">
        <is>
          <t>A 9856-2022</t>
        </is>
      </c>
      <c r="B455" s="1" t="n">
        <v>44620</v>
      </c>
      <c r="C455" s="1" t="n">
        <v>45824</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10083-2022</t>
        </is>
      </c>
      <c r="B456" s="1" t="n">
        <v>44621</v>
      </c>
      <c r="C456" s="1" t="n">
        <v>45824</v>
      </c>
      <c r="D456" t="inlineStr">
        <is>
          <t>VÄSTMANLANDS LÄN</t>
        </is>
      </c>
      <c r="E456" t="inlineStr">
        <is>
          <t>SALA</t>
        </is>
      </c>
      <c r="G456" t="n">
        <v>7.8</v>
      </c>
      <c r="H456" t="n">
        <v>0</v>
      </c>
      <c r="I456" t="n">
        <v>0</v>
      </c>
      <c r="J456" t="n">
        <v>0</v>
      </c>
      <c r="K456" t="n">
        <v>0</v>
      </c>
      <c r="L456" t="n">
        <v>0</v>
      </c>
      <c r="M456" t="n">
        <v>0</v>
      </c>
      <c r="N456" t="n">
        <v>0</v>
      </c>
      <c r="O456" t="n">
        <v>0</v>
      </c>
      <c r="P456" t="n">
        <v>0</v>
      </c>
      <c r="Q456" t="n">
        <v>0</v>
      </c>
      <c r="R456" s="2" t="inlineStr"/>
    </row>
    <row r="457" ht="15" customHeight="1">
      <c r="A457" t="inlineStr">
        <is>
          <t>A 10168-2022</t>
        </is>
      </c>
      <c r="B457" s="1" t="n">
        <v>44622</v>
      </c>
      <c r="C457" s="1" t="n">
        <v>45824</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10434-2022</t>
        </is>
      </c>
      <c r="B458" s="1" t="n">
        <v>44623</v>
      </c>
      <c r="C458" s="1" t="n">
        <v>45824</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10585-2022</t>
        </is>
      </c>
      <c r="B459" s="1" t="n">
        <v>44624</v>
      </c>
      <c r="C459" s="1" t="n">
        <v>45824</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10579-2022</t>
        </is>
      </c>
      <c r="B460" s="1" t="n">
        <v>44624</v>
      </c>
      <c r="C460" s="1" t="n">
        <v>45824</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11370-2022</t>
        </is>
      </c>
      <c r="B461" s="1" t="n">
        <v>44630</v>
      </c>
      <c r="C461" s="1" t="n">
        <v>45824</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12245-2022</t>
        </is>
      </c>
      <c r="B462" s="1" t="n">
        <v>44637</v>
      </c>
      <c r="C462" s="1" t="n">
        <v>45824</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13608-2022</t>
        </is>
      </c>
      <c r="B463" s="1" t="n">
        <v>44648</v>
      </c>
      <c r="C463" s="1" t="n">
        <v>45824</v>
      </c>
      <c r="D463" t="inlineStr">
        <is>
          <t>VÄSTMANLANDS LÄN</t>
        </is>
      </c>
      <c r="E463" t="inlineStr">
        <is>
          <t>SALA</t>
        </is>
      </c>
      <c r="G463" t="n">
        <v>5.9</v>
      </c>
      <c r="H463" t="n">
        <v>0</v>
      </c>
      <c r="I463" t="n">
        <v>0</v>
      </c>
      <c r="J463" t="n">
        <v>0</v>
      </c>
      <c r="K463" t="n">
        <v>0</v>
      </c>
      <c r="L463" t="n">
        <v>0</v>
      </c>
      <c r="M463" t="n">
        <v>0</v>
      </c>
      <c r="N463" t="n">
        <v>0</v>
      </c>
      <c r="O463" t="n">
        <v>0</v>
      </c>
      <c r="P463" t="n">
        <v>0</v>
      </c>
      <c r="Q463" t="n">
        <v>0</v>
      </c>
      <c r="R463" s="2" t="inlineStr"/>
    </row>
    <row r="464" ht="15" customHeight="1">
      <c r="A464" t="inlineStr">
        <is>
          <t>A 13962-2022</t>
        </is>
      </c>
      <c r="B464" s="1" t="n">
        <v>44650</v>
      </c>
      <c r="C464" s="1" t="n">
        <v>45824</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15850-2022</t>
        </is>
      </c>
      <c r="B465" s="1" t="n">
        <v>44664</v>
      </c>
      <c r="C465" s="1" t="n">
        <v>45824</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16255-2022</t>
        </is>
      </c>
      <c r="B466" s="1" t="n">
        <v>44670</v>
      </c>
      <c r="C466" s="1" t="n">
        <v>45824</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16404-2022</t>
        </is>
      </c>
      <c r="B467" s="1" t="n">
        <v>44671</v>
      </c>
      <c r="C467" s="1" t="n">
        <v>45824</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16768-2022</t>
        </is>
      </c>
      <c r="B468" s="1" t="n">
        <v>44673</v>
      </c>
      <c r="C468" s="1" t="n">
        <v>45824</v>
      </c>
      <c r="D468" t="inlineStr">
        <is>
          <t>VÄSTMANLANDS LÄN</t>
        </is>
      </c>
      <c r="E468" t="inlineStr">
        <is>
          <t>SALA</t>
        </is>
      </c>
      <c r="G468" t="n">
        <v>4.7</v>
      </c>
      <c r="H468" t="n">
        <v>0</v>
      </c>
      <c r="I468" t="n">
        <v>0</v>
      </c>
      <c r="J468" t="n">
        <v>0</v>
      </c>
      <c r="K468" t="n">
        <v>0</v>
      </c>
      <c r="L468" t="n">
        <v>0</v>
      </c>
      <c r="M468" t="n">
        <v>0</v>
      </c>
      <c r="N468" t="n">
        <v>0</v>
      </c>
      <c r="O468" t="n">
        <v>0</v>
      </c>
      <c r="P468" t="n">
        <v>0</v>
      </c>
      <c r="Q468" t="n">
        <v>0</v>
      </c>
      <c r="R468" s="2" t="inlineStr"/>
    </row>
    <row r="469" ht="15" customHeight="1">
      <c r="A469" t="inlineStr">
        <is>
          <t>A 16905-2022</t>
        </is>
      </c>
      <c r="B469" s="1" t="n">
        <v>44676</v>
      </c>
      <c r="C469" s="1" t="n">
        <v>45824</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17897-2022</t>
        </is>
      </c>
      <c r="B470" s="1" t="n">
        <v>44683</v>
      </c>
      <c r="C470" s="1" t="n">
        <v>45824</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19058-2022</t>
        </is>
      </c>
      <c r="B471" s="1" t="n">
        <v>44691</v>
      </c>
      <c r="C471" s="1" t="n">
        <v>45824</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19065-2022</t>
        </is>
      </c>
      <c r="B472" s="1" t="n">
        <v>44691</v>
      </c>
      <c r="C472" s="1" t="n">
        <v>45824</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19751-2022</t>
        </is>
      </c>
      <c r="B473" s="1" t="n">
        <v>44694</v>
      </c>
      <c r="C473" s="1" t="n">
        <v>45824</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19760-2022</t>
        </is>
      </c>
      <c r="B474" s="1" t="n">
        <v>44694</v>
      </c>
      <c r="C474" s="1" t="n">
        <v>45824</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20344-2022</t>
        </is>
      </c>
      <c r="B475" s="1" t="n">
        <v>44699</v>
      </c>
      <c r="C475" s="1" t="n">
        <v>45824</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20352-2022</t>
        </is>
      </c>
      <c r="B476" s="1" t="n">
        <v>44699</v>
      </c>
      <c r="C476" s="1" t="n">
        <v>45824</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20875-2022</t>
        </is>
      </c>
      <c r="B477" s="1" t="n">
        <v>44701</v>
      </c>
      <c r="C477" s="1" t="n">
        <v>45824</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21055-2022</t>
        </is>
      </c>
      <c r="B478" s="1" t="n">
        <v>44704</v>
      </c>
      <c r="C478" s="1" t="n">
        <v>45824</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21053-2022</t>
        </is>
      </c>
      <c r="B479" s="1" t="n">
        <v>44704</v>
      </c>
      <c r="C479" s="1" t="n">
        <v>45824</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45824</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v>
      </c>
      <c r="C481" s="1" t="n">
        <v>45824</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22397-2022</t>
        </is>
      </c>
      <c r="B482" s="1" t="n">
        <v>44713</v>
      </c>
      <c r="C482" s="1" t="n">
        <v>45824</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22575-2022</t>
        </is>
      </c>
      <c r="B483" s="1" t="n">
        <v>44713</v>
      </c>
      <c r="C483" s="1" t="n">
        <v>45824</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22562-2022</t>
        </is>
      </c>
      <c r="B484" s="1" t="n">
        <v>44713</v>
      </c>
      <c r="C484" s="1" t="n">
        <v>45824</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22811-2022</t>
        </is>
      </c>
      <c r="B485" s="1" t="n">
        <v>44715</v>
      </c>
      <c r="C485" s="1" t="n">
        <v>45824</v>
      </c>
      <c r="D485" t="inlineStr">
        <is>
          <t>VÄSTMANLANDS LÄN</t>
        </is>
      </c>
      <c r="E485" t="inlineStr">
        <is>
          <t>SALA</t>
        </is>
      </c>
      <c r="G485" t="n">
        <v>5</v>
      </c>
      <c r="H485" t="n">
        <v>0</v>
      </c>
      <c r="I485" t="n">
        <v>0</v>
      </c>
      <c r="J485" t="n">
        <v>0</v>
      </c>
      <c r="K485" t="n">
        <v>0</v>
      </c>
      <c r="L485" t="n">
        <v>0</v>
      </c>
      <c r="M485" t="n">
        <v>0</v>
      </c>
      <c r="N485" t="n">
        <v>0</v>
      </c>
      <c r="O485" t="n">
        <v>0</v>
      </c>
      <c r="P485" t="n">
        <v>0</v>
      </c>
      <c r="Q485" t="n">
        <v>0</v>
      </c>
      <c r="R485" s="2" t="inlineStr"/>
    </row>
    <row r="486" ht="15" customHeight="1">
      <c r="A486" t="inlineStr">
        <is>
          <t>A 23119-2022</t>
        </is>
      </c>
      <c r="B486" s="1" t="n">
        <v>44719</v>
      </c>
      <c r="C486" s="1" t="n">
        <v>45824</v>
      </c>
      <c r="D486" t="inlineStr">
        <is>
          <t>VÄSTMANLANDS LÄN</t>
        </is>
      </c>
      <c r="E486" t="inlineStr">
        <is>
          <t>SALA</t>
        </is>
      </c>
      <c r="G486" t="n">
        <v>7</v>
      </c>
      <c r="H486" t="n">
        <v>0</v>
      </c>
      <c r="I486" t="n">
        <v>0</v>
      </c>
      <c r="J486" t="n">
        <v>0</v>
      </c>
      <c r="K486" t="n">
        <v>0</v>
      </c>
      <c r="L486" t="n">
        <v>0</v>
      </c>
      <c r="M486" t="n">
        <v>0</v>
      </c>
      <c r="N486" t="n">
        <v>0</v>
      </c>
      <c r="O486" t="n">
        <v>0</v>
      </c>
      <c r="P486" t="n">
        <v>0</v>
      </c>
      <c r="Q486" t="n">
        <v>0</v>
      </c>
      <c r="R486" s="2" t="inlineStr"/>
    </row>
    <row r="487" ht="15" customHeight="1">
      <c r="A487" t="inlineStr">
        <is>
          <t>A 23181-2022</t>
        </is>
      </c>
      <c r="B487" s="1" t="n">
        <v>44719</v>
      </c>
      <c r="C487" s="1" t="n">
        <v>45824</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23180-2022</t>
        </is>
      </c>
      <c r="B488" s="1" t="n">
        <v>44719</v>
      </c>
      <c r="C488" s="1" t="n">
        <v>45824</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v>
      </c>
      <c r="C489" s="1" t="n">
        <v>45824</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23757-2022</t>
        </is>
      </c>
      <c r="B490" s="1" t="n">
        <v>44722</v>
      </c>
      <c r="C490" s="1" t="n">
        <v>45824</v>
      </c>
      <c r="D490" t="inlineStr">
        <is>
          <t>VÄSTMANLANDS LÄN</t>
        </is>
      </c>
      <c r="E490" t="inlineStr">
        <is>
          <t>SALA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23847-2022</t>
        </is>
      </c>
      <c r="B491" s="1" t="n">
        <v>44722</v>
      </c>
      <c r="C491" s="1" t="n">
        <v>45824</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24818-2022</t>
        </is>
      </c>
      <c r="B492" s="1" t="n">
        <v>44727</v>
      </c>
      <c r="C492" s="1" t="n">
        <v>45824</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24835-2022</t>
        </is>
      </c>
      <c r="B493" s="1" t="n">
        <v>44727</v>
      </c>
      <c r="C493" s="1" t="n">
        <v>45824</v>
      </c>
      <c r="D493" t="inlineStr">
        <is>
          <t>VÄSTMANLANDS LÄN</t>
        </is>
      </c>
      <c r="E493" t="inlineStr">
        <is>
          <t>SALA</t>
        </is>
      </c>
      <c r="G493" t="n">
        <v>5.8</v>
      </c>
      <c r="H493" t="n">
        <v>0</v>
      </c>
      <c r="I493" t="n">
        <v>0</v>
      </c>
      <c r="J493" t="n">
        <v>0</v>
      </c>
      <c r="K493" t="n">
        <v>0</v>
      </c>
      <c r="L493" t="n">
        <v>0</v>
      </c>
      <c r="M493" t="n">
        <v>0</v>
      </c>
      <c r="N493" t="n">
        <v>0</v>
      </c>
      <c r="O493" t="n">
        <v>0</v>
      </c>
      <c r="P493" t="n">
        <v>0</v>
      </c>
      <c r="Q493" t="n">
        <v>0</v>
      </c>
      <c r="R493" s="2" t="inlineStr"/>
    </row>
    <row r="494" ht="15" customHeight="1">
      <c r="A494" t="inlineStr">
        <is>
          <t>A 24882-2022</t>
        </is>
      </c>
      <c r="B494" s="1" t="n">
        <v>44728</v>
      </c>
      <c r="C494" s="1" t="n">
        <v>45824</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25603-2022</t>
        </is>
      </c>
      <c r="B495" s="1" t="n">
        <v>44732</v>
      </c>
      <c r="C495" s="1" t="n">
        <v>45824</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25748-2022</t>
        </is>
      </c>
      <c r="B496" s="1" t="n">
        <v>44732</v>
      </c>
      <c r="C496" s="1" t="n">
        <v>45824</v>
      </c>
      <c r="D496" t="inlineStr">
        <is>
          <t>VÄSTMANLANDS LÄN</t>
        </is>
      </c>
      <c r="E496" t="inlineStr">
        <is>
          <t>SALA</t>
        </is>
      </c>
      <c r="G496" t="n">
        <v>7.7</v>
      </c>
      <c r="H496" t="n">
        <v>0</v>
      </c>
      <c r="I496" t="n">
        <v>0</v>
      </c>
      <c r="J496" t="n">
        <v>0</v>
      </c>
      <c r="K496" t="n">
        <v>0</v>
      </c>
      <c r="L496" t="n">
        <v>0</v>
      </c>
      <c r="M496" t="n">
        <v>0</v>
      </c>
      <c r="N496" t="n">
        <v>0</v>
      </c>
      <c r="O496" t="n">
        <v>0</v>
      </c>
      <c r="P496" t="n">
        <v>0</v>
      </c>
      <c r="Q496" t="n">
        <v>0</v>
      </c>
      <c r="R496" s="2" t="inlineStr"/>
    </row>
    <row r="497" ht="15" customHeight="1">
      <c r="A497" t="inlineStr">
        <is>
          <t>A 27229-2022</t>
        </is>
      </c>
      <c r="B497" s="1" t="n">
        <v>44741</v>
      </c>
      <c r="C497" s="1" t="n">
        <v>45824</v>
      </c>
      <c r="D497" t="inlineStr">
        <is>
          <t>VÄSTMANLANDS LÄN</t>
        </is>
      </c>
      <c r="E497" t="inlineStr">
        <is>
          <t>SALA</t>
        </is>
      </c>
      <c r="F497" t="inlineStr">
        <is>
          <t>Kommuner</t>
        </is>
      </c>
      <c r="G497" t="n">
        <v>1.4</v>
      </c>
      <c r="H497" t="n">
        <v>0</v>
      </c>
      <c r="I497" t="n">
        <v>0</v>
      </c>
      <c r="J497" t="n">
        <v>0</v>
      </c>
      <c r="K497" t="n">
        <v>0</v>
      </c>
      <c r="L497" t="n">
        <v>0</v>
      </c>
      <c r="M497" t="n">
        <v>0</v>
      </c>
      <c r="N497" t="n">
        <v>0</v>
      </c>
      <c r="O497" t="n">
        <v>0</v>
      </c>
      <c r="P497" t="n">
        <v>0</v>
      </c>
      <c r="Q497" t="n">
        <v>0</v>
      </c>
      <c r="R497" s="2" t="inlineStr"/>
    </row>
    <row r="498" ht="15" customHeight="1">
      <c r="A498" t="inlineStr">
        <is>
          <t>A 27240-2022</t>
        </is>
      </c>
      <c r="B498" s="1" t="n">
        <v>44741</v>
      </c>
      <c r="C498" s="1" t="n">
        <v>45824</v>
      </c>
      <c r="D498" t="inlineStr">
        <is>
          <t>VÄSTMANLANDS LÄN</t>
        </is>
      </c>
      <c r="E498" t="inlineStr">
        <is>
          <t>SALA</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27446-2022</t>
        </is>
      </c>
      <c r="B499" s="1" t="n">
        <v>44742</v>
      </c>
      <c r="C499" s="1" t="n">
        <v>45824</v>
      </c>
      <c r="D499" t="inlineStr">
        <is>
          <t>VÄSTMANLANDS LÄN</t>
        </is>
      </c>
      <c r="E499" t="inlineStr">
        <is>
          <t>SALA</t>
        </is>
      </c>
      <c r="G499" t="n">
        <v>6.7</v>
      </c>
      <c r="H499" t="n">
        <v>0</v>
      </c>
      <c r="I499" t="n">
        <v>0</v>
      </c>
      <c r="J499" t="n">
        <v>0</v>
      </c>
      <c r="K499" t="n">
        <v>0</v>
      </c>
      <c r="L499" t="n">
        <v>0</v>
      </c>
      <c r="M499" t="n">
        <v>0</v>
      </c>
      <c r="N499" t="n">
        <v>0</v>
      </c>
      <c r="O499" t="n">
        <v>0</v>
      </c>
      <c r="P499" t="n">
        <v>0</v>
      </c>
      <c r="Q499" t="n">
        <v>0</v>
      </c>
      <c r="R499" s="2" t="inlineStr"/>
    </row>
    <row r="500" ht="15" customHeight="1">
      <c r="A500" t="inlineStr">
        <is>
          <t>A 27528-2022</t>
        </is>
      </c>
      <c r="B500" s="1" t="n">
        <v>44742</v>
      </c>
      <c r="C500" s="1" t="n">
        <v>45824</v>
      </c>
      <c r="D500" t="inlineStr">
        <is>
          <t>VÄSTMANLANDS LÄN</t>
        </is>
      </c>
      <c r="E500" t="inlineStr">
        <is>
          <t>SALA</t>
        </is>
      </c>
      <c r="G500" t="n">
        <v>3.2</v>
      </c>
      <c r="H500" t="n">
        <v>0</v>
      </c>
      <c r="I500" t="n">
        <v>0</v>
      </c>
      <c r="J500" t="n">
        <v>0</v>
      </c>
      <c r="K500" t="n">
        <v>0</v>
      </c>
      <c r="L500" t="n">
        <v>0</v>
      </c>
      <c r="M500" t="n">
        <v>0</v>
      </c>
      <c r="N500" t="n">
        <v>0</v>
      </c>
      <c r="O500" t="n">
        <v>0</v>
      </c>
      <c r="P500" t="n">
        <v>0</v>
      </c>
      <c r="Q500" t="n">
        <v>0</v>
      </c>
      <c r="R500" s="2" t="inlineStr"/>
    </row>
    <row r="501" ht="15" customHeight="1">
      <c r="A501" t="inlineStr">
        <is>
          <t>A 27486-2022</t>
        </is>
      </c>
      <c r="B501" s="1" t="n">
        <v>44742</v>
      </c>
      <c r="C501" s="1" t="n">
        <v>45824</v>
      </c>
      <c r="D501" t="inlineStr">
        <is>
          <t>VÄSTMANLANDS LÄN</t>
        </is>
      </c>
      <c r="E501" t="inlineStr">
        <is>
          <t>SALA</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28069-2022</t>
        </is>
      </c>
      <c r="B502" s="1" t="n">
        <v>44746</v>
      </c>
      <c r="C502" s="1" t="n">
        <v>45824</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28215-2022</t>
        </is>
      </c>
      <c r="B503" s="1" t="n">
        <v>44746</v>
      </c>
      <c r="C503" s="1" t="n">
        <v>45824</v>
      </c>
      <c r="D503" t="inlineStr">
        <is>
          <t>VÄSTMANLANDS LÄN</t>
        </is>
      </c>
      <c r="E503" t="inlineStr">
        <is>
          <t>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28402-2022</t>
        </is>
      </c>
      <c r="B504" s="1" t="n">
        <v>44747</v>
      </c>
      <c r="C504" s="1" t="n">
        <v>45824</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28863-2022</t>
        </is>
      </c>
      <c r="B505" s="1" t="n">
        <v>44749</v>
      </c>
      <c r="C505" s="1" t="n">
        <v>45824</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28875-2022</t>
        </is>
      </c>
      <c r="B506" s="1" t="n">
        <v>44749</v>
      </c>
      <c r="C506" s="1" t="n">
        <v>45824</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28999-2022</t>
        </is>
      </c>
      <c r="B507" s="1" t="n">
        <v>44749</v>
      </c>
      <c r="C507" s="1" t="n">
        <v>45824</v>
      </c>
      <c r="D507" t="inlineStr">
        <is>
          <t>VÄSTMANLANDS LÄN</t>
        </is>
      </c>
      <c r="E507" t="inlineStr">
        <is>
          <t>SALA</t>
        </is>
      </c>
      <c r="G507" t="n">
        <v>5.7</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v>
      </c>
      <c r="C508" s="1" t="n">
        <v>45824</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28873-2022</t>
        </is>
      </c>
      <c r="B509" s="1" t="n">
        <v>44749</v>
      </c>
      <c r="C509" s="1" t="n">
        <v>45824</v>
      </c>
      <c r="D509" t="inlineStr">
        <is>
          <t>VÄSTMANLANDS LÄN</t>
        </is>
      </c>
      <c r="E509" t="inlineStr">
        <is>
          <t>SALA</t>
        </is>
      </c>
      <c r="G509" t="n">
        <v>2.7</v>
      </c>
      <c r="H509" t="n">
        <v>0</v>
      </c>
      <c r="I509" t="n">
        <v>0</v>
      </c>
      <c r="J509" t="n">
        <v>0</v>
      </c>
      <c r="K509" t="n">
        <v>0</v>
      </c>
      <c r="L509" t="n">
        <v>0</v>
      </c>
      <c r="M509" t="n">
        <v>0</v>
      </c>
      <c r="N509" t="n">
        <v>0</v>
      </c>
      <c r="O509" t="n">
        <v>0</v>
      </c>
      <c r="P509" t="n">
        <v>0</v>
      </c>
      <c r="Q509" t="n">
        <v>0</v>
      </c>
      <c r="R509" s="2" t="inlineStr"/>
    </row>
    <row r="510" ht="15" customHeight="1">
      <c r="A510" t="inlineStr">
        <is>
          <t>A 29002-2022</t>
        </is>
      </c>
      <c r="B510" s="1" t="n">
        <v>44749</v>
      </c>
      <c r="C510" s="1" t="n">
        <v>45824</v>
      </c>
      <c r="D510" t="inlineStr">
        <is>
          <t>VÄSTMANLANDS LÄN</t>
        </is>
      </c>
      <c r="E510" t="inlineStr">
        <is>
          <t>SALA</t>
        </is>
      </c>
      <c r="G510" t="n">
        <v>5.4</v>
      </c>
      <c r="H510" t="n">
        <v>0</v>
      </c>
      <c r="I510" t="n">
        <v>0</v>
      </c>
      <c r="J510" t="n">
        <v>0</v>
      </c>
      <c r="K510" t="n">
        <v>0</v>
      </c>
      <c r="L510" t="n">
        <v>0</v>
      </c>
      <c r="M510" t="n">
        <v>0</v>
      </c>
      <c r="N510" t="n">
        <v>0</v>
      </c>
      <c r="O510" t="n">
        <v>0</v>
      </c>
      <c r="P510" t="n">
        <v>0</v>
      </c>
      <c r="Q510" t="n">
        <v>0</v>
      </c>
      <c r="R510" s="2" t="inlineStr"/>
    </row>
    <row r="511" ht="15" customHeight="1">
      <c r="A511" t="inlineStr">
        <is>
          <t>A 28868-2022</t>
        </is>
      </c>
      <c r="B511" s="1" t="n">
        <v>44749</v>
      </c>
      <c r="C511" s="1" t="n">
        <v>45824</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28874-2022</t>
        </is>
      </c>
      <c r="B512" s="1" t="n">
        <v>44749</v>
      </c>
      <c r="C512" s="1" t="n">
        <v>45824</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28879-2022</t>
        </is>
      </c>
      <c r="B513" s="1" t="n">
        <v>44749</v>
      </c>
      <c r="C513" s="1" t="n">
        <v>45824</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29235-2022</t>
        </is>
      </c>
      <c r="B514" s="1" t="n">
        <v>44750</v>
      </c>
      <c r="C514" s="1" t="n">
        <v>45824</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29228-2022</t>
        </is>
      </c>
      <c r="B515" s="1" t="n">
        <v>44750</v>
      </c>
      <c r="C515" s="1" t="n">
        <v>45824</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29233-2022</t>
        </is>
      </c>
      <c r="B516" s="1" t="n">
        <v>44750</v>
      </c>
      <c r="C516" s="1" t="n">
        <v>45824</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29248-2022</t>
        </is>
      </c>
      <c r="B517" s="1" t="n">
        <v>44750</v>
      </c>
      <c r="C517" s="1" t="n">
        <v>45824</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29230-2022</t>
        </is>
      </c>
      <c r="B518" s="1" t="n">
        <v>44750</v>
      </c>
      <c r="C518" s="1" t="n">
        <v>45824</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29133-2022</t>
        </is>
      </c>
      <c r="B519" s="1" t="n">
        <v>44750</v>
      </c>
      <c r="C519" s="1" t="n">
        <v>45824</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29213-2022</t>
        </is>
      </c>
      <c r="B520" s="1" t="n">
        <v>44750</v>
      </c>
      <c r="C520" s="1" t="n">
        <v>45824</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29963-2022</t>
        </is>
      </c>
      <c r="B521" s="1" t="n">
        <v>44756</v>
      </c>
      <c r="C521" s="1" t="n">
        <v>45824</v>
      </c>
      <c r="D521" t="inlineStr">
        <is>
          <t>VÄSTMANLANDS LÄN</t>
        </is>
      </c>
      <c r="E521" t="inlineStr">
        <is>
          <t>SALA</t>
        </is>
      </c>
      <c r="G521" t="n">
        <v>2.3</v>
      </c>
      <c r="H521" t="n">
        <v>0</v>
      </c>
      <c r="I521" t="n">
        <v>0</v>
      </c>
      <c r="J521" t="n">
        <v>0</v>
      </c>
      <c r="K521" t="n">
        <v>0</v>
      </c>
      <c r="L521" t="n">
        <v>0</v>
      </c>
      <c r="M521" t="n">
        <v>0</v>
      </c>
      <c r="N521" t="n">
        <v>0</v>
      </c>
      <c r="O521" t="n">
        <v>0</v>
      </c>
      <c r="P521" t="n">
        <v>0</v>
      </c>
      <c r="Q521" t="n">
        <v>0</v>
      </c>
      <c r="R521" s="2" t="inlineStr"/>
    </row>
    <row r="522" ht="15" customHeight="1">
      <c r="A522" t="inlineStr">
        <is>
          <t>A 29965-2022</t>
        </is>
      </c>
      <c r="B522" s="1" t="n">
        <v>44756</v>
      </c>
      <c r="C522" s="1" t="n">
        <v>45824</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29982-2022</t>
        </is>
      </c>
      <c r="B523" s="1" t="n">
        <v>44756</v>
      </c>
      <c r="C523" s="1" t="n">
        <v>45824</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30360-2022</t>
        </is>
      </c>
      <c r="B524" s="1" t="n">
        <v>44760</v>
      </c>
      <c r="C524" s="1" t="n">
        <v>45824</v>
      </c>
      <c r="D524" t="inlineStr">
        <is>
          <t>VÄSTMANLANDS LÄN</t>
        </is>
      </c>
      <c r="E524" t="inlineStr">
        <is>
          <t>SALA</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30442-2022</t>
        </is>
      </c>
      <c r="B525" s="1" t="n">
        <v>44761</v>
      </c>
      <c r="C525" s="1" t="n">
        <v>45824</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30971-2022</t>
        </is>
      </c>
      <c r="B526" s="1" t="n">
        <v>44768</v>
      </c>
      <c r="C526" s="1" t="n">
        <v>45824</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31000-2022</t>
        </is>
      </c>
      <c r="B527" s="1" t="n">
        <v>44768</v>
      </c>
      <c r="C527" s="1" t="n">
        <v>45824</v>
      </c>
      <c r="D527" t="inlineStr">
        <is>
          <t>VÄSTMANLANDS LÄN</t>
        </is>
      </c>
      <c r="E527" t="inlineStr">
        <is>
          <t>SALA</t>
        </is>
      </c>
      <c r="G527" t="n">
        <v>5.7</v>
      </c>
      <c r="H527" t="n">
        <v>0</v>
      </c>
      <c r="I527" t="n">
        <v>0</v>
      </c>
      <c r="J527" t="n">
        <v>0</v>
      </c>
      <c r="K527" t="n">
        <v>0</v>
      </c>
      <c r="L527" t="n">
        <v>0</v>
      </c>
      <c r="M527" t="n">
        <v>0</v>
      </c>
      <c r="N527" t="n">
        <v>0</v>
      </c>
      <c r="O527" t="n">
        <v>0</v>
      </c>
      <c r="P527" t="n">
        <v>0</v>
      </c>
      <c r="Q527" t="n">
        <v>0</v>
      </c>
      <c r="R527" s="2" t="inlineStr"/>
    </row>
    <row r="528" ht="15" customHeight="1">
      <c r="A528" t="inlineStr">
        <is>
          <t>A 31373-2022</t>
        </is>
      </c>
      <c r="B528" s="1" t="n">
        <v>44774</v>
      </c>
      <c r="C528" s="1" t="n">
        <v>45824</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31380-2022</t>
        </is>
      </c>
      <c r="B529" s="1" t="n">
        <v>44774</v>
      </c>
      <c r="C529" s="1" t="n">
        <v>45824</v>
      </c>
      <c r="D529" t="inlineStr">
        <is>
          <t>VÄSTMANLANDS LÄN</t>
        </is>
      </c>
      <c r="E529" t="inlineStr">
        <is>
          <t>SALA</t>
        </is>
      </c>
      <c r="G529" t="n">
        <v>4.7</v>
      </c>
      <c r="H529" t="n">
        <v>0</v>
      </c>
      <c r="I529" t="n">
        <v>0</v>
      </c>
      <c r="J529" t="n">
        <v>0</v>
      </c>
      <c r="K529" t="n">
        <v>0</v>
      </c>
      <c r="L529" t="n">
        <v>0</v>
      </c>
      <c r="M529" t="n">
        <v>0</v>
      </c>
      <c r="N529" t="n">
        <v>0</v>
      </c>
      <c r="O529" t="n">
        <v>0</v>
      </c>
      <c r="P529" t="n">
        <v>0</v>
      </c>
      <c r="Q529" t="n">
        <v>0</v>
      </c>
      <c r="R529" s="2" t="inlineStr"/>
    </row>
    <row r="530" ht="15" customHeight="1">
      <c r="A530" t="inlineStr">
        <is>
          <t>A 31387-2022</t>
        </is>
      </c>
      <c r="B530" s="1" t="n">
        <v>44774</v>
      </c>
      <c r="C530" s="1" t="n">
        <v>45824</v>
      </c>
      <c r="D530" t="inlineStr">
        <is>
          <t>VÄSTMANLANDS LÄN</t>
        </is>
      </c>
      <c r="E530" t="inlineStr">
        <is>
          <t>SALA</t>
        </is>
      </c>
      <c r="G530" t="n">
        <v>5.8</v>
      </c>
      <c r="H530" t="n">
        <v>0</v>
      </c>
      <c r="I530" t="n">
        <v>0</v>
      </c>
      <c r="J530" t="n">
        <v>0</v>
      </c>
      <c r="K530" t="n">
        <v>0</v>
      </c>
      <c r="L530" t="n">
        <v>0</v>
      </c>
      <c r="M530" t="n">
        <v>0</v>
      </c>
      <c r="N530" t="n">
        <v>0</v>
      </c>
      <c r="O530" t="n">
        <v>0</v>
      </c>
      <c r="P530" t="n">
        <v>0</v>
      </c>
      <c r="Q530" t="n">
        <v>0</v>
      </c>
      <c r="R530" s="2" t="inlineStr"/>
    </row>
    <row r="531" ht="15" customHeight="1">
      <c r="A531" t="inlineStr">
        <is>
          <t>A 31394-2022</t>
        </is>
      </c>
      <c r="B531" s="1" t="n">
        <v>44774</v>
      </c>
      <c r="C531" s="1" t="n">
        <v>45824</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33309-2022</t>
        </is>
      </c>
      <c r="B532" s="1" t="n">
        <v>44788</v>
      </c>
      <c r="C532" s="1" t="n">
        <v>45824</v>
      </c>
      <c r="D532" t="inlineStr">
        <is>
          <t>VÄSTMANLANDS LÄN</t>
        </is>
      </c>
      <c r="E532" t="inlineStr">
        <is>
          <t>SALA</t>
        </is>
      </c>
      <c r="G532" t="n">
        <v>2.6</v>
      </c>
      <c r="H532" t="n">
        <v>0</v>
      </c>
      <c r="I532" t="n">
        <v>0</v>
      </c>
      <c r="J532" t="n">
        <v>0</v>
      </c>
      <c r="K532" t="n">
        <v>0</v>
      </c>
      <c r="L532" t="n">
        <v>0</v>
      </c>
      <c r="M532" t="n">
        <v>0</v>
      </c>
      <c r="N532" t="n">
        <v>0</v>
      </c>
      <c r="O532" t="n">
        <v>0</v>
      </c>
      <c r="P532" t="n">
        <v>0</v>
      </c>
      <c r="Q532" t="n">
        <v>0</v>
      </c>
      <c r="R532" s="2" t="inlineStr"/>
    </row>
    <row r="533" ht="15" customHeight="1">
      <c r="A533" t="inlineStr">
        <is>
          <t>A 34110-2022</t>
        </is>
      </c>
      <c r="B533" s="1" t="n">
        <v>44791</v>
      </c>
      <c r="C533" s="1" t="n">
        <v>45824</v>
      </c>
      <c r="D533" t="inlineStr">
        <is>
          <t>VÄSTMANLANDS LÄN</t>
        </is>
      </c>
      <c r="E533" t="inlineStr">
        <is>
          <t>SALA</t>
        </is>
      </c>
      <c r="G533" t="n">
        <v>0.2</v>
      </c>
      <c r="H533" t="n">
        <v>0</v>
      </c>
      <c r="I533" t="n">
        <v>0</v>
      </c>
      <c r="J533" t="n">
        <v>0</v>
      </c>
      <c r="K533" t="n">
        <v>0</v>
      </c>
      <c r="L533" t="n">
        <v>0</v>
      </c>
      <c r="M533" t="n">
        <v>0</v>
      </c>
      <c r="N533" t="n">
        <v>0</v>
      </c>
      <c r="O533" t="n">
        <v>0</v>
      </c>
      <c r="P533" t="n">
        <v>0</v>
      </c>
      <c r="Q533" t="n">
        <v>0</v>
      </c>
      <c r="R533" s="2" t="inlineStr"/>
    </row>
    <row r="534" ht="15" customHeight="1">
      <c r="A534" t="inlineStr">
        <is>
          <t>A 34468-2022</t>
        </is>
      </c>
      <c r="B534" s="1" t="n">
        <v>44792</v>
      </c>
      <c r="C534" s="1" t="n">
        <v>45824</v>
      </c>
      <c r="D534" t="inlineStr">
        <is>
          <t>VÄSTMANLANDS LÄN</t>
        </is>
      </c>
      <c r="E534" t="inlineStr">
        <is>
          <t>SALA</t>
        </is>
      </c>
      <c r="F534" t="inlineStr">
        <is>
          <t>Kommuner</t>
        </is>
      </c>
      <c r="G534" t="n">
        <v>1</v>
      </c>
      <c r="H534" t="n">
        <v>0</v>
      </c>
      <c r="I534" t="n">
        <v>0</v>
      </c>
      <c r="J534" t="n">
        <v>0</v>
      </c>
      <c r="K534" t="n">
        <v>0</v>
      </c>
      <c r="L534" t="n">
        <v>0</v>
      </c>
      <c r="M534" t="n">
        <v>0</v>
      </c>
      <c r="N534" t="n">
        <v>0</v>
      </c>
      <c r="O534" t="n">
        <v>0</v>
      </c>
      <c r="P534" t="n">
        <v>0</v>
      </c>
      <c r="Q534" t="n">
        <v>0</v>
      </c>
      <c r="R534" s="2" t="inlineStr"/>
    </row>
    <row r="535" ht="15" customHeight="1">
      <c r="A535" t="inlineStr">
        <is>
          <t>A 34737-2022</t>
        </is>
      </c>
      <c r="B535" s="1" t="n">
        <v>44795</v>
      </c>
      <c r="C535" s="1" t="n">
        <v>45824</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v>
      </c>
      <c r="C536" s="1" t="n">
        <v>45824</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35637-2022</t>
        </is>
      </c>
      <c r="B537" s="1" t="n">
        <v>44799</v>
      </c>
      <c r="C537" s="1" t="n">
        <v>45824</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38081-2022</t>
        </is>
      </c>
      <c r="B538" s="1" t="n">
        <v>44811</v>
      </c>
      <c r="C538" s="1" t="n">
        <v>45824</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38161-2022</t>
        </is>
      </c>
      <c r="B539" s="1" t="n">
        <v>44812</v>
      </c>
      <c r="C539" s="1" t="n">
        <v>45824</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39451-2022</t>
        </is>
      </c>
      <c r="B540" s="1" t="n">
        <v>44818</v>
      </c>
      <c r="C540" s="1" t="n">
        <v>45824</v>
      </c>
      <c r="D540" t="inlineStr">
        <is>
          <t>VÄSTMANLANDS LÄN</t>
        </is>
      </c>
      <c r="E540" t="inlineStr">
        <is>
          <t>SALA</t>
        </is>
      </c>
      <c r="G540" t="n">
        <v>9.4</v>
      </c>
      <c r="H540" t="n">
        <v>0</v>
      </c>
      <c r="I540" t="n">
        <v>0</v>
      </c>
      <c r="J540" t="n">
        <v>0</v>
      </c>
      <c r="K540" t="n">
        <v>0</v>
      </c>
      <c r="L540" t="n">
        <v>0</v>
      </c>
      <c r="M540" t="n">
        <v>0</v>
      </c>
      <c r="N540" t="n">
        <v>0</v>
      </c>
      <c r="O540" t="n">
        <v>0</v>
      </c>
      <c r="P540" t="n">
        <v>0</v>
      </c>
      <c r="Q540" t="n">
        <v>0</v>
      </c>
      <c r="R540" s="2" t="inlineStr"/>
    </row>
    <row r="541" ht="15" customHeight="1">
      <c r="A541" t="inlineStr">
        <is>
          <t>A 39600-2022</t>
        </is>
      </c>
      <c r="B541" s="1" t="n">
        <v>44818</v>
      </c>
      <c r="C541" s="1" t="n">
        <v>45824</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39597-2022</t>
        </is>
      </c>
      <c r="B542" s="1" t="n">
        <v>44818</v>
      </c>
      <c r="C542" s="1" t="n">
        <v>45824</v>
      </c>
      <c r="D542" t="inlineStr">
        <is>
          <t>VÄSTMANLANDS LÄN</t>
        </is>
      </c>
      <c r="E542" t="inlineStr">
        <is>
          <t>SALA</t>
        </is>
      </c>
      <c r="G542" t="n">
        <v>2.3</v>
      </c>
      <c r="H542" t="n">
        <v>0</v>
      </c>
      <c r="I542" t="n">
        <v>0</v>
      </c>
      <c r="J542" t="n">
        <v>0</v>
      </c>
      <c r="K542" t="n">
        <v>0</v>
      </c>
      <c r="L542" t="n">
        <v>0</v>
      </c>
      <c r="M542" t="n">
        <v>0</v>
      </c>
      <c r="N542" t="n">
        <v>0</v>
      </c>
      <c r="O542" t="n">
        <v>0</v>
      </c>
      <c r="P542" t="n">
        <v>0</v>
      </c>
      <c r="Q542" t="n">
        <v>0</v>
      </c>
      <c r="R542" s="2" t="inlineStr"/>
    </row>
    <row r="543" ht="15" customHeight="1">
      <c r="A543" t="inlineStr">
        <is>
          <t>A 40094-2022</t>
        </is>
      </c>
      <c r="B543" s="1" t="n">
        <v>44819</v>
      </c>
      <c r="C543" s="1" t="n">
        <v>45824</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40113-2022</t>
        </is>
      </c>
      <c r="B544" s="1" t="n">
        <v>44819</v>
      </c>
      <c r="C544" s="1" t="n">
        <v>45824</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40405-2022</t>
        </is>
      </c>
      <c r="B545" s="1" t="n">
        <v>44823</v>
      </c>
      <c r="C545" s="1" t="n">
        <v>45824</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40597-2022</t>
        </is>
      </c>
      <c r="B546" s="1" t="n">
        <v>44823</v>
      </c>
      <c r="C546" s="1" t="n">
        <v>45824</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41567-2022</t>
        </is>
      </c>
      <c r="B547" s="1" t="n">
        <v>44827</v>
      </c>
      <c r="C547" s="1" t="n">
        <v>45824</v>
      </c>
      <c r="D547" t="inlineStr">
        <is>
          <t>VÄSTMANLANDS LÄN</t>
        </is>
      </c>
      <c r="E547" t="inlineStr">
        <is>
          <t>SALA</t>
        </is>
      </c>
      <c r="F547" t="inlineStr">
        <is>
          <t>Bergvik skog öst AB</t>
        </is>
      </c>
      <c r="G547" t="n">
        <v>3.9</v>
      </c>
      <c r="H547" t="n">
        <v>0</v>
      </c>
      <c r="I547" t="n">
        <v>0</v>
      </c>
      <c r="J547" t="n">
        <v>0</v>
      </c>
      <c r="K547" t="n">
        <v>0</v>
      </c>
      <c r="L547" t="n">
        <v>0</v>
      </c>
      <c r="M547" t="n">
        <v>0</v>
      </c>
      <c r="N547" t="n">
        <v>0</v>
      </c>
      <c r="O547" t="n">
        <v>0</v>
      </c>
      <c r="P547" t="n">
        <v>0</v>
      </c>
      <c r="Q547" t="n">
        <v>0</v>
      </c>
      <c r="R547" s="2" t="inlineStr"/>
    </row>
    <row r="548" ht="15" customHeight="1">
      <c r="A548" t="inlineStr">
        <is>
          <t>A 41876-2022</t>
        </is>
      </c>
      <c r="B548" s="1" t="n">
        <v>44830</v>
      </c>
      <c r="C548" s="1" t="n">
        <v>45824</v>
      </c>
      <c r="D548" t="inlineStr">
        <is>
          <t>VÄSTMANLANDS LÄN</t>
        </is>
      </c>
      <c r="E548" t="inlineStr">
        <is>
          <t>SALA</t>
        </is>
      </c>
      <c r="G548" t="n">
        <v>3.6</v>
      </c>
      <c r="H548" t="n">
        <v>0</v>
      </c>
      <c r="I548" t="n">
        <v>0</v>
      </c>
      <c r="J548" t="n">
        <v>0</v>
      </c>
      <c r="K548" t="n">
        <v>0</v>
      </c>
      <c r="L548" t="n">
        <v>0</v>
      </c>
      <c r="M548" t="n">
        <v>0</v>
      </c>
      <c r="N548" t="n">
        <v>0</v>
      </c>
      <c r="O548" t="n">
        <v>0</v>
      </c>
      <c r="P548" t="n">
        <v>0</v>
      </c>
      <c r="Q548" t="n">
        <v>0</v>
      </c>
      <c r="R548" s="2" t="inlineStr"/>
    </row>
    <row r="549" ht="15" customHeight="1">
      <c r="A549" t="inlineStr">
        <is>
          <t>A 42416-2022</t>
        </is>
      </c>
      <c r="B549" s="1" t="n">
        <v>44831</v>
      </c>
      <c r="C549" s="1" t="n">
        <v>45824</v>
      </c>
      <c r="D549" t="inlineStr">
        <is>
          <t>VÄSTMANLANDS LÄN</t>
        </is>
      </c>
      <c r="E549" t="inlineStr">
        <is>
          <t>SALA</t>
        </is>
      </c>
      <c r="G549" t="n">
        <v>2.2</v>
      </c>
      <c r="H549" t="n">
        <v>0</v>
      </c>
      <c r="I549" t="n">
        <v>0</v>
      </c>
      <c r="J549" t="n">
        <v>0</v>
      </c>
      <c r="K549" t="n">
        <v>0</v>
      </c>
      <c r="L549" t="n">
        <v>0</v>
      </c>
      <c r="M549" t="n">
        <v>0</v>
      </c>
      <c r="N549" t="n">
        <v>0</v>
      </c>
      <c r="O549" t="n">
        <v>0</v>
      </c>
      <c r="P549" t="n">
        <v>0</v>
      </c>
      <c r="Q549" t="n">
        <v>0</v>
      </c>
      <c r="R549" s="2" t="inlineStr"/>
    </row>
    <row r="550" ht="15" customHeight="1">
      <c r="A550" t="inlineStr">
        <is>
          <t>A 42447-2022</t>
        </is>
      </c>
      <c r="B550" s="1" t="n">
        <v>44831</v>
      </c>
      <c r="C550" s="1" t="n">
        <v>45824</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42414-2022</t>
        </is>
      </c>
      <c r="B551" s="1" t="n">
        <v>44831</v>
      </c>
      <c r="C551" s="1" t="n">
        <v>45824</v>
      </c>
      <c r="D551" t="inlineStr">
        <is>
          <t>VÄSTMANLANDS LÄN</t>
        </is>
      </c>
      <c r="E551" t="inlineStr">
        <is>
          <t>SALA</t>
        </is>
      </c>
      <c r="G551" t="n">
        <v>3.4</v>
      </c>
      <c r="H551" t="n">
        <v>0</v>
      </c>
      <c r="I551" t="n">
        <v>0</v>
      </c>
      <c r="J551" t="n">
        <v>0</v>
      </c>
      <c r="K551" t="n">
        <v>0</v>
      </c>
      <c r="L551" t="n">
        <v>0</v>
      </c>
      <c r="M551" t="n">
        <v>0</v>
      </c>
      <c r="N551" t="n">
        <v>0</v>
      </c>
      <c r="O551" t="n">
        <v>0</v>
      </c>
      <c r="P551" t="n">
        <v>0</v>
      </c>
      <c r="Q551" t="n">
        <v>0</v>
      </c>
      <c r="R551" s="2" t="inlineStr"/>
      <c r="U551">
        <f>HYPERLINK("https://klasma.github.io/Logging_1981/knärot/A 42414-2022 karta knärot.png", "A 42414-2022")</f>
        <v/>
      </c>
      <c r="V551">
        <f>HYPERLINK("https://klasma.github.io/Logging_1981/klagomål/A 42414-2022 FSC-klagomål.docx", "A 42414-2022")</f>
        <v/>
      </c>
      <c r="W551">
        <f>HYPERLINK("https://klasma.github.io/Logging_1981/klagomålsmail/A 42414-2022 FSC-klagomål mail.docx", "A 42414-2022")</f>
        <v/>
      </c>
      <c r="X551">
        <f>HYPERLINK("https://klasma.github.io/Logging_1981/tillsyn/A 42414-2022 tillsynsbegäran.docx", "A 42414-2022")</f>
        <v/>
      </c>
      <c r="Y551">
        <f>HYPERLINK("https://klasma.github.io/Logging_1981/tillsynsmail/A 42414-2022 tillsynsbegäran mail.docx", "A 42414-2022")</f>
        <v/>
      </c>
    </row>
    <row r="552" ht="15" customHeight="1">
      <c r="A552" t="inlineStr">
        <is>
          <t>A 43103-2022</t>
        </is>
      </c>
      <c r="B552" s="1" t="n">
        <v>44833</v>
      </c>
      <c r="C552" s="1" t="n">
        <v>45824</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43101-2022</t>
        </is>
      </c>
      <c r="B553" s="1" t="n">
        <v>44833</v>
      </c>
      <c r="C553" s="1" t="n">
        <v>45824</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44217-2022</t>
        </is>
      </c>
      <c r="B554" s="1" t="n">
        <v>44839</v>
      </c>
      <c r="C554" s="1" t="n">
        <v>45824</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44318-2022</t>
        </is>
      </c>
      <c r="B555" s="1" t="n">
        <v>44839</v>
      </c>
      <c r="C555" s="1" t="n">
        <v>45824</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44224-2022</t>
        </is>
      </c>
      <c r="B556" s="1" t="n">
        <v>44839</v>
      </c>
      <c r="C556" s="1" t="n">
        <v>45824</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44892-2022</t>
        </is>
      </c>
      <c r="B557" s="1" t="n">
        <v>44841</v>
      </c>
      <c r="C557" s="1" t="n">
        <v>45824</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45015-2022</t>
        </is>
      </c>
      <c r="B558" s="1" t="n">
        <v>44841</v>
      </c>
      <c r="C558" s="1" t="n">
        <v>45824</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44935-2022</t>
        </is>
      </c>
      <c r="B559" s="1" t="n">
        <v>44841</v>
      </c>
      <c r="C559" s="1" t="n">
        <v>45824</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45309-2022</t>
        </is>
      </c>
      <c r="B560" s="1" t="n">
        <v>44844</v>
      </c>
      <c r="C560" s="1" t="n">
        <v>45824</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45517-2022</t>
        </is>
      </c>
      <c r="B561" s="1" t="n">
        <v>44845</v>
      </c>
      <c r="C561" s="1" t="n">
        <v>45824</v>
      </c>
      <c r="D561" t="inlineStr">
        <is>
          <t>VÄSTMANLANDS LÄN</t>
        </is>
      </c>
      <c r="E561" t="inlineStr">
        <is>
          <t>SALA</t>
        </is>
      </c>
      <c r="G561" t="n">
        <v>2.2</v>
      </c>
      <c r="H561" t="n">
        <v>0</v>
      </c>
      <c r="I561" t="n">
        <v>0</v>
      </c>
      <c r="J561" t="n">
        <v>0</v>
      </c>
      <c r="K561" t="n">
        <v>0</v>
      </c>
      <c r="L561" t="n">
        <v>0</v>
      </c>
      <c r="M561" t="n">
        <v>0</v>
      </c>
      <c r="N561" t="n">
        <v>0</v>
      </c>
      <c r="O561" t="n">
        <v>0</v>
      </c>
      <c r="P561" t="n">
        <v>0</v>
      </c>
      <c r="Q561" t="n">
        <v>0</v>
      </c>
      <c r="R561" s="2" t="inlineStr"/>
    </row>
    <row r="562" ht="15" customHeight="1">
      <c r="A562" t="inlineStr">
        <is>
          <t>A 45615-2022</t>
        </is>
      </c>
      <c r="B562" s="1" t="n">
        <v>44845</v>
      </c>
      <c r="C562" s="1" t="n">
        <v>45824</v>
      </c>
      <c r="D562" t="inlineStr">
        <is>
          <t>VÄSTMANLANDS LÄN</t>
        </is>
      </c>
      <c r="E562" t="inlineStr">
        <is>
          <t>SALA</t>
        </is>
      </c>
      <c r="F562" t="inlineStr">
        <is>
          <t>Bergvik skog öst AB</t>
        </is>
      </c>
      <c r="G562" t="n">
        <v>10</v>
      </c>
      <c r="H562" t="n">
        <v>0</v>
      </c>
      <c r="I562" t="n">
        <v>0</v>
      </c>
      <c r="J562" t="n">
        <v>0</v>
      </c>
      <c r="K562" t="n">
        <v>0</v>
      </c>
      <c r="L562" t="n">
        <v>0</v>
      </c>
      <c r="M562" t="n">
        <v>0</v>
      </c>
      <c r="N562" t="n">
        <v>0</v>
      </c>
      <c r="O562" t="n">
        <v>0</v>
      </c>
      <c r="P562" t="n">
        <v>0</v>
      </c>
      <c r="Q562" t="n">
        <v>0</v>
      </c>
      <c r="R562" s="2" t="inlineStr"/>
    </row>
    <row r="563" ht="15" customHeight="1">
      <c r="A563" t="inlineStr">
        <is>
          <t>A 46264-2022</t>
        </is>
      </c>
      <c r="B563" s="1" t="n">
        <v>44847</v>
      </c>
      <c r="C563" s="1" t="n">
        <v>45824</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46460-2022</t>
        </is>
      </c>
      <c r="B564" s="1" t="n">
        <v>44848</v>
      </c>
      <c r="C564" s="1" t="n">
        <v>45824</v>
      </c>
      <c r="D564" t="inlineStr">
        <is>
          <t>VÄSTMANLANDS LÄN</t>
        </is>
      </c>
      <c r="E564" t="inlineStr">
        <is>
          <t>SALA</t>
        </is>
      </c>
      <c r="G564" t="n">
        <v>1.3</v>
      </c>
      <c r="H564" t="n">
        <v>0</v>
      </c>
      <c r="I564" t="n">
        <v>0</v>
      </c>
      <c r="J564" t="n">
        <v>0</v>
      </c>
      <c r="K564" t="n">
        <v>0</v>
      </c>
      <c r="L564" t="n">
        <v>0</v>
      </c>
      <c r="M564" t="n">
        <v>0</v>
      </c>
      <c r="N564" t="n">
        <v>0</v>
      </c>
      <c r="O564" t="n">
        <v>0</v>
      </c>
      <c r="P564" t="n">
        <v>0</v>
      </c>
      <c r="Q564" t="n">
        <v>0</v>
      </c>
      <c r="R564" s="2" t="inlineStr"/>
    </row>
    <row r="565" ht="15" customHeight="1">
      <c r="A565" t="inlineStr">
        <is>
          <t>A 47086-2022</t>
        </is>
      </c>
      <c r="B565" s="1" t="n">
        <v>44852</v>
      </c>
      <c r="C565" s="1" t="n">
        <v>45824</v>
      </c>
      <c r="D565" t="inlineStr">
        <is>
          <t>VÄSTMANLANDS LÄN</t>
        </is>
      </c>
      <c r="E565" t="inlineStr">
        <is>
          <t>SALA</t>
        </is>
      </c>
      <c r="G565" t="n">
        <v>12.5</v>
      </c>
      <c r="H565" t="n">
        <v>0</v>
      </c>
      <c r="I565" t="n">
        <v>0</v>
      </c>
      <c r="J565" t="n">
        <v>0</v>
      </c>
      <c r="K565" t="n">
        <v>0</v>
      </c>
      <c r="L565" t="n">
        <v>0</v>
      </c>
      <c r="M565" t="n">
        <v>0</v>
      </c>
      <c r="N565" t="n">
        <v>0</v>
      </c>
      <c r="O565" t="n">
        <v>0</v>
      </c>
      <c r="P565" t="n">
        <v>0</v>
      </c>
      <c r="Q565" t="n">
        <v>0</v>
      </c>
      <c r="R565" s="2" t="inlineStr"/>
    </row>
    <row r="566" ht="15" customHeight="1">
      <c r="A566" t="inlineStr">
        <is>
          <t>A 47713-2022</t>
        </is>
      </c>
      <c r="B566" s="1" t="n">
        <v>44854</v>
      </c>
      <c r="C566" s="1" t="n">
        <v>45824</v>
      </c>
      <c r="D566" t="inlineStr">
        <is>
          <t>VÄSTMANLANDS LÄN</t>
        </is>
      </c>
      <c r="E566" t="inlineStr">
        <is>
          <t>SALA</t>
        </is>
      </c>
      <c r="G566" t="n">
        <v>3.4</v>
      </c>
      <c r="H566" t="n">
        <v>0</v>
      </c>
      <c r="I566" t="n">
        <v>0</v>
      </c>
      <c r="J566" t="n">
        <v>0</v>
      </c>
      <c r="K566" t="n">
        <v>0</v>
      </c>
      <c r="L566" t="n">
        <v>0</v>
      </c>
      <c r="M566" t="n">
        <v>0</v>
      </c>
      <c r="N566" t="n">
        <v>0</v>
      </c>
      <c r="O566" t="n">
        <v>0</v>
      </c>
      <c r="P566" t="n">
        <v>0</v>
      </c>
      <c r="Q566" t="n">
        <v>0</v>
      </c>
      <c r="R566" s="2" t="inlineStr"/>
    </row>
    <row r="567" ht="15" customHeight="1">
      <c r="A567" t="inlineStr">
        <is>
          <t>A 47715-2022</t>
        </is>
      </c>
      <c r="B567" s="1" t="n">
        <v>44854</v>
      </c>
      <c r="C567" s="1" t="n">
        <v>45824</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47909-2022</t>
        </is>
      </c>
      <c r="B568" s="1" t="n">
        <v>44855</v>
      </c>
      <c r="C568" s="1" t="n">
        <v>45824</v>
      </c>
      <c r="D568" t="inlineStr">
        <is>
          <t>VÄSTMANLANDS LÄN</t>
        </is>
      </c>
      <c r="E568" t="inlineStr">
        <is>
          <t>SALA</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48219-2022</t>
        </is>
      </c>
      <c r="B569" s="1" t="n">
        <v>44858</v>
      </c>
      <c r="C569" s="1" t="n">
        <v>45824</v>
      </c>
      <c r="D569" t="inlineStr">
        <is>
          <t>VÄSTMANLANDS LÄN</t>
        </is>
      </c>
      <c r="E569" t="inlineStr">
        <is>
          <t>SALA</t>
        </is>
      </c>
      <c r="G569" t="n">
        <v>3.6</v>
      </c>
      <c r="H569" t="n">
        <v>0</v>
      </c>
      <c r="I569" t="n">
        <v>0</v>
      </c>
      <c r="J569" t="n">
        <v>0</v>
      </c>
      <c r="K569" t="n">
        <v>0</v>
      </c>
      <c r="L569" t="n">
        <v>0</v>
      </c>
      <c r="M569" t="n">
        <v>0</v>
      </c>
      <c r="N569" t="n">
        <v>0</v>
      </c>
      <c r="O569" t="n">
        <v>0</v>
      </c>
      <c r="P569" t="n">
        <v>0</v>
      </c>
      <c r="Q569" t="n">
        <v>0</v>
      </c>
      <c r="R569" s="2" t="inlineStr"/>
    </row>
    <row r="570" ht="15" customHeight="1">
      <c r="A570" t="inlineStr">
        <is>
          <t>A 49086-2022</t>
        </is>
      </c>
      <c r="B570" s="1" t="n">
        <v>44860</v>
      </c>
      <c r="C570" s="1" t="n">
        <v>45824</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49254-2022</t>
        </is>
      </c>
      <c r="B571" s="1" t="n">
        <v>44861</v>
      </c>
      <c r="C571" s="1" t="n">
        <v>45824</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50461-2022</t>
        </is>
      </c>
      <c r="B572" s="1" t="n">
        <v>44861</v>
      </c>
      <c r="C572" s="1" t="n">
        <v>45824</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50479-2022</t>
        </is>
      </c>
      <c r="B573" s="1" t="n">
        <v>44861</v>
      </c>
      <c r="C573" s="1" t="n">
        <v>45824</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51279-2022</t>
        </is>
      </c>
      <c r="B574" s="1" t="n">
        <v>44866</v>
      </c>
      <c r="C574" s="1" t="n">
        <v>45824</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51377-2022</t>
        </is>
      </c>
      <c r="B575" s="1" t="n">
        <v>44866</v>
      </c>
      <c r="C575" s="1" t="n">
        <v>45824</v>
      </c>
      <c r="D575" t="inlineStr">
        <is>
          <t>VÄSTMANLANDS LÄN</t>
        </is>
      </c>
      <c r="E575" t="inlineStr">
        <is>
          <t>SALA</t>
        </is>
      </c>
      <c r="G575" t="n">
        <v>6.3</v>
      </c>
      <c r="H575" t="n">
        <v>0</v>
      </c>
      <c r="I575" t="n">
        <v>0</v>
      </c>
      <c r="J575" t="n">
        <v>0</v>
      </c>
      <c r="K575" t="n">
        <v>0</v>
      </c>
      <c r="L575" t="n">
        <v>0</v>
      </c>
      <c r="M575" t="n">
        <v>0</v>
      </c>
      <c r="N575" t="n">
        <v>0</v>
      </c>
      <c r="O575" t="n">
        <v>0</v>
      </c>
      <c r="P575" t="n">
        <v>0</v>
      </c>
      <c r="Q575" t="n">
        <v>0</v>
      </c>
      <c r="R575" s="2" t="inlineStr"/>
    </row>
    <row r="576" ht="15" customHeight="1">
      <c r="A576" t="inlineStr">
        <is>
          <t>A 50795-2022</t>
        </is>
      </c>
      <c r="B576" s="1" t="n">
        <v>44867</v>
      </c>
      <c r="C576" s="1" t="n">
        <v>45824</v>
      </c>
      <c r="D576" t="inlineStr">
        <is>
          <t>VÄSTMANLANDS LÄN</t>
        </is>
      </c>
      <c r="E576" t="inlineStr">
        <is>
          <t>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51600-2022</t>
        </is>
      </c>
      <c r="B577" s="1" t="n">
        <v>44871</v>
      </c>
      <c r="C577" s="1" t="n">
        <v>45824</v>
      </c>
      <c r="D577" t="inlineStr">
        <is>
          <t>VÄSTMANLANDS LÄN</t>
        </is>
      </c>
      <c r="E577" t="inlineStr">
        <is>
          <t>SALA</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51596-2022</t>
        </is>
      </c>
      <c r="B578" s="1" t="n">
        <v>44871</v>
      </c>
      <c r="C578" s="1" t="n">
        <v>45824</v>
      </c>
      <c r="D578" t="inlineStr">
        <is>
          <t>VÄSTMANLANDS LÄN</t>
        </is>
      </c>
      <c r="E578" t="inlineStr">
        <is>
          <t>SALA</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52504-2022</t>
        </is>
      </c>
      <c r="B579" s="1" t="n">
        <v>44874</v>
      </c>
      <c r="C579" s="1" t="n">
        <v>45824</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52498-2022</t>
        </is>
      </c>
      <c r="B580" s="1" t="n">
        <v>44874</v>
      </c>
      <c r="C580" s="1" t="n">
        <v>45824</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52630-2022</t>
        </is>
      </c>
      <c r="B581" s="1" t="n">
        <v>44874</v>
      </c>
      <c r="C581" s="1" t="n">
        <v>45824</v>
      </c>
      <c r="D581" t="inlineStr">
        <is>
          <t>VÄSTMANLANDS LÄN</t>
        </is>
      </c>
      <c r="E581" t="inlineStr">
        <is>
          <t>SALA</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53425-2022</t>
        </is>
      </c>
      <c r="B582" s="1" t="n">
        <v>44879</v>
      </c>
      <c r="C582" s="1" t="n">
        <v>45824</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53432-2022</t>
        </is>
      </c>
      <c r="B583" s="1" t="n">
        <v>44879</v>
      </c>
      <c r="C583" s="1" t="n">
        <v>45824</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53628-2022</t>
        </is>
      </c>
      <c r="B584" s="1" t="n">
        <v>44879</v>
      </c>
      <c r="C584" s="1" t="n">
        <v>45824</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v>
      </c>
      <c r="C585" s="1" t="n">
        <v>45824</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53864-2022</t>
        </is>
      </c>
      <c r="B586" s="1" t="n">
        <v>44880</v>
      </c>
      <c r="C586" s="1" t="n">
        <v>45824</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v>
      </c>
      <c r="C587" s="1" t="n">
        <v>45824</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53838-2022</t>
        </is>
      </c>
      <c r="B588" s="1" t="n">
        <v>44880</v>
      </c>
      <c r="C588" s="1" t="n">
        <v>45824</v>
      </c>
      <c r="D588" t="inlineStr">
        <is>
          <t>VÄSTMANLANDS LÄN</t>
        </is>
      </c>
      <c r="E588" t="inlineStr">
        <is>
          <t>SALA</t>
        </is>
      </c>
      <c r="G588" t="n">
        <v>3.9</v>
      </c>
      <c r="H588" t="n">
        <v>0</v>
      </c>
      <c r="I588" t="n">
        <v>0</v>
      </c>
      <c r="J588" t="n">
        <v>0</v>
      </c>
      <c r="K588" t="n">
        <v>0</v>
      </c>
      <c r="L588" t="n">
        <v>0</v>
      </c>
      <c r="M588" t="n">
        <v>0</v>
      </c>
      <c r="N588" t="n">
        <v>0</v>
      </c>
      <c r="O588" t="n">
        <v>0</v>
      </c>
      <c r="P588" t="n">
        <v>0</v>
      </c>
      <c r="Q588" t="n">
        <v>0</v>
      </c>
      <c r="R588" s="2" t="inlineStr"/>
    </row>
    <row r="589" ht="15" customHeight="1">
      <c r="A589" t="inlineStr">
        <is>
          <t>A 53997-2022</t>
        </is>
      </c>
      <c r="B589" s="1" t="n">
        <v>44881</v>
      </c>
      <c r="C589" s="1" t="n">
        <v>45824</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55733-2022</t>
        </is>
      </c>
      <c r="B590" s="1" t="n">
        <v>44888</v>
      </c>
      <c r="C590" s="1" t="n">
        <v>45824</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56089-2022</t>
        </is>
      </c>
      <c r="B591" s="1" t="n">
        <v>44889</v>
      </c>
      <c r="C591" s="1" t="n">
        <v>45824</v>
      </c>
      <c r="D591" t="inlineStr">
        <is>
          <t>VÄSTMANLANDS LÄN</t>
        </is>
      </c>
      <c r="E591" t="inlineStr">
        <is>
          <t>SALA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56088-2022</t>
        </is>
      </c>
      <c r="B592" s="1" t="n">
        <v>44889</v>
      </c>
      <c r="C592" s="1" t="n">
        <v>45824</v>
      </c>
      <c r="D592" t="inlineStr">
        <is>
          <t>VÄSTMANLANDS LÄN</t>
        </is>
      </c>
      <c r="E592" t="inlineStr">
        <is>
          <t>SALA</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56234-2022</t>
        </is>
      </c>
      <c r="B593" s="1" t="n">
        <v>44890</v>
      </c>
      <c r="C593" s="1" t="n">
        <v>45824</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56242-2022</t>
        </is>
      </c>
      <c r="B594" s="1" t="n">
        <v>44890</v>
      </c>
      <c r="C594" s="1" t="n">
        <v>45824</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56535-2022</t>
        </is>
      </c>
      <c r="B595" s="1" t="n">
        <v>44893</v>
      </c>
      <c r="C595" s="1" t="n">
        <v>45824</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56706-2022</t>
        </is>
      </c>
      <c r="B596" s="1" t="n">
        <v>44893</v>
      </c>
      <c r="C596" s="1" t="n">
        <v>45824</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56547-2022</t>
        </is>
      </c>
      <c r="B597" s="1" t="n">
        <v>44893</v>
      </c>
      <c r="C597" s="1" t="n">
        <v>45824</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56707-2022</t>
        </is>
      </c>
      <c r="B598" s="1" t="n">
        <v>44893</v>
      </c>
      <c r="C598" s="1" t="n">
        <v>45824</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56977-2022</t>
        </is>
      </c>
      <c r="B599" s="1" t="n">
        <v>44894</v>
      </c>
      <c r="C599" s="1" t="n">
        <v>45824</v>
      </c>
      <c r="D599" t="inlineStr">
        <is>
          <t>VÄSTMANLANDS LÄN</t>
        </is>
      </c>
      <c r="E599" t="inlineStr">
        <is>
          <t>SALA</t>
        </is>
      </c>
      <c r="G599" t="n">
        <v>13</v>
      </c>
      <c r="H599" t="n">
        <v>0</v>
      </c>
      <c r="I599" t="n">
        <v>0</v>
      </c>
      <c r="J599" t="n">
        <v>0</v>
      </c>
      <c r="K599" t="n">
        <v>0</v>
      </c>
      <c r="L599" t="n">
        <v>0</v>
      </c>
      <c r="M599" t="n">
        <v>0</v>
      </c>
      <c r="N599" t="n">
        <v>0</v>
      </c>
      <c r="O599" t="n">
        <v>0</v>
      </c>
      <c r="P599" t="n">
        <v>0</v>
      </c>
      <c r="Q599" t="n">
        <v>0</v>
      </c>
      <c r="R599" s="2" t="inlineStr"/>
    </row>
    <row r="600" ht="15" customHeight="1">
      <c r="A600" t="inlineStr">
        <is>
          <t>A 57371-2022</t>
        </is>
      </c>
      <c r="B600" s="1" t="n">
        <v>44896</v>
      </c>
      <c r="C600" s="1" t="n">
        <v>45824</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58076-2022</t>
        </is>
      </c>
      <c r="B601" s="1" t="n">
        <v>44900</v>
      </c>
      <c r="C601" s="1" t="n">
        <v>45824</v>
      </c>
      <c r="D601" t="inlineStr">
        <is>
          <t>VÄSTMANLANDS LÄN</t>
        </is>
      </c>
      <c r="E601" t="inlineStr">
        <is>
          <t>SALA</t>
        </is>
      </c>
      <c r="G601" t="n">
        <v>6.4</v>
      </c>
      <c r="H601" t="n">
        <v>0</v>
      </c>
      <c r="I601" t="n">
        <v>0</v>
      </c>
      <c r="J601" t="n">
        <v>0</v>
      </c>
      <c r="K601" t="n">
        <v>0</v>
      </c>
      <c r="L601" t="n">
        <v>0</v>
      </c>
      <c r="M601" t="n">
        <v>0</v>
      </c>
      <c r="N601" t="n">
        <v>0</v>
      </c>
      <c r="O601" t="n">
        <v>0</v>
      </c>
      <c r="P601" t="n">
        <v>0</v>
      </c>
      <c r="Q601" t="n">
        <v>0</v>
      </c>
      <c r="R601" s="2" t="inlineStr"/>
    </row>
    <row r="602" ht="15" customHeight="1">
      <c r="A602" t="inlineStr">
        <is>
          <t>A 58496-2022</t>
        </is>
      </c>
      <c r="B602" s="1" t="n">
        <v>44902</v>
      </c>
      <c r="C602" s="1" t="n">
        <v>45824</v>
      </c>
      <c r="D602" t="inlineStr">
        <is>
          <t>VÄSTMANLANDS LÄN</t>
        </is>
      </c>
      <c r="E602" t="inlineStr">
        <is>
          <t>SALA</t>
        </is>
      </c>
      <c r="G602" t="n">
        <v>5.9</v>
      </c>
      <c r="H602" t="n">
        <v>0</v>
      </c>
      <c r="I602" t="n">
        <v>0</v>
      </c>
      <c r="J602" t="n">
        <v>0</v>
      </c>
      <c r="K602" t="n">
        <v>0</v>
      </c>
      <c r="L602" t="n">
        <v>0</v>
      </c>
      <c r="M602" t="n">
        <v>0</v>
      </c>
      <c r="N602" t="n">
        <v>0</v>
      </c>
      <c r="O602" t="n">
        <v>0</v>
      </c>
      <c r="P602" t="n">
        <v>0</v>
      </c>
      <c r="Q602" t="n">
        <v>0</v>
      </c>
      <c r="R602" s="2" t="inlineStr"/>
    </row>
    <row r="603" ht="15" customHeight="1">
      <c r="A603" t="inlineStr">
        <is>
          <t>A 58502-2022</t>
        </is>
      </c>
      <c r="B603" s="1" t="n">
        <v>44902</v>
      </c>
      <c r="C603" s="1" t="n">
        <v>45824</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59019-2022</t>
        </is>
      </c>
      <c r="B604" s="1" t="n">
        <v>44903</v>
      </c>
      <c r="C604" s="1" t="n">
        <v>45824</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59175-2022</t>
        </is>
      </c>
      <c r="B605" s="1" t="n">
        <v>44904</v>
      </c>
      <c r="C605" s="1" t="n">
        <v>45824</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59483-2022</t>
        </is>
      </c>
      <c r="B606" s="1" t="n">
        <v>44907</v>
      </c>
      <c r="C606" s="1" t="n">
        <v>45824</v>
      </c>
      <c r="D606" t="inlineStr">
        <is>
          <t>VÄSTMANLANDS LÄN</t>
        </is>
      </c>
      <c r="E606" t="inlineStr">
        <is>
          <t>SALA</t>
        </is>
      </c>
      <c r="G606" t="n">
        <v>5.2</v>
      </c>
      <c r="H606" t="n">
        <v>0</v>
      </c>
      <c r="I606" t="n">
        <v>0</v>
      </c>
      <c r="J606" t="n">
        <v>0</v>
      </c>
      <c r="K606" t="n">
        <v>0</v>
      </c>
      <c r="L606" t="n">
        <v>0</v>
      </c>
      <c r="M606" t="n">
        <v>0</v>
      </c>
      <c r="N606" t="n">
        <v>0</v>
      </c>
      <c r="O606" t="n">
        <v>0</v>
      </c>
      <c r="P606" t="n">
        <v>0</v>
      </c>
      <c r="Q606" t="n">
        <v>0</v>
      </c>
      <c r="R606" s="2" t="inlineStr"/>
    </row>
    <row r="607" ht="15" customHeight="1">
      <c r="A607" t="inlineStr">
        <is>
          <t>A 60156-2022</t>
        </is>
      </c>
      <c r="B607" s="1" t="n">
        <v>44909</v>
      </c>
      <c r="C607" s="1" t="n">
        <v>45824</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60379-2022</t>
        </is>
      </c>
      <c r="B608" s="1" t="n">
        <v>44910</v>
      </c>
      <c r="C608" s="1" t="n">
        <v>45824</v>
      </c>
      <c r="D608" t="inlineStr">
        <is>
          <t>VÄSTMANLANDS LÄN</t>
        </is>
      </c>
      <c r="E608" t="inlineStr">
        <is>
          <t>SALA</t>
        </is>
      </c>
      <c r="F608" t="inlineStr">
        <is>
          <t>Kyrkan</t>
        </is>
      </c>
      <c r="G608" t="n">
        <v>2.5</v>
      </c>
      <c r="H608" t="n">
        <v>0</v>
      </c>
      <c r="I608" t="n">
        <v>0</v>
      </c>
      <c r="J608" t="n">
        <v>0</v>
      </c>
      <c r="K608" t="n">
        <v>0</v>
      </c>
      <c r="L608" t="n">
        <v>0</v>
      </c>
      <c r="M608" t="n">
        <v>0</v>
      </c>
      <c r="N608" t="n">
        <v>0</v>
      </c>
      <c r="O608" t="n">
        <v>0</v>
      </c>
      <c r="P608" t="n">
        <v>0</v>
      </c>
      <c r="Q608" t="n">
        <v>0</v>
      </c>
      <c r="R608" s="2" t="inlineStr"/>
    </row>
    <row r="609" ht="15" customHeight="1">
      <c r="A609" t="inlineStr">
        <is>
          <t>A 60703-2022</t>
        </is>
      </c>
      <c r="B609" s="1" t="n">
        <v>44912</v>
      </c>
      <c r="C609" s="1" t="n">
        <v>45824</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60974-2022</t>
        </is>
      </c>
      <c r="B610" s="1" t="n">
        <v>44914</v>
      </c>
      <c r="C610" s="1" t="n">
        <v>45824</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62635-2022</t>
        </is>
      </c>
      <c r="B611" s="1" t="n">
        <v>44917</v>
      </c>
      <c r="C611" s="1" t="n">
        <v>45824</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62654-2022</t>
        </is>
      </c>
      <c r="B612" s="1" t="n">
        <v>44917</v>
      </c>
      <c r="C612" s="1" t="n">
        <v>45824</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62651-2022</t>
        </is>
      </c>
      <c r="B613" s="1" t="n">
        <v>44917</v>
      </c>
      <c r="C613" s="1" t="n">
        <v>45824</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62648-2022</t>
        </is>
      </c>
      <c r="B614" s="1" t="n">
        <v>44917</v>
      </c>
      <c r="C614" s="1" t="n">
        <v>45824</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61985-2022</t>
        </is>
      </c>
      <c r="B615" s="1" t="n">
        <v>44918</v>
      </c>
      <c r="C615" s="1" t="n">
        <v>45824</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62292-2022</t>
        </is>
      </c>
      <c r="B616" s="1" t="n">
        <v>44923</v>
      </c>
      <c r="C616" s="1" t="n">
        <v>45824</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62300-2022</t>
        </is>
      </c>
      <c r="B617" s="1" t="n">
        <v>44923</v>
      </c>
      <c r="C617" s="1" t="n">
        <v>45824</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1196-2023</t>
        </is>
      </c>
      <c r="B618" s="1" t="n">
        <v>44935</v>
      </c>
      <c r="C618" s="1" t="n">
        <v>45824</v>
      </c>
      <c r="D618" t="inlineStr">
        <is>
          <t>VÄSTMANLANDS LÄN</t>
        </is>
      </c>
      <c r="E618" t="inlineStr">
        <is>
          <t>SALA</t>
        </is>
      </c>
      <c r="G618" t="n">
        <v>4.1</v>
      </c>
      <c r="H618" t="n">
        <v>0</v>
      </c>
      <c r="I618" t="n">
        <v>0</v>
      </c>
      <c r="J618" t="n">
        <v>0</v>
      </c>
      <c r="K618" t="n">
        <v>0</v>
      </c>
      <c r="L618" t="n">
        <v>0</v>
      </c>
      <c r="M618" t="n">
        <v>0</v>
      </c>
      <c r="N618" t="n">
        <v>0</v>
      </c>
      <c r="O618" t="n">
        <v>0</v>
      </c>
      <c r="P618" t="n">
        <v>0</v>
      </c>
      <c r="Q618" t="n">
        <v>0</v>
      </c>
      <c r="R618" s="2" t="inlineStr"/>
    </row>
    <row r="619" ht="15" customHeight="1">
      <c r="A619" t="inlineStr">
        <is>
          <t>A 1638-2023</t>
        </is>
      </c>
      <c r="B619" s="1" t="n">
        <v>44937</v>
      </c>
      <c r="C619" s="1" t="n">
        <v>45824</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1793-2023</t>
        </is>
      </c>
      <c r="B620" s="1" t="n">
        <v>44937</v>
      </c>
      <c r="C620" s="1" t="n">
        <v>45824</v>
      </c>
      <c r="D620" t="inlineStr">
        <is>
          <t>VÄSTMANLANDS LÄN</t>
        </is>
      </c>
      <c r="E620" t="inlineStr">
        <is>
          <t>SALA</t>
        </is>
      </c>
      <c r="G620" t="n">
        <v>2.6</v>
      </c>
      <c r="H620" t="n">
        <v>0</v>
      </c>
      <c r="I620" t="n">
        <v>0</v>
      </c>
      <c r="J620" t="n">
        <v>0</v>
      </c>
      <c r="K620" t="n">
        <v>0</v>
      </c>
      <c r="L620" t="n">
        <v>0</v>
      </c>
      <c r="M620" t="n">
        <v>0</v>
      </c>
      <c r="N620" t="n">
        <v>0</v>
      </c>
      <c r="O620" t="n">
        <v>0</v>
      </c>
      <c r="P620" t="n">
        <v>0</v>
      </c>
      <c r="Q620" t="n">
        <v>0</v>
      </c>
      <c r="R620" s="2" t="inlineStr"/>
    </row>
    <row r="621" ht="15" customHeight="1">
      <c r="A621" t="inlineStr">
        <is>
          <t>A 1934-2023</t>
        </is>
      </c>
      <c r="B621" s="1" t="n">
        <v>44939</v>
      </c>
      <c r="C621" s="1" t="n">
        <v>45824</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1967-2023</t>
        </is>
      </c>
      <c r="B622" s="1" t="n">
        <v>44939</v>
      </c>
      <c r="C622" s="1" t="n">
        <v>45824</v>
      </c>
      <c r="D622" t="inlineStr">
        <is>
          <t>VÄSTMANLANDS LÄN</t>
        </is>
      </c>
      <c r="E622" t="inlineStr">
        <is>
          <t>SALA</t>
        </is>
      </c>
      <c r="G622" t="n">
        <v>4.1</v>
      </c>
      <c r="H622" t="n">
        <v>0</v>
      </c>
      <c r="I622" t="n">
        <v>0</v>
      </c>
      <c r="J622" t="n">
        <v>0</v>
      </c>
      <c r="K622" t="n">
        <v>0</v>
      </c>
      <c r="L622" t="n">
        <v>0</v>
      </c>
      <c r="M622" t="n">
        <v>0</v>
      </c>
      <c r="N622" t="n">
        <v>0</v>
      </c>
      <c r="O622" t="n">
        <v>0</v>
      </c>
      <c r="P622" t="n">
        <v>0</v>
      </c>
      <c r="Q622" t="n">
        <v>0</v>
      </c>
      <c r="R622" s="2" t="inlineStr"/>
    </row>
    <row r="623" ht="15" customHeight="1">
      <c r="A623" t="inlineStr">
        <is>
          <t>A 2521-2023</t>
        </is>
      </c>
      <c r="B623" s="1" t="n">
        <v>44943</v>
      </c>
      <c r="C623" s="1" t="n">
        <v>45824</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2900-2023</t>
        </is>
      </c>
      <c r="B624" s="1" t="n">
        <v>44943</v>
      </c>
      <c r="C624" s="1" t="n">
        <v>45824</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3733-2023</t>
        </is>
      </c>
      <c r="B625" s="1" t="n">
        <v>44951</v>
      </c>
      <c r="C625" s="1" t="n">
        <v>45824</v>
      </c>
      <c r="D625" t="inlineStr">
        <is>
          <t>VÄSTMANLANDS LÄN</t>
        </is>
      </c>
      <c r="E625" t="inlineStr">
        <is>
          <t>SALA</t>
        </is>
      </c>
      <c r="G625" t="n">
        <v>3.1</v>
      </c>
      <c r="H625" t="n">
        <v>0</v>
      </c>
      <c r="I625" t="n">
        <v>0</v>
      </c>
      <c r="J625" t="n">
        <v>0</v>
      </c>
      <c r="K625" t="n">
        <v>0</v>
      </c>
      <c r="L625" t="n">
        <v>0</v>
      </c>
      <c r="M625" t="n">
        <v>0</v>
      </c>
      <c r="N625" t="n">
        <v>0</v>
      </c>
      <c r="O625" t="n">
        <v>0</v>
      </c>
      <c r="P625" t="n">
        <v>0</v>
      </c>
      <c r="Q625" t="n">
        <v>0</v>
      </c>
      <c r="R625" s="2" t="inlineStr"/>
    </row>
    <row r="626" ht="15" customHeight="1">
      <c r="A626" t="inlineStr">
        <is>
          <t>A 3810-2023</t>
        </is>
      </c>
      <c r="B626" s="1" t="n">
        <v>44951</v>
      </c>
      <c r="C626" s="1" t="n">
        <v>45824</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3866-2023</t>
        </is>
      </c>
      <c r="B627" s="1" t="n">
        <v>44951</v>
      </c>
      <c r="C627" s="1" t="n">
        <v>45824</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4853-2023</t>
        </is>
      </c>
      <c r="B628" s="1" t="n">
        <v>44957</v>
      </c>
      <c r="C628" s="1" t="n">
        <v>45824</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4637-2023</t>
        </is>
      </c>
      <c r="B629" s="1" t="n">
        <v>44957</v>
      </c>
      <c r="C629" s="1" t="n">
        <v>45824</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4791-2023</t>
        </is>
      </c>
      <c r="B630" s="1" t="n">
        <v>44957</v>
      </c>
      <c r="C630" s="1" t="n">
        <v>45824</v>
      </c>
      <c r="D630" t="inlineStr">
        <is>
          <t>VÄSTMANLANDS LÄN</t>
        </is>
      </c>
      <c r="E630" t="inlineStr">
        <is>
          <t>SALA</t>
        </is>
      </c>
      <c r="G630" t="n">
        <v>2.8</v>
      </c>
      <c r="H630" t="n">
        <v>0</v>
      </c>
      <c r="I630" t="n">
        <v>0</v>
      </c>
      <c r="J630" t="n">
        <v>0</v>
      </c>
      <c r="K630" t="n">
        <v>0</v>
      </c>
      <c r="L630" t="n">
        <v>0</v>
      </c>
      <c r="M630" t="n">
        <v>0</v>
      </c>
      <c r="N630" t="n">
        <v>0</v>
      </c>
      <c r="O630" t="n">
        <v>0</v>
      </c>
      <c r="P630" t="n">
        <v>0</v>
      </c>
      <c r="Q630" t="n">
        <v>0</v>
      </c>
      <c r="R630" s="2" t="inlineStr"/>
    </row>
    <row r="631" ht="15" customHeight="1">
      <c r="A631" t="inlineStr">
        <is>
          <t>A 4797-2023</t>
        </is>
      </c>
      <c r="B631" s="1" t="n">
        <v>44957</v>
      </c>
      <c r="C631" s="1" t="n">
        <v>45824</v>
      </c>
      <c r="D631" t="inlineStr">
        <is>
          <t>VÄSTMANLANDS LÄN</t>
        </is>
      </c>
      <c r="E631" t="inlineStr">
        <is>
          <t>SALA</t>
        </is>
      </c>
      <c r="G631" t="n">
        <v>5.7</v>
      </c>
      <c r="H631" t="n">
        <v>0</v>
      </c>
      <c r="I631" t="n">
        <v>0</v>
      </c>
      <c r="J631" t="n">
        <v>0</v>
      </c>
      <c r="K631" t="n">
        <v>0</v>
      </c>
      <c r="L631" t="n">
        <v>0</v>
      </c>
      <c r="M631" t="n">
        <v>0</v>
      </c>
      <c r="N631" t="n">
        <v>0</v>
      </c>
      <c r="O631" t="n">
        <v>0</v>
      </c>
      <c r="P631" t="n">
        <v>0</v>
      </c>
      <c r="Q631" t="n">
        <v>0</v>
      </c>
      <c r="R631" s="2" t="inlineStr"/>
    </row>
    <row r="632" ht="15" customHeight="1">
      <c r="A632" t="inlineStr">
        <is>
          <t>A 4852-2023</t>
        </is>
      </c>
      <c r="B632" s="1" t="n">
        <v>44957</v>
      </c>
      <c r="C632" s="1" t="n">
        <v>45824</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5782-2023</t>
        </is>
      </c>
      <c r="B633" s="1" t="n">
        <v>44963</v>
      </c>
      <c r="C633" s="1" t="n">
        <v>45824</v>
      </c>
      <c r="D633" t="inlineStr">
        <is>
          <t>VÄSTMANLANDS LÄN</t>
        </is>
      </c>
      <c r="E633" t="inlineStr">
        <is>
          <t>SALA</t>
        </is>
      </c>
      <c r="G633" t="n">
        <v>4.2</v>
      </c>
      <c r="H633" t="n">
        <v>0</v>
      </c>
      <c r="I633" t="n">
        <v>0</v>
      </c>
      <c r="J633" t="n">
        <v>0</v>
      </c>
      <c r="K633" t="n">
        <v>0</v>
      </c>
      <c r="L633" t="n">
        <v>0</v>
      </c>
      <c r="M633" t="n">
        <v>0</v>
      </c>
      <c r="N633" t="n">
        <v>0</v>
      </c>
      <c r="O633" t="n">
        <v>0</v>
      </c>
      <c r="P633" t="n">
        <v>0</v>
      </c>
      <c r="Q633" t="n">
        <v>0</v>
      </c>
      <c r="R633" s="2" t="inlineStr"/>
    </row>
    <row r="634" ht="15" customHeight="1">
      <c r="A634" t="inlineStr">
        <is>
          <t>A 6111-2023</t>
        </is>
      </c>
      <c r="B634" s="1" t="n">
        <v>44964</v>
      </c>
      <c r="C634" s="1" t="n">
        <v>45824</v>
      </c>
      <c r="D634" t="inlineStr">
        <is>
          <t>VÄSTMANLANDS LÄN</t>
        </is>
      </c>
      <c r="E634" t="inlineStr">
        <is>
          <t>SALA</t>
        </is>
      </c>
      <c r="G634" t="n">
        <v>3.7</v>
      </c>
      <c r="H634" t="n">
        <v>0</v>
      </c>
      <c r="I634" t="n">
        <v>0</v>
      </c>
      <c r="J634" t="n">
        <v>0</v>
      </c>
      <c r="K634" t="n">
        <v>0</v>
      </c>
      <c r="L634" t="n">
        <v>0</v>
      </c>
      <c r="M634" t="n">
        <v>0</v>
      </c>
      <c r="N634" t="n">
        <v>0</v>
      </c>
      <c r="O634" t="n">
        <v>0</v>
      </c>
      <c r="P634" t="n">
        <v>0</v>
      </c>
      <c r="Q634" t="n">
        <v>0</v>
      </c>
      <c r="R634" s="2" t="inlineStr"/>
    </row>
    <row r="635" ht="15" customHeight="1">
      <c r="A635" t="inlineStr">
        <is>
          <t>A 6135-2023</t>
        </is>
      </c>
      <c r="B635" s="1" t="n">
        <v>44964</v>
      </c>
      <c r="C635" s="1" t="n">
        <v>45824</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6167-2023</t>
        </is>
      </c>
      <c r="B636" s="1" t="n">
        <v>44964</v>
      </c>
      <c r="C636" s="1" t="n">
        <v>45824</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6130-2023</t>
        </is>
      </c>
      <c r="B637" s="1" t="n">
        <v>44964</v>
      </c>
      <c r="C637" s="1" t="n">
        <v>45824</v>
      </c>
      <c r="D637" t="inlineStr">
        <is>
          <t>VÄSTMANLANDS LÄN</t>
        </is>
      </c>
      <c r="E637" t="inlineStr">
        <is>
          <t>SALA</t>
        </is>
      </c>
      <c r="G637" t="n">
        <v>8</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45824</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6139-2023</t>
        </is>
      </c>
      <c r="B639" s="1" t="n">
        <v>44964</v>
      </c>
      <c r="C639" s="1" t="n">
        <v>45824</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6869-2023</t>
        </is>
      </c>
      <c r="B640" s="1" t="n">
        <v>44964</v>
      </c>
      <c r="C640" s="1" t="n">
        <v>45824</v>
      </c>
      <c r="D640" t="inlineStr">
        <is>
          <t>VÄSTMANLANDS LÄN</t>
        </is>
      </c>
      <c r="E640" t="inlineStr">
        <is>
          <t>SALA</t>
        </is>
      </c>
      <c r="G640" t="n">
        <v>11.6</v>
      </c>
      <c r="H640" t="n">
        <v>0</v>
      </c>
      <c r="I640" t="n">
        <v>0</v>
      </c>
      <c r="J640" t="n">
        <v>0</v>
      </c>
      <c r="K640" t="n">
        <v>0</v>
      </c>
      <c r="L640" t="n">
        <v>0</v>
      </c>
      <c r="M640" t="n">
        <v>0</v>
      </c>
      <c r="N640" t="n">
        <v>0</v>
      </c>
      <c r="O640" t="n">
        <v>0</v>
      </c>
      <c r="P640" t="n">
        <v>0</v>
      </c>
      <c r="Q640" t="n">
        <v>0</v>
      </c>
      <c r="R640" s="2" t="inlineStr"/>
    </row>
    <row r="641" ht="15" customHeight="1">
      <c r="A641" t="inlineStr">
        <is>
          <t>A 6351-2023</t>
        </is>
      </c>
      <c r="B641" s="1" t="n">
        <v>44965</v>
      </c>
      <c r="C641" s="1" t="n">
        <v>45824</v>
      </c>
      <c r="D641" t="inlineStr">
        <is>
          <t>VÄSTMANLANDS LÄN</t>
        </is>
      </c>
      <c r="E641" t="inlineStr">
        <is>
          <t>SALA</t>
        </is>
      </c>
      <c r="F641" t="inlineStr">
        <is>
          <t>Kommuner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6851-2023</t>
        </is>
      </c>
      <c r="B642" s="1" t="n">
        <v>44967</v>
      </c>
      <c r="C642" s="1" t="n">
        <v>45824</v>
      </c>
      <c r="D642" t="inlineStr">
        <is>
          <t>VÄSTMANLANDS LÄN</t>
        </is>
      </c>
      <c r="E642" t="inlineStr">
        <is>
          <t>SALA</t>
        </is>
      </c>
      <c r="G642" t="n">
        <v>2.7</v>
      </c>
      <c r="H642" t="n">
        <v>0</v>
      </c>
      <c r="I642" t="n">
        <v>0</v>
      </c>
      <c r="J642" t="n">
        <v>0</v>
      </c>
      <c r="K642" t="n">
        <v>0</v>
      </c>
      <c r="L642" t="n">
        <v>0</v>
      </c>
      <c r="M642" t="n">
        <v>0</v>
      </c>
      <c r="N642" t="n">
        <v>0</v>
      </c>
      <c r="O642" t="n">
        <v>0</v>
      </c>
      <c r="P642" t="n">
        <v>0</v>
      </c>
      <c r="Q642" t="n">
        <v>0</v>
      </c>
      <c r="R642" s="2" t="inlineStr"/>
    </row>
    <row r="643" ht="15" customHeight="1">
      <c r="A643" t="inlineStr">
        <is>
          <t>A 7176-2023</t>
        </is>
      </c>
      <c r="B643" s="1" t="n">
        <v>44970</v>
      </c>
      <c r="C643" s="1" t="n">
        <v>45824</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7193-2023</t>
        </is>
      </c>
      <c r="B644" s="1" t="n">
        <v>44970</v>
      </c>
      <c r="C644" s="1" t="n">
        <v>45824</v>
      </c>
      <c r="D644" t="inlineStr">
        <is>
          <t>VÄSTMANLANDS LÄN</t>
        </is>
      </c>
      <c r="E644" t="inlineStr">
        <is>
          <t>SALA</t>
        </is>
      </c>
      <c r="G644" t="n">
        <v>2.5</v>
      </c>
      <c r="H644" t="n">
        <v>0</v>
      </c>
      <c r="I644" t="n">
        <v>0</v>
      </c>
      <c r="J644" t="n">
        <v>0</v>
      </c>
      <c r="K644" t="n">
        <v>0</v>
      </c>
      <c r="L644" t="n">
        <v>0</v>
      </c>
      <c r="M644" t="n">
        <v>0</v>
      </c>
      <c r="N644" t="n">
        <v>0</v>
      </c>
      <c r="O644" t="n">
        <v>0</v>
      </c>
      <c r="P644" t="n">
        <v>0</v>
      </c>
      <c r="Q644" t="n">
        <v>0</v>
      </c>
      <c r="R644" s="2" t="inlineStr"/>
    </row>
    <row r="645" ht="15" customHeight="1">
      <c r="A645" t="inlineStr">
        <is>
          <t>A 7954-2023</t>
        </is>
      </c>
      <c r="B645" s="1" t="n">
        <v>44970</v>
      </c>
      <c r="C645" s="1" t="n">
        <v>45824</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7377-2023</t>
        </is>
      </c>
      <c r="B646" s="1" t="n">
        <v>44971</v>
      </c>
      <c r="C646" s="1" t="n">
        <v>45824</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7351-2023</t>
        </is>
      </c>
      <c r="B647" s="1" t="n">
        <v>44971</v>
      </c>
      <c r="C647" s="1" t="n">
        <v>45824</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7502-2023</t>
        </is>
      </c>
      <c r="B648" s="1" t="n">
        <v>44971</v>
      </c>
      <c r="C648" s="1" t="n">
        <v>45824</v>
      </c>
      <c r="D648" t="inlineStr">
        <is>
          <t>VÄSTMANLANDS LÄN</t>
        </is>
      </c>
      <c r="E648" t="inlineStr">
        <is>
          <t>SALA</t>
        </is>
      </c>
      <c r="G648" t="n">
        <v>1.8</v>
      </c>
      <c r="H648" t="n">
        <v>0</v>
      </c>
      <c r="I648" t="n">
        <v>0</v>
      </c>
      <c r="J648" t="n">
        <v>0</v>
      </c>
      <c r="K648" t="n">
        <v>0</v>
      </c>
      <c r="L648" t="n">
        <v>0</v>
      </c>
      <c r="M648" t="n">
        <v>0</v>
      </c>
      <c r="N648" t="n">
        <v>0</v>
      </c>
      <c r="O648" t="n">
        <v>0</v>
      </c>
      <c r="P648" t="n">
        <v>0</v>
      </c>
      <c r="Q648" t="n">
        <v>0</v>
      </c>
      <c r="R648" s="2" t="inlineStr"/>
    </row>
    <row r="649" ht="15" customHeight="1">
      <c r="A649" t="inlineStr">
        <is>
          <t>A 7664-2023</t>
        </is>
      </c>
      <c r="B649" s="1" t="n">
        <v>44972</v>
      </c>
      <c r="C649" s="1" t="n">
        <v>45824</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7635-2023</t>
        </is>
      </c>
      <c r="B650" s="1" t="n">
        <v>44972</v>
      </c>
      <c r="C650" s="1" t="n">
        <v>45824</v>
      </c>
      <c r="D650" t="inlineStr">
        <is>
          <t>VÄSTMANLANDS LÄN</t>
        </is>
      </c>
      <c r="E650" t="inlineStr">
        <is>
          <t>SALA</t>
        </is>
      </c>
      <c r="G650" t="n">
        <v>1.3</v>
      </c>
      <c r="H650" t="n">
        <v>0</v>
      </c>
      <c r="I650" t="n">
        <v>0</v>
      </c>
      <c r="J650" t="n">
        <v>0</v>
      </c>
      <c r="K650" t="n">
        <v>0</v>
      </c>
      <c r="L650" t="n">
        <v>0</v>
      </c>
      <c r="M650" t="n">
        <v>0</v>
      </c>
      <c r="N650" t="n">
        <v>0</v>
      </c>
      <c r="O650" t="n">
        <v>0</v>
      </c>
      <c r="P650" t="n">
        <v>0</v>
      </c>
      <c r="Q650" t="n">
        <v>0</v>
      </c>
      <c r="R650" s="2" t="inlineStr"/>
    </row>
    <row r="651" ht="15" customHeight="1">
      <c r="A651" t="inlineStr">
        <is>
          <t>A 7772-2023</t>
        </is>
      </c>
      <c r="B651" s="1" t="n">
        <v>44973</v>
      </c>
      <c r="C651" s="1" t="n">
        <v>45824</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7813-2023</t>
        </is>
      </c>
      <c r="B652" s="1" t="n">
        <v>44973</v>
      </c>
      <c r="C652" s="1" t="n">
        <v>45824</v>
      </c>
      <c r="D652" t="inlineStr">
        <is>
          <t>VÄSTMANLANDS LÄN</t>
        </is>
      </c>
      <c r="E652" t="inlineStr">
        <is>
          <t>SALA</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8047-2023</t>
        </is>
      </c>
      <c r="B653" s="1" t="n">
        <v>44974</v>
      </c>
      <c r="C653" s="1" t="n">
        <v>45824</v>
      </c>
      <c r="D653" t="inlineStr">
        <is>
          <t>VÄSTMANLANDS LÄN</t>
        </is>
      </c>
      <c r="E653" t="inlineStr">
        <is>
          <t>SALA</t>
        </is>
      </c>
      <c r="G653" t="n">
        <v>17.4</v>
      </c>
      <c r="H653" t="n">
        <v>0</v>
      </c>
      <c r="I653" t="n">
        <v>0</v>
      </c>
      <c r="J653" t="n">
        <v>0</v>
      </c>
      <c r="K653" t="n">
        <v>0</v>
      </c>
      <c r="L653" t="n">
        <v>0</v>
      </c>
      <c r="M653" t="n">
        <v>0</v>
      </c>
      <c r="N653" t="n">
        <v>0</v>
      </c>
      <c r="O653" t="n">
        <v>0</v>
      </c>
      <c r="P653" t="n">
        <v>0</v>
      </c>
      <c r="Q653" t="n">
        <v>0</v>
      </c>
      <c r="R653" s="2" t="inlineStr"/>
    </row>
    <row r="654" ht="15" customHeight="1">
      <c r="A654" t="inlineStr">
        <is>
          <t>A 8766-2023</t>
        </is>
      </c>
      <c r="B654" s="1" t="n">
        <v>44978</v>
      </c>
      <c r="C654" s="1" t="n">
        <v>45824</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9051-2023</t>
        </is>
      </c>
      <c r="B655" s="1" t="n">
        <v>44979</v>
      </c>
      <c r="C655" s="1" t="n">
        <v>45824</v>
      </c>
      <c r="D655" t="inlineStr">
        <is>
          <t>VÄSTMANLANDS LÄN</t>
        </is>
      </c>
      <c r="E655" t="inlineStr">
        <is>
          <t>SALA</t>
        </is>
      </c>
      <c r="G655" t="n">
        <v>4.1</v>
      </c>
      <c r="H655" t="n">
        <v>0</v>
      </c>
      <c r="I655" t="n">
        <v>0</v>
      </c>
      <c r="J655" t="n">
        <v>0</v>
      </c>
      <c r="K655" t="n">
        <v>0</v>
      </c>
      <c r="L655" t="n">
        <v>0</v>
      </c>
      <c r="M655" t="n">
        <v>0</v>
      </c>
      <c r="N655" t="n">
        <v>0</v>
      </c>
      <c r="O655" t="n">
        <v>0</v>
      </c>
      <c r="P655" t="n">
        <v>0</v>
      </c>
      <c r="Q655" t="n">
        <v>0</v>
      </c>
      <c r="R655" s="2" t="inlineStr"/>
    </row>
    <row r="656" ht="15" customHeight="1">
      <c r="A656" t="inlineStr">
        <is>
          <t>A 11190-2023</t>
        </is>
      </c>
      <c r="B656" s="1" t="n">
        <v>44992</v>
      </c>
      <c r="C656" s="1" t="n">
        <v>45824</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11166-2023</t>
        </is>
      </c>
      <c r="B657" s="1" t="n">
        <v>44992</v>
      </c>
      <c r="C657" s="1" t="n">
        <v>45824</v>
      </c>
      <c r="D657" t="inlineStr">
        <is>
          <t>VÄSTMANLANDS LÄN</t>
        </is>
      </c>
      <c r="E657" t="inlineStr">
        <is>
          <t>SALA</t>
        </is>
      </c>
      <c r="G657" t="n">
        <v>3.9</v>
      </c>
      <c r="H657" t="n">
        <v>0</v>
      </c>
      <c r="I657" t="n">
        <v>0</v>
      </c>
      <c r="J657" t="n">
        <v>0</v>
      </c>
      <c r="K657" t="n">
        <v>0</v>
      </c>
      <c r="L657" t="n">
        <v>0</v>
      </c>
      <c r="M657" t="n">
        <v>0</v>
      </c>
      <c r="N657" t="n">
        <v>0</v>
      </c>
      <c r="O657" t="n">
        <v>0</v>
      </c>
      <c r="P657" t="n">
        <v>0</v>
      </c>
      <c r="Q657" t="n">
        <v>0</v>
      </c>
      <c r="R657" s="2" t="inlineStr"/>
    </row>
    <row r="658" ht="15" customHeight="1">
      <c r="A658" t="inlineStr">
        <is>
          <t>A 11183-2023</t>
        </is>
      </c>
      <c r="B658" s="1" t="n">
        <v>44992</v>
      </c>
      <c r="C658" s="1" t="n">
        <v>45824</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11631-2023</t>
        </is>
      </c>
      <c r="B659" s="1" t="n">
        <v>44994</v>
      </c>
      <c r="C659" s="1" t="n">
        <v>45824</v>
      </c>
      <c r="D659" t="inlineStr">
        <is>
          <t>VÄSTMANLANDS LÄN</t>
        </is>
      </c>
      <c r="E659" t="inlineStr">
        <is>
          <t>SALA</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12231-2023</t>
        </is>
      </c>
      <c r="B660" s="1" t="n">
        <v>44995</v>
      </c>
      <c r="C660" s="1" t="n">
        <v>45824</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12246-2023</t>
        </is>
      </c>
      <c r="B661" s="1" t="n">
        <v>44995</v>
      </c>
      <c r="C661" s="1" t="n">
        <v>45824</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12272-2023</t>
        </is>
      </c>
      <c r="B662" s="1" t="n">
        <v>44995</v>
      </c>
      <c r="C662" s="1" t="n">
        <v>45824</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12242-2023</t>
        </is>
      </c>
      <c r="B663" s="1" t="n">
        <v>44995</v>
      </c>
      <c r="C663" s="1" t="n">
        <v>45824</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12252-2023</t>
        </is>
      </c>
      <c r="B664" s="1" t="n">
        <v>44995</v>
      </c>
      <c r="C664" s="1" t="n">
        <v>45824</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12225-2023</t>
        </is>
      </c>
      <c r="B665" s="1" t="n">
        <v>44995</v>
      </c>
      <c r="C665" s="1" t="n">
        <v>45824</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12509-2023</t>
        </is>
      </c>
      <c r="B666" s="1" t="n">
        <v>45000</v>
      </c>
      <c r="C666" s="1" t="n">
        <v>45824</v>
      </c>
      <c r="D666" t="inlineStr">
        <is>
          <t>VÄSTMANLANDS LÄN</t>
        </is>
      </c>
      <c r="E666" t="inlineStr">
        <is>
          <t>SALA</t>
        </is>
      </c>
      <c r="G666" t="n">
        <v>13.9</v>
      </c>
      <c r="H666" t="n">
        <v>0</v>
      </c>
      <c r="I666" t="n">
        <v>0</v>
      </c>
      <c r="J666" t="n">
        <v>0</v>
      </c>
      <c r="K666" t="n">
        <v>0</v>
      </c>
      <c r="L666" t="n">
        <v>0</v>
      </c>
      <c r="M666" t="n">
        <v>0</v>
      </c>
      <c r="N666" t="n">
        <v>0</v>
      </c>
      <c r="O666" t="n">
        <v>0</v>
      </c>
      <c r="P666" t="n">
        <v>0</v>
      </c>
      <c r="Q666" t="n">
        <v>0</v>
      </c>
      <c r="R666" s="2" t="inlineStr"/>
    </row>
    <row r="667" ht="15" customHeight="1">
      <c r="A667" t="inlineStr">
        <is>
          <t>A 12510-2023</t>
        </is>
      </c>
      <c r="B667" s="1" t="n">
        <v>45000</v>
      </c>
      <c r="C667" s="1" t="n">
        <v>45824</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13146-2023</t>
        </is>
      </c>
      <c r="B668" s="1" t="n">
        <v>45002</v>
      </c>
      <c r="C668" s="1" t="n">
        <v>45824</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13022-2023</t>
        </is>
      </c>
      <c r="B669" s="1" t="n">
        <v>45002</v>
      </c>
      <c r="C669" s="1" t="n">
        <v>45824</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13151-2023</t>
        </is>
      </c>
      <c r="B670" s="1" t="n">
        <v>45002</v>
      </c>
      <c r="C670" s="1" t="n">
        <v>45824</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13128-2023</t>
        </is>
      </c>
      <c r="B671" s="1" t="n">
        <v>45002</v>
      </c>
      <c r="C671" s="1" t="n">
        <v>45824</v>
      </c>
      <c r="D671" t="inlineStr">
        <is>
          <t>VÄSTMANLANDS LÄN</t>
        </is>
      </c>
      <c r="E671" t="inlineStr">
        <is>
          <t>SALA</t>
        </is>
      </c>
      <c r="G671" t="n">
        <v>7.9</v>
      </c>
      <c r="H671" t="n">
        <v>0</v>
      </c>
      <c r="I671" t="n">
        <v>0</v>
      </c>
      <c r="J671" t="n">
        <v>0</v>
      </c>
      <c r="K671" t="n">
        <v>0</v>
      </c>
      <c r="L671" t="n">
        <v>0</v>
      </c>
      <c r="M671" t="n">
        <v>0</v>
      </c>
      <c r="N671" t="n">
        <v>0</v>
      </c>
      <c r="O671" t="n">
        <v>0</v>
      </c>
      <c r="P671" t="n">
        <v>0</v>
      </c>
      <c r="Q671" t="n">
        <v>0</v>
      </c>
      <c r="R671" s="2" t="inlineStr"/>
    </row>
    <row r="672" ht="15" customHeight="1">
      <c r="A672" t="inlineStr">
        <is>
          <t>A 13153-2023</t>
        </is>
      </c>
      <c r="B672" s="1" t="n">
        <v>45002</v>
      </c>
      <c r="C672" s="1" t="n">
        <v>45824</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13059-2023</t>
        </is>
      </c>
      <c r="B673" s="1" t="n">
        <v>45002</v>
      </c>
      <c r="C673" s="1" t="n">
        <v>45824</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13857-2023</t>
        </is>
      </c>
      <c r="B674" s="1" t="n">
        <v>45007</v>
      </c>
      <c r="C674" s="1" t="n">
        <v>45824</v>
      </c>
      <c r="D674" t="inlineStr">
        <is>
          <t>VÄSTMANLANDS LÄN</t>
        </is>
      </c>
      <c r="E674" t="inlineStr">
        <is>
          <t>SALA</t>
        </is>
      </c>
      <c r="G674" t="n">
        <v>5.7</v>
      </c>
      <c r="H674" t="n">
        <v>0</v>
      </c>
      <c r="I674" t="n">
        <v>0</v>
      </c>
      <c r="J674" t="n">
        <v>0</v>
      </c>
      <c r="K674" t="n">
        <v>0</v>
      </c>
      <c r="L674" t="n">
        <v>0</v>
      </c>
      <c r="M674" t="n">
        <v>0</v>
      </c>
      <c r="N674" t="n">
        <v>0</v>
      </c>
      <c r="O674" t="n">
        <v>0</v>
      </c>
      <c r="P674" t="n">
        <v>0</v>
      </c>
      <c r="Q674" t="n">
        <v>0</v>
      </c>
      <c r="R674" s="2" t="inlineStr"/>
    </row>
    <row r="675" ht="15" customHeight="1">
      <c r="A675" t="inlineStr">
        <is>
          <t>A 13833-2023</t>
        </is>
      </c>
      <c r="B675" s="1" t="n">
        <v>45007</v>
      </c>
      <c r="C675" s="1" t="n">
        <v>45824</v>
      </c>
      <c r="D675" t="inlineStr">
        <is>
          <t>VÄSTMANLANDS LÄN</t>
        </is>
      </c>
      <c r="E675" t="inlineStr">
        <is>
          <t>SALA</t>
        </is>
      </c>
      <c r="G675" t="n">
        <v>4.3</v>
      </c>
      <c r="H675" t="n">
        <v>0</v>
      </c>
      <c r="I675" t="n">
        <v>0</v>
      </c>
      <c r="J675" t="n">
        <v>0</v>
      </c>
      <c r="K675" t="n">
        <v>0</v>
      </c>
      <c r="L675" t="n">
        <v>0</v>
      </c>
      <c r="M675" t="n">
        <v>0</v>
      </c>
      <c r="N675" t="n">
        <v>0</v>
      </c>
      <c r="O675" t="n">
        <v>0</v>
      </c>
      <c r="P675" t="n">
        <v>0</v>
      </c>
      <c r="Q675" t="n">
        <v>0</v>
      </c>
      <c r="R675" s="2" t="inlineStr"/>
    </row>
    <row r="676" ht="15" customHeight="1">
      <c r="A676" t="inlineStr">
        <is>
          <t>A 13855-2023</t>
        </is>
      </c>
      <c r="B676" s="1" t="n">
        <v>45007</v>
      </c>
      <c r="C676" s="1" t="n">
        <v>45824</v>
      </c>
      <c r="D676" t="inlineStr">
        <is>
          <t>VÄSTMANLANDS LÄN</t>
        </is>
      </c>
      <c r="E676" t="inlineStr">
        <is>
          <t>SALA</t>
        </is>
      </c>
      <c r="G676" t="n">
        <v>2.9</v>
      </c>
      <c r="H676" t="n">
        <v>0</v>
      </c>
      <c r="I676" t="n">
        <v>0</v>
      </c>
      <c r="J676" t="n">
        <v>0</v>
      </c>
      <c r="K676" t="n">
        <v>0</v>
      </c>
      <c r="L676" t="n">
        <v>0</v>
      </c>
      <c r="M676" t="n">
        <v>0</v>
      </c>
      <c r="N676" t="n">
        <v>0</v>
      </c>
      <c r="O676" t="n">
        <v>0</v>
      </c>
      <c r="P676" t="n">
        <v>0</v>
      </c>
      <c r="Q676" t="n">
        <v>0</v>
      </c>
      <c r="R676" s="2" t="inlineStr"/>
    </row>
    <row r="677" ht="15" customHeight="1">
      <c r="A677" t="inlineStr">
        <is>
          <t>A 13990-2023</t>
        </is>
      </c>
      <c r="B677" s="1" t="n">
        <v>45007</v>
      </c>
      <c r="C677" s="1" t="n">
        <v>45824</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13987-2023</t>
        </is>
      </c>
      <c r="B678" s="1" t="n">
        <v>45007</v>
      </c>
      <c r="C678" s="1" t="n">
        <v>45824</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13935-2023</t>
        </is>
      </c>
      <c r="B679" s="1" t="n">
        <v>45008</v>
      </c>
      <c r="C679" s="1" t="n">
        <v>45824</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14578-2023</t>
        </is>
      </c>
      <c r="B680" s="1" t="n">
        <v>45013</v>
      </c>
      <c r="C680" s="1" t="n">
        <v>45824</v>
      </c>
      <c r="D680" t="inlineStr">
        <is>
          <t>VÄSTMANLANDS LÄN</t>
        </is>
      </c>
      <c r="E680" t="inlineStr">
        <is>
          <t>SALA</t>
        </is>
      </c>
      <c r="G680" t="n">
        <v>5.2</v>
      </c>
      <c r="H680" t="n">
        <v>0</v>
      </c>
      <c r="I680" t="n">
        <v>0</v>
      </c>
      <c r="J680" t="n">
        <v>0</v>
      </c>
      <c r="K680" t="n">
        <v>0</v>
      </c>
      <c r="L680" t="n">
        <v>0</v>
      </c>
      <c r="M680" t="n">
        <v>0</v>
      </c>
      <c r="N680" t="n">
        <v>0</v>
      </c>
      <c r="O680" t="n">
        <v>0</v>
      </c>
      <c r="P680" t="n">
        <v>0</v>
      </c>
      <c r="Q680" t="n">
        <v>0</v>
      </c>
      <c r="R680" s="2" t="inlineStr"/>
    </row>
    <row r="681" ht="15" customHeight="1">
      <c r="A681" t="inlineStr">
        <is>
          <t>A 14823-2023</t>
        </is>
      </c>
      <c r="B681" s="1" t="n">
        <v>45014</v>
      </c>
      <c r="C681" s="1" t="n">
        <v>45824</v>
      </c>
      <c r="D681" t="inlineStr">
        <is>
          <t>VÄSTMANLANDS LÄN</t>
        </is>
      </c>
      <c r="E681" t="inlineStr">
        <is>
          <t>SALA</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14790-2023</t>
        </is>
      </c>
      <c r="B682" s="1" t="n">
        <v>45014</v>
      </c>
      <c r="C682" s="1" t="n">
        <v>45824</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15589-2023</t>
        </is>
      </c>
      <c r="B683" s="1" t="n">
        <v>45020</v>
      </c>
      <c r="C683" s="1" t="n">
        <v>45824</v>
      </c>
      <c r="D683" t="inlineStr">
        <is>
          <t>VÄSTMANLANDS LÄN</t>
        </is>
      </c>
      <c r="E683" t="inlineStr">
        <is>
          <t>SALA</t>
        </is>
      </c>
      <c r="G683" t="n">
        <v>7.5</v>
      </c>
      <c r="H683" t="n">
        <v>0</v>
      </c>
      <c r="I683" t="n">
        <v>0</v>
      </c>
      <c r="J683" t="n">
        <v>0</v>
      </c>
      <c r="K683" t="n">
        <v>0</v>
      </c>
      <c r="L683" t="n">
        <v>0</v>
      </c>
      <c r="M683" t="n">
        <v>0</v>
      </c>
      <c r="N683" t="n">
        <v>0</v>
      </c>
      <c r="O683" t="n">
        <v>0</v>
      </c>
      <c r="P683" t="n">
        <v>0</v>
      </c>
      <c r="Q683" t="n">
        <v>0</v>
      </c>
      <c r="R683" s="2" t="inlineStr"/>
    </row>
    <row r="684" ht="15" customHeight="1">
      <c r="A684" t="inlineStr">
        <is>
          <t>A 15584-2023</t>
        </is>
      </c>
      <c r="B684" s="1" t="n">
        <v>45020</v>
      </c>
      <c r="C684" s="1" t="n">
        <v>45824</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16003-2023</t>
        </is>
      </c>
      <c r="B685" s="1" t="n">
        <v>45024</v>
      </c>
      <c r="C685" s="1" t="n">
        <v>45824</v>
      </c>
      <c r="D685" t="inlineStr">
        <is>
          <t>VÄSTMANLANDS LÄN</t>
        </is>
      </c>
      <c r="E685" t="inlineStr">
        <is>
          <t>SALA</t>
        </is>
      </c>
      <c r="G685" t="n">
        <v>6.6</v>
      </c>
      <c r="H685" t="n">
        <v>0</v>
      </c>
      <c r="I685" t="n">
        <v>0</v>
      </c>
      <c r="J685" t="n">
        <v>0</v>
      </c>
      <c r="K685" t="n">
        <v>0</v>
      </c>
      <c r="L685" t="n">
        <v>0</v>
      </c>
      <c r="M685" t="n">
        <v>0</v>
      </c>
      <c r="N685" t="n">
        <v>0</v>
      </c>
      <c r="O685" t="n">
        <v>0</v>
      </c>
      <c r="P685" t="n">
        <v>0</v>
      </c>
      <c r="Q685" t="n">
        <v>0</v>
      </c>
      <c r="R685" s="2" t="inlineStr"/>
    </row>
    <row r="686" ht="15" customHeight="1">
      <c r="A686" t="inlineStr">
        <is>
          <t>A 16002-2023</t>
        </is>
      </c>
      <c r="B686" s="1" t="n">
        <v>45024</v>
      </c>
      <c r="C686" s="1" t="n">
        <v>45824</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16041-2023</t>
        </is>
      </c>
      <c r="B687" s="1" t="n">
        <v>45027</v>
      </c>
      <c r="C687" s="1" t="n">
        <v>45824</v>
      </c>
      <c r="D687" t="inlineStr">
        <is>
          <t>VÄSTMANLANDS LÄN</t>
        </is>
      </c>
      <c r="E687" t="inlineStr">
        <is>
          <t>SALA</t>
        </is>
      </c>
      <c r="G687" t="n">
        <v>3.1</v>
      </c>
      <c r="H687" t="n">
        <v>0</v>
      </c>
      <c r="I687" t="n">
        <v>0</v>
      </c>
      <c r="J687" t="n">
        <v>0</v>
      </c>
      <c r="K687" t="n">
        <v>0</v>
      </c>
      <c r="L687" t="n">
        <v>0</v>
      </c>
      <c r="M687" t="n">
        <v>0</v>
      </c>
      <c r="N687" t="n">
        <v>0</v>
      </c>
      <c r="O687" t="n">
        <v>0</v>
      </c>
      <c r="P687" t="n">
        <v>0</v>
      </c>
      <c r="Q687" t="n">
        <v>0</v>
      </c>
      <c r="R687" s="2" t="inlineStr"/>
    </row>
    <row r="688" ht="15" customHeight="1">
      <c r="A688" t="inlineStr">
        <is>
          <t>A 16142-2023</t>
        </is>
      </c>
      <c r="B688" s="1" t="n">
        <v>45027</v>
      </c>
      <c r="C688" s="1" t="n">
        <v>45824</v>
      </c>
      <c r="D688" t="inlineStr">
        <is>
          <t>VÄSTMANLANDS LÄN</t>
        </is>
      </c>
      <c r="E688" t="inlineStr">
        <is>
          <t>SALA</t>
        </is>
      </c>
      <c r="G688" t="n">
        <v>6.3</v>
      </c>
      <c r="H688" t="n">
        <v>0</v>
      </c>
      <c r="I688" t="n">
        <v>0</v>
      </c>
      <c r="J688" t="n">
        <v>0</v>
      </c>
      <c r="K688" t="n">
        <v>0</v>
      </c>
      <c r="L688" t="n">
        <v>0</v>
      </c>
      <c r="M688" t="n">
        <v>0</v>
      </c>
      <c r="N688" t="n">
        <v>0</v>
      </c>
      <c r="O688" t="n">
        <v>0</v>
      </c>
      <c r="P688" t="n">
        <v>0</v>
      </c>
      <c r="Q688" t="n">
        <v>0</v>
      </c>
      <c r="R688" s="2" t="inlineStr"/>
    </row>
    <row r="689" ht="15" customHeight="1">
      <c r="A689" t="inlineStr">
        <is>
          <t>A 16083-2023</t>
        </is>
      </c>
      <c r="B689" s="1" t="n">
        <v>45027</v>
      </c>
      <c r="C689" s="1" t="n">
        <v>45824</v>
      </c>
      <c r="D689" t="inlineStr">
        <is>
          <t>VÄSTMANLANDS LÄN</t>
        </is>
      </c>
      <c r="E689" t="inlineStr">
        <is>
          <t>SALA</t>
        </is>
      </c>
      <c r="G689" t="n">
        <v>4.4</v>
      </c>
      <c r="H689" t="n">
        <v>0</v>
      </c>
      <c r="I689" t="n">
        <v>0</v>
      </c>
      <c r="J689" t="n">
        <v>0</v>
      </c>
      <c r="K689" t="n">
        <v>0</v>
      </c>
      <c r="L689" t="n">
        <v>0</v>
      </c>
      <c r="M689" t="n">
        <v>0</v>
      </c>
      <c r="N689" t="n">
        <v>0</v>
      </c>
      <c r="O689" t="n">
        <v>0</v>
      </c>
      <c r="P689" t="n">
        <v>0</v>
      </c>
      <c r="Q689" t="n">
        <v>0</v>
      </c>
      <c r="R689" s="2" t="inlineStr"/>
    </row>
    <row r="690" ht="15" customHeight="1">
      <c r="A690" t="inlineStr">
        <is>
          <t>A 16638-2023</t>
        </is>
      </c>
      <c r="B690" s="1" t="n">
        <v>45027</v>
      </c>
      <c r="C690" s="1" t="n">
        <v>45824</v>
      </c>
      <c r="D690" t="inlineStr">
        <is>
          <t>VÄSTMANLANDS LÄN</t>
        </is>
      </c>
      <c r="E690" t="inlineStr">
        <is>
          <t>SALA</t>
        </is>
      </c>
      <c r="G690" t="n">
        <v>14.8</v>
      </c>
      <c r="H690" t="n">
        <v>0</v>
      </c>
      <c r="I690" t="n">
        <v>0</v>
      </c>
      <c r="J690" t="n">
        <v>0</v>
      </c>
      <c r="K690" t="n">
        <v>0</v>
      </c>
      <c r="L690" t="n">
        <v>0</v>
      </c>
      <c r="M690" t="n">
        <v>0</v>
      </c>
      <c r="N690" t="n">
        <v>0</v>
      </c>
      <c r="O690" t="n">
        <v>0</v>
      </c>
      <c r="P690" t="n">
        <v>0</v>
      </c>
      <c r="Q690" t="n">
        <v>0</v>
      </c>
      <c r="R690" s="2" t="inlineStr"/>
    </row>
    <row r="691" ht="15" customHeight="1">
      <c r="A691" t="inlineStr">
        <is>
          <t>A 16693-2023</t>
        </is>
      </c>
      <c r="B691" s="1" t="n">
        <v>45028</v>
      </c>
      <c r="C691" s="1" t="n">
        <v>45824</v>
      </c>
      <c r="D691" t="inlineStr">
        <is>
          <t>VÄSTMANLANDS LÄN</t>
        </is>
      </c>
      <c r="E691" t="inlineStr">
        <is>
          <t>SALA</t>
        </is>
      </c>
      <c r="G691" t="n">
        <v>1.5</v>
      </c>
      <c r="H691" t="n">
        <v>0</v>
      </c>
      <c r="I691" t="n">
        <v>0</v>
      </c>
      <c r="J691" t="n">
        <v>0</v>
      </c>
      <c r="K691" t="n">
        <v>0</v>
      </c>
      <c r="L691" t="n">
        <v>0</v>
      </c>
      <c r="M691" t="n">
        <v>0</v>
      </c>
      <c r="N691" t="n">
        <v>0</v>
      </c>
      <c r="O691" t="n">
        <v>0</v>
      </c>
      <c r="P691" t="n">
        <v>0</v>
      </c>
      <c r="Q691" t="n">
        <v>0</v>
      </c>
      <c r="R691" s="2" t="inlineStr"/>
    </row>
    <row r="692" ht="15" customHeight="1">
      <c r="A692" t="inlineStr">
        <is>
          <t>A 16546-2023</t>
        </is>
      </c>
      <c r="B692" s="1" t="n">
        <v>45029</v>
      </c>
      <c r="C692" s="1" t="n">
        <v>45824</v>
      </c>
      <c r="D692" t="inlineStr">
        <is>
          <t>VÄSTMANLANDS LÄN</t>
        </is>
      </c>
      <c r="E692" t="inlineStr">
        <is>
          <t>SALA</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16543-2023</t>
        </is>
      </c>
      <c r="B693" s="1" t="n">
        <v>45029</v>
      </c>
      <c r="C693" s="1" t="n">
        <v>45824</v>
      </c>
      <c r="D693" t="inlineStr">
        <is>
          <t>VÄSTMANLANDS LÄN</t>
        </is>
      </c>
      <c r="E693" t="inlineStr">
        <is>
          <t>SALA</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16544-2023</t>
        </is>
      </c>
      <c r="B694" s="1" t="n">
        <v>45029</v>
      </c>
      <c r="C694" s="1" t="n">
        <v>45824</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16547-2023</t>
        </is>
      </c>
      <c r="B695" s="1" t="n">
        <v>45029</v>
      </c>
      <c r="C695" s="1" t="n">
        <v>45824</v>
      </c>
      <c r="D695" t="inlineStr">
        <is>
          <t>VÄSTMANLANDS LÄN</t>
        </is>
      </c>
      <c r="E695" t="inlineStr">
        <is>
          <t>SALA</t>
        </is>
      </c>
      <c r="F695" t="inlineStr">
        <is>
          <t>Sveaskog</t>
        </is>
      </c>
      <c r="G695" t="n">
        <v>11.2</v>
      </c>
      <c r="H695" t="n">
        <v>0</v>
      </c>
      <c r="I695" t="n">
        <v>0</v>
      </c>
      <c r="J695" t="n">
        <v>0</v>
      </c>
      <c r="K695" t="n">
        <v>0</v>
      </c>
      <c r="L695" t="n">
        <v>0</v>
      </c>
      <c r="M695" t="n">
        <v>0</v>
      </c>
      <c r="N695" t="n">
        <v>0</v>
      </c>
      <c r="O695" t="n">
        <v>0</v>
      </c>
      <c r="P695" t="n">
        <v>0</v>
      </c>
      <c r="Q695" t="n">
        <v>0</v>
      </c>
      <c r="R695" s="2" t="inlineStr"/>
    </row>
    <row r="696" ht="15" customHeight="1">
      <c r="A696" t="inlineStr">
        <is>
          <t>A 16545-2023</t>
        </is>
      </c>
      <c r="B696" s="1" t="n">
        <v>45029</v>
      </c>
      <c r="C696" s="1" t="n">
        <v>45824</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16984-2023</t>
        </is>
      </c>
      <c r="B697" s="1" t="n">
        <v>45033</v>
      </c>
      <c r="C697" s="1" t="n">
        <v>45824</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17079-2023</t>
        </is>
      </c>
      <c r="B698" s="1" t="n">
        <v>45034</v>
      </c>
      <c r="C698" s="1" t="n">
        <v>45824</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17117-2023</t>
        </is>
      </c>
      <c r="B699" s="1" t="n">
        <v>45034</v>
      </c>
      <c r="C699" s="1" t="n">
        <v>45824</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17109-2023</t>
        </is>
      </c>
      <c r="B700" s="1" t="n">
        <v>45034</v>
      </c>
      <c r="C700" s="1" t="n">
        <v>45824</v>
      </c>
      <c r="D700" t="inlineStr">
        <is>
          <t>VÄSTMANLANDS LÄN</t>
        </is>
      </c>
      <c r="E700" t="inlineStr">
        <is>
          <t>SALA</t>
        </is>
      </c>
      <c r="G700" t="n">
        <v>5.8</v>
      </c>
      <c r="H700" t="n">
        <v>0</v>
      </c>
      <c r="I700" t="n">
        <v>0</v>
      </c>
      <c r="J700" t="n">
        <v>0</v>
      </c>
      <c r="K700" t="n">
        <v>0</v>
      </c>
      <c r="L700" t="n">
        <v>0</v>
      </c>
      <c r="M700" t="n">
        <v>0</v>
      </c>
      <c r="N700" t="n">
        <v>0</v>
      </c>
      <c r="O700" t="n">
        <v>0</v>
      </c>
      <c r="P700" t="n">
        <v>0</v>
      </c>
      <c r="Q700" t="n">
        <v>0</v>
      </c>
      <c r="R700" s="2" t="inlineStr"/>
    </row>
    <row r="701" ht="15" customHeight="1">
      <c r="A701" t="inlineStr">
        <is>
          <t>A 17120-2023</t>
        </is>
      </c>
      <c r="B701" s="1" t="n">
        <v>45034</v>
      </c>
      <c r="C701" s="1" t="n">
        <v>45824</v>
      </c>
      <c r="D701" t="inlineStr">
        <is>
          <t>VÄSTMANLANDS LÄN</t>
        </is>
      </c>
      <c r="E701" t="inlineStr">
        <is>
          <t>SALA</t>
        </is>
      </c>
      <c r="G701" t="n">
        <v>0.1</v>
      </c>
      <c r="H701" t="n">
        <v>0</v>
      </c>
      <c r="I701" t="n">
        <v>0</v>
      </c>
      <c r="J701" t="n">
        <v>0</v>
      </c>
      <c r="K701" t="n">
        <v>0</v>
      </c>
      <c r="L701" t="n">
        <v>0</v>
      </c>
      <c r="M701" t="n">
        <v>0</v>
      </c>
      <c r="N701" t="n">
        <v>0</v>
      </c>
      <c r="O701" t="n">
        <v>0</v>
      </c>
      <c r="P701" t="n">
        <v>0</v>
      </c>
      <c r="Q701" t="n">
        <v>0</v>
      </c>
      <c r="R701" s="2" t="inlineStr"/>
    </row>
    <row r="702" ht="15" customHeight="1">
      <c r="A702" t="inlineStr">
        <is>
          <t>A 18100-2023</t>
        </is>
      </c>
      <c r="B702" s="1" t="n">
        <v>45040</v>
      </c>
      <c r="C702" s="1" t="n">
        <v>45824</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18431-2023</t>
        </is>
      </c>
      <c r="B703" s="1" t="n">
        <v>45042</v>
      </c>
      <c r="C703" s="1" t="n">
        <v>45824</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18877-2023</t>
        </is>
      </c>
      <c r="B704" s="1" t="n">
        <v>45044</v>
      </c>
      <c r="C704" s="1" t="n">
        <v>45824</v>
      </c>
      <c r="D704" t="inlineStr">
        <is>
          <t>VÄSTMANLANDS LÄN</t>
        </is>
      </c>
      <c r="E704" t="inlineStr">
        <is>
          <t>SALA</t>
        </is>
      </c>
      <c r="F704" t="inlineStr">
        <is>
          <t>Kommuner</t>
        </is>
      </c>
      <c r="G704" t="n">
        <v>4.4</v>
      </c>
      <c r="H704" t="n">
        <v>0</v>
      </c>
      <c r="I704" t="n">
        <v>0</v>
      </c>
      <c r="J704" t="n">
        <v>0</v>
      </c>
      <c r="K704" t="n">
        <v>0</v>
      </c>
      <c r="L704" t="n">
        <v>0</v>
      </c>
      <c r="M704" t="n">
        <v>0</v>
      </c>
      <c r="N704" t="n">
        <v>0</v>
      </c>
      <c r="O704" t="n">
        <v>0</v>
      </c>
      <c r="P704" t="n">
        <v>0</v>
      </c>
      <c r="Q704" t="n">
        <v>0</v>
      </c>
      <c r="R704" s="2" t="inlineStr"/>
    </row>
    <row r="705" ht="15" customHeight="1">
      <c r="A705" t="inlineStr">
        <is>
          <t>A 19916-2023</t>
        </is>
      </c>
      <c r="B705" s="1" t="n">
        <v>45054</v>
      </c>
      <c r="C705" s="1" t="n">
        <v>45824</v>
      </c>
      <c r="D705" t="inlineStr">
        <is>
          <t>VÄSTMANLANDS LÄN</t>
        </is>
      </c>
      <c r="E705" t="inlineStr">
        <is>
          <t>SALA</t>
        </is>
      </c>
      <c r="G705" t="n">
        <v>9.9</v>
      </c>
      <c r="H705" t="n">
        <v>0</v>
      </c>
      <c r="I705" t="n">
        <v>0</v>
      </c>
      <c r="J705" t="n">
        <v>0</v>
      </c>
      <c r="K705" t="n">
        <v>0</v>
      </c>
      <c r="L705" t="n">
        <v>0</v>
      </c>
      <c r="M705" t="n">
        <v>0</v>
      </c>
      <c r="N705" t="n">
        <v>0</v>
      </c>
      <c r="O705" t="n">
        <v>0</v>
      </c>
      <c r="P705" t="n">
        <v>0</v>
      </c>
      <c r="Q705" t="n">
        <v>0</v>
      </c>
      <c r="R705" s="2" t="inlineStr"/>
    </row>
    <row r="706" ht="15" customHeight="1">
      <c r="A706" t="inlineStr">
        <is>
          <t>A 20568-2023</t>
        </is>
      </c>
      <c r="B706" s="1" t="n">
        <v>45055</v>
      </c>
      <c r="C706" s="1" t="n">
        <v>45824</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20567-2023</t>
        </is>
      </c>
      <c r="B707" s="1" t="n">
        <v>45055</v>
      </c>
      <c r="C707" s="1" t="n">
        <v>45824</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20405-2023</t>
        </is>
      </c>
      <c r="B708" s="1" t="n">
        <v>45056</v>
      </c>
      <c r="C708" s="1" t="n">
        <v>45824</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20587-2023</t>
        </is>
      </c>
      <c r="B709" s="1" t="n">
        <v>45057</v>
      </c>
      <c r="C709" s="1" t="n">
        <v>45824</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45824</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22097-2023</t>
        </is>
      </c>
      <c r="B711" s="1" t="n">
        <v>45065</v>
      </c>
      <c r="C711" s="1" t="n">
        <v>45824</v>
      </c>
      <c r="D711" t="inlineStr">
        <is>
          <t>VÄSTMANLANDS LÄN</t>
        </is>
      </c>
      <c r="E711" t="inlineStr">
        <is>
          <t>SALA</t>
        </is>
      </c>
      <c r="G711" t="n">
        <v>3.6</v>
      </c>
      <c r="H711" t="n">
        <v>0</v>
      </c>
      <c r="I711" t="n">
        <v>0</v>
      </c>
      <c r="J711" t="n">
        <v>0</v>
      </c>
      <c r="K711" t="n">
        <v>0</v>
      </c>
      <c r="L711" t="n">
        <v>0</v>
      </c>
      <c r="M711" t="n">
        <v>0</v>
      </c>
      <c r="N711" t="n">
        <v>0</v>
      </c>
      <c r="O711" t="n">
        <v>0</v>
      </c>
      <c r="P711" t="n">
        <v>0</v>
      </c>
      <c r="Q711" t="n">
        <v>0</v>
      </c>
      <c r="R711" s="2" t="inlineStr"/>
    </row>
    <row r="712" ht="15" customHeight="1">
      <c r="A712" t="inlineStr">
        <is>
          <t>A 22076-2023</t>
        </is>
      </c>
      <c r="B712" s="1" t="n">
        <v>45069</v>
      </c>
      <c r="C712" s="1" t="n">
        <v>45824</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22146-2023</t>
        </is>
      </c>
      <c r="B713" s="1" t="n">
        <v>45069</v>
      </c>
      <c r="C713" s="1" t="n">
        <v>45824</v>
      </c>
      <c r="D713" t="inlineStr">
        <is>
          <t>VÄSTMANLANDS LÄN</t>
        </is>
      </c>
      <c r="E713" t="inlineStr">
        <is>
          <t>SALA</t>
        </is>
      </c>
      <c r="F713" t="inlineStr">
        <is>
          <t>Kommuner</t>
        </is>
      </c>
      <c r="G713" t="n">
        <v>9.9</v>
      </c>
      <c r="H713" t="n">
        <v>0</v>
      </c>
      <c r="I713" t="n">
        <v>0</v>
      </c>
      <c r="J713" t="n">
        <v>0</v>
      </c>
      <c r="K713" t="n">
        <v>0</v>
      </c>
      <c r="L713" t="n">
        <v>0</v>
      </c>
      <c r="M713" t="n">
        <v>0</v>
      </c>
      <c r="N713" t="n">
        <v>0</v>
      </c>
      <c r="O713" t="n">
        <v>0</v>
      </c>
      <c r="P713" t="n">
        <v>0</v>
      </c>
      <c r="Q713" t="n">
        <v>0</v>
      </c>
      <c r="R713" s="2" t="inlineStr"/>
    </row>
    <row r="714" ht="15" customHeight="1">
      <c r="A714" t="inlineStr">
        <is>
          <t>A 22091-2023</t>
        </is>
      </c>
      <c r="B714" s="1" t="n">
        <v>45069</v>
      </c>
      <c r="C714" s="1" t="n">
        <v>45824</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22082-2023</t>
        </is>
      </c>
      <c r="B715" s="1" t="n">
        <v>45069</v>
      </c>
      <c r="C715" s="1" t="n">
        <v>45824</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22523-2023</t>
        </is>
      </c>
      <c r="B716" s="1" t="n">
        <v>45069</v>
      </c>
      <c r="C716" s="1" t="n">
        <v>45824</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22921-2023</t>
        </is>
      </c>
      <c r="B717" s="1" t="n">
        <v>45070</v>
      </c>
      <c r="C717" s="1" t="n">
        <v>45824</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22963-2023</t>
        </is>
      </c>
      <c r="B718" s="1" t="n">
        <v>45072</v>
      </c>
      <c r="C718" s="1" t="n">
        <v>45824</v>
      </c>
      <c r="D718" t="inlineStr">
        <is>
          <t>VÄSTMANLANDS LÄN</t>
        </is>
      </c>
      <c r="E718" t="inlineStr">
        <is>
          <t>SALA</t>
        </is>
      </c>
      <c r="G718" t="n">
        <v>1.2</v>
      </c>
      <c r="H718" t="n">
        <v>0</v>
      </c>
      <c r="I718" t="n">
        <v>0</v>
      </c>
      <c r="J718" t="n">
        <v>0</v>
      </c>
      <c r="K718" t="n">
        <v>0</v>
      </c>
      <c r="L718" t="n">
        <v>0</v>
      </c>
      <c r="M718" t="n">
        <v>0</v>
      </c>
      <c r="N718" t="n">
        <v>0</v>
      </c>
      <c r="O718" t="n">
        <v>0</v>
      </c>
      <c r="P718" t="n">
        <v>0</v>
      </c>
      <c r="Q718" t="n">
        <v>0</v>
      </c>
      <c r="R718" s="2" t="inlineStr"/>
    </row>
    <row r="719" ht="15" customHeight="1">
      <c r="A719" t="inlineStr">
        <is>
          <t>A 22961-2023</t>
        </is>
      </c>
      <c r="B719" s="1" t="n">
        <v>45072</v>
      </c>
      <c r="C719" s="1" t="n">
        <v>45824</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ht="15" customHeight="1">
      <c r="A720" t="inlineStr">
        <is>
          <t>A 23145-2023</t>
        </is>
      </c>
      <c r="B720" s="1" t="n">
        <v>45075</v>
      </c>
      <c r="C720" s="1" t="n">
        <v>45824</v>
      </c>
      <c r="D720" t="inlineStr">
        <is>
          <t>VÄSTMANLANDS LÄN</t>
        </is>
      </c>
      <c r="E720" t="inlineStr">
        <is>
          <t>SALA</t>
        </is>
      </c>
      <c r="G720" t="n">
        <v>5.3</v>
      </c>
      <c r="H720" t="n">
        <v>0</v>
      </c>
      <c r="I720" t="n">
        <v>0</v>
      </c>
      <c r="J720" t="n">
        <v>0</v>
      </c>
      <c r="K720" t="n">
        <v>0</v>
      </c>
      <c r="L720" t="n">
        <v>0</v>
      </c>
      <c r="M720" t="n">
        <v>0</v>
      </c>
      <c r="N720" t="n">
        <v>0</v>
      </c>
      <c r="O720" t="n">
        <v>0</v>
      </c>
      <c r="P720" t="n">
        <v>0</v>
      </c>
      <c r="Q720" t="n">
        <v>0</v>
      </c>
      <c r="R720" s="2" t="inlineStr"/>
    </row>
    <row r="721" ht="15" customHeight="1">
      <c r="A721" t="inlineStr">
        <is>
          <t>A 23146-2023</t>
        </is>
      </c>
      <c r="B721" s="1" t="n">
        <v>45075</v>
      </c>
      <c r="C721" s="1" t="n">
        <v>45824</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23224-2023</t>
        </is>
      </c>
      <c r="B722" s="1" t="n">
        <v>45075</v>
      </c>
      <c r="C722" s="1" t="n">
        <v>45824</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23222-2023</t>
        </is>
      </c>
      <c r="B723" s="1" t="n">
        <v>45075</v>
      </c>
      <c r="C723" s="1" t="n">
        <v>45824</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23232-2023</t>
        </is>
      </c>
      <c r="B724" s="1" t="n">
        <v>45075</v>
      </c>
      <c r="C724" s="1" t="n">
        <v>45824</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23374-2023</t>
        </is>
      </c>
      <c r="B725" s="1" t="n">
        <v>45076</v>
      </c>
      <c r="C725" s="1" t="n">
        <v>45824</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23372-2023</t>
        </is>
      </c>
      <c r="B726" s="1" t="n">
        <v>45076</v>
      </c>
      <c r="C726" s="1" t="n">
        <v>45824</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23659-2023</t>
        </is>
      </c>
      <c r="B727" s="1" t="n">
        <v>45077</v>
      </c>
      <c r="C727" s="1" t="n">
        <v>45824</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24248-2023</t>
        </is>
      </c>
      <c r="B728" s="1" t="n">
        <v>45079</v>
      </c>
      <c r="C728" s="1" t="n">
        <v>45824</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24495-2023</t>
        </is>
      </c>
      <c r="B729" s="1" t="n">
        <v>45082</v>
      </c>
      <c r="C729" s="1" t="n">
        <v>45824</v>
      </c>
      <c r="D729" t="inlineStr">
        <is>
          <t>VÄSTMANLANDS LÄN</t>
        </is>
      </c>
      <c r="E729" t="inlineStr">
        <is>
          <t>SALA</t>
        </is>
      </c>
      <c r="G729" t="n">
        <v>5.2</v>
      </c>
      <c r="H729" t="n">
        <v>0</v>
      </c>
      <c r="I729" t="n">
        <v>0</v>
      </c>
      <c r="J729" t="n">
        <v>0</v>
      </c>
      <c r="K729" t="n">
        <v>0</v>
      </c>
      <c r="L729" t="n">
        <v>0</v>
      </c>
      <c r="M729" t="n">
        <v>0</v>
      </c>
      <c r="N729" t="n">
        <v>0</v>
      </c>
      <c r="O729" t="n">
        <v>0</v>
      </c>
      <c r="P729" t="n">
        <v>0</v>
      </c>
      <c r="Q729" t="n">
        <v>0</v>
      </c>
      <c r="R729" s="2" t="inlineStr"/>
    </row>
    <row r="730" ht="15" customHeight="1">
      <c r="A730" t="inlineStr">
        <is>
          <t>A 24585-2023</t>
        </is>
      </c>
      <c r="B730" s="1" t="n">
        <v>45083</v>
      </c>
      <c r="C730" s="1" t="n">
        <v>45824</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24584-2023</t>
        </is>
      </c>
      <c r="B731" s="1" t="n">
        <v>45083</v>
      </c>
      <c r="C731" s="1" t="n">
        <v>45824</v>
      </c>
      <c r="D731" t="inlineStr">
        <is>
          <t>VÄSTMANLANDS LÄN</t>
        </is>
      </c>
      <c r="E731" t="inlineStr">
        <is>
          <t>SALA</t>
        </is>
      </c>
      <c r="F731" t="inlineStr">
        <is>
          <t>Sveaskog</t>
        </is>
      </c>
      <c r="G731" t="n">
        <v>7.2</v>
      </c>
      <c r="H731" t="n">
        <v>0</v>
      </c>
      <c r="I731" t="n">
        <v>0</v>
      </c>
      <c r="J731" t="n">
        <v>0</v>
      </c>
      <c r="K731" t="n">
        <v>0</v>
      </c>
      <c r="L731" t="n">
        <v>0</v>
      </c>
      <c r="M731" t="n">
        <v>0</v>
      </c>
      <c r="N731" t="n">
        <v>0</v>
      </c>
      <c r="O731" t="n">
        <v>0</v>
      </c>
      <c r="P731" t="n">
        <v>0</v>
      </c>
      <c r="Q731" t="n">
        <v>0</v>
      </c>
      <c r="R731" s="2" t="inlineStr"/>
    </row>
    <row r="732" ht="15" customHeight="1">
      <c r="A732" t="inlineStr">
        <is>
          <t>A 24586-2023</t>
        </is>
      </c>
      <c r="B732" s="1" t="n">
        <v>45083</v>
      </c>
      <c r="C732" s="1" t="n">
        <v>45824</v>
      </c>
      <c r="D732" t="inlineStr">
        <is>
          <t>VÄSTMANLANDS LÄN</t>
        </is>
      </c>
      <c r="E732" t="inlineStr">
        <is>
          <t>SALA</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24773-2023</t>
        </is>
      </c>
      <c r="B733" s="1" t="n">
        <v>45084</v>
      </c>
      <c r="C733" s="1" t="n">
        <v>45824</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24777-2023</t>
        </is>
      </c>
      <c r="B734" s="1" t="n">
        <v>45084</v>
      </c>
      <c r="C734" s="1" t="n">
        <v>45824</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24944-2023</t>
        </is>
      </c>
      <c r="B735" s="1" t="n">
        <v>45085</v>
      </c>
      <c r="C735" s="1" t="n">
        <v>45824</v>
      </c>
      <c r="D735" t="inlineStr">
        <is>
          <t>VÄSTMANLANDS LÄN</t>
        </is>
      </c>
      <c r="E735" t="inlineStr">
        <is>
          <t>SALA</t>
        </is>
      </c>
      <c r="G735" t="n">
        <v>3.8</v>
      </c>
      <c r="H735" t="n">
        <v>0</v>
      </c>
      <c r="I735" t="n">
        <v>0</v>
      </c>
      <c r="J735" t="n">
        <v>0</v>
      </c>
      <c r="K735" t="n">
        <v>0</v>
      </c>
      <c r="L735" t="n">
        <v>0</v>
      </c>
      <c r="M735" t="n">
        <v>0</v>
      </c>
      <c r="N735" t="n">
        <v>0</v>
      </c>
      <c r="O735" t="n">
        <v>0</v>
      </c>
      <c r="P735" t="n">
        <v>0</v>
      </c>
      <c r="Q735" t="n">
        <v>0</v>
      </c>
      <c r="R735" s="2" t="inlineStr"/>
    </row>
    <row r="736" ht="15" customHeight="1">
      <c r="A736" t="inlineStr">
        <is>
          <t>A 25260-2023</t>
        </is>
      </c>
      <c r="B736" s="1" t="n">
        <v>45086</v>
      </c>
      <c r="C736" s="1" t="n">
        <v>45824</v>
      </c>
      <c r="D736" t="inlineStr">
        <is>
          <t>VÄSTMANLANDS LÄN</t>
        </is>
      </c>
      <c r="E736" t="inlineStr">
        <is>
          <t>SALA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25233-2023</t>
        </is>
      </c>
      <c r="B737" s="1" t="n">
        <v>45086</v>
      </c>
      <c r="C737" s="1" t="n">
        <v>45824</v>
      </c>
      <c r="D737" t="inlineStr">
        <is>
          <t>VÄSTMANLANDS LÄN</t>
        </is>
      </c>
      <c r="E737" t="inlineStr">
        <is>
          <t>SALA</t>
        </is>
      </c>
      <c r="F737" t="inlineStr">
        <is>
          <t>Kommuner</t>
        </is>
      </c>
      <c r="G737" t="n">
        <v>4.7</v>
      </c>
      <c r="H737" t="n">
        <v>0</v>
      </c>
      <c r="I737" t="n">
        <v>0</v>
      </c>
      <c r="J737" t="n">
        <v>0</v>
      </c>
      <c r="K737" t="n">
        <v>0</v>
      </c>
      <c r="L737" t="n">
        <v>0</v>
      </c>
      <c r="M737" t="n">
        <v>0</v>
      </c>
      <c r="N737" t="n">
        <v>0</v>
      </c>
      <c r="O737" t="n">
        <v>0</v>
      </c>
      <c r="P737" t="n">
        <v>0</v>
      </c>
      <c r="Q737" t="n">
        <v>0</v>
      </c>
      <c r="R737" s="2" t="inlineStr"/>
    </row>
    <row r="738" ht="15" customHeight="1">
      <c r="A738" t="inlineStr">
        <is>
          <t>A 26229-2023</t>
        </is>
      </c>
      <c r="B738" s="1" t="n">
        <v>45086</v>
      </c>
      <c r="C738" s="1" t="n">
        <v>45824</v>
      </c>
      <c r="D738" t="inlineStr">
        <is>
          <t>VÄSTMANLANDS LÄN</t>
        </is>
      </c>
      <c r="E738" t="inlineStr">
        <is>
          <t>SALA</t>
        </is>
      </c>
      <c r="G738" t="n">
        <v>6.6</v>
      </c>
      <c r="H738" t="n">
        <v>0</v>
      </c>
      <c r="I738" t="n">
        <v>0</v>
      </c>
      <c r="J738" t="n">
        <v>0</v>
      </c>
      <c r="K738" t="n">
        <v>0</v>
      </c>
      <c r="L738" t="n">
        <v>0</v>
      </c>
      <c r="M738" t="n">
        <v>0</v>
      </c>
      <c r="N738" t="n">
        <v>0</v>
      </c>
      <c r="O738" t="n">
        <v>0</v>
      </c>
      <c r="P738" t="n">
        <v>0</v>
      </c>
      <c r="Q738" t="n">
        <v>0</v>
      </c>
      <c r="R738" s="2" t="inlineStr"/>
    </row>
    <row r="739" ht="15" customHeight="1">
      <c r="A739" t="inlineStr">
        <is>
          <t>A 25566-2023</t>
        </is>
      </c>
      <c r="B739" s="1" t="n">
        <v>45089</v>
      </c>
      <c r="C739" s="1" t="n">
        <v>45824</v>
      </c>
      <c r="D739" t="inlineStr">
        <is>
          <t>VÄSTMANLANDS LÄN</t>
        </is>
      </c>
      <c r="E739" t="inlineStr">
        <is>
          <t>SALA</t>
        </is>
      </c>
      <c r="G739" t="n">
        <v>2.1</v>
      </c>
      <c r="H739" t="n">
        <v>0</v>
      </c>
      <c r="I739" t="n">
        <v>0</v>
      </c>
      <c r="J739" t="n">
        <v>0</v>
      </c>
      <c r="K739" t="n">
        <v>0</v>
      </c>
      <c r="L739" t="n">
        <v>0</v>
      </c>
      <c r="M739" t="n">
        <v>0</v>
      </c>
      <c r="N739" t="n">
        <v>0</v>
      </c>
      <c r="O739" t="n">
        <v>0</v>
      </c>
      <c r="P739" t="n">
        <v>0</v>
      </c>
      <c r="Q739" t="n">
        <v>0</v>
      </c>
      <c r="R739" s="2" t="inlineStr"/>
    </row>
    <row r="740" ht="15" customHeight="1">
      <c r="A740" t="inlineStr">
        <is>
          <t>A 25571-2023</t>
        </is>
      </c>
      <c r="B740" s="1" t="n">
        <v>45089</v>
      </c>
      <c r="C740" s="1" t="n">
        <v>45824</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25576-2023</t>
        </is>
      </c>
      <c r="B741" s="1" t="n">
        <v>45089</v>
      </c>
      <c r="C741" s="1" t="n">
        <v>45824</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25580-2023</t>
        </is>
      </c>
      <c r="B742" s="1" t="n">
        <v>45089</v>
      </c>
      <c r="C742" s="1" t="n">
        <v>45824</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25894-2023</t>
        </is>
      </c>
      <c r="B743" s="1" t="n">
        <v>45090</v>
      </c>
      <c r="C743" s="1" t="n">
        <v>45824</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26607-2023</t>
        </is>
      </c>
      <c r="B744" s="1" t="n">
        <v>45090</v>
      </c>
      <c r="C744" s="1" t="n">
        <v>45824</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26505-2023</t>
        </is>
      </c>
      <c r="B745" s="1" t="n">
        <v>45092</v>
      </c>
      <c r="C745" s="1" t="n">
        <v>45824</v>
      </c>
      <c r="D745" t="inlineStr">
        <is>
          <t>VÄSTMANLANDS LÄN</t>
        </is>
      </c>
      <c r="E745" t="inlineStr">
        <is>
          <t>SALA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26509-2023</t>
        </is>
      </c>
      <c r="B746" s="1" t="n">
        <v>45092</v>
      </c>
      <c r="C746" s="1" t="n">
        <v>45824</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26508-2023</t>
        </is>
      </c>
      <c r="B747" s="1" t="n">
        <v>45092</v>
      </c>
      <c r="C747" s="1" t="n">
        <v>45824</v>
      </c>
      <c r="D747" t="inlineStr">
        <is>
          <t>VÄSTMANLANDS LÄN</t>
        </is>
      </c>
      <c r="E747" t="inlineStr">
        <is>
          <t>SALA</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v>
      </c>
      <c r="C748" s="1" t="n">
        <v>45824</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26507-2023</t>
        </is>
      </c>
      <c r="B749" s="1" t="n">
        <v>45092</v>
      </c>
      <c r="C749" s="1" t="n">
        <v>45824</v>
      </c>
      <c r="D749" t="inlineStr">
        <is>
          <t>VÄSTMANLANDS LÄN</t>
        </is>
      </c>
      <c r="E749" t="inlineStr">
        <is>
          <t>SALA</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26692-2023</t>
        </is>
      </c>
      <c r="B750" s="1" t="n">
        <v>45093</v>
      </c>
      <c r="C750" s="1" t="n">
        <v>45824</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26761-2023</t>
        </is>
      </c>
      <c r="B751" s="1" t="n">
        <v>45093</v>
      </c>
      <c r="C751" s="1" t="n">
        <v>45824</v>
      </c>
      <c r="D751" t="inlineStr">
        <is>
          <t>VÄSTMANLANDS LÄN</t>
        </is>
      </c>
      <c r="E751" t="inlineStr">
        <is>
          <t>SALA</t>
        </is>
      </c>
      <c r="G751" t="n">
        <v>4.3</v>
      </c>
      <c r="H751" t="n">
        <v>0</v>
      </c>
      <c r="I751" t="n">
        <v>0</v>
      </c>
      <c r="J751" t="n">
        <v>0</v>
      </c>
      <c r="K751" t="n">
        <v>0</v>
      </c>
      <c r="L751" t="n">
        <v>0</v>
      </c>
      <c r="M751" t="n">
        <v>0</v>
      </c>
      <c r="N751" t="n">
        <v>0</v>
      </c>
      <c r="O751" t="n">
        <v>0</v>
      </c>
      <c r="P751" t="n">
        <v>0</v>
      </c>
      <c r="Q751" t="n">
        <v>0</v>
      </c>
      <c r="R751" s="2" t="inlineStr"/>
    </row>
    <row r="752" ht="15" customHeight="1">
      <c r="A752" t="inlineStr">
        <is>
          <t>A 27023-2023</t>
        </is>
      </c>
      <c r="B752" s="1" t="n">
        <v>45094</v>
      </c>
      <c r="C752" s="1" t="n">
        <v>45824</v>
      </c>
      <c r="D752" t="inlineStr">
        <is>
          <t>VÄSTMANLANDS LÄN</t>
        </is>
      </c>
      <c r="E752" t="inlineStr">
        <is>
          <t>SALA</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27038-2023</t>
        </is>
      </c>
      <c r="B753" s="1" t="n">
        <v>45095</v>
      </c>
      <c r="C753" s="1" t="n">
        <v>45824</v>
      </c>
      <c r="D753" t="inlineStr">
        <is>
          <t>VÄSTMANLANDS LÄN</t>
        </is>
      </c>
      <c r="E753" t="inlineStr">
        <is>
          <t>SALA</t>
        </is>
      </c>
      <c r="G753" t="n">
        <v>0.8</v>
      </c>
      <c r="H753" t="n">
        <v>0</v>
      </c>
      <c r="I753" t="n">
        <v>0</v>
      </c>
      <c r="J753" t="n">
        <v>0</v>
      </c>
      <c r="K753" t="n">
        <v>0</v>
      </c>
      <c r="L753" t="n">
        <v>0</v>
      </c>
      <c r="M753" t="n">
        <v>0</v>
      </c>
      <c r="N753" t="n">
        <v>0</v>
      </c>
      <c r="O753" t="n">
        <v>0</v>
      </c>
      <c r="P753" t="n">
        <v>0</v>
      </c>
      <c r="Q753" t="n">
        <v>0</v>
      </c>
      <c r="R753" s="2" t="inlineStr"/>
    </row>
    <row r="754" ht="15" customHeight="1">
      <c r="A754" t="inlineStr">
        <is>
          <t>A 27228-2023</t>
        </is>
      </c>
      <c r="B754" s="1" t="n">
        <v>45096</v>
      </c>
      <c r="C754" s="1" t="n">
        <v>45824</v>
      </c>
      <c r="D754" t="inlineStr">
        <is>
          <t>VÄSTMANLANDS LÄN</t>
        </is>
      </c>
      <c r="E754" t="inlineStr">
        <is>
          <t>SALA</t>
        </is>
      </c>
      <c r="G754" t="n">
        <v>1</v>
      </c>
      <c r="H754" t="n">
        <v>0</v>
      </c>
      <c r="I754" t="n">
        <v>0</v>
      </c>
      <c r="J754" t="n">
        <v>0</v>
      </c>
      <c r="K754" t="n">
        <v>0</v>
      </c>
      <c r="L754" t="n">
        <v>0</v>
      </c>
      <c r="M754" t="n">
        <v>0</v>
      </c>
      <c r="N754" t="n">
        <v>0</v>
      </c>
      <c r="O754" t="n">
        <v>0</v>
      </c>
      <c r="P754" t="n">
        <v>0</v>
      </c>
      <c r="Q754" t="n">
        <v>0</v>
      </c>
      <c r="R754" s="2" t="inlineStr"/>
    </row>
    <row r="755" ht="15" customHeight="1">
      <c r="A755" t="inlineStr">
        <is>
          <t>A 27255-2023</t>
        </is>
      </c>
      <c r="B755" s="1" t="n">
        <v>45096</v>
      </c>
      <c r="C755" s="1" t="n">
        <v>45824</v>
      </c>
      <c r="D755" t="inlineStr">
        <is>
          <t>VÄSTMANLANDS LÄN</t>
        </is>
      </c>
      <c r="E755" t="inlineStr">
        <is>
          <t>SALA</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27424-2023</t>
        </is>
      </c>
      <c r="B756" s="1" t="n">
        <v>45097</v>
      </c>
      <c r="C756" s="1" t="n">
        <v>45824</v>
      </c>
      <c r="D756" t="inlineStr">
        <is>
          <t>VÄSTMANLANDS LÄN</t>
        </is>
      </c>
      <c r="E756" t="inlineStr">
        <is>
          <t>SALA</t>
        </is>
      </c>
      <c r="G756" t="n">
        <v>0.7</v>
      </c>
      <c r="H756" t="n">
        <v>0</v>
      </c>
      <c r="I756" t="n">
        <v>0</v>
      </c>
      <c r="J756" t="n">
        <v>0</v>
      </c>
      <c r="K756" t="n">
        <v>0</v>
      </c>
      <c r="L756" t="n">
        <v>0</v>
      </c>
      <c r="M756" t="n">
        <v>0</v>
      </c>
      <c r="N756" t="n">
        <v>0</v>
      </c>
      <c r="O756" t="n">
        <v>0</v>
      </c>
      <c r="P756" t="n">
        <v>0</v>
      </c>
      <c r="Q756" t="n">
        <v>0</v>
      </c>
      <c r="R756" s="2" t="inlineStr"/>
    </row>
    <row r="757" ht="15" customHeight="1">
      <c r="A757" t="inlineStr">
        <is>
          <t>A 27638-2023</t>
        </is>
      </c>
      <c r="B757" s="1" t="n">
        <v>45097</v>
      </c>
      <c r="C757" s="1" t="n">
        <v>45824</v>
      </c>
      <c r="D757" t="inlineStr">
        <is>
          <t>VÄSTMANLANDS LÄN</t>
        </is>
      </c>
      <c r="E757" t="inlineStr">
        <is>
          <t>SALA</t>
        </is>
      </c>
      <c r="G757" t="n">
        <v>8.4</v>
      </c>
      <c r="H757" t="n">
        <v>0</v>
      </c>
      <c r="I757" t="n">
        <v>0</v>
      </c>
      <c r="J757" t="n">
        <v>0</v>
      </c>
      <c r="K757" t="n">
        <v>0</v>
      </c>
      <c r="L757" t="n">
        <v>0</v>
      </c>
      <c r="M757" t="n">
        <v>0</v>
      </c>
      <c r="N757" t="n">
        <v>0</v>
      </c>
      <c r="O757" t="n">
        <v>0</v>
      </c>
      <c r="P757" t="n">
        <v>0</v>
      </c>
      <c r="Q757" t="n">
        <v>0</v>
      </c>
      <c r="R757" s="2" t="inlineStr"/>
    </row>
    <row r="758" ht="15" customHeight="1">
      <c r="A758" t="inlineStr">
        <is>
          <t>A 27657-2023</t>
        </is>
      </c>
      <c r="B758" s="1" t="n">
        <v>45097</v>
      </c>
      <c r="C758" s="1" t="n">
        <v>45824</v>
      </c>
      <c r="D758" t="inlineStr">
        <is>
          <t>VÄSTMANLANDS LÄN</t>
        </is>
      </c>
      <c r="E758" t="inlineStr">
        <is>
          <t>SALA</t>
        </is>
      </c>
      <c r="G758" t="n">
        <v>0.1</v>
      </c>
      <c r="H758" t="n">
        <v>0</v>
      </c>
      <c r="I758" t="n">
        <v>0</v>
      </c>
      <c r="J758" t="n">
        <v>0</v>
      </c>
      <c r="K758" t="n">
        <v>0</v>
      </c>
      <c r="L758" t="n">
        <v>0</v>
      </c>
      <c r="M758" t="n">
        <v>0</v>
      </c>
      <c r="N758" t="n">
        <v>0</v>
      </c>
      <c r="O758" t="n">
        <v>0</v>
      </c>
      <c r="P758" t="n">
        <v>0</v>
      </c>
      <c r="Q758" t="n">
        <v>0</v>
      </c>
      <c r="R758" s="2" t="inlineStr"/>
    </row>
    <row r="759" ht="15" customHeight="1">
      <c r="A759" t="inlineStr">
        <is>
          <t>A 27744-2023</t>
        </is>
      </c>
      <c r="B759" s="1" t="n">
        <v>45098</v>
      </c>
      <c r="C759" s="1" t="n">
        <v>45824</v>
      </c>
      <c r="D759" t="inlineStr">
        <is>
          <t>VÄSTMANLANDS LÄN</t>
        </is>
      </c>
      <c r="E759" t="inlineStr">
        <is>
          <t>SALA</t>
        </is>
      </c>
      <c r="G759" t="n">
        <v>5.7</v>
      </c>
      <c r="H759" t="n">
        <v>0</v>
      </c>
      <c r="I759" t="n">
        <v>0</v>
      </c>
      <c r="J759" t="n">
        <v>0</v>
      </c>
      <c r="K759" t="n">
        <v>0</v>
      </c>
      <c r="L759" t="n">
        <v>0</v>
      </c>
      <c r="M759" t="n">
        <v>0</v>
      </c>
      <c r="N759" t="n">
        <v>0</v>
      </c>
      <c r="O759" t="n">
        <v>0</v>
      </c>
      <c r="P759" t="n">
        <v>0</v>
      </c>
      <c r="Q759" t="n">
        <v>0</v>
      </c>
      <c r="R759" s="2" t="inlineStr"/>
    </row>
    <row r="760" ht="15" customHeight="1">
      <c r="A760" t="inlineStr">
        <is>
          <t>A 27834-2023</t>
        </is>
      </c>
      <c r="B760" s="1" t="n">
        <v>45098</v>
      </c>
      <c r="C760" s="1" t="n">
        <v>45824</v>
      </c>
      <c r="D760" t="inlineStr">
        <is>
          <t>VÄSTMANLANDS LÄN</t>
        </is>
      </c>
      <c r="E760" t="inlineStr">
        <is>
          <t>SALA</t>
        </is>
      </c>
      <c r="G760" t="n">
        <v>5</v>
      </c>
      <c r="H760" t="n">
        <v>0</v>
      </c>
      <c r="I760" t="n">
        <v>0</v>
      </c>
      <c r="J760" t="n">
        <v>0</v>
      </c>
      <c r="K760" t="n">
        <v>0</v>
      </c>
      <c r="L760" t="n">
        <v>0</v>
      </c>
      <c r="M760" t="n">
        <v>0</v>
      </c>
      <c r="N760" t="n">
        <v>0</v>
      </c>
      <c r="O760" t="n">
        <v>0</v>
      </c>
      <c r="P760" t="n">
        <v>0</v>
      </c>
      <c r="Q760" t="n">
        <v>0</v>
      </c>
      <c r="R760" s="2" t="inlineStr"/>
    </row>
    <row r="761" ht="15" customHeight="1">
      <c r="A761" t="inlineStr">
        <is>
          <t>A 27824-2023</t>
        </is>
      </c>
      <c r="B761" s="1" t="n">
        <v>45098</v>
      </c>
      <c r="C761" s="1" t="n">
        <v>45824</v>
      </c>
      <c r="D761" t="inlineStr">
        <is>
          <t>VÄSTMANLANDS LÄN</t>
        </is>
      </c>
      <c r="E761" t="inlineStr">
        <is>
          <t>SALA</t>
        </is>
      </c>
      <c r="G761" t="n">
        <v>5.3</v>
      </c>
      <c r="H761" t="n">
        <v>0</v>
      </c>
      <c r="I761" t="n">
        <v>0</v>
      </c>
      <c r="J761" t="n">
        <v>0</v>
      </c>
      <c r="K761" t="n">
        <v>0</v>
      </c>
      <c r="L761" t="n">
        <v>0</v>
      </c>
      <c r="M761" t="n">
        <v>0</v>
      </c>
      <c r="N761" t="n">
        <v>0</v>
      </c>
      <c r="O761" t="n">
        <v>0</v>
      </c>
      <c r="P761" t="n">
        <v>0</v>
      </c>
      <c r="Q761" t="n">
        <v>0</v>
      </c>
      <c r="R761" s="2" t="inlineStr"/>
    </row>
    <row r="762" ht="15" customHeight="1">
      <c r="A762" t="inlineStr">
        <is>
          <t>A 27749-2023</t>
        </is>
      </c>
      <c r="B762" s="1" t="n">
        <v>45098</v>
      </c>
      <c r="C762" s="1" t="n">
        <v>45824</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29542-2023</t>
        </is>
      </c>
      <c r="B763" s="1" t="n">
        <v>45098</v>
      </c>
      <c r="C763" s="1" t="n">
        <v>45824</v>
      </c>
      <c r="D763" t="inlineStr">
        <is>
          <t>VÄSTMANLANDS LÄN</t>
        </is>
      </c>
      <c r="E763" t="inlineStr">
        <is>
          <t>SALA</t>
        </is>
      </c>
      <c r="G763" t="n">
        <v>4.8</v>
      </c>
      <c r="H763" t="n">
        <v>0</v>
      </c>
      <c r="I763" t="n">
        <v>0</v>
      </c>
      <c r="J763" t="n">
        <v>0</v>
      </c>
      <c r="K763" t="n">
        <v>0</v>
      </c>
      <c r="L763" t="n">
        <v>0</v>
      </c>
      <c r="M763" t="n">
        <v>0</v>
      </c>
      <c r="N763" t="n">
        <v>0</v>
      </c>
      <c r="O763" t="n">
        <v>0</v>
      </c>
      <c r="P763" t="n">
        <v>0</v>
      </c>
      <c r="Q763" t="n">
        <v>0</v>
      </c>
      <c r="R763" s="2" t="inlineStr"/>
    </row>
    <row r="764" ht="15" customHeight="1">
      <c r="A764" t="inlineStr">
        <is>
          <t>A 28328-2023</t>
        </is>
      </c>
      <c r="B764" s="1" t="n">
        <v>45099</v>
      </c>
      <c r="C764" s="1" t="n">
        <v>45824</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28696-2023</t>
        </is>
      </c>
      <c r="B765" s="1" t="n">
        <v>45103</v>
      </c>
      <c r="C765" s="1" t="n">
        <v>45824</v>
      </c>
      <c r="D765" t="inlineStr">
        <is>
          <t>VÄSTMANLANDS LÄN</t>
        </is>
      </c>
      <c r="E765" t="inlineStr">
        <is>
          <t>SALA</t>
        </is>
      </c>
      <c r="F765" t="inlineStr">
        <is>
          <t>Kommuner</t>
        </is>
      </c>
      <c r="G765" t="n">
        <v>5.9</v>
      </c>
      <c r="H765" t="n">
        <v>0</v>
      </c>
      <c r="I765" t="n">
        <v>0</v>
      </c>
      <c r="J765" t="n">
        <v>0</v>
      </c>
      <c r="K765" t="n">
        <v>0</v>
      </c>
      <c r="L765" t="n">
        <v>0</v>
      </c>
      <c r="M765" t="n">
        <v>0</v>
      </c>
      <c r="N765" t="n">
        <v>0</v>
      </c>
      <c r="O765" t="n">
        <v>0</v>
      </c>
      <c r="P765" t="n">
        <v>0</v>
      </c>
      <c r="Q765" t="n">
        <v>0</v>
      </c>
      <c r="R765" s="2" t="inlineStr"/>
    </row>
    <row r="766" ht="15" customHeight="1">
      <c r="A766" t="inlineStr">
        <is>
          <t>A 29241-2023</t>
        </is>
      </c>
      <c r="B766" s="1" t="n">
        <v>45105</v>
      </c>
      <c r="C766" s="1" t="n">
        <v>45824</v>
      </c>
      <c r="D766" t="inlineStr">
        <is>
          <t>VÄSTMANLANDS LÄN</t>
        </is>
      </c>
      <c r="E766" t="inlineStr">
        <is>
          <t>SALA</t>
        </is>
      </c>
      <c r="F766" t="inlineStr">
        <is>
          <t>Kommuner</t>
        </is>
      </c>
      <c r="G766" t="n">
        <v>4.8</v>
      </c>
      <c r="H766" t="n">
        <v>0</v>
      </c>
      <c r="I766" t="n">
        <v>0</v>
      </c>
      <c r="J766" t="n">
        <v>0</v>
      </c>
      <c r="K766" t="n">
        <v>0</v>
      </c>
      <c r="L766" t="n">
        <v>0</v>
      </c>
      <c r="M766" t="n">
        <v>0</v>
      </c>
      <c r="N766" t="n">
        <v>0</v>
      </c>
      <c r="O766" t="n">
        <v>0</v>
      </c>
      <c r="P766" t="n">
        <v>0</v>
      </c>
      <c r="Q766" t="n">
        <v>0</v>
      </c>
      <c r="R766" s="2" t="inlineStr"/>
    </row>
    <row r="767" ht="15" customHeight="1">
      <c r="A767" t="inlineStr">
        <is>
          <t>A 31945-2023</t>
        </is>
      </c>
      <c r="B767" s="1" t="n">
        <v>45107</v>
      </c>
      <c r="C767" s="1" t="n">
        <v>45824</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31950-2023</t>
        </is>
      </c>
      <c r="B768" s="1" t="n">
        <v>45107</v>
      </c>
      <c r="C768" s="1" t="n">
        <v>45824</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31953-2023</t>
        </is>
      </c>
      <c r="B769" s="1" t="n">
        <v>45107</v>
      </c>
      <c r="C769" s="1" t="n">
        <v>45824</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31298-2023</t>
        </is>
      </c>
      <c r="B770" s="1" t="n">
        <v>45114</v>
      </c>
      <c r="C770" s="1" t="n">
        <v>45824</v>
      </c>
      <c r="D770" t="inlineStr">
        <is>
          <t>VÄSTMANLANDS LÄN</t>
        </is>
      </c>
      <c r="E770" t="inlineStr">
        <is>
          <t>SALA</t>
        </is>
      </c>
      <c r="G770" t="n">
        <v>3</v>
      </c>
      <c r="H770" t="n">
        <v>0</v>
      </c>
      <c r="I770" t="n">
        <v>0</v>
      </c>
      <c r="J770" t="n">
        <v>0</v>
      </c>
      <c r="K770" t="n">
        <v>0</v>
      </c>
      <c r="L770" t="n">
        <v>0</v>
      </c>
      <c r="M770" t="n">
        <v>0</v>
      </c>
      <c r="N770" t="n">
        <v>0</v>
      </c>
      <c r="O770" t="n">
        <v>0</v>
      </c>
      <c r="P770" t="n">
        <v>0</v>
      </c>
      <c r="Q770" t="n">
        <v>0</v>
      </c>
      <c r="R770" s="2" t="inlineStr"/>
    </row>
    <row r="771" ht="15" customHeight="1">
      <c r="A771" t="inlineStr">
        <is>
          <t>A 31315-2023</t>
        </is>
      </c>
      <c r="B771" s="1" t="n">
        <v>45114</v>
      </c>
      <c r="C771" s="1" t="n">
        <v>45824</v>
      </c>
      <c r="D771" t="inlineStr">
        <is>
          <t>VÄSTMANLANDS LÄN</t>
        </is>
      </c>
      <c r="E771" t="inlineStr">
        <is>
          <t>SALA</t>
        </is>
      </c>
      <c r="G771" t="n">
        <v>1.7</v>
      </c>
      <c r="H771" t="n">
        <v>0</v>
      </c>
      <c r="I771" t="n">
        <v>0</v>
      </c>
      <c r="J771" t="n">
        <v>0</v>
      </c>
      <c r="K771" t="n">
        <v>0</v>
      </c>
      <c r="L771" t="n">
        <v>0</v>
      </c>
      <c r="M771" t="n">
        <v>0</v>
      </c>
      <c r="N771" t="n">
        <v>0</v>
      </c>
      <c r="O771" t="n">
        <v>0</v>
      </c>
      <c r="P771" t="n">
        <v>0</v>
      </c>
      <c r="Q771" t="n">
        <v>0</v>
      </c>
      <c r="R771" s="2" t="inlineStr"/>
    </row>
    <row r="772" ht="15" customHeight="1">
      <c r="A772" t="inlineStr">
        <is>
          <t>A 31646-2023</t>
        </is>
      </c>
      <c r="B772" s="1" t="n">
        <v>45117</v>
      </c>
      <c r="C772" s="1" t="n">
        <v>45824</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31859-2023</t>
        </is>
      </c>
      <c r="B773" s="1" t="n">
        <v>45118</v>
      </c>
      <c r="C773" s="1" t="n">
        <v>45824</v>
      </c>
      <c r="D773" t="inlineStr">
        <is>
          <t>VÄSTMANLANDS LÄN</t>
        </is>
      </c>
      <c r="E773" t="inlineStr">
        <is>
          <t>SALA</t>
        </is>
      </c>
      <c r="G773" t="n">
        <v>0.5</v>
      </c>
      <c r="H773" t="n">
        <v>0</v>
      </c>
      <c r="I773" t="n">
        <v>0</v>
      </c>
      <c r="J773" t="n">
        <v>0</v>
      </c>
      <c r="K773" t="n">
        <v>0</v>
      </c>
      <c r="L773" t="n">
        <v>0</v>
      </c>
      <c r="M773" t="n">
        <v>0</v>
      </c>
      <c r="N773" t="n">
        <v>0</v>
      </c>
      <c r="O773" t="n">
        <v>0</v>
      </c>
      <c r="P773" t="n">
        <v>0</v>
      </c>
      <c r="Q773" t="n">
        <v>0</v>
      </c>
      <c r="R773" s="2" t="inlineStr"/>
      <c r="U773">
        <f>HYPERLINK("https://klasma.github.io/Logging_1981/knärot/A 31859-2023 karta knärot.png", "A 31859-2023")</f>
        <v/>
      </c>
      <c r="V773">
        <f>HYPERLINK("https://klasma.github.io/Logging_1981/klagomål/A 31859-2023 FSC-klagomål.docx", "A 31859-2023")</f>
        <v/>
      </c>
      <c r="W773">
        <f>HYPERLINK("https://klasma.github.io/Logging_1981/klagomålsmail/A 31859-2023 FSC-klagomål mail.docx", "A 31859-2023")</f>
        <v/>
      </c>
      <c r="X773">
        <f>HYPERLINK("https://klasma.github.io/Logging_1981/tillsyn/A 31859-2023 tillsynsbegäran.docx", "A 31859-2023")</f>
        <v/>
      </c>
      <c r="Y773">
        <f>HYPERLINK("https://klasma.github.io/Logging_1981/tillsynsmail/A 31859-2023 tillsynsbegäran mail.docx", "A 31859-2023")</f>
        <v/>
      </c>
    </row>
    <row r="774" ht="15" customHeight="1">
      <c r="A774" t="inlineStr">
        <is>
          <t>A 32945-2023</t>
        </is>
      </c>
      <c r="B774" s="1" t="n">
        <v>45125</v>
      </c>
      <c r="C774" s="1" t="n">
        <v>45824</v>
      </c>
      <c r="D774" t="inlineStr">
        <is>
          <t>VÄSTMANLANDS LÄN</t>
        </is>
      </c>
      <c r="E774" t="inlineStr">
        <is>
          <t>SALA</t>
        </is>
      </c>
      <c r="G774" t="n">
        <v>1.5</v>
      </c>
      <c r="H774" t="n">
        <v>0</v>
      </c>
      <c r="I774" t="n">
        <v>0</v>
      </c>
      <c r="J774" t="n">
        <v>0</v>
      </c>
      <c r="K774" t="n">
        <v>0</v>
      </c>
      <c r="L774" t="n">
        <v>0</v>
      </c>
      <c r="M774" t="n">
        <v>0</v>
      </c>
      <c r="N774" t="n">
        <v>0</v>
      </c>
      <c r="O774" t="n">
        <v>0</v>
      </c>
      <c r="P774" t="n">
        <v>0</v>
      </c>
      <c r="Q774" t="n">
        <v>0</v>
      </c>
      <c r="R774" s="2" t="inlineStr"/>
    </row>
    <row r="775" ht="15" customHeight="1">
      <c r="A775" t="inlineStr">
        <is>
          <t>A 33152-2023</t>
        </is>
      </c>
      <c r="B775" s="1" t="n">
        <v>45126</v>
      </c>
      <c r="C775" s="1" t="n">
        <v>45824</v>
      </c>
      <c r="D775" t="inlineStr">
        <is>
          <t>VÄSTMANLANDS LÄN</t>
        </is>
      </c>
      <c r="E775" t="inlineStr">
        <is>
          <t>SALA</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33151-2023</t>
        </is>
      </c>
      <c r="B776" s="1" t="n">
        <v>45126</v>
      </c>
      <c r="C776" s="1" t="n">
        <v>45824</v>
      </c>
      <c r="D776" t="inlineStr">
        <is>
          <t>VÄSTMANLANDS LÄN</t>
        </is>
      </c>
      <c r="E776" t="inlineStr">
        <is>
          <t>SALA</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33180-2023</t>
        </is>
      </c>
      <c r="B777" s="1" t="n">
        <v>45127</v>
      </c>
      <c r="C777" s="1" t="n">
        <v>45824</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33273-2023</t>
        </is>
      </c>
      <c r="B778" s="1" t="n">
        <v>45127</v>
      </c>
      <c r="C778" s="1" t="n">
        <v>45824</v>
      </c>
      <c r="D778" t="inlineStr">
        <is>
          <t>VÄSTMANLANDS LÄN</t>
        </is>
      </c>
      <c r="E778" t="inlineStr">
        <is>
          <t>SALA</t>
        </is>
      </c>
      <c r="G778" t="n">
        <v>2.6</v>
      </c>
      <c r="H778" t="n">
        <v>0</v>
      </c>
      <c r="I778" t="n">
        <v>0</v>
      </c>
      <c r="J778" t="n">
        <v>0</v>
      </c>
      <c r="K778" t="n">
        <v>0</v>
      </c>
      <c r="L778" t="n">
        <v>0</v>
      </c>
      <c r="M778" t="n">
        <v>0</v>
      </c>
      <c r="N778" t="n">
        <v>0</v>
      </c>
      <c r="O778" t="n">
        <v>0</v>
      </c>
      <c r="P778" t="n">
        <v>0</v>
      </c>
      <c r="Q778" t="n">
        <v>0</v>
      </c>
      <c r="R778" s="2" t="inlineStr"/>
    </row>
    <row r="779" ht="15" customHeight="1">
      <c r="A779" t="inlineStr">
        <is>
          <t>A 33527-2023</t>
        </is>
      </c>
      <c r="B779" s="1" t="n">
        <v>45131</v>
      </c>
      <c r="C779" s="1" t="n">
        <v>45824</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34361-2023</t>
        </is>
      </c>
      <c r="B780" s="1" t="n">
        <v>45131</v>
      </c>
      <c r="C780" s="1" t="n">
        <v>45824</v>
      </c>
      <c r="D780" t="inlineStr">
        <is>
          <t>VÄSTMANLANDS LÄN</t>
        </is>
      </c>
      <c r="E780" t="inlineStr">
        <is>
          <t>SALA</t>
        </is>
      </c>
      <c r="G780" t="n">
        <v>2.7</v>
      </c>
      <c r="H780" t="n">
        <v>0</v>
      </c>
      <c r="I780" t="n">
        <v>0</v>
      </c>
      <c r="J780" t="n">
        <v>0</v>
      </c>
      <c r="K780" t="n">
        <v>0</v>
      </c>
      <c r="L780" t="n">
        <v>0</v>
      </c>
      <c r="M780" t="n">
        <v>0</v>
      </c>
      <c r="N780" t="n">
        <v>0</v>
      </c>
      <c r="O780" t="n">
        <v>0</v>
      </c>
      <c r="P780" t="n">
        <v>0</v>
      </c>
      <c r="Q780" t="n">
        <v>0</v>
      </c>
      <c r="R780" s="2" t="inlineStr"/>
    </row>
    <row r="781" ht="15" customHeight="1">
      <c r="A781" t="inlineStr">
        <is>
          <t>A 33732-2023</t>
        </is>
      </c>
      <c r="B781" s="1" t="n">
        <v>45133</v>
      </c>
      <c r="C781" s="1" t="n">
        <v>45824</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33743-2023</t>
        </is>
      </c>
      <c r="B782" s="1" t="n">
        <v>45133</v>
      </c>
      <c r="C782" s="1" t="n">
        <v>45824</v>
      </c>
      <c r="D782" t="inlineStr">
        <is>
          <t>VÄSTMANLANDS LÄN</t>
        </is>
      </c>
      <c r="E782" t="inlineStr">
        <is>
          <t>SALA</t>
        </is>
      </c>
      <c r="G782" t="n">
        <v>4.6</v>
      </c>
      <c r="H782" t="n">
        <v>0</v>
      </c>
      <c r="I782" t="n">
        <v>0</v>
      </c>
      <c r="J782" t="n">
        <v>0</v>
      </c>
      <c r="K782" t="n">
        <v>0</v>
      </c>
      <c r="L782" t="n">
        <v>0</v>
      </c>
      <c r="M782" t="n">
        <v>0</v>
      </c>
      <c r="N782" t="n">
        <v>0</v>
      </c>
      <c r="O782" t="n">
        <v>0</v>
      </c>
      <c r="P782" t="n">
        <v>0</v>
      </c>
      <c r="Q782" t="n">
        <v>0</v>
      </c>
      <c r="R782" s="2" t="inlineStr"/>
    </row>
    <row r="783" ht="15" customHeight="1">
      <c r="A783" t="inlineStr">
        <is>
          <t>A 34494-2023</t>
        </is>
      </c>
      <c r="B783" s="1" t="n">
        <v>45133</v>
      </c>
      <c r="C783" s="1" t="n">
        <v>45824</v>
      </c>
      <c r="D783" t="inlineStr">
        <is>
          <t>VÄSTMANLANDS LÄN</t>
        </is>
      </c>
      <c r="E783" t="inlineStr">
        <is>
          <t>SALA</t>
        </is>
      </c>
      <c r="G783" t="n">
        <v>0.8</v>
      </c>
      <c r="H783" t="n">
        <v>0</v>
      </c>
      <c r="I783" t="n">
        <v>0</v>
      </c>
      <c r="J783" t="n">
        <v>0</v>
      </c>
      <c r="K783" t="n">
        <v>0</v>
      </c>
      <c r="L783" t="n">
        <v>0</v>
      </c>
      <c r="M783" t="n">
        <v>0</v>
      </c>
      <c r="N783" t="n">
        <v>0</v>
      </c>
      <c r="O783" t="n">
        <v>0</v>
      </c>
      <c r="P783" t="n">
        <v>0</v>
      </c>
      <c r="Q783" t="n">
        <v>0</v>
      </c>
      <c r="R783" s="2" t="inlineStr"/>
    </row>
    <row r="784" ht="15" customHeight="1">
      <c r="A784" t="inlineStr">
        <is>
          <t>A 34215-2023</t>
        </is>
      </c>
      <c r="B784" s="1" t="n">
        <v>45138</v>
      </c>
      <c r="C784" s="1" t="n">
        <v>45824</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34867-2023</t>
        </is>
      </c>
      <c r="B785" s="1" t="n">
        <v>45142</v>
      </c>
      <c r="C785" s="1" t="n">
        <v>45824</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35434-2023</t>
        </is>
      </c>
      <c r="B786" s="1" t="n">
        <v>45146</v>
      </c>
      <c r="C786" s="1" t="n">
        <v>45824</v>
      </c>
      <c r="D786" t="inlineStr">
        <is>
          <t>VÄSTMANLANDS LÄN</t>
        </is>
      </c>
      <c r="E786" t="inlineStr">
        <is>
          <t>SALA</t>
        </is>
      </c>
      <c r="G786" t="n">
        <v>2.5</v>
      </c>
      <c r="H786" t="n">
        <v>0</v>
      </c>
      <c r="I786" t="n">
        <v>0</v>
      </c>
      <c r="J786" t="n">
        <v>0</v>
      </c>
      <c r="K786" t="n">
        <v>0</v>
      </c>
      <c r="L786" t="n">
        <v>0</v>
      </c>
      <c r="M786" t="n">
        <v>0</v>
      </c>
      <c r="N786" t="n">
        <v>0</v>
      </c>
      <c r="O786" t="n">
        <v>0</v>
      </c>
      <c r="P786" t="n">
        <v>0</v>
      </c>
      <c r="Q786" t="n">
        <v>0</v>
      </c>
      <c r="R786" s="2" t="inlineStr"/>
    </row>
    <row r="787" ht="15" customHeight="1">
      <c r="A787" t="inlineStr">
        <is>
          <t>A 36393-2023</t>
        </is>
      </c>
      <c r="B787" s="1" t="n">
        <v>45152</v>
      </c>
      <c r="C787" s="1" t="n">
        <v>45824</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36858-2023</t>
        </is>
      </c>
      <c r="B788" s="1" t="n">
        <v>45154</v>
      </c>
      <c r="C788" s="1" t="n">
        <v>45824</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38773-2023</t>
        </is>
      </c>
      <c r="B789" s="1" t="n">
        <v>45161</v>
      </c>
      <c r="C789" s="1" t="n">
        <v>45824</v>
      </c>
      <c r="D789" t="inlineStr">
        <is>
          <t>VÄSTMANLANDS LÄN</t>
        </is>
      </c>
      <c r="E789" t="inlineStr">
        <is>
          <t>SALA</t>
        </is>
      </c>
      <c r="G789" t="n">
        <v>12.5</v>
      </c>
      <c r="H789" t="n">
        <v>0</v>
      </c>
      <c r="I789" t="n">
        <v>0</v>
      </c>
      <c r="J789" t="n">
        <v>0</v>
      </c>
      <c r="K789" t="n">
        <v>0</v>
      </c>
      <c r="L789" t="n">
        <v>0</v>
      </c>
      <c r="M789" t="n">
        <v>0</v>
      </c>
      <c r="N789" t="n">
        <v>0</v>
      </c>
      <c r="O789" t="n">
        <v>0</v>
      </c>
      <c r="P789" t="n">
        <v>0</v>
      </c>
      <c r="Q789" t="n">
        <v>0</v>
      </c>
      <c r="R789" s="2" t="inlineStr"/>
    </row>
    <row r="790" ht="15" customHeight="1">
      <c r="A790" t="inlineStr">
        <is>
          <t>A 38561-2023</t>
        </is>
      </c>
      <c r="B790" s="1" t="n">
        <v>45162</v>
      </c>
      <c r="C790" s="1" t="n">
        <v>45824</v>
      </c>
      <c r="D790" t="inlineStr">
        <is>
          <t>VÄSTMANLANDS LÄN</t>
        </is>
      </c>
      <c r="E790" t="inlineStr">
        <is>
          <t>SALA</t>
        </is>
      </c>
      <c r="G790" t="n">
        <v>2.9</v>
      </c>
      <c r="H790" t="n">
        <v>0</v>
      </c>
      <c r="I790" t="n">
        <v>0</v>
      </c>
      <c r="J790" t="n">
        <v>0</v>
      </c>
      <c r="K790" t="n">
        <v>0</v>
      </c>
      <c r="L790" t="n">
        <v>0</v>
      </c>
      <c r="M790" t="n">
        <v>0</v>
      </c>
      <c r="N790" t="n">
        <v>0</v>
      </c>
      <c r="O790" t="n">
        <v>0</v>
      </c>
      <c r="P790" t="n">
        <v>0</v>
      </c>
      <c r="Q790" t="n">
        <v>0</v>
      </c>
      <c r="R790" s="2" t="inlineStr"/>
    </row>
    <row r="791" ht="15" customHeight="1">
      <c r="A791" t="inlineStr">
        <is>
          <t>A 39011-2023</t>
        </is>
      </c>
      <c r="B791" s="1" t="n">
        <v>45162</v>
      </c>
      <c r="C791" s="1" t="n">
        <v>45824</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39604-2023</t>
        </is>
      </c>
      <c r="B792" s="1" t="n">
        <v>45163</v>
      </c>
      <c r="C792" s="1" t="n">
        <v>45824</v>
      </c>
      <c r="D792" t="inlineStr">
        <is>
          <t>VÄSTMANLANDS LÄN</t>
        </is>
      </c>
      <c r="E792" t="inlineStr">
        <is>
          <t>SALA</t>
        </is>
      </c>
      <c r="G792" t="n">
        <v>2.7</v>
      </c>
      <c r="H792" t="n">
        <v>0</v>
      </c>
      <c r="I792" t="n">
        <v>0</v>
      </c>
      <c r="J792" t="n">
        <v>0</v>
      </c>
      <c r="K792" t="n">
        <v>0</v>
      </c>
      <c r="L792" t="n">
        <v>0</v>
      </c>
      <c r="M792" t="n">
        <v>0</v>
      </c>
      <c r="N792" t="n">
        <v>0</v>
      </c>
      <c r="O792" t="n">
        <v>0</v>
      </c>
      <c r="P792" t="n">
        <v>0</v>
      </c>
      <c r="Q792" t="n">
        <v>0</v>
      </c>
      <c r="R792" s="2" t="inlineStr"/>
    </row>
    <row r="793" ht="15" customHeight="1">
      <c r="A793" t="inlineStr">
        <is>
          <t>A 39714-2023</t>
        </is>
      </c>
      <c r="B793" s="1" t="n">
        <v>45167</v>
      </c>
      <c r="C793" s="1" t="n">
        <v>45824</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39708-2023</t>
        </is>
      </c>
      <c r="B794" s="1" t="n">
        <v>45167</v>
      </c>
      <c r="C794" s="1" t="n">
        <v>45824</v>
      </c>
      <c r="D794" t="inlineStr">
        <is>
          <t>VÄSTMANLANDS LÄN</t>
        </is>
      </c>
      <c r="E794" t="inlineStr">
        <is>
          <t>SALA</t>
        </is>
      </c>
      <c r="G794" t="n">
        <v>5.3</v>
      </c>
      <c r="H794" t="n">
        <v>0</v>
      </c>
      <c r="I794" t="n">
        <v>0</v>
      </c>
      <c r="J794" t="n">
        <v>0</v>
      </c>
      <c r="K794" t="n">
        <v>0</v>
      </c>
      <c r="L794" t="n">
        <v>0</v>
      </c>
      <c r="M794" t="n">
        <v>0</v>
      </c>
      <c r="N794" t="n">
        <v>0</v>
      </c>
      <c r="O794" t="n">
        <v>0</v>
      </c>
      <c r="P794" t="n">
        <v>0</v>
      </c>
      <c r="Q794" t="n">
        <v>0</v>
      </c>
      <c r="R794" s="2" t="inlineStr"/>
    </row>
    <row r="795" ht="15" customHeight="1">
      <c r="A795" t="inlineStr">
        <is>
          <t>A 39713-2023</t>
        </is>
      </c>
      <c r="B795" s="1" t="n">
        <v>45167</v>
      </c>
      <c r="C795" s="1" t="n">
        <v>45824</v>
      </c>
      <c r="D795" t="inlineStr">
        <is>
          <t>VÄSTMANLANDS LÄN</t>
        </is>
      </c>
      <c r="E795" t="inlineStr">
        <is>
          <t>SALA</t>
        </is>
      </c>
      <c r="G795" t="n">
        <v>3.1</v>
      </c>
      <c r="H795" t="n">
        <v>0</v>
      </c>
      <c r="I795" t="n">
        <v>0</v>
      </c>
      <c r="J795" t="n">
        <v>0</v>
      </c>
      <c r="K795" t="n">
        <v>0</v>
      </c>
      <c r="L795" t="n">
        <v>0</v>
      </c>
      <c r="M795" t="n">
        <v>0</v>
      </c>
      <c r="N795" t="n">
        <v>0</v>
      </c>
      <c r="O795" t="n">
        <v>0</v>
      </c>
      <c r="P795" t="n">
        <v>0</v>
      </c>
      <c r="Q795" t="n">
        <v>0</v>
      </c>
      <c r="R795" s="2" t="inlineStr"/>
    </row>
    <row r="796" ht="15" customHeight="1">
      <c r="A796" t="inlineStr">
        <is>
          <t>A 40214-2023</t>
        </is>
      </c>
      <c r="B796" s="1" t="n">
        <v>45169</v>
      </c>
      <c r="C796" s="1" t="n">
        <v>45824</v>
      </c>
      <c r="D796" t="inlineStr">
        <is>
          <t>VÄSTMANLANDS LÄN</t>
        </is>
      </c>
      <c r="E796" t="inlineStr">
        <is>
          <t>SALA</t>
        </is>
      </c>
      <c r="G796" t="n">
        <v>5.5</v>
      </c>
      <c r="H796" t="n">
        <v>0</v>
      </c>
      <c r="I796" t="n">
        <v>0</v>
      </c>
      <c r="J796" t="n">
        <v>0</v>
      </c>
      <c r="K796" t="n">
        <v>0</v>
      </c>
      <c r="L796" t="n">
        <v>0</v>
      </c>
      <c r="M796" t="n">
        <v>0</v>
      </c>
      <c r="N796" t="n">
        <v>0</v>
      </c>
      <c r="O796" t="n">
        <v>0</v>
      </c>
      <c r="P796" t="n">
        <v>0</v>
      </c>
      <c r="Q796" t="n">
        <v>0</v>
      </c>
      <c r="R796" s="2" t="inlineStr"/>
    </row>
    <row r="797" ht="15" customHeight="1">
      <c r="A797" t="inlineStr">
        <is>
          <t>A 41613-2023</t>
        </is>
      </c>
      <c r="B797" s="1" t="n">
        <v>45173</v>
      </c>
      <c r="C797" s="1" t="n">
        <v>45824</v>
      </c>
      <c r="D797" t="inlineStr">
        <is>
          <t>VÄSTMANLANDS LÄN</t>
        </is>
      </c>
      <c r="E797" t="inlineStr">
        <is>
          <t>SALA</t>
        </is>
      </c>
      <c r="G797" t="n">
        <v>0.7</v>
      </c>
      <c r="H797" t="n">
        <v>0</v>
      </c>
      <c r="I797" t="n">
        <v>0</v>
      </c>
      <c r="J797" t="n">
        <v>0</v>
      </c>
      <c r="K797" t="n">
        <v>0</v>
      </c>
      <c r="L797" t="n">
        <v>0</v>
      </c>
      <c r="M797" t="n">
        <v>0</v>
      </c>
      <c r="N797" t="n">
        <v>0</v>
      </c>
      <c r="O797" t="n">
        <v>0</v>
      </c>
      <c r="P797" t="n">
        <v>0</v>
      </c>
      <c r="Q797" t="n">
        <v>0</v>
      </c>
      <c r="R797" s="2" t="inlineStr"/>
    </row>
    <row r="798" ht="15" customHeight="1">
      <c r="A798" t="inlineStr">
        <is>
          <t>A 41619-2023</t>
        </is>
      </c>
      <c r="B798" s="1" t="n">
        <v>45173</v>
      </c>
      <c r="C798" s="1" t="n">
        <v>45824</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42312-2023</t>
        </is>
      </c>
      <c r="B799" s="1" t="n">
        <v>45175</v>
      </c>
      <c r="C799" s="1" t="n">
        <v>45824</v>
      </c>
      <c r="D799" t="inlineStr">
        <is>
          <t>VÄSTMANLANDS LÄN</t>
        </is>
      </c>
      <c r="E799" t="inlineStr">
        <is>
          <t>SALA</t>
        </is>
      </c>
      <c r="G799" t="n">
        <v>2.2</v>
      </c>
      <c r="H799" t="n">
        <v>0</v>
      </c>
      <c r="I799" t="n">
        <v>0</v>
      </c>
      <c r="J799" t="n">
        <v>0</v>
      </c>
      <c r="K799" t="n">
        <v>0</v>
      </c>
      <c r="L799" t="n">
        <v>0</v>
      </c>
      <c r="M799" t="n">
        <v>0</v>
      </c>
      <c r="N799" t="n">
        <v>0</v>
      </c>
      <c r="O799" t="n">
        <v>0</v>
      </c>
      <c r="P799" t="n">
        <v>0</v>
      </c>
      <c r="Q799" t="n">
        <v>0</v>
      </c>
      <c r="R799" s="2" t="inlineStr"/>
    </row>
    <row r="800" ht="15" customHeight="1">
      <c r="A800" t="inlineStr">
        <is>
          <t>A 42938-2023</t>
        </is>
      </c>
      <c r="B800" s="1" t="n">
        <v>45179</v>
      </c>
      <c r="C800" s="1" t="n">
        <v>45824</v>
      </c>
      <c r="D800" t="inlineStr">
        <is>
          <t>VÄSTMANLANDS LÄN</t>
        </is>
      </c>
      <c r="E800" t="inlineStr">
        <is>
          <t>SALA</t>
        </is>
      </c>
      <c r="G800" t="n">
        <v>10.9</v>
      </c>
      <c r="H800" t="n">
        <v>0</v>
      </c>
      <c r="I800" t="n">
        <v>0</v>
      </c>
      <c r="J800" t="n">
        <v>0</v>
      </c>
      <c r="K800" t="n">
        <v>0</v>
      </c>
      <c r="L800" t="n">
        <v>0</v>
      </c>
      <c r="M800" t="n">
        <v>0</v>
      </c>
      <c r="N800" t="n">
        <v>0</v>
      </c>
      <c r="O800" t="n">
        <v>0</v>
      </c>
      <c r="P800" t="n">
        <v>0</v>
      </c>
      <c r="Q800" t="n">
        <v>0</v>
      </c>
      <c r="R800" s="2" t="inlineStr"/>
    </row>
    <row r="801" ht="15" customHeight="1">
      <c r="A801" t="inlineStr">
        <is>
          <t>A 42984-2023</t>
        </is>
      </c>
      <c r="B801" s="1" t="n">
        <v>45179</v>
      </c>
      <c r="C801" s="1" t="n">
        <v>45824</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42991-2023</t>
        </is>
      </c>
      <c r="B802" s="1" t="n">
        <v>45179</v>
      </c>
      <c r="C802" s="1" t="n">
        <v>45824</v>
      </c>
      <c r="D802" t="inlineStr">
        <is>
          <t>VÄSTMANLANDS LÄN</t>
        </is>
      </c>
      <c r="E802" t="inlineStr">
        <is>
          <t>SALA</t>
        </is>
      </c>
      <c r="G802" t="n">
        <v>3.6</v>
      </c>
      <c r="H802" t="n">
        <v>0</v>
      </c>
      <c r="I802" t="n">
        <v>0</v>
      </c>
      <c r="J802" t="n">
        <v>0</v>
      </c>
      <c r="K802" t="n">
        <v>0</v>
      </c>
      <c r="L802" t="n">
        <v>0</v>
      </c>
      <c r="M802" t="n">
        <v>0</v>
      </c>
      <c r="N802" t="n">
        <v>0</v>
      </c>
      <c r="O802" t="n">
        <v>0</v>
      </c>
      <c r="P802" t="n">
        <v>0</v>
      </c>
      <c r="Q802" t="n">
        <v>0</v>
      </c>
      <c r="R802" s="2" t="inlineStr"/>
    </row>
    <row r="803" ht="15" customHeight="1">
      <c r="A803" t="inlineStr">
        <is>
          <t>A 44247-2023</t>
        </is>
      </c>
      <c r="B803" s="1" t="n">
        <v>45182</v>
      </c>
      <c r="C803" s="1" t="n">
        <v>45824</v>
      </c>
      <c r="D803" t="inlineStr">
        <is>
          <t>VÄSTMANLANDS LÄN</t>
        </is>
      </c>
      <c r="E803" t="inlineStr">
        <is>
          <t>SALA</t>
        </is>
      </c>
      <c r="G803" t="n">
        <v>1.7</v>
      </c>
      <c r="H803" t="n">
        <v>0</v>
      </c>
      <c r="I803" t="n">
        <v>0</v>
      </c>
      <c r="J803" t="n">
        <v>0</v>
      </c>
      <c r="K803" t="n">
        <v>0</v>
      </c>
      <c r="L803" t="n">
        <v>0</v>
      </c>
      <c r="M803" t="n">
        <v>0</v>
      </c>
      <c r="N803" t="n">
        <v>0</v>
      </c>
      <c r="O803" t="n">
        <v>0</v>
      </c>
      <c r="P803" t="n">
        <v>0</v>
      </c>
      <c r="Q803" t="n">
        <v>0</v>
      </c>
      <c r="R803" s="2" t="inlineStr"/>
    </row>
    <row r="804" ht="15" customHeight="1">
      <c r="A804" t="inlineStr">
        <is>
          <t>A 43188-2023</t>
        </is>
      </c>
      <c r="B804" s="1" t="n">
        <v>45183</v>
      </c>
      <c r="C804" s="1" t="n">
        <v>45824</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43184-2023</t>
        </is>
      </c>
      <c r="B805" s="1" t="n">
        <v>45183</v>
      </c>
      <c r="C805" s="1" t="n">
        <v>45824</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43205-2023</t>
        </is>
      </c>
      <c r="B806" s="1" t="n">
        <v>45183</v>
      </c>
      <c r="C806" s="1" t="n">
        <v>45824</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43176-2023</t>
        </is>
      </c>
      <c r="B807" s="1" t="n">
        <v>45183</v>
      </c>
      <c r="C807" s="1" t="n">
        <v>45824</v>
      </c>
      <c r="D807" t="inlineStr">
        <is>
          <t>VÄSTMANLANDS LÄN</t>
        </is>
      </c>
      <c r="E807" t="inlineStr">
        <is>
          <t>SALA</t>
        </is>
      </c>
      <c r="G807" t="n">
        <v>1.2</v>
      </c>
      <c r="H807" t="n">
        <v>0</v>
      </c>
      <c r="I807" t="n">
        <v>0</v>
      </c>
      <c r="J807" t="n">
        <v>0</v>
      </c>
      <c r="K807" t="n">
        <v>0</v>
      </c>
      <c r="L807" t="n">
        <v>0</v>
      </c>
      <c r="M807" t="n">
        <v>0</v>
      </c>
      <c r="N807" t="n">
        <v>0</v>
      </c>
      <c r="O807" t="n">
        <v>0</v>
      </c>
      <c r="P807" t="n">
        <v>0</v>
      </c>
      <c r="Q807" t="n">
        <v>0</v>
      </c>
      <c r="R807" s="2" t="inlineStr"/>
    </row>
    <row r="808" ht="15" customHeight="1">
      <c r="A808" t="inlineStr">
        <is>
          <t>A 43187-2023</t>
        </is>
      </c>
      <c r="B808" s="1" t="n">
        <v>45183</v>
      </c>
      <c r="C808" s="1" t="n">
        <v>45824</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43363-2023</t>
        </is>
      </c>
      <c r="B809" s="1" t="n">
        <v>45183</v>
      </c>
      <c r="C809" s="1" t="n">
        <v>45824</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43362-2023</t>
        </is>
      </c>
      <c r="B810" s="1" t="n">
        <v>45183</v>
      </c>
      <c r="C810" s="1" t="n">
        <v>45824</v>
      </c>
      <c r="D810" t="inlineStr">
        <is>
          <t>VÄSTMANLANDS LÄN</t>
        </is>
      </c>
      <c r="E810" t="inlineStr">
        <is>
          <t>SALA</t>
        </is>
      </c>
      <c r="G810" t="n">
        <v>2</v>
      </c>
      <c r="H810" t="n">
        <v>0</v>
      </c>
      <c r="I810" t="n">
        <v>0</v>
      </c>
      <c r="J810" t="n">
        <v>0</v>
      </c>
      <c r="K810" t="n">
        <v>0</v>
      </c>
      <c r="L810" t="n">
        <v>0</v>
      </c>
      <c r="M810" t="n">
        <v>0</v>
      </c>
      <c r="N810" t="n">
        <v>0</v>
      </c>
      <c r="O810" t="n">
        <v>0</v>
      </c>
      <c r="P810" t="n">
        <v>0</v>
      </c>
      <c r="Q810" t="n">
        <v>0</v>
      </c>
      <c r="R810" s="2" t="inlineStr"/>
    </row>
    <row r="811" ht="15" customHeight="1">
      <c r="A811" t="inlineStr">
        <is>
          <t>A 44713-2023</t>
        </is>
      </c>
      <c r="B811" s="1" t="n">
        <v>45184</v>
      </c>
      <c r="C811" s="1" t="n">
        <v>45824</v>
      </c>
      <c r="D811" t="inlineStr">
        <is>
          <t>VÄSTMANLANDS LÄN</t>
        </is>
      </c>
      <c r="E811" t="inlineStr">
        <is>
          <t>SALA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44720-2023</t>
        </is>
      </c>
      <c r="B812" s="1" t="n">
        <v>45184</v>
      </c>
      <c r="C812" s="1" t="n">
        <v>45824</v>
      </c>
      <c r="D812" t="inlineStr">
        <is>
          <t>VÄSTMANLANDS LÄN</t>
        </is>
      </c>
      <c r="E812" t="inlineStr">
        <is>
          <t>SALA</t>
        </is>
      </c>
      <c r="F812" t="inlineStr">
        <is>
          <t>Kyrkan</t>
        </is>
      </c>
      <c r="G812" t="n">
        <v>2.3</v>
      </c>
      <c r="H812" t="n">
        <v>0</v>
      </c>
      <c r="I812" t="n">
        <v>0</v>
      </c>
      <c r="J812" t="n">
        <v>0</v>
      </c>
      <c r="K812" t="n">
        <v>0</v>
      </c>
      <c r="L812" t="n">
        <v>0</v>
      </c>
      <c r="M812" t="n">
        <v>0</v>
      </c>
      <c r="N812" t="n">
        <v>0</v>
      </c>
      <c r="O812" t="n">
        <v>0</v>
      </c>
      <c r="P812" t="n">
        <v>0</v>
      </c>
      <c r="Q812" t="n">
        <v>0</v>
      </c>
      <c r="R812" s="2" t="inlineStr"/>
    </row>
    <row r="813" ht="15" customHeight="1">
      <c r="A813" t="inlineStr">
        <is>
          <t>A 44297-2023</t>
        </is>
      </c>
      <c r="B813" s="1" t="n">
        <v>45188</v>
      </c>
      <c r="C813" s="1" t="n">
        <v>45824</v>
      </c>
      <c r="D813" t="inlineStr">
        <is>
          <t>VÄSTMANLANDS LÄN</t>
        </is>
      </c>
      <c r="E813" t="inlineStr">
        <is>
          <t>SALA</t>
        </is>
      </c>
      <c r="G813" t="n">
        <v>2.7</v>
      </c>
      <c r="H813" t="n">
        <v>0</v>
      </c>
      <c r="I813" t="n">
        <v>0</v>
      </c>
      <c r="J813" t="n">
        <v>0</v>
      </c>
      <c r="K813" t="n">
        <v>0</v>
      </c>
      <c r="L813" t="n">
        <v>0</v>
      </c>
      <c r="M813" t="n">
        <v>0</v>
      </c>
      <c r="N813" t="n">
        <v>0</v>
      </c>
      <c r="O813" t="n">
        <v>0</v>
      </c>
      <c r="P813" t="n">
        <v>0</v>
      </c>
      <c r="Q813" t="n">
        <v>0</v>
      </c>
      <c r="R813" s="2" t="inlineStr"/>
    </row>
    <row r="814" ht="15" customHeight="1">
      <c r="A814" t="inlineStr">
        <is>
          <t>A 44846-2023</t>
        </is>
      </c>
      <c r="B814" s="1" t="n">
        <v>45190</v>
      </c>
      <c r="C814" s="1" t="n">
        <v>45824</v>
      </c>
      <c r="D814" t="inlineStr">
        <is>
          <t>VÄSTMANLANDS LÄN</t>
        </is>
      </c>
      <c r="E814" t="inlineStr">
        <is>
          <t>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44857-2023</t>
        </is>
      </c>
      <c r="B815" s="1" t="n">
        <v>45190</v>
      </c>
      <c r="C815" s="1" t="n">
        <v>45824</v>
      </c>
      <c r="D815" t="inlineStr">
        <is>
          <t>VÄSTMANLANDS LÄN</t>
        </is>
      </c>
      <c r="E815" t="inlineStr">
        <is>
          <t>SALA</t>
        </is>
      </c>
      <c r="G815" t="n">
        <v>1</v>
      </c>
      <c r="H815" t="n">
        <v>0</v>
      </c>
      <c r="I815" t="n">
        <v>0</v>
      </c>
      <c r="J815" t="n">
        <v>0</v>
      </c>
      <c r="K815" t="n">
        <v>0</v>
      </c>
      <c r="L815" t="n">
        <v>0</v>
      </c>
      <c r="M815" t="n">
        <v>0</v>
      </c>
      <c r="N815" t="n">
        <v>0</v>
      </c>
      <c r="O815" t="n">
        <v>0</v>
      </c>
      <c r="P815" t="n">
        <v>0</v>
      </c>
      <c r="Q815" t="n">
        <v>0</v>
      </c>
      <c r="R815" s="2" t="inlineStr"/>
    </row>
    <row r="816" ht="15" customHeight="1">
      <c r="A816" t="inlineStr">
        <is>
          <t>A 46352-2023</t>
        </is>
      </c>
      <c r="B816" s="1" t="n">
        <v>45192</v>
      </c>
      <c r="C816" s="1" t="n">
        <v>45824</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46355-2023</t>
        </is>
      </c>
      <c r="B817" s="1" t="n">
        <v>45192</v>
      </c>
      <c r="C817" s="1" t="n">
        <v>45824</v>
      </c>
      <c r="D817" t="inlineStr">
        <is>
          <t>VÄSTMANLANDS LÄN</t>
        </is>
      </c>
      <c r="E817" t="inlineStr">
        <is>
          <t>SALA</t>
        </is>
      </c>
      <c r="G817" t="n">
        <v>12</v>
      </c>
      <c r="H817" t="n">
        <v>0</v>
      </c>
      <c r="I817" t="n">
        <v>0</v>
      </c>
      <c r="J817" t="n">
        <v>0</v>
      </c>
      <c r="K817" t="n">
        <v>0</v>
      </c>
      <c r="L817" t="n">
        <v>0</v>
      </c>
      <c r="M817" t="n">
        <v>0</v>
      </c>
      <c r="N817" t="n">
        <v>0</v>
      </c>
      <c r="O817" t="n">
        <v>0</v>
      </c>
      <c r="P817" t="n">
        <v>0</v>
      </c>
      <c r="Q817" t="n">
        <v>0</v>
      </c>
      <c r="R817" s="2" t="inlineStr"/>
    </row>
    <row r="818" ht="15" customHeight="1">
      <c r="A818" t="inlineStr">
        <is>
          <t>A 46350-2023</t>
        </is>
      </c>
      <c r="B818" s="1" t="n">
        <v>45192</v>
      </c>
      <c r="C818" s="1" t="n">
        <v>45824</v>
      </c>
      <c r="D818" t="inlineStr">
        <is>
          <t>VÄSTMANLANDS LÄN</t>
        </is>
      </c>
      <c r="E818" t="inlineStr">
        <is>
          <t>SALA</t>
        </is>
      </c>
      <c r="G818" t="n">
        <v>4.8</v>
      </c>
      <c r="H818" t="n">
        <v>0</v>
      </c>
      <c r="I818" t="n">
        <v>0</v>
      </c>
      <c r="J818" t="n">
        <v>0</v>
      </c>
      <c r="K818" t="n">
        <v>0</v>
      </c>
      <c r="L818" t="n">
        <v>0</v>
      </c>
      <c r="M818" t="n">
        <v>0</v>
      </c>
      <c r="N818" t="n">
        <v>0</v>
      </c>
      <c r="O818" t="n">
        <v>0</v>
      </c>
      <c r="P818" t="n">
        <v>0</v>
      </c>
      <c r="Q818" t="n">
        <v>0</v>
      </c>
      <c r="R818" s="2" t="inlineStr"/>
    </row>
    <row r="819" ht="15" customHeight="1">
      <c r="A819" t="inlineStr">
        <is>
          <t>A 45531-2023</t>
        </is>
      </c>
      <c r="B819" s="1" t="n">
        <v>45194</v>
      </c>
      <c r="C819" s="1" t="n">
        <v>45824</v>
      </c>
      <c r="D819" t="inlineStr">
        <is>
          <t>VÄSTMANLANDS LÄN</t>
        </is>
      </c>
      <c r="E819" t="inlineStr">
        <is>
          <t>SALA</t>
        </is>
      </c>
      <c r="G819" t="n">
        <v>0.7</v>
      </c>
      <c r="H819" t="n">
        <v>0</v>
      </c>
      <c r="I819" t="n">
        <v>0</v>
      </c>
      <c r="J819" t="n">
        <v>0</v>
      </c>
      <c r="K819" t="n">
        <v>0</v>
      </c>
      <c r="L819" t="n">
        <v>0</v>
      </c>
      <c r="M819" t="n">
        <v>0</v>
      </c>
      <c r="N819" t="n">
        <v>0</v>
      </c>
      <c r="O819" t="n">
        <v>0</v>
      </c>
      <c r="P819" t="n">
        <v>0</v>
      </c>
      <c r="Q819" t="n">
        <v>0</v>
      </c>
      <c r="R819" s="2" t="inlineStr"/>
    </row>
    <row r="820" ht="15" customHeight="1">
      <c r="A820" t="inlineStr">
        <is>
          <t>A 45602-2023</t>
        </is>
      </c>
      <c r="B820" s="1" t="n">
        <v>45194</v>
      </c>
      <c r="C820" s="1" t="n">
        <v>45824</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45790-2023</t>
        </is>
      </c>
      <c r="B821" s="1" t="n">
        <v>45195</v>
      </c>
      <c r="C821" s="1" t="n">
        <v>45824</v>
      </c>
      <c r="D821" t="inlineStr">
        <is>
          <t>VÄSTMANLANDS LÄN</t>
        </is>
      </c>
      <c r="E821" t="inlineStr">
        <is>
          <t>SALA</t>
        </is>
      </c>
      <c r="G821" t="n">
        <v>5.7</v>
      </c>
      <c r="H821" t="n">
        <v>0</v>
      </c>
      <c r="I821" t="n">
        <v>0</v>
      </c>
      <c r="J821" t="n">
        <v>0</v>
      </c>
      <c r="K821" t="n">
        <v>0</v>
      </c>
      <c r="L821" t="n">
        <v>0</v>
      </c>
      <c r="M821" t="n">
        <v>0</v>
      </c>
      <c r="N821" t="n">
        <v>0</v>
      </c>
      <c r="O821" t="n">
        <v>0</v>
      </c>
      <c r="P821" t="n">
        <v>0</v>
      </c>
      <c r="Q821" t="n">
        <v>0</v>
      </c>
      <c r="R821" s="2" t="inlineStr"/>
    </row>
    <row r="822" ht="15" customHeight="1">
      <c r="A822" t="inlineStr">
        <is>
          <t>A 46226-2023</t>
        </is>
      </c>
      <c r="B822" s="1" t="n">
        <v>45196</v>
      </c>
      <c r="C822" s="1" t="n">
        <v>45824</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47501-2023</t>
        </is>
      </c>
      <c r="B823" s="1" t="n">
        <v>45202</v>
      </c>
      <c r="C823" s="1" t="n">
        <v>45824</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50876-2023</t>
        </is>
      </c>
      <c r="B824" s="1" t="n">
        <v>45211</v>
      </c>
      <c r="C824" s="1" t="n">
        <v>45824</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50241-2023</t>
        </is>
      </c>
      <c r="B825" s="1" t="n">
        <v>45216</v>
      </c>
      <c r="C825" s="1" t="n">
        <v>45824</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51203-2023</t>
        </is>
      </c>
      <c r="B826" s="1" t="n">
        <v>45219</v>
      </c>
      <c r="C826" s="1" t="n">
        <v>45824</v>
      </c>
      <c r="D826" t="inlineStr">
        <is>
          <t>VÄSTMANLANDS LÄN</t>
        </is>
      </c>
      <c r="E826" t="inlineStr">
        <is>
          <t>SALA</t>
        </is>
      </c>
      <c r="F826" t="inlineStr">
        <is>
          <t>Kommuner</t>
        </is>
      </c>
      <c r="G826" t="n">
        <v>2.7</v>
      </c>
      <c r="H826" t="n">
        <v>0</v>
      </c>
      <c r="I826" t="n">
        <v>0</v>
      </c>
      <c r="J826" t="n">
        <v>0</v>
      </c>
      <c r="K826" t="n">
        <v>0</v>
      </c>
      <c r="L826" t="n">
        <v>0</v>
      </c>
      <c r="M826" t="n">
        <v>0</v>
      </c>
      <c r="N826" t="n">
        <v>0</v>
      </c>
      <c r="O826" t="n">
        <v>0</v>
      </c>
      <c r="P826" t="n">
        <v>0</v>
      </c>
      <c r="Q826" t="n">
        <v>0</v>
      </c>
      <c r="R826" s="2" t="inlineStr"/>
    </row>
    <row r="827" ht="15" customHeight="1">
      <c r="A827" t="inlineStr">
        <is>
          <t>A 51848-2023</t>
        </is>
      </c>
      <c r="B827" s="1" t="n">
        <v>45223</v>
      </c>
      <c r="C827" s="1" t="n">
        <v>45824</v>
      </c>
      <c r="D827" t="inlineStr">
        <is>
          <t>VÄSTMANLANDS LÄN</t>
        </is>
      </c>
      <c r="E827" t="inlineStr">
        <is>
          <t>SALA</t>
        </is>
      </c>
      <c r="G827" t="n">
        <v>7</v>
      </c>
      <c r="H827" t="n">
        <v>0</v>
      </c>
      <c r="I827" t="n">
        <v>0</v>
      </c>
      <c r="J827" t="n">
        <v>0</v>
      </c>
      <c r="K827" t="n">
        <v>0</v>
      </c>
      <c r="L827" t="n">
        <v>0</v>
      </c>
      <c r="M827" t="n">
        <v>0</v>
      </c>
      <c r="N827" t="n">
        <v>0</v>
      </c>
      <c r="O827" t="n">
        <v>0</v>
      </c>
      <c r="P827" t="n">
        <v>0</v>
      </c>
      <c r="Q827" t="n">
        <v>0</v>
      </c>
      <c r="R827" s="2" t="inlineStr"/>
    </row>
    <row r="828" ht="15" customHeight="1">
      <c r="A828" t="inlineStr">
        <is>
          <t>A 52654-2023</t>
        </is>
      </c>
      <c r="B828" s="1" t="n">
        <v>45225</v>
      </c>
      <c r="C828" s="1" t="n">
        <v>45824</v>
      </c>
      <c r="D828" t="inlineStr">
        <is>
          <t>VÄSTMANLANDS LÄN</t>
        </is>
      </c>
      <c r="E828" t="inlineStr">
        <is>
          <t>SALA</t>
        </is>
      </c>
      <c r="G828" t="n">
        <v>4.6</v>
      </c>
      <c r="H828" t="n">
        <v>0</v>
      </c>
      <c r="I828" t="n">
        <v>0</v>
      </c>
      <c r="J828" t="n">
        <v>0</v>
      </c>
      <c r="K828" t="n">
        <v>0</v>
      </c>
      <c r="L828" t="n">
        <v>0</v>
      </c>
      <c r="M828" t="n">
        <v>0</v>
      </c>
      <c r="N828" t="n">
        <v>0</v>
      </c>
      <c r="O828" t="n">
        <v>0</v>
      </c>
      <c r="P828" t="n">
        <v>0</v>
      </c>
      <c r="Q828" t="n">
        <v>0</v>
      </c>
      <c r="R828" s="2" t="inlineStr"/>
    </row>
    <row r="829" ht="15" customHeight="1">
      <c r="A829" t="inlineStr">
        <is>
          <t>A 54910-2023</t>
        </is>
      </c>
      <c r="B829" s="1" t="n">
        <v>45229</v>
      </c>
      <c r="C829" s="1" t="n">
        <v>45824</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55024-2023</t>
        </is>
      </c>
      <c r="B830" s="1" t="n">
        <v>45229</v>
      </c>
      <c r="C830" s="1" t="n">
        <v>45824</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55032-2023</t>
        </is>
      </c>
      <c r="B831" s="1" t="n">
        <v>45229</v>
      </c>
      <c r="C831" s="1" t="n">
        <v>45824</v>
      </c>
      <c r="D831" t="inlineStr">
        <is>
          <t>VÄSTMANLANDS LÄN</t>
        </is>
      </c>
      <c r="E831" t="inlineStr">
        <is>
          <t>SALA</t>
        </is>
      </c>
      <c r="G831" t="n">
        <v>1.5</v>
      </c>
      <c r="H831" t="n">
        <v>0</v>
      </c>
      <c r="I831" t="n">
        <v>0</v>
      </c>
      <c r="J831" t="n">
        <v>0</v>
      </c>
      <c r="K831" t="n">
        <v>0</v>
      </c>
      <c r="L831" t="n">
        <v>0</v>
      </c>
      <c r="M831" t="n">
        <v>0</v>
      </c>
      <c r="N831" t="n">
        <v>0</v>
      </c>
      <c r="O831" t="n">
        <v>0</v>
      </c>
      <c r="P831" t="n">
        <v>0</v>
      </c>
      <c r="Q831" t="n">
        <v>0</v>
      </c>
      <c r="R831" s="2" t="inlineStr"/>
    </row>
    <row r="832" ht="15" customHeight="1">
      <c r="A832" t="inlineStr">
        <is>
          <t>A 55035-2023</t>
        </is>
      </c>
      <c r="B832" s="1" t="n">
        <v>45229</v>
      </c>
      <c r="C832" s="1" t="n">
        <v>45824</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55040-2023</t>
        </is>
      </c>
      <c r="B833" s="1" t="n">
        <v>45229</v>
      </c>
      <c r="C833" s="1" t="n">
        <v>45824</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53877-2023</t>
        </is>
      </c>
      <c r="B834" s="1" t="n">
        <v>45231</v>
      </c>
      <c r="C834" s="1" t="n">
        <v>45824</v>
      </c>
      <c r="D834" t="inlineStr">
        <is>
          <t>VÄSTMANLANDS LÄN</t>
        </is>
      </c>
      <c r="E834" t="inlineStr">
        <is>
          <t>SALA</t>
        </is>
      </c>
      <c r="G834" t="n">
        <v>3.2</v>
      </c>
      <c r="H834" t="n">
        <v>0</v>
      </c>
      <c r="I834" t="n">
        <v>0</v>
      </c>
      <c r="J834" t="n">
        <v>0</v>
      </c>
      <c r="K834" t="n">
        <v>0</v>
      </c>
      <c r="L834" t="n">
        <v>0</v>
      </c>
      <c r="M834" t="n">
        <v>0</v>
      </c>
      <c r="N834" t="n">
        <v>0</v>
      </c>
      <c r="O834" t="n">
        <v>0</v>
      </c>
      <c r="P834" t="n">
        <v>0</v>
      </c>
      <c r="Q834" t="n">
        <v>0</v>
      </c>
      <c r="R834" s="2" t="inlineStr"/>
    </row>
    <row r="835" ht="15" customHeight="1">
      <c r="A835" t="inlineStr">
        <is>
          <t>A 53951-2023</t>
        </is>
      </c>
      <c r="B835" s="1" t="n">
        <v>45231</v>
      </c>
      <c r="C835" s="1" t="n">
        <v>45824</v>
      </c>
      <c r="D835" t="inlineStr">
        <is>
          <t>VÄSTMANLANDS LÄN</t>
        </is>
      </c>
      <c r="E835" t="inlineStr">
        <is>
          <t>SALA</t>
        </is>
      </c>
      <c r="F835" t="inlineStr">
        <is>
          <t>Kommuner</t>
        </is>
      </c>
      <c r="G835" t="n">
        <v>8.4</v>
      </c>
      <c r="H835" t="n">
        <v>0</v>
      </c>
      <c r="I835" t="n">
        <v>0</v>
      </c>
      <c r="J835" t="n">
        <v>0</v>
      </c>
      <c r="K835" t="n">
        <v>0</v>
      </c>
      <c r="L835" t="n">
        <v>0</v>
      </c>
      <c r="M835" t="n">
        <v>0</v>
      </c>
      <c r="N835" t="n">
        <v>0</v>
      </c>
      <c r="O835" t="n">
        <v>0</v>
      </c>
      <c r="P835" t="n">
        <v>0</v>
      </c>
      <c r="Q835" t="n">
        <v>0</v>
      </c>
      <c r="R835" s="2" t="inlineStr"/>
      <c r="U835">
        <f>HYPERLINK("https://klasma.github.io/Logging_1981/knärot/A 53951-2023 karta knärot.png", "A 53951-2023")</f>
        <v/>
      </c>
      <c r="V835">
        <f>HYPERLINK("https://klasma.github.io/Logging_1981/klagomål/A 53951-2023 FSC-klagomål.docx", "A 53951-2023")</f>
        <v/>
      </c>
      <c r="W835">
        <f>HYPERLINK("https://klasma.github.io/Logging_1981/klagomålsmail/A 53951-2023 FSC-klagomål mail.docx", "A 53951-2023")</f>
        <v/>
      </c>
      <c r="X835">
        <f>HYPERLINK("https://klasma.github.io/Logging_1981/tillsyn/A 53951-2023 tillsynsbegäran.docx", "A 53951-2023")</f>
        <v/>
      </c>
      <c r="Y835">
        <f>HYPERLINK("https://klasma.github.io/Logging_1981/tillsynsmail/A 53951-2023 tillsynsbegäran mail.docx", "A 53951-2023")</f>
        <v/>
      </c>
    </row>
    <row r="836" ht="15" customHeight="1">
      <c r="A836" t="inlineStr">
        <is>
          <t>A 54125-2023</t>
        </is>
      </c>
      <c r="B836" s="1" t="n">
        <v>45232</v>
      </c>
      <c r="C836" s="1" t="n">
        <v>45824</v>
      </c>
      <c r="D836" t="inlineStr">
        <is>
          <t>VÄSTMANLANDS LÄN</t>
        </is>
      </c>
      <c r="E836" t="inlineStr">
        <is>
          <t>SALA</t>
        </is>
      </c>
      <c r="G836" t="n">
        <v>3.7</v>
      </c>
      <c r="H836" t="n">
        <v>0</v>
      </c>
      <c r="I836" t="n">
        <v>0</v>
      </c>
      <c r="J836" t="n">
        <v>0</v>
      </c>
      <c r="K836" t="n">
        <v>0</v>
      </c>
      <c r="L836" t="n">
        <v>0</v>
      </c>
      <c r="M836" t="n">
        <v>0</v>
      </c>
      <c r="N836" t="n">
        <v>0</v>
      </c>
      <c r="O836" t="n">
        <v>0</v>
      </c>
      <c r="P836" t="n">
        <v>0</v>
      </c>
      <c r="Q836" t="n">
        <v>0</v>
      </c>
      <c r="R836" s="2" t="inlineStr"/>
    </row>
    <row r="837" ht="15" customHeight="1">
      <c r="A837" t="inlineStr">
        <is>
          <t>A 54114-2023</t>
        </is>
      </c>
      <c r="B837" s="1" t="n">
        <v>45232</v>
      </c>
      <c r="C837" s="1" t="n">
        <v>45824</v>
      </c>
      <c r="D837" t="inlineStr">
        <is>
          <t>VÄSTMANLANDS LÄN</t>
        </is>
      </c>
      <c r="E837" t="inlineStr">
        <is>
          <t>SALA</t>
        </is>
      </c>
      <c r="G837" t="n">
        <v>1.6</v>
      </c>
      <c r="H837" t="n">
        <v>0</v>
      </c>
      <c r="I837" t="n">
        <v>0</v>
      </c>
      <c r="J837" t="n">
        <v>0</v>
      </c>
      <c r="K837" t="n">
        <v>0</v>
      </c>
      <c r="L837" t="n">
        <v>0</v>
      </c>
      <c r="M837" t="n">
        <v>0</v>
      </c>
      <c r="N837" t="n">
        <v>0</v>
      </c>
      <c r="O837" t="n">
        <v>0</v>
      </c>
      <c r="P837" t="n">
        <v>0</v>
      </c>
      <c r="Q837" t="n">
        <v>0</v>
      </c>
      <c r="R837" s="2" t="inlineStr"/>
    </row>
    <row r="838" ht="15" customHeight="1">
      <c r="A838" t="inlineStr">
        <is>
          <t>A 54118-2023</t>
        </is>
      </c>
      <c r="B838" s="1" t="n">
        <v>45232</v>
      </c>
      <c r="C838" s="1" t="n">
        <v>45824</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55556-2023</t>
        </is>
      </c>
      <c r="B839" s="1" t="n">
        <v>45232</v>
      </c>
      <c r="C839" s="1" t="n">
        <v>45824</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56057-2023</t>
        </is>
      </c>
      <c r="B840" s="1" t="n">
        <v>45233</v>
      </c>
      <c r="C840" s="1" t="n">
        <v>45824</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56064-2023</t>
        </is>
      </c>
      <c r="B841" s="1" t="n">
        <v>45233</v>
      </c>
      <c r="C841" s="1" t="n">
        <v>45824</v>
      </c>
      <c r="D841" t="inlineStr">
        <is>
          <t>VÄSTMANLANDS LÄN</t>
        </is>
      </c>
      <c r="E841" t="inlineStr">
        <is>
          <t>SALA</t>
        </is>
      </c>
      <c r="G841" t="n">
        <v>0.8</v>
      </c>
      <c r="H841" t="n">
        <v>0</v>
      </c>
      <c r="I841" t="n">
        <v>0</v>
      </c>
      <c r="J841" t="n">
        <v>0</v>
      </c>
      <c r="K841" t="n">
        <v>0</v>
      </c>
      <c r="L841" t="n">
        <v>0</v>
      </c>
      <c r="M841" t="n">
        <v>0</v>
      </c>
      <c r="N841" t="n">
        <v>0</v>
      </c>
      <c r="O841" t="n">
        <v>0</v>
      </c>
      <c r="P841" t="n">
        <v>0</v>
      </c>
      <c r="Q841" t="n">
        <v>0</v>
      </c>
      <c r="R841" s="2" t="inlineStr"/>
    </row>
    <row r="842" ht="15" customHeight="1">
      <c r="A842" t="inlineStr">
        <is>
          <t>A 55504-2023</t>
        </is>
      </c>
      <c r="B842" s="1" t="n">
        <v>45238</v>
      </c>
      <c r="C842" s="1" t="n">
        <v>45824</v>
      </c>
      <c r="D842" t="inlineStr">
        <is>
          <t>VÄSTMANLANDS LÄN</t>
        </is>
      </c>
      <c r="E842" t="inlineStr">
        <is>
          <t>SALA</t>
        </is>
      </c>
      <c r="G842" t="n">
        <v>4</v>
      </c>
      <c r="H842" t="n">
        <v>0</v>
      </c>
      <c r="I842" t="n">
        <v>0</v>
      </c>
      <c r="J842" t="n">
        <v>0</v>
      </c>
      <c r="K842" t="n">
        <v>0</v>
      </c>
      <c r="L842" t="n">
        <v>0</v>
      </c>
      <c r="M842" t="n">
        <v>0</v>
      </c>
      <c r="N842" t="n">
        <v>0</v>
      </c>
      <c r="O842" t="n">
        <v>0</v>
      </c>
      <c r="P842" t="n">
        <v>0</v>
      </c>
      <c r="Q842" t="n">
        <v>0</v>
      </c>
      <c r="R842" s="2" t="inlineStr"/>
    </row>
    <row r="843" ht="15" customHeight="1">
      <c r="A843" t="inlineStr">
        <is>
          <t>A 55474-2023</t>
        </is>
      </c>
      <c r="B843" s="1" t="n">
        <v>45238</v>
      </c>
      <c r="C843" s="1" t="n">
        <v>45824</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56956-2023</t>
        </is>
      </c>
      <c r="B844" s="1" t="n">
        <v>45244</v>
      </c>
      <c r="C844" s="1" t="n">
        <v>45824</v>
      </c>
      <c r="D844" t="inlineStr">
        <is>
          <t>VÄSTMANLANDS LÄN</t>
        </is>
      </c>
      <c r="E844" t="inlineStr">
        <is>
          <t>SALA</t>
        </is>
      </c>
      <c r="G844" t="n">
        <v>6.5</v>
      </c>
      <c r="H844" t="n">
        <v>0</v>
      </c>
      <c r="I844" t="n">
        <v>0</v>
      </c>
      <c r="J844" t="n">
        <v>0</v>
      </c>
      <c r="K844" t="n">
        <v>0</v>
      </c>
      <c r="L844" t="n">
        <v>0</v>
      </c>
      <c r="M844" t="n">
        <v>0</v>
      </c>
      <c r="N844" t="n">
        <v>0</v>
      </c>
      <c r="O844" t="n">
        <v>0</v>
      </c>
      <c r="P844" t="n">
        <v>0</v>
      </c>
      <c r="Q844" t="n">
        <v>0</v>
      </c>
      <c r="R844" s="2" t="inlineStr"/>
    </row>
    <row r="845" ht="15" customHeight="1">
      <c r="A845" t="inlineStr">
        <is>
          <t>A 56949-2023</t>
        </is>
      </c>
      <c r="B845" s="1" t="n">
        <v>45244</v>
      </c>
      <c r="C845" s="1" t="n">
        <v>45824</v>
      </c>
      <c r="D845" t="inlineStr">
        <is>
          <t>VÄSTMANLANDS LÄN</t>
        </is>
      </c>
      <c r="E845" t="inlineStr">
        <is>
          <t>SALA</t>
        </is>
      </c>
      <c r="G845" t="n">
        <v>4.7</v>
      </c>
      <c r="H845" t="n">
        <v>0</v>
      </c>
      <c r="I845" t="n">
        <v>0</v>
      </c>
      <c r="J845" t="n">
        <v>0</v>
      </c>
      <c r="K845" t="n">
        <v>0</v>
      </c>
      <c r="L845" t="n">
        <v>0</v>
      </c>
      <c r="M845" t="n">
        <v>0</v>
      </c>
      <c r="N845" t="n">
        <v>0</v>
      </c>
      <c r="O845" t="n">
        <v>0</v>
      </c>
      <c r="P845" t="n">
        <v>0</v>
      </c>
      <c r="Q845" t="n">
        <v>0</v>
      </c>
      <c r="R845" s="2" t="inlineStr"/>
    </row>
    <row r="846" ht="15" customHeight="1">
      <c r="A846" t="inlineStr">
        <is>
          <t>A 56964-2023</t>
        </is>
      </c>
      <c r="B846" s="1" t="n">
        <v>45244</v>
      </c>
      <c r="C846" s="1" t="n">
        <v>45824</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58028-2023</t>
        </is>
      </c>
      <c r="B847" s="1" t="n">
        <v>45247</v>
      </c>
      <c r="C847" s="1" t="n">
        <v>45824</v>
      </c>
      <c r="D847" t="inlineStr">
        <is>
          <t>VÄSTMANLANDS LÄN</t>
        </is>
      </c>
      <c r="E847" t="inlineStr">
        <is>
          <t>SALA</t>
        </is>
      </c>
      <c r="G847" t="n">
        <v>19.6</v>
      </c>
      <c r="H847" t="n">
        <v>0</v>
      </c>
      <c r="I847" t="n">
        <v>0</v>
      </c>
      <c r="J847" t="n">
        <v>0</v>
      </c>
      <c r="K847" t="n">
        <v>0</v>
      </c>
      <c r="L847" t="n">
        <v>0</v>
      </c>
      <c r="M847" t="n">
        <v>0</v>
      </c>
      <c r="N847" t="n">
        <v>0</v>
      </c>
      <c r="O847" t="n">
        <v>0</v>
      </c>
      <c r="P847" t="n">
        <v>0</v>
      </c>
      <c r="Q847" t="n">
        <v>0</v>
      </c>
      <c r="R847" s="2" t="inlineStr"/>
    </row>
    <row r="848" ht="15" customHeight="1">
      <c r="A848" t="inlineStr">
        <is>
          <t>A 58113-2023</t>
        </is>
      </c>
      <c r="B848" s="1" t="n">
        <v>45249</v>
      </c>
      <c r="C848" s="1" t="n">
        <v>45824</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58271-2023</t>
        </is>
      </c>
      <c r="B849" s="1" t="n">
        <v>45250</v>
      </c>
      <c r="C849" s="1" t="n">
        <v>45824</v>
      </c>
      <c r="D849" t="inlineStr">
        <is>
          <t>VÄSTMANLANDS LÄN</t>
        </is>
      </c>
      <c r="E849" t="inlineStr">
        <is>
          <t>SALA</t>
        </is>
      </c>
      <c r="G849" t="n">
        <v>5.2</v>
      </c>
      <c r="H849" t="n">
        <v>0</v>
      </c>
      <c r="I849" t="n">
        <v>0</v>
      </c>
      <c r="J849" t="n">
        <v>0</v>
      </c>
      <c r="K849" t="n">
        <v>0</v>
      </c>
      <c r="L849" t="n">
        <v>0</v>
      </c>
      <c r="M849" t="n">
        <v>0</v>
      </c>
      <c r="N849" t="n">
        <v>0</v>
      </c>
      <c r="O849" t="n">
        <v>0</v>
      </c>
      <c r="P849" t="n">
        <v>0</v>
      </c>
      <c r="Q849" t="n">
        <v>0</v>
      </c>
      <c r="R849" s="2" t="inlineStr"/>
    </row>
    <row r="850" ht="15" customHeight="1">
      <c r="A850" t="inlineStr">
        <is>
          <t>A 58920-2023</t>
        </is>
      </c>
      <c r="B850" s="1" t="n">
        <v>45252</v>
      </c>
      <c r="C850" s="1" t="n">
        <v>45824</v>
      </c>
      <c r="D850" t="inlineStr">
        <is>
          <t>VÄSTMANLANDS LÄN</t>
        </is>
      </c>
      <c r="E850" t="inlineStr">
        <is>
          <t>SALA</t>
        </is>
      </c>
      <c r="G850" t="n">
        <v>2.4</v>
      </c>
      <c r="H850" t="n">
        <v>0</v>
      </c>
      <c r="I850" t="n">
        <v>0</v>
      </c>
      <c r="J850" t="n">
        <v>0</v>
      </c>
      <c r="K850" t="n">
        <v>0</v>
      </c>
      <c r="L850" t="n">
        <v>0</v>
      </c>
      <c r="M850" t="n">
        <v>0</v>
      </c>
      <c r="N850" t="n">
        <v>0</v>
      </c>
      <c r="O850" t="n">
        <v>0</v>
      </c>
      <c r="P850" t="n">
        <v>0</v>
      </c>
      <c r="Q850" t="n">
        <v>0</v>
      </c>
      <c r="R850" s="2" t="inlineStr"/>
    </row>
    <row r="851" ht="15" customHeight="1">
      <c r="A851" t="inlineStr">
        <is>
          <t>A 58823-2023</t>
        </is>
      </c>
      <c r="B851" s="1" t="n">
        <v>45252</v>
      </c>
      <c r="C851" s="1" t="n">
        <v>45824</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59297-2023</t>
        </is>
      </c>
      <c r="B852" s="1" t="n">
        <v>45253</v>
      </c>
      <c r="C852" s="1" t="n">
        <v>45824</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59713-2023</t>
        </is>
      </c>
      <c r="B853" s="1" t="n">
        <v>45257</v>
      </c>
      <c r="C853" s="1" t="n">
        <v>45824</v>
      </c>
      <c r="D853" t="inlineStr">
        <is>
          <t>VÄSTMANLANDS LÄN</t>
        </is>
      </c>
      <c r="E853" t="inlineStr">
        <is>
          <t>SALA</t>
        </is>
      </c>
      <c r="G853" t="n">
        <v>1.2</v>
      </c>
      <c r="H853" t="n">
        <v>0</v>
      </c>
      <c r="I853" t="n">
        <v>0</v>
      </c>
      <c r="J853" t="n">
        <v>0</v>
      </c>
      <c r="K853" t="n">
        <v>0</v>
      </c>
      <c r="L853" t="n">
        <v>0</v>
      </c>
      <c r="M853" t="n">
        <v>0</v>
      </c>
      <c r="N853" t="n">
        <v>0</v>
      </c>
      <c r="O853" t="n">
        <v>0</v>
      </c>
      <c r="P853" t="n">
        <v>0</v>
      </c>
      <c r="Q853" t="n">
        <v>0</v>
      </c>
      <c r="R853" s="2" t="inlineStr"/>
    </row>
    <row r="854" ht="15" customHeight="1">
      <c r="A854" t="inlineStr">
        <is>
          <t>A 59785-2023</t>
        </is>
      </c>
      <c r="B854" s="1" t="n">
        <v>45257</v>
      </c>
      <c r="C854" s="1" t="n">
        <v>45824</v>
      </c>
      <c r="D854" t="inlineStr">
        <is>
          <t>VÄSTMANLANDS LÄN</t>
        </is>
      </c>
      <c r="E854" t="inlineStr">
        <is>
          <t>SALA</t>
        </is>
      </c>
      <c r="G854" t="n">
        <v>2.2</v>
      </c>
      <c r="H854" t="n">
        <v>0</v>
      </c>
      <c r="I854" t="n">
        <v>0</v>
      </c>
      <c r="J854" t="n">
        <v>0</v>
      </c>
      <c r="K854" t="n">
        <v>0</v>
      </c>
      <c r="L854" t="n">
        <v>0</v>
      </c>
      <c r="M854" t="n">
        <v>0</v>
      </c>
      <c r="N854" t="n">
        <v>0</v>
      </c>
      <c r="O854" t="n">
        <v>0</v>
      </c>
      <c r="P854" t="n">
        <v>0</v>
      </c>
      <c r="Q854" t="n">
        <v>0</v>
      </c>
      <c r="R854" s="2" t="inlineStr"/>
    </row>
    <row r="855" ht="15" customHeight="1">
      <c r="A855" t="inlineStr">
        <is>
          <t>A 60249-2023</t>
        </is>
      </c>
      <c r="B855" s="1" t="n">
        <v>45258</v>
      </c>
      <c r="C855" s="1" t="n">
        <v>45824</v>
      </c>
      <c r="D855" t="inlineStr">
        <is>
          <t>VÄSTMANLANDS LÄN</t>
        </is>
      </c>
      <c r="E855" t="inlineStr">
        <is>
          <t>SALA</t>
        </is>
      </c>
      <c r="G855" t="n">
        <v>2</v>
      </c>
      <c r="H855" t="n">
        <v>0</v>
      </c>
      <c r="I855" t="n">
        <v>0</v>
      </c>
      <c r="J855" t="n">
        <v>0</v>
      </c>
      <c r="K855" t="n">
        <v>0</v>
      </c>
      <c r="L855" t="n">
        <v>0</v>
      </c>
      <c r="M855" t="n">
        <v>0</v>
      </c>
      <c r="N855" t="n">
        <v>0</v>
      </c>
      <c r="O855" t="n">
        <v>0</v>
      </c>
      <c r="P855" t="n">
        <v>0</v>
      </c>
      <c r="Q855" t="n">
        <v>0</v>
      </c>
      <c r="R855" s="2" t="inlineStr"/>
    </row>
    <row r="856" ht="15" customHeight="1">
      <c r="A856" t="inlineStr">
        <is>
          <t>A 60731-2023</t>
        </is>
      </c>
      <c r="B856" s="1" t="n">
        <v>45260</v>
      </c>
      <c r="C856" s="1" t="n">
        <v>45824</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60730-2023</t>
        </is>
      </c>
      <c r="B857" s="1" t="n">
        <v>45260</v>
      </c>
      <c r="C857" s="1" t="n">
        <v>45824</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61525-2023</t>
        </is>
      </c>
      <c r="B858" s="1" t="n">
        <v>45265</v>
      </c>
      <c r="C858" s="1" t="n">
        <v>45824</v>
      </c>
      <c r="D858" t="inlineStr">
        <is>
          <t>VÄSTMANLANDS LÄN</t>
        </is>
      </c>
      <c r="E858" t="inlineStr">
        <is>
          <t>SALA</t>
        </is>
      </c>
      <c r="G858" t="n">
        <v>1.6</v>
      </c>
      <c r="H858" t="n">
        <v>0</v>
      </c>
      <c r="I858" t="n">
        <v>0</v>
      </c>
      <c r="J858" t="n">
        <v>0</v>
      </c>
      <c r="K858" t="n">
        <v>0</v>
      </c>
      <c r="L858" t="n">
        <v>0</v>
      </c>
      <c r="M858" t="n">
        <v>0</v>
      </c>
      <c r="N858" t="n">
        <v>0</v>
      </c>
      <c r="O858" t="n">
        <v>0</v>
      </c>
      <c r="P858" t="n">
        <v>0</v>
      </c>
      <c r="Q858" t="n">
        <v>0</v>
      </c>
      <c r="R858" s="2" t="inlineStr"/>
      <c r="U858">
        <f>HYPERLINK("https://klasma.github.io/Logging_1981/knärot/A 61525-2023 karta knärot.png", "A 61525-2023")</f>
        <v/>
      </c>
      <c r="V858">
        <f>HYPERLINK("https://klasma.github.io/Logging_1981/klagomål/A 61525-2023 FSC-klagomål.docx", "A 61525-2023")</f>
        <v/>
      </c>
      <c r="W858">
        <f>HYPERLINK("https://klasma.github.io/Logging_1981/klagomålsmail/A 61525-2023 FSC-klagomål mail.docx", "A 61525-2023")</f>
        <v/>
      </c>
      <c r="X858">
        <f>HYPERLINK("https://klasma.github.io/Logging_1981/tillsyn/A 61525-2023 tillsynsbegäran.docx", "A 61525-2023")</f>
        <v/>
      </c>
      <c r="Y858">
        <f>HYPERLINK("https://klasma.github.io/Logging_1981/tillsynsmail/A 61525-2023 tillsynsbegäran mail.docx", "A 61525-2023")</f>
        <v/>
      </c>
    </row>
    <row r="859" ht="15" customHeight="1">
      <c r="A859" t="inlineStr">
        <is>
          <t>A 62449-2023</t>
        </is>
      </c>
      <c r="B859" s="1" t="n">
        <v>45268</v>
      </c>
      <c r="C859" s="1" t="n">
        <v>45824</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62630-2023</t>
        </is>
      </c>
      <c r="B860" s="1" t="n">
        <v>45271</v>
      </c>
      <c r="C860" s="1" t="n">
        <v>45824</v>
      </c>
      <c r="D860" t="inlineStr">
        <is>
          <t>VÄSTMANLANDS LÄN</t>
        </is>
      </c>
      <c r="E860" t="inlineStr">
        <is>
          <t>SALA</t>
        </is>
      </c>
      <c r="G860" t="n">
        <v>1.5</v>
      </c>
      <c r="H860" t="n">
        <v>0</v>
      </c>
      <c r="I860" t="n">
        <v>0</v>
      </c>
      <c r="J860" t="n">
        <v>0</v>
      </c>
      <c r="K860" t="n">
        <v>0</v>
      </c>
      <c r="L860" t="n">
        <v>0</v>
      </c>
      <c r="M860" t="n">
        <v>0</v>
      </c>
      <c r="N860" t="n">
        <v>0</v>
      </c>
      <c r="O860" t="n">
        <v>0</v>
      </c>
      <c r="P860" t="n">
        <v>0</v>
      </c>
      <c r="Q860" t="n">
        <v>0</v>
      </c>
      <c r="R860" s="2" t="inlineStr"/>
    </row>
    <row r="861" ht="15" customHeight="1">
      <c r="A861" t="inlineStr">
        <is>
          <t>A 63234-2023</t>
        </is>
      </c>
      <c r="B861" s="1" t="n">
        <v>45273</v>
      </c>
      <c r="C861" s="1" t="n">
        <v>45824</v>
      </c>
      <c r="D861" t="inlineStr">
        <is>
          <t>VÄSTMANLANDS LÄN</t>
        </is>
      </c>
      <c r="E861" t="inlineStr">
        <is>
          <t>SALA</t>
        </is>
      </c>
      <c r="G861" t="n">
        <v>1</v>
      </c>
      <c r="H861" t="n">
        <v>0</v>
      </c>
      <c r="I861" t="n">
        <v>0</v>
      </c>
      <c r="J861" t="n">
        <v>0</v>
      </c>
      <c r="K861" t="n">
        <v>0</v>
      </c>
      <c r="L861" t="n">
        <v>0</v>
      </c>
      <c r="M861" t="n">
        <v>0</v>
      </c>
      <c r="N861" t="n">
        <v>0</v>
      </c>
      <c r="O861" t="n">
        <v>0</v>
      </c>
      <c r="P861" t="n">
        <v>0</v>
      </c>
      <c r="Q861" t="n">
        <v>0</v>
      </c>
      <c r="R861" s="2" t="inlineStr"/>
    </row>
    <row r="862" ht="15" customHeight="1">
      <c r="A862" t="inlineStr">
        <is>
          <t>A 63274-2023</t>
        </is>
      </c>
      <c r="B862" s="1" t="n">
        <v>45273</v>
      </c>
      <c r="C862" s="1" t="n">
        <v>45824</v>
      </c>
      <c r="D862" t="inlineStr">
        <is>
          <t>VÄSTMANLANDS LÄN</t>
        </is>
      </c>
      <c r="E862" t="inlineStr">
        <is>
          <t>SALA</t>
        </is>
      </c>
      <c r="G862" t="n">
        <v>2.1</v>
      </c>
      <c r="H862" t="n">
        <v>0</v>
      </c>
      <c r="I862" t="n">
        <v>0</v>
      </c>
      <c r="J862" t="n">
        <v>0</v>
      </c>
      <c r="K862" t="n">
        <v>0</v>
      </c>
      <c r="L862" t="n">
        <v>0</v>
      </c>
      <c r="M862" t="n">
        <v>0</v>
      </c>
      <c r="N862" t="n">
        <v>0</v>
      </c>
      <c r="O862" t="n">
        <v>0</v>
      </c>
      <c r="P862" t="n">
        <v>0</v>
      </c>
      <c r="Q862" t="n">
        <v>0</v>
      </c>
      <c r="R862" s="2" t="inlineStr"/>
    </row>
    <row r="863" ht="15" customHeight="1">
      <c r="A863" t="inlineStr">
        <is>
          <t>A 63466-2023</t>
        </is>
      </c>
      <c r="B863" s="1" t="n">
        <v>45274</v>
      </c>
      <c r="C863" s="1" t="n">
        <v>45824</v>
      </c>
      <c r="D863" t="inlineStr">
        <is>
          <t>VÄSTMANLANDS LÄN</t>
        </is>
      </c>
      <c r="E863" t="inlineStr">
        <is>
          <t>SALA</t>
        </is>
      </c>
      <c r="G863" t="n">
        <v>2.9</v>
      </c>
      <c r="H863" t="n">
        <v>0</v>
      </c>
      <c r="I863" t="n">
        <v>0</v>
      </c>
      <c r="J863" t="n">
        <v>0</v>
      </c>
      <c r="K863" t="n">
        <v>0</v>
      </c>
      <c r="L863" t="n">
        <v>0</v>
      </c>
      <c r="M863" t="n">
        <v>0</v>
      </c>
      <c r="N863" t="n">
        <v>0</v>
      </c>
      <c r="O863" t="n">
        <v>0</v>
      </c>
      <c r="P863" t="n">
        <v>0</v>
      </c>
      <c r="Q863" t="n">
        <v>0</v>
      </c>
      <c r="R863" s="2" t="inlineStr"/>
    </row>
    <row r="864" ht="15" customHeight="1">
      <c r="A864" t="inlineStr">
        <is>
          <t>A 63564-2023</t>
        </is>
      </c>
      <c r="B864" s="1" t="n">
        <v>45275</v>
      </c>
      <c r="C864" s="1" t="n">
        <v>45824</v>
      </c>
      <c r="D864" t="inlineStr">
        <is>
          <t>VÄSTMANLANDS LÄN</t>
        </is>
      </c>
      <c r="E864" t="inlineStr">
        <is>
          <t>SALA</t>
        </is>
      </c>
      <c r="G864" t="n">
        <v>3.6</v>
      </c>
      <c r="H864" t="n">
        <v>0</v>
      </c>
      <c r="I864" t="n">
        <v>0</v>
      </c>
      <c r="J864" t="n">
        <v>0</v>
      </c>
      <c r="K864" t="n">
        <v>0</v>
      </c>
      <c r="L864" t="n">
        <v>0</v>
      </c>
      <c r="M864" t="n">
        <v>0</v>
      </c>
      <c r="N864" t="n">
        <v>0</v>
      </c>
      <c r="O864" t="n">
        <v>0</v>
      </c>
      <c r="P864" t="n">
        <v>0</v>
      </c>
      <c r="Q864" t="n">
        <v>0</v>
      </c>
      <c r="R864" s="2" t="inlineStr"/>
    </row>
    <row r="865" ht="15" customHeight="1">
      <c r="A865" t="inlineStr">
        <is>
          <t>A 63905-2023</t>
        </is>
      </c>
      <c r="B865" s="1" t="n">
        <v>45278</v>
      </c>
      <c r="C865" s="1" t="n">
        <v>45824</v>
      </c>
      <c r="D865" t="inlineStr">
        <is>
          <t>VÄSTMANLANDS LÄN</t>
        </is>
      </c>
      <c r="E865" t="inlineStr">
        <is>
          <t>SALA</t>
        </is>
      </c>
      <c r="G865" t="n">
        <v>4.1</v>
      </c>
      <c r="H865" t="n">
        <v>0</v>
      </c>
      <c r="I865" t="n">
        <v>0</v>
      </c>
      <c r="J865" t="n">
        <v>0</v>
      </c>
      <c r="K865" t="n">
        <v>0</v>
      </c>
      <c r="L865" t="n">
        <v>0</v>
      </c>
      <c r="M865" t="n">
        <v>0</v>
      </c>
      <c r="N865" t="n">
        <v>0</v>
      </c>
      <c r="O865" t="n">
        <v>0</v>
      </c>
      <c r="P865" t="n">
        <v>0</v>
      </c>
      <c r="Q865" t="n">
        <v>0</v>
      </c>
      <c r="R865" s="2" t="inlineStr"/>
    </row>
    <row r="866" ht="15" customHeight="1">
      <c r="A866" t="inlineStr">
        <is>
          <t>A 63933-2023</t>
        </is>
      </c>
      <c r="B866" s="1" t="n">
        <v>45278</v>
      </c>
      <c r="C866" s="1" t="n">
        <v>45824</v>
      </c>
      <c r="D866" t="inlineStr">
        <is>
          <t>VÄSTMANLANDS LÄN</t>
        </is>
      </c>
      <c r="E866" t="inlineStr">
        <is>
          <t>SALA</t>
        </is>
      </c>
      <c r="G866" t="n">
        <v>1.4</v>
      </c>
      <c r="H866" t="n">
        <v>0</v>
      </c>
      <c r="I866" t="n">
        <v>0</v>
      </c>
      <c r="J866" t="n">
        <v>0</v>
      </c>
      <c r="K866" t="n">
        <v>0</v>
      </c>
      <c r="L866" t="n">
        <v>0</v>
      </c>
      <c r="M866" t="n">
        <v>0</v>
      </c>
      <c r="N866" t="n">
        <v>0</v>
      </c>
      <c r="O866" t="n">
        <v>0</v>
      </c>
      <c r="P866" t="n">
        <v>0</v>
      </c>
      <c r="Q866" t="n">
        <v>0</v>
      </c>
      <c r="R866" s="2" t="inlineStr"/>
    </row>
    <row r="867" ht="15" customHeight="1">
      <c r="A867" t="inlineStr">
        <is>
          <t>A 64109-2023</t>
        </is>
      </c>
      <c r="B867" s="1" t="n">
        <v>45279</v>
      </c>
      <c r="C867" s="1" t="n">
        <v>45824</v>
      </c>
      <c r="D867" t="inlineStr">
        <is>
          <t>VÄSTMANLANDS LÄN</t>
        </is>
      </c>
      <c r="E867" t="inlineStr">
        <is>
          <t>SALA</t>
        </is>
      </c>
      <c r="G867" t="n">
        <v>3.7</v>
      </c>
      <c r="H867" t="n">
        <v>0</v>
      </c>
      <c r="I867" t="n">
        <v>0</v>
      </c>
      <c r="J867" t="n">
        <v>0</v>
      </c>
      <c r="K867" t="n">
        <v>0</v>
      </c>
      <c r="L867" t="n">
        <v>0</v>
      </c>
      <c r="M867" t="n">
        <v>0</v>
      </c>
      <c r="N867" t="n">
        <v>0</v>
      </c>
      <c r="O867" t="n">
        <v>0</v>
      </c>
      <c r="P867" t="n">
        <v>0</v>
      </c>
      <c r="Q867" t="n">
        <v>0</v>
      </c>
      <c r="R867" s="2" t="inlineStr"/>
    </row>
    <row r="868" ht="15" customHeight="1">
      <c r="A868" t="inlineStr">
        <is>
          <t>A 64123-2023</t>
        </is>
      </c>
      <c r="B868" s="1" t="n">
        <v>45279</v>
      </c>
      <c r="C868" s="1" t="n">
        <v>45824</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64693-2023</t>
        </is>
      </c>
      <c r="B869" s="1" t="n">
        <v>45281</v>
      </c>
      <c r="C869" s="1" t="n">
        <v>45824</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64729-2023</t>
        </is>
      </c>
      <c r="B870" s="1" t="n">
        <v>45281</v>
      </c>
      <c r="C870" s="1" t="n">
        <v>45824</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64724-2023</t>
        </is>
      </c>
      <c r="B871" s="1" t="n">
        <v>45281</v>
      </c>
      <c r="C871" s="1" t="n">
        <v>45824</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64692-2023</t>
        </is>
      </c>
      <c r="B872" s="1" t="n">
        <v>45281</v>
      </c>
      <c r="C872" s="1" t="n">
        <v>45824</v>
      </c>
      <c r="D872" t="inlineStr">
        <is>
          <t>VÄSTMANLANDS LÄN</t>
        </is>
      </c>
      <c r="E872" t="inlineStr">
        <is>
          <t>SALA</t>
        </is>
      </c>
      <c r="G872" t="n">
        <v>1.7</v>
      </c>
      <c r="H872" t="n">
        <v>0</v>
      </c>
      <c r="I872" t="n">
        <v>0</v>
      </c>
      <c r="J872" t="n">
        <v>0</v>
      </c>
      <c r="K872" t="n">
        <v>0</v>
      </c>
      <c r="L872" t="n">
        <v>0</v>
      </c>
      <c r="M872" t="n">
        <v>0</v>
      </c>
      <c r="N872" t="n">
        <v>0</v>
      </c>
      <c r="O872" t="n">
        <v>0</v>
      </c>
      <c r="P872" t="n">
        <v>0</v>
      </c>
      <c r="Q872" t="n">
        <v>0</v>
      </c>
      <c r="R872" s="2" t="inlineStr"/>
    </row>
    <row r="873" ht="15" customHeight="1">
      <c r="A873" t="inlineStr">
        <is>
          <t>A 64687-2023</t>
        </is>
      </c>
      <c r="B873" s="1" t="n">
        <v>45281</v>
      </c>
      <c r="C873" s="1" t="n">
        <v>45824</v>
      </c>
      <c r="D873" t="inlineStr">
        <is>
          <t>VÄSTMANLANDS LÄN</t>
        </is>
      </c>
      <c r="E873" t="inlineStr">
        <is>
          <t>SALA</t>
        </is>
      </c>
      <c r="G873" t="n">
        <v>2.8</v>
      </c>
      <c r="H873" t="n">
        <v>0</v>
      </c>
      <c r="I873" t="n">
        <v>0</v>
      </c>
      <c r="J873" t="n">
        <v>0</v>
      </c>
      <c r="K873" t="n">
        <v>0</v>
      </c>
      <c r="L873" t="n">
        <v>0</v>
      </c>
      <c r="M873" t="n">
        <v>0</v>
      </c>
      <c r="N873" t="n">
        <v>0</v>
      </c>
      <c r="O873" t="n">
        <v>0</v>
      </c>
      <c r="P873" t="n">
        <v>0</v>
      </c>
      <c r="Q873" t="n">
        <v>0</v>
      </c>
      <c r="R873" s="2" t="inlineStr"/>
    </row>
    <row r="874" ht="15" customHeight="1">
      <c r="A874" t="inlineStr">
        <is>
          <t>A 64695-2023</t>
        </is>
      </c>
      <c r="B874" s="1" t="n">
        <v>45281</v>
      </c>
      <c r="C874" s="1" t="n">
        <v>45824</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64925-2023</t>
        </is>
      </c>
      <c r="B875" s="1" t="n">
        <v>45282</v>
      </c>
      <c r="C875" s="1" t="n">
        <v>45824</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30-2024</t>
        </is>
      </c>
      <c r="B876" s="1" t="n">
        <v>45293</v>
      </c>
      <c r="C876" s="1" t="n">
        <v>45824</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96-2024</t>
        </is>
      </c>
      <c r="B877" s="1" t="n">
        <v>45293</v>
      </c>
      <c r="C877" s="1" t="n">
        <v>45824</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110-2024</t>
        </is>
      </c>
      <c r="B878" s="1" t="n">
        <v>45294</v>
      </c>
      <c r="C878" s="1" t="n">
        <v>45824</v>
      </c>
      <c r="D878" t="inlineStr">
        <is>
          <t>VÄSTMANLANDS LÄN</t>
        </is>
      </c>
      <c r="E878" t="inlineStr">
        <is>
          <t>SALA</t>
        </is>
      </c>
      <c r="G878" t="n">
        <v>3.8</v>
      </c>
      <c r="H878" t="n">
        <v>0</v>
      </c>
      <c r="I878" t="n">
        <v>0</v>
      </c>
      <c r="J878" t="n">
        <v>0</v>
      </c>
      <c r="K878" t="n">
        <v>0</v>
      </c>
      <c r="L878" t="n">
        <v>0</v>
      </c>
      <c r="M878" t="n">
        <v>0</v>
      </c>
      <c r="N878" t="n">
        <v>0</v>
      </c>
      <c r="O878" t="n">
        <v>0</v>
      </c>
      <c r="P878" t="n">
        <v>0</v>
      </c>
      <c r="Q878" t="n">
        <v>0</v>
      </c>
      <c r="R878" s="2" t="inlineStr"/>
    </row>
    <row r="879" ht="15" customHeight="1">
      <c r="A879" t="inlineStr">
        <is>
          <t>A 456-2024</t>
        </is>
      </c>
      <c r="B879" s="1" t="n">
        <v>45296</v>
      </c>
      <c r="C879" s="1" t="n">
        <v>45824</v>
      </c>
      <c r="D879" t="inlineStr">
        <is>
          <t>VÄSTMANLANDS LÄN</t>
        </is>
      </c>
      <c r="E879" t="inlineStr">
        <is>
          <t>SALA</t>
        </is>
      </c>
      <c r="G879" t="n">
        <v>4.7</v>
      </c>
      <c r="H879" t="n">
        <v>0</v>
      </c>
      <c r="I879" t="n">
        <v>0</v>
      </c>
      <c r="J879" t="n">
        <v>0</v>
      </c>
      <c r="K879" t="n">
        <v>0</v>
      </c>
      <c r="L879" t="n">
        <v>0</v>
      </c>
      <c r="M879" t="n">
        <v>0</v>
      </c>
      <c r="N879" t="n">
        <v>0</v>
      </c>
      <c r="O879" t="n">
        <v>0</v>
      </c>
      <c r="P879" t="n">
        <v>0</v>
      </c>
      <c r="Q879" t="n">
        <v>0</v>
      </c>
      <c r="R879" s="2" t="inlineStr"/>
    </row>
    <row r="880" ht="15" customHeight="1">
      <c r="A880" t="inlineStr">
        <is>
          <t>A 1118-2024</t>
        </is>
      </c>
      <c r="B880" s="1" t="n">
        <v>45302</v>
      </c>
      <c r="C880" s="1" t="n">
        <v>45824</v>
      </c>
      <c r="D880" t="inlineStr">
        <is>
          <t>VÄSTMANLANDS LÄN</t>
        </is>
      </c>
      <c r="E880" t="inlineStr">
        <is>
          <t>SALA</t>
        </is>
      </c>
      <c r="G880" t="n">
        <v>1.9</v>
      </c>
      <c r="H880" t="n">
        <v>0</v>
      </c>
      <c r="I880" t="n">
        <v>0</v>
      </c>
      <c r="J880" t="n">
        <v>0</v>
      </c>
      <c r="K880" t="n">
        <v>0</v>
      </c>
      <c r="L880" t="n">
        <v>0</v>
      </c>
      <c r="M880" t="n">
        <v>0</v>
      </c>
      <c r="N880" t="n">
        <v>0</v>
      </c>
      <c r="O880" t="n">
        <v>0</v>
      </c>
      <c r="P880" t="n">
        <v>0</v>
      </c>
      <c r="Q880" t="n">
        <v>0</v>
      </c>
      <c r="R880" s="2" t="inlineStr"/>
    </row>
    <row r="881" ht="15" customHeight="1">
      <c r="A881" t="inlineStr">
        <is>
          <t>A 1555-2024</t>
        </is>
      </c>
      <c r="B881" s="1" t="n">
        <v>45306</v>
      </c>
      <c r="C881" s="1" t="n">
        <v>45824</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1552-2024</t>
        </is>
      </c>
      <c r="B882" s="1" t="n">
        <v>45306</v>
      </c>
      <c r="C882" s="1" t="n">
        <v>45824</v>
      </c>
      <c r="D882" t="inlineStr">
        <is>
          <t>VÄSTMANLANDS LÄN</t>
        </is>
      </c>
      <c r="E882" t="inlineStr">
        <is>
          <t>SALA</t>
        </is>
      </c>
      <c r="G882" t="n">
        <v>3.3</v>
      </c>
      <c r="H882" t="n">
        <v>0</v>
      </c>
      <c r="I882" t="n">
        <v>0</v>
      </c>
      <c r="J882" t="n">
        <v>0</v>
      </c>
      <c r="K882" t="n">
        <v>0</v>
      </c>
      <c r="L882" t="n">
        <v>0</v>
      </c>
      <c r="M882" t="n">
        <v>0</v>
      </c>
      <c r="N882" t="n">
        <v>0</v>
      </c>
      <c r="O882" t="n">
        <v>0</v>
      </c>
      <c r="P882" t="n">
        <v>0</v>
      </c>
      <c r="Q882" t="n">
        <v>0</v>
      </c>
      <c r="R882" s="2" t="inlineStr"/>
    </row>
    <row r="883" ht="15" customHeight="1">
      <c r="A883" t="inlineStr">
        <is>
          <t>A 2392-2024</t>
        </is>
      </c>
      <c r="B883" s="1" t="n">
        <v>45310</v>
      </c>
      <c r="C883" s="1" t="n">
        <v>45824</v>
      </c>
      <c r="D883" t="inlineStr">
        <is>
          <t>VÄSTMANLANDS LÄN</t>
        </is>
      </c>
      <c r="E883" t="inlineStr">
        <is>
          <t>SALA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2478-2024</t>
        </is>
      </c>
      <c r="B884" s="1" t="n">
        <v>45313</v>
      </c>
      <c r="C884" s="1" t="n">
        <v>45824</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2599-2024</t>
        </is>
      </c>
      <c r="B885" s="1" t="n">
        <v>45313</v>
      </c>
      <c r="C885" s="1" t="n">
        <v>45824</v>
      </c>
      <c r="D885" t="inlineStr">
        <is>
          <t>VÄSTMANLANDS LÄN</t>
        </is>
      </c>
      <c r="E885" t="inlineStr">
        <is>
          <t>SALA</t>
        </is>
      </c>
      <c r="G885" t="n">
        <v>1.8</v>
      </c>
      <c r="H885" t="n">
        <v>0</v>
      </c>
      <c r="I885" t="n">
        <v>0</v>
      </c>
      <c r="J885" t="n">
        <v>0</v>
      </c>
      <c r="K885" t="n">
        <v>0</v>
      </c>
      <c r="L885" t="n">
        <v>0</v>
      </c>
      <c r="M885" t="n">
        <v>0</v>
      </c>
      <c r="N885" t="n">
        <v>0</v>
      </c>
      <c r="O885" t="n">
        <v>0</v>
      </c>
      <c r="P885" t="n">
        <v>0</v>
      </c>
      <c r="Q885" t="n">
        <v>0</v>
      </c>
      <c r="R885" s="2" t="inlineStr"/>
    </row>
    <row r="886" ht="15" customHeight="1">
      <c r="A886" t="inlineStr">
        <is>
          <t>A 2766-2024</t>
        </is>
      </c>
      <c r="B886" s="1" t="n">
        <v>45314</v>
      </c>
      <c r="C886" s="1" t="n">
        <v>45824</v>
      </c>
      <c r="D886" t="inlineStr">
        <is>
          <t>VÄSTMANLANDS LÄN</t>
        </is>
      </c>
      <c r="E886" t="inlineStr">
        <is>
          <t>SALA</t>
        </is>
      </c>
      <c r="G886" t="n">
        <v>2.8</v>
      </c>
      <c r="H886" t="n">
        <v>0</v>
      </c>
      <c r="I886" t="n">
        <v>0</v>
      </c>
      <c r="J886" t="n">
        <v>0</v>
      </c>
      <c r="K886" t="n">
        <v>0</v>
      </c>
      <c r="L886" t="n">
        <v>0</v>
      </c>
      <c r="M886" t="n">
        <v>0</v>
      </c>
      <c r="N886" t="n">
        <v>0</v>
      </c>
      <c r="O886" t="n">
        <v>0</v>
      </c>
      <c r="P886" t="n">
        <v>0</v>
      </c>
      <c r="Q886" t="n">
        <v>0</v>
      </c>
      <c r="R886" s="2" t="inlineStr"/>
    </row>
    <row r="887" ht="15" customHeight="1">
      <c r="A887" t="inlineStr">
        <is>
          <t>A 2925-2024</t>
        </is>
      </c>
      <c r="B887" s="1" t="n">
        <v>45315</v>
      </c>
      <c r="C887" s="1" t="n">
        <v>45824</v>
      </c>
      <c r="D887" t="inlineStr">
        <is>
          <t>VÄSTMANLANDS LÄN</t>
        </is>
      </c>
      <c r="E887" t="inlineStr">
        <is>
          <t>SALA</t>
        </is>
      </c>
      <c r="G887" t="n">
        <v>1.3</v>
      </c>
      <c r="H887" t="n">
        <v>0</v>
      </c>
      <c r="I887" t="n">
        <v>0</v>
      </c>
      <c r="J887" t="n">
        <v>0</v>
      </c>
      <c r="K887" t="n">
        <v>0</v>
      </c>
      <c r="L887" t="n">
        <v>0</v>
      </c>
      <c r="M887" t="n">
        <v>0</v>
      </c>
      <c r="N887" t="n">
        <v>0</v>
      </c>
      <c r="O887" t="n">
        <v>0</v>
      </c>
      <c r="P887" t="n">
        <v>0</v>
      </c>
      <c r="Q887" t="n">
        <v>0</v>
      </c>
      <c r="R887" s="2" t="inlineStr"/>
    </row>
    <row r="888" ht="15" customHeight="1">
      <c r="A888" t="inlineStr">
        <is>
          <t>A 2928-2024</t>
        </is>
      </c>
      <c r="B888" s="1" t="n">
        <v>45315</v>
      </c>
      <c r="C888" s="1" t="n">
        <v>45824</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2927-2024</t>
        </is>
      </c>
      <c r="B889" s="1" t="n">
        <v>45315</v>
      </c>
      <c r="C889" s="1" t="n">
        <v>45824</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3061-2024</t>
        </is>
      </c>
      <c r="B890" s="1" t="n">
        <v>45316</v>
      </c>
      <c r="C890" s="1" t="n">
        <v>45824</v>
      </c>
      <c r="D890" t="inlineStr">
        <is>
          <t>VÄSTMANLANDS LÄN</t>
        </is>
      </c>
      <c r="E890" t="inlineStr">
        <is>
          <t>SALA</t>
        </is>
      </c>
      <c r="G890" t="n">
        <v>5.7</v>
      </c>
      <c r="H890" t="n">
        <v>0</v>
      </c>
      <c r="I890" t="n">
        <v>0</v>
      </c>
      <c r="J890" t="n">
        <v>0</v>
      </c>
      <c r="K890" t="n">
        <v>0</v>
      </c>
      <c r="L890" t="n">
        <v>0</v>
      </c>
      <c r="M890" t="n">
        <v>0</v>
      </c>
      <c r="N890" t="n">
        <v>0</v>
      </c>
      <c r="O890" t="n">
        <v>0</v>
      </c>
      <c r="P890" t="n">
        <v>0</v>
      </c>
      <c r="Q890" t="n">
        <v>0</v>
      </c>
      <c r="R890" s="2" t="inlineStr"/>
    </row>
    <row r="891" ht="15" customHeight="1">
      <c r="A891" t="inlineStr">
        <is>
          <t>A 3332-2024</t>
        </is>
      </c>
      <c r="B891" s="1" t="n">
        <v>45317</v>
      </c>
      <c r="C891" s="1" t="n">
        <v>45824</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3577-2024</t>
        </is>
      </c>
      <c r="B892" s="1" t="n">
        <v>45320</v>
      </c>
      <c r="C892" s="1" t="n">
        <v>45824</v>
      </c>
      <c r="D892" t="inlineStr">
        <is>
          <t>VÄSTMANLANDS LÄN</t>
        </is>
      </c>
      <c r="E892" t="inlineStr">
        <is>
          <t>SALA</t>
        </is>
      </c>
      <c r="F892" t="inlineStr">
        <is>
          <t>Kommuner</t>
        </is>
      </c>
      <c r="G892" t="n">
        <v>7.2</v>
      </c>
      <c r="H892" t="n">
        <v>0</v>
      </c>
      <c r="I892" t="n">
        <v>0</v>
      </c>
      <c r="J892" t="n">
        <v>0</v>
      </c>
      <c r="K892" t="n">
        <v>0</v>
      </c>
      <c r="L892" t="n">
        <v>0</v>
      </c>
      <c r="M892" t="n">
        <v>0</v>
      </c>
      <c r="N892" t="n">
        <v>0</v>
      </c>
      <c r="O892" t="n">
        <v>0</v>
      </c>
      <c r="P892" t="n">
        <v>0</v>
      </c>
      <c r="Q892" t="n">
        <v>0</v>
      </c>
      <c r="R892" s="2" t="inlineStr"/>
    </row>
    <row r="893" ht="15" customHeight="1">
      <c r="A893" t="inlineStr">
        <is>
          <t>A 3527-2024</t>
        </is>
      </c>
      <c r="B893" s="1" t="n">
        <v>45320</v>
      </c>
      <c r="C893" s="1" t="n">
        <v>45824</v>
      </c>
      <c r="D893" t="inlineStr">
        <is>
          <t>VÄSTMANLANDS LÄN</t>
        </is>
      </c>
      <c r="E893" t="inlineStr">
        <is>
          <t>SALA</t>
        </is>
      </c>
      <c r="G893" t="n">
        <v>1.7</v>
      </c>
      <c r="H893" t="n">
        <v>0</v>
      </c>
      <c r="I893" t="n">
        <v>0</v>
      </c>
      <c r="J893" t="n">
        <v>0</v>
      </c>
      <c r="K893" t="n">
        <v>0</v>
      </c>
      <c r="L893" t="n">
        <v>0</v>
      </c>
      <c r="M893" t="n">
        <v>0</v>
      </c>
      <c r="N893" t="n">
        <v>0</v>
      </c>
      <c r="O893" t="n">
        <v>0</v>
      </c>
      <c r="P893" t="n">
        <v>0</v>
      </c>
      <c r="Q893" t="n">
        <v>0</v>
      </c>
      <c r="R893" s="2" t="inlineStr"/>
    </row>
    <row r="894" ht="15" customHeight="1">
      <c r="A894" t="inlineStr">
        <is>
          <t>A 3551-2024</t>
        </is>
      </c>
      <c r="B894" s="1" t="n">
        <v>45320</v>
      </c>
      <c r="C894" s="1" t="n">
        <v>45824</v>
      </c>
      <c r="D894" t="inlineStr">
        <is>
          <t>VÄSTMANLANDS LÄN</t>
        </is>
      </c>
      <c r="E894" t="inlineStr">
        <is>
          <t>SALA</t>
        </is>
      </c>
      <c r="F894" t="inlineStr">
        <is>
          <t>Kommuner</t>
        </is>
      </c>
      <c r="G894" t="n">
        <v>6</v>
      </c>
      <c r="H894" t="n">
        <v>0</v>
      </c>
      <c r="I894" t="n">
        <v>0</v>
      </c>
      <c r="J894" t="n">
        <v>0</v>
      </c>
      <c r="K894" t="n">
        <v>0</v>
      </c>
      <c r="L894" t="n">
        <v>0</v>
      </c>
      <c r="M894" t="n">
        <v>0</v>
      </c>
      <c r="N894" t="n">
        <v>0</v>
      </c>
      <c r="O894" t="n">
        <v>0</v>
      </c>
      <c r="P894" t="n">
        <v>0</v>
      </c>
      <c r="Q894" t="n">
        <v>0</v>
      </c>
      <c r="R894" s="2" t="inlineStr"/>
    </row>
    <row r="895" ht="15" customHeight="1">
      <c r="A895" t="inlineStr">
        <is>
          <t>A 3525-2024</t>
        </is>
      </c>
      <c r="B895" s="1" t="n">
        <v>45320</v>
      </c>
      <c r="C895" s="1" t="n">
        <v>45824</v>
      </c>
      <c r="D895" t="inlineStr">
        <is>
          <t>VÄSTMANLANDS LÄN</t>
        </is>
      </c>
      <c r="E895" t="inlineStr">
        <is>
          <t>SALA</t>
        </is>
      </c>
      <c r="G895" t="n">
        <v>3.5</v>
      </c>
      <c r="H895" t="n">
        <v>0</v>
      </c>
      <c r="I895" t="n">
        <v>0</v>
      </c>
      <c r="J895" t="n">
        <v>0</v>
      </c>
      <c r="K895" t="n">
        <v>0</v>
      </c>
      <c r="L895" t="n">
        <v>0</v>
      </c>
      <c r="M895" t="n">
        <v>0</v>
      </c>
      <c r="N895" t="n">
        <v>0</v>
      </c>
      <c r="O895" t="n">
        <v>0</v>
      </c>
      <c r="P895" t="n">
        <v>0</v>
      </c>
      <c r="Q895" t="n">
        <v>0</v>
      </c>
      <c r="R895" s="2" t="inlineStr"/>
    </row>
    <row r="896" ht="15" customHeight="1">
      <c r="A896" t="inlineStr">
        <is>
          <t>A 3560-2024</t>
        </is>
      </c>
      <c r="B896" s="1" t="n">
        <v>45320</v>
      </c>
      <c r="C896" s="1" t="n">
        <v>45824</v>
      </c>
      <c r="D896" t="inlineStr">
        <is>
          <t>VÄSTMANLANDS LÄN</t>
        </is>
      </c>
      <c r="E896" t="inlineStr">
        <is>
          <t>SALA</t>
        </is>
      </c>
      <c r="F896" t="inlineStr">
        <is>
          <t>Kommuner</t>
        </is>
      </c>
      <c r="G896" t="n">
        <v>4.2</v>
      </c>
      <c r="H896" t="n">
        <v>0</v>
      </c>
      <c r="I896" t="n">
        <v>0</v>
      </c>
      <c r="J896" t="n">
        <v>0</v>
      </c>
      <c r="K896" t="n">
        <v>0</v>
      </c>
      <c r="L896" t="n">
        <v>0</v>
      </c>
      <c r="M896" t="n">
        <v>0</v>
      </c>
      <c r="N896" t="n">
        <v>0</v>
      </c>
      <c r="O896" t="n">
        <v>0</v>
      </c>
      <c r="P896" t="n">
        <v>0</v>
      </c>
      <c r="Q896" t="n">
        <v>0</v>
      </c>
      <c r="R896" s="2" t="inlineStr"/>
    </row>
    <row r="897" ht="15" customHeight="1">
      <c r="A897" t="inlineStr">
        <is>
          <t>A 4417-2024</t>
        </is>
      </c>
      <c r="B897" s="1" t="n">
        <v>45327</v>
      </c>
      <c r="C897" s="1" t="n">
        <v>45824</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4897-2024</t>
        </is>
      </c>
      <c r="B898" s="1" t="n">
        <v>45329</v>
      </c>
      <c r="C898" s="1" t="n">
        <v>45824</v>
      </c>
      <c r="D898" t="inlineStr">
        <is>
          <t>VÄSTMANLANDS LÄN</t>
        </is>
      </c>
      <c r="E898" t="inlineStr">
        <is>
          <t>SALA</t>
        </is>
      </c>
      <c r="G898" t="n">
        <v>3.4</v>
      </c>
      <c r="H898" t="n">
        <v>0</v>
      </c>
      <c r="I898" t="n">
        <v>0</v>
      </c>
      <c r="J898" t="n">
        <v>0</v>
      </c>
      <c r="K898" t="n">
        <v>0</v>
      </c>
      <c r="L898" t="n">
        <v>0</v>
      </c>
      <c r="M898" t="n">
        <v>0</v>
      </c>
      <c r="N898" t="n">
        <v>0</v>
      </c>
      <c r="O898" t="n">
        <v>0</v>
      </c>
      <c r="P898" t="n">
        <v>0</v>
      </c>
      <c r="Q898" t="n">
        <v>0</v>
      </c>
      <c r="R898" s="2" t="inlineStr"/>
    </row>
    <row r="899" ht="15" customHeight="1">
      <c r="A899" t="inlineStr">
        <is>
          <t>A 5478-2024</t>
        </is>
      </c>
      <c r="B899" s="1" t="n">
        <v>45333</v>
      </c>
      <c r="C899" s="1" t="n">
        <v>45824</v>
      </c>
      <c r="D899" t="inlineStr">
        <is>
          <t>VÄSTMANLANDS LÄN</t>
        </is>
      </c>
      <c r="E899" t="inlineStr">
        <is>
          <t>SALA</t>
        </is>
      </c>
      <c r="G899" t="n">
        <v>1.5</v>
      </c>
      <c r="H899" t="n">
        <v>0</v>
      </c>
      <c r="I899" t="n">
        <v>0</v>
      </c>
      <c r="J899" t="n">
        <v>0</v>
      </c>
      <c r="K899" t="n">
        <v>0</v>
      </c>
      <c r="L899" t="n">
        <v>0</v>
      </c>
      <c r="M899" t="n">
        <v>0</v>
      </c>
      <c r="N899" t="n">
        <v>0</v>
      </c>
      <c r="O899" t="n">
        <v>0</v>
      </c>
      <c r="P899" t="n">
        <v>0</v>
      </c>
      <c r="Q899" t="n">
        <v>0</v>
      </c>
      <c r="R899" s="2" t="inlineStr"/>
    </row>
    <row r="900" ht="15" customHeight="1">
      <c r="A900" t="inlineStr">
        <is>
          <t>A 5477-2024</t>
        </is>
      </c>
      <c r="B900" s="1" t="n">
        <v>45333</v>
      </c>
      <c r="C900" s="1" t="n">
        <v>45824</v>
      </c>
      <c r="D900" t="inlineStr">
        <is>
          <t>VÄSTMANLANDS LÄN</t>
        </is>
      </c>
      <c r="E900" t="inlineStr">
        <is>
          <t>SALA</t>
        </is>
      </c>
      <c r="G900" t="n">
        <v>2.3</v>
      </c>
      <c r="H900" t="n">
        <v>0</v>
      </c>
      <c r="I900" t="n">
        <v>0</v>
      </c>
      <c r="J900" t="n">
        <v>0</v>
      </c>
      <c r="K900" t="n">
        <v>0</v>
      </c>
      <c r="L900" t="n">
        <v>0</v>
      </c>
      <c r="M900" t="n">
        <v>0</v>
      </c>
      <c r="N900" t="n">
        <v>0</v>
      </c>
      <c r="O900" t="n">
        <v>0</v>
      </c>
      <c r="P900" t="n">
        <v>0</v>
      </c>
      <c r="Q900" t="n">
        <v>0</v>
      </c>
      <c r="R900" s="2" t="inlineStr"/>
    </row>
    <row r="901" ht="15" customHeight="1">
      <c r="A901" t="inlineStr">
        <is>
          <t>A 5705-2024</t>
        </is>
      </c>
      <c r="B901" s="1" t="n">
        <v>45334</v>
      </c>
      <c r="C901" s="1" t="n">
        <v>45824</v>
      </c>
      <c r="D901" t="inlineStr">
        <is>
          <t>VÄSTMANLANDS LÄN</t>
        </is>
      </c>
      <c r="E901" t="inlineStr">
        <is>
          <t>SALA</t>
        </is>
      </c>
      <c r="G901" t="n">
        <v>2.1</v>
      </c>
      <c r="H901" t="n">
        <v>0</v>
      </c>
      <c r="I901" t="n">
        <v>0</v>
      </c>
      <c r="J901" t="n">
        <v>0</v>
      </c>
      <c r="K901" t="n">
        <v>0</v>
      </c>
      <c r="L901" t="n">
        <v>0</v>
      </c>
      <c r="M901" t="n">
        <v>0</v>
      </c>
      <c r="N901" t="n">
        <v>0</v>
      </c>
      <c r="O901" t="n">
        <v>0</v>
      </c>
      <c r="P901" t="n">
        <v>0</v>
      </c>
      <c r="Q901" t="n">
        <v>0</v>
      </c>
      <c r="R901" s="2" t="inlineStr"/>
    </row>
    <row r="902" ht="15" customHeight="1">
      <c r="A902" t="inlineStr">
        <is>
          <t>A 5977-2024</t>
        </is>
      </c>
      <c r="B902" s="1" t="n">
        <v>45336</v>
      </c>
      <c r="C902" s="1" t="n">
        <v>45824</v>
      </c>
      <c r="D902" t="inlineStr">
        <is>
          <t>VÄSTMANLANDS LÄN</t>
        </is>
      </c>
      <c r="E902" t="inlineStr">
        <is>
          <t>SALA</t>
        </is>
      </c>
      <c r="G902" t="n">
        <v>13.1</v>
      </c>
      <c r="H902" t="n">
        <v>0</v>
      </c>
      <c r="I902" t="n">
        <v>0</v>
      </c>
      <c r="J902" t="n">
        <v>0</v>
      </c>
      <c r="K902" t="n">
        <v>0</v>
      </c>
      <c r="L902" t="n">
        <v>0</v>
      </c>
      <c r="M902" t="n">
        <v>0</v>
      </c>
      <c r="N902" t="n">
        <v>0</v>
      </c>
      <c r="O902" t="n">
        <v>0</v>
      </c>
      <c r="P902" t="n">
        <v>0</v>
      </c>
      <c r="Q902" t="n">
        <v>0</v>
      </c>
      <c r="R902" s="2" t="inlineStr"/>
    </row>
    <row r="903" ht="15" customHeight="1">
      <c r="A903" t="inlineStr">
        <is>
          <t>A 6030-2024</t>
        </is>
      </c>
      <c r="B903" s="1" t="n">
        <v>45336</v>
      </c>
      <c r="C903" s="1" t="n">
        <v>45824</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5984-2024</t>
        </is>
      </c>
      <c r="B904" s="1" t="n">
        <v>45336</v>
      </c>
      <c r="C904" s="1" t="n">
        <v>45824</v>
      </c>
      <c r="D904" t="inlineStr">
        <is>
          <t>VÄSTMANLANDS LÄN</t>
        </is>
      </c>
      <c r="E904" t="inlineStr">
        <is>
          <t>SALA</t>
        </is>
      </c>
      <c r="G904" t="n">
        <v>0.7</v>
      </c>
      <c r="H904" t="n">
        <v>0</v>
      </c>
      <c r="I904" t="n">
        <v>0</v>
      </c>
      <c r="J904" t="n">
        <v>0</v>
      </c>
      <c r="K904" t="n">
        <v>0</v>
      </c>
      <c r="L904" t="n">
        <v>0</v>
      </c>
      <c r="M904" t="n">
        <v>0</v>
      </c>
      <c r="N904" t="n">
        <v>0</v>
      </c>
      <c r="O904" t="n">
        <v>0</v>
      </c>
      <c r="P904" t="n">
        <v>0</v>
      </c>
      <c r="Q904" t="n">
        <v>0</v>
      </c>
      <c r="R904" s="2" t="inlineStr"/>
    </row>
    <row r="905" ht="15" customHeight="1">
      <c r="A905" t="inlineStr">
        <is>
          <t>A 6134-2024</t>
        </is>
      </c>
      <c r="B905" s="1" t="n">
        <v>45337</v>
      </c>
      <c r="C905" s="1" t="n">
        <v>45824</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6572-2024</t>
        </is>
      </c>
      <c r="B906" s="1" t="n">
        <v>45338</v>
      </c>
      <c r="C906" s="1" t="n">
        <v>45824</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6538-2024</t>
        </is>
      </c>
      <c r="B907" s="1" t="n">
        <v>45338</v>
      </c>
      <c r="C907" s="1" t="n">
        <v>45824</v>
      </c>
      <c r="D907" t="inlineStr">
        <is>
          <t>VÄSTMANLANDS LÄN</t>
        </is>
      </c>
      <c r="E907" t="inlineStr">
        <is>
          <t>SALA</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6601-2024</t>
        </is>
      </c>
      <c r="B908" s="1" t="n">
        <v>45338</v>
      </c>
      <c r="C908" s="1" t="n">
        <v>45824</v>
      </c>
      <c r="D908" t="inlineStr">
        <is>
          <t>VÄSTMANLANDS LÄN</t>
        </is>
      </c>
      <c r="E908" t="inlineStr">
        <is>
          <t>SALA</t>
        </is>
      </c>
      <c r="G908" t="n">
        <v>4</v>
      </c>
      <c r="H908" t="n">
        <v>0</v>
      </c>
      <c r="I908" t="n">
        <v>0</v>
      </c>
      <c r="J908" t="n">
        <v>0</v>
      </c>
      <c r="K908" t="n">
        <v>0</v>
      </c>
      <c r="L908" t="n">
        <v>0</v>
      </c>
      <c r="M908" t="n">
        <v>0</v>
      </c>
      <c r="N908" t="n">
        <v>0</v>
      </c>
      <c r="O908" t="n">
        <v>0</v>
      </c>
      <c r="P908" t="n">
        <v>0</v>
      </c>
      <c r="Q908" t="n">
        <v>0</v>
      </c>
      <c r="R908" s="2" t="inlineStr"/>
    </row>
    <row r="909" ht="15" customHeight="1">
      <c r="A909" t="inlineStr">
        <is>
          <t>A 6585-2024</t>
        </is>
      </c>
      <c r="B909" s="1" t="n">
        <v>45338</v>
      </c>
      <c r="C909" s="1" t="n">
        <v>45824</v>
      </c>
      <c r="D909" t="inlineStr">
        <is>
          <t>VÄSTMANLANDS LÄN</t>
        </is>
      </c>
      <c r="E909" t="inlineStr">
        <is>
          <t>SALA</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6541-2024</t>
        </is>
      </c>
      <c r="B910" s="1" t="n">
        <v>45338</v>
      </c>
      <c r="C910" s="1" t="n">
        <v>45824</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6657-2024</t>
        </is>
      </c>
      <c r="B911" s="1" t="n">
        <v>45341</v>
      </c>
      <c r="C911" s="1" t="n">
        <v>45824</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7953-2024</t>
        </is>
      </c>
      <c r="B912" s="1" t="n">
        <v>45350</v>
      </c>
      <c r="C912" s="1" t="n">
        <v>45824</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8591-2024</t>
        </is>
      </c>
      <c r="B913" s="1" t="n">
        <v>45355</v>
      </c>
      <c r="C913" s="1" t="n">
        <v>45824</v>
      </c>
      <c r="D913" t="inlineStr">
        <is>
          <t>VÄSTMANLANDS LÄN</t>
        </is>
      </c>
      <c r="E913" t="inlineStr">
        <is>
          <t>SALA</t>
        </is>
      </c>
      <c r="G913" t="n">
        <v>4.6</v>
      </c>
      <c r="H913" t="n">
        <v>0</v>
      </c>
      <c r="I913" t="n">
        <v>0</v>
      </c>
      <c r="J913" t="n">
        <v>0</v>
      </c>
      <c r="K913" t="n">
        <v>0</v>
      </c>
      <c r="L913" t="n">
        <v>0</v>
      </c>
      <c r="M913" t="n">
        <v>0</v>
      </c>
      <c r="N913" t="n">
        <v>0</v>
      </c>
      <c r="O913" t="n">
        <v>0</v>
      </c>
      <c r="P913" t="n">
        <v>0</v>
      </c>
      <c r="Q913" t="n">
        <v>0</v>
      </c>
      <c r="R913" s="2" t="inlineStr"/>
    </row>
    <row r="914" ht="15" customHeight="1">
      <c r="A914" t="inlineStr">
        <is>
          <t>A 8775-2024</t>
        </is>
      </c>
      <c r="B914" s="1" t="n">
        <v>45356</v>
      </c>
      <c r="C914" s="1" t="n">
        <v>45824</v>
      </c>
      <c r="D914" t="inlineStr">
        <is>
          <t>VÄSTMANLANDS LÄN</t>
        </is>
      </c>
      <c r="E914" t="inlineStr">
        <is>
          <t>SALA</t>
        </is>
      </c>
      <c r="G914" t="n">
        <v>0.6</v>
      </c>
      <c r="H914" t="n">
        <v>0</v>
      </c>
      <c r="I914" t="n">
        <v>0</v>
      </c>
      <c r="J914" t="n">
        <v>0</v>
      </c>
      <c r="K914" t="n">
        <v>0</v>
      </c>
      <c r="L914" t="n">
        <v>0</v>
      </c>
      <c r="M914" t="n">
        <v>0</v>
      </c>
      <c r="N914" t="n">
        <v>0</v>
      </c>
      <c r="O914" t="n">
        <v>0</v>
      </c>
      <c r="P914" t="n">
        <v>0</v>
      </c>
      <c r="Q914" t="n">
        <v>0</v>
      </c>
      <c r="R914" s="2" t="inlineStr"/>
    </row>
    <row r="915" ht="15" customHeight="1">
      <c r="A915" t="inlineStr">
        <is>
          <t>A 8793-2024</t>
        </is>
      </c>
      <c r="B915" s="1" t="n">
        <v>45356</v>
      </c>
      <c r="C915" s="1" t="n">
        <v>45824</v>
      </c>
      <c r="D915" t="inlineStr">
        <is>
          <t>VÄSTMANLANDS LÄN</t>
        </is>
      </c>
      <c r="E915" t="inlineStr">
        <is>
          <t>SALA</t>
        </is>
      </c>
      <c r="G915" t="n">
        <v>2</v>
      </c>
      <c r="H915" t="n">
        <v>0</v>
      </c>
      <c r="I915" t="n">
        <v>0</v>
      </c>
      <c r="J915" t="n">
        <v>0</v>
      </c>
      <c r="K915" t="n">
        <v>0</v>
      </c>
      <c r="L915" t="n">
        <v>0</v>
      </c>
      <c r="M915" t="n">
        <v>0</v>
      </c>
      <c r="N915" t="n">
        <v>0</v>
      </c>
      <c r="O915" t="n">
        <v>0</v>
      </c>
      <c r="P915" t="n">
        <v>0</v>
      </c>
      <c r="Q915" t="n">
        <v>0</v>
      </c>
      <c r="R915" s="2" t="inlineStr"/>
    </row>
    <row r="916" ht="15" customHeight="1">
      <c r="A916" t="inlineStr">
        <is>
          <t>A 8778-2024</t>
        </is>
      </c>
      <c r="B916" s="1" t="n">
        <v>45356</v>
      </c>
      <c r="C916" s="1" t="n">
        <v>45824</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9205-2024</t>
        </is>
      </c>
      <c r="B917" s="1" t="n">
        <v>45358</v>
      </c>
      <c r="C917" s="1" t="n">
        <v>45824</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9204-2024</t>
        </is>
      </c>
      <c r="B918" s="1" t="n">
        <v>45358</v>
      </c>
      <c r="C918" s="1" t="n">
        <v>45824</v>
      </c>
      <c r="D918" t="inlineStr">
        <is>
          <t>VÄSTMANLANDS LÄN</t>
        </is>
      </c>
      <c r="E918" t="inlineStr">
        <is>
          <t>SALA</t>
        </is>
      </c>
      <c r="G918" t="n">
        <v>0.6</v>
      </c>
      <c r="H918" t="n">
        <v>0</v>
      </c>
      <c r="I918" t="n">
        <v>0</v>
      </c>
      <c r="J918" t="n">
        <v>0</v>
      </c>
      <c r="K918" t="n">
        <v>0</v>
      </c>
      <c r="L918" t="n">
        <v>0</v>
      </c>
      <c r="M918" t="n">
        <v>0</v>
      </c>
      <c r="N918" t="n">
        <v>0</v>
      </c>
      <c r="O918" t="n">
        <v>0</v>
      </c>
      <c r="P918" t="n">
        <v>0</v>
      </c>
      <c r="Q918" t="n">
        <v>0</v>
      </c>
      <c r="R918" s="2" t="inlineStr"/>
    </row>
    <row r="919" ht="15" customHeight="1">
      <c r="A919" t="inlineStr">
        <is>
          <t>A 9474-2024</t>
        </is>
      </c>
      <c r="B919" s="1" t="n">
        <v>45359</v>
      </c>
      <c r="C919" s="1" t="n">
        <v>45824</v>
      </c>
      <c r="D919" t="inlineStr">
        <is>
          <t>VÄSTMANLANDS LÄN</t>
        </is>
      </c>
      <c r="E919" t="inlineStr">
        <is>
          <t>SALA</t>
        </is>
      </c>
      <c r="F919" t="inlineStr">
        <is>
          <t>Kommuner</t>
        </is>
      </c>
      <c r="G919" t="n">
        <v>4.1</v>
      </c>
      <c r="H919" t="n">
        <v>0</v>
      </c>
      <c r="I919" t="n">
        <v>0</v>
      </c>
      <c r="J919" t="n">
        <v>0</v>
      </c>
      <c r="K919" t="n">
        <v>0</v>
      </c>
      <c r="L919" t="n">
        <v>0</v>
      </c>
      <c r="M919" t="n">
        <v>0</v>
      </c>
      <c r="N919" t="n">
        <v>0</v>
      </c>
      <c r="O919" t="n">
        <v>0</v>
      </c>
      <c r="P919" t="n">
        <v>0</v>
      </c>
      <c r="Q919" t="n">
        <v>0</v>
      </c>
      <c r="R919" s="2" t="inlineStr"/>
    </row>
    <row r="920" ht="15" customHeight="1">
      <c r="A920" t="inlineStr">
        <is>
          <t>A 9853-2024</t>
        </is>
      </c>
      <c r="B920" s="1" t="n">
        <v>45363</v>
      </c>
      <c r="C920" s="1" t="n">
        <v>45824</v>
      </c>
      <c r="D920" t="inlineStr">
        <is>
          <t>VÄSTMANLANDS LÄN</t>
        </is>
      </c>
      <c r="E920" t="inlineStr">
        <is>
          <t>SALA</t>
        </is>
      </c>
      <c r="G920" t="n">
        <v>3.2</v>
      </c>
      <c r="H920" t="n">
        <v>0</v>
      </c>
      <c r="I920" t="n">
        <v>0</v>
      </c>
      <c r="J920" t="n">
        <v>0</v>
      </c>
      <c r="K920" t="n">
        <v>0</v>
      </c>
      <c r="L920" t="n">
        <v>0</v>
      </c>
      <c r="M920" t="n">
        <v>0</v>
      </c>
      <c r="N920" t="n">
        <v>0</v>
      </c>
      <c r="O920" t="n">
        <v>0</v>
      </c>
      <c r="P920" t="n">
        <v>0</v>
      </c>
      <c r="Q920" t="n">
        <v>0</v>
      </c>
      <c r="R920" s="2" t="inlineStr"/>
    </row>
    <row r="921" ht="15" customHeight="1">
      <c r="A921" t="inlineStr">
        <is>
          <t>A 9874-2024</t>
        </is>
      </c>
      <c r="B921" s="1" t="n">
        <v>45363</v>
      </c>
      <c r="C921" s="1" t="n">
        <v>45824</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10255-2024</t>
        </is>
      </c>
      <c r="B922" s="1" t="n">
        <v>45365</v>
      </c>
      <c r="C922" s="1" t="n">
        <v>45824</v>
      </c>
      <c r="D922" t="inlineStr">
        <is>
          <t>VÄSTMANLANDS LÄN</t>
        </is>
      </c>
      <c r="E922" t="inlineStr">
        <is>
          <t>SALA</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10559-2024</t>
        </is>
      </c>
      <c r="B923" s="1" t="n">
        <v>45366</v>
      </c>
      <c r="C923" s="1" t="n">
        <v>45824</v>
      </c>
      <c r="D923" t="inlineStr">
        <is>
          <t>VÄSTMANLANDS LÄN</t>
        </is>
      </c>
      <c r="E923" t="inlineStr">
        <is>
          <t>SALA</t>
        </is>
      </c>
      <c r="G923" t="n">
        <v>0.3</v>
      </c>
      <c r="H923" t="n">
        <v>0</v>
      </c>
      <c r="I923" t="n">
        <v>0</v>
      </c>
      <c r="J923" t="n">
        <v>0</v>
      </c>
      <c r="K923" t="n">
        <v>0</v>
      </c>
      <c r="L923" t="n">
        <v>0</v>
      </c>
      <c r="M923" t="n">
        <v>0</v>
      </c>
      <c r="N923" t="n">
        <v>0</v>
      </c>
      <c r="O923" t="n">
        <v>0</v>
      </c>
      <c r="P923" t="n">
        <v>0</v>
      </c>
      <c r="Q923" t="n">
        <v>0</v>
      </c>
      <c r="R923" s="2" t="inlineStr"/>
    </row>
    <row r="924" ht="15" customHeight="1">
      <c r="A924" t="inlineStr">
        <is>
          <t>A 10751-2024</t>
        </is>
      </c>
      <c r="B924" s="1" t="n">
        <v>45369</v>
      </c>
      <c r="C924" s="1" t="n">
        <v>45824</v>
      </c>
      <c r="D924" t="inlineStr">
        <is>
          <t>VÄSTMANLANDS LÄN</t>
        </is>
      </c>
      <c r="E924" t="inlineStr">
        <is>
          <t>SALA</t>
        </is>
      </c>
      <c r="G924" t="n">
        <v>1.6</v>
      </c>
      <c r="H924" t="n">
        <v>0</v>
      </c>
      <c r="I924" t="n">
        <v>0</v>
      </c>
      <c r="J924" t="n">
        <v>0</v>
      </c>
      <c r="K924" t="n">
        <v>0</v>
      </c>
      <c r="L924" t="n">
        <v>0</v>
      </c>
      <c r="M924" t="n">
        <v>0</v>
      </c>
      <c r="N924" t="n">
        <v>0</v>
      </c>
      <c r="O924" t="n">
        <v>0</v>
      </c>
      <c r="P924" t="n">
        <v>0</v>
      </c>
      <c r="Q924" t="n">
        <v>0</v>
      </c>
      <c r="R924" s="2" t="inlineStr"/>
    </row>
    <row r="925" ht="15" customHeight="1">
      <c r="A925" t="inlineStr">
        <is>
          <t>A 10754-2024</t>
        </is>
      </c>
      <c r="B925" s="1" t="n">
        <v>45369</v>
      </c>
      <c r="C925" s="1" t="n">
        <v>45824</v>
      </c>
      <c r="D925" t="inlineStr">
        <is>
          <t>VÄSTMANLANDS LÄN</t>
        </is>
      </c>
      <c r="E925" t="inlineStr">
        <is>
          <t>SALA</t>
        </is>
      </c>
      <c r="G925" t="n">
        <v>1.4</v>
      </c>
      <c r="H925" t="n">
        <v>0</v>
      </c>
      <c r="I925" t="n">
        <v>0</v>
      </c>
      <c r="J925" t="n">
        <v>0</v>
      </c>
      <c r="K925" t="n">
        <v>0</v>
      </c>
      <c r="L925" t="n">
        <v>0</v>
      </c>
      <c r="M925" t="n">
        <v>0</v>
      </c>
      <c r="N925" t="n">
        <v>0</v>
      </c>
      <c r="O925" t="n">
        <v>0</v>
      </c>
      <c r="P925" t="n">
        <v>0</v>
      </c>
      <c r="Q925" t="n">
        <v>0</v>
      </c>
      <c r="R925" s="2" t="inlineStr"/>
    </row>
    <row r="926" ht="15" customHeight="1">
      <c r="A926" t="inlineStr">
        <is>
          <t>A 10909-2024</t>
        </is>
      </c>
      <c r="B926" s="1" t="n">
        <v>45370</v>
      </c>
      <c r="C926" s="1" t="n">
        <v>45824</v>
      </c>
      <c r="D926" t="inlineStr">
        <is>
          <t>VÄSTMANLANDS LÄN</t>
        </is>
      </c>
      <c r="E926" t="inlineStr">
        <is>
          <t>SALA</t>
        </is>
      </c>
      <c r="G926" t="n">
        <v>3.3</v>
      </c>
      <c r="H926" t="n">
        <v>0</v>
      </c>
      <c r="I926" t="n">
        <v>0</v>
      </c>
      <c r="J926" t="n">
        <v>0</v>
      </c>
      <c r="K926" t="n">
        <v>0</v>
      </c>
      <c r="L926" t="n">
        <v>0</v>
      </c>
      <c r="M926" t="n">
        <v>0</v>
      </c>
      <c r="N926" t="n">
        <v>0</v>
      </c>
      <c r="O926" t="n">
        <v>0</v>
      </c>
      <c r="P926" t="n">
        <v>0</v>
      </c>
      <c r="Q926" t="n">
        <v>0</v>
      </c>
      <c r="R926" s="2" t="inlineStr"/>
    </row>
    <row r="927" ht="15" customHeight="1">
      <c r="A927" t="inlineStr">
        <is>
          <t>A 11244-2024</t>
        </is>
      </c>
      <c r="B927" s="1" t="n">
        <v>45371</v>
      </c>
      <c r="C927" s="1" t="n">
        <v>45824</v>
      </c>
      <c r="D927" t="inlineStr">
        <is>
          <t>VÄSTMANLANDS LÄN</t>
        </is>
      </c>
      <c r="E927" t="inlineStr">
        <is>
          <t>SALA</t>
        </is>
      </c>
      <c r="G927" t="n">
        <v>1.2</v>
      </c>
      <c r="H927" t="n">
        <v>0</v>
      </c>
      <c r="I927" t="n">
        <v>0</v>
      </c>
      <c r="J927" t="n">
        <v>0</v>
      </c>
      <c r="K927" t="n">
        <v>0</v>
      </c>
      <c r="L927" t="n">
        <v>0</v>
      </c>
      <c r="M927" t="n">
        <v>0</v>
      </c>
      <c r="N927" t="n">
        <v>0</v>
      </c>
      <c r="O927" t="n">
        <v>0</v>
      </c>
      <c r="P927" t="n">
        <v>0</v>
      </c>
      <c r="Q927" t="n">
        <v>0</v>
      </c>
      <c r="R927" s="2" t="inlineStr"/>
    </row>
    <row r="928" ht="15" customHeight="1">
      <c r="A928" t="inlineStr">
        <is>
          <t>A 11381-2024</t>
        </is>
      </c>
      <c r="B928" s="1" t="n">
        <v>45372</v>
      </c>
      <c r="C928" s="1" t="n">
        <v>45824</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11389-2024</t>
        </is>
      </c>
      <c r="B929" s="1" t="n">
        <v>45372</v>
      </c>
      <c r="C929" s="1" t="n">
        <v>45824</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11378-2024</t>
        </is>
      </c>
      <c r="B930" s="1" t="n">
        <v>45372</v>
      </c>
      <c r="C930" s="1" t="n">
        <v>45824</v>
      </c>
      <c r="D930" t="inlineStr">
        <is>
          <t>VÄSTMANLANDS LÄN</t>
        </is>
      </c>
      <c r="E930" t="inlineStr">
        <is>
          <t>SALA</t>
        </is>
      </c>
      <c r="G930" t="n">
        <v>2.9</v>
      </c>
      <c r="H930" t="n">
        <v>0</v>
      </c>
      <c r="I930" t="n">
        <v>0</v>
      </c>
      <c r="J930" t="n">
        <v>0</v>
      </c>
      <c r="K930" t="n">
        <v>0</v>
      </c>
      <c r="L930" t="n">
        <v>0</v>
      </c>
      <c r="M930" t="n">
        <v>0</v>
      </c>
      <c r="N930" t="n">
        <v>0</v>
      </c>
      <c r="O930" t="n">
        <v>0</v>
      </c>
      <c r="P930" t="n">
        <v>0</v>
      </c>
      <c r="Q930" t="n">
        <v>0</v>
      </c>
      <c r="R930" s="2" t="inlineStr"/>
    </row>
    <row r="931" ht="15" customHeight="1">
      <c r="A931" t="inlineStr">
        <is>
          <t>A 11492-2024</t>
        </is>
      </c>
      <c r="B931" s="1" t="n">
        <v>45372</v>
      </c>
      <c r="C931" s="1" t="n">
        <v>45824</v>
      </c>
      <c r="D931" t="inlineStr">
        <is>
          <t>VÄSTMANLANDS LÄN</t>
        </is>
      </c>
      <c r="E931" t="inlineStr">
        <is>
          <t>SALA</t>
        </is>
      </c>
      <c r="G931" t="n">
        <v>6.9</v>
      </c>
      <c r="H931" t="n">
        <v>0</v>
      </c>
      <c r="I931" t="n">
        <v>0</v>
      </c>
      <c r="J931" t="n">
        <v>0</v>
      </c>
      <c r="K931" t="n">
        <v>0</v>
      </c>
      <c r="L931" t="n">
        <v>0</v>
      </c>
      <c r="M931" t="n">
        <v>0</v>
      </c>
      <c r="N931" t="n">
        <v>0</v>
      </c>
      <c r="O931" t="n">
        <v>0</v>
      </c>
      <c r="P931" t="n">
        <v>0</v>
      </c>
      <c r="Q931" t="n">
        <v>0</v>
      </c>
      <c r="R931" s="2" t="inlineStr"/>
    </row>
    <row r="932" ht="15" customHeight="1">
      <c r="A932" t="inlineStr">
        <is>
          <t>A 11847-2024</t>
        </is>
      </c>
      <c r="B932" s="1" t="n">
        <v>45376</v>
      </c>
      <c r="C932" s="1" t="n">
        <v>45824</v>
      </c>
      <c r="D932" t="inlineStr">
        <is>
          <t>VÄSTMANLANDS LÄN</t>
        </is>
      </c>
      <c r="E932" t="inlineStr">
        <is>
          <t>SALA</t>
        </is>
      </c>
      <c r="G932" t="n">
        <v>7.1</v>
      </c>
      <c r="H932" t="n">
        <v>0</v>
      </c>
      <c r="I932" t="n">
        <v>0</v>
      </c>
      <c r="J932" t="n">
        <v>0</v>
      </c>
      <c r="K932" t="n">
        <v>0</v>
      </c>
      <c r="L932" t="n">
        <v>0</v>
      </c>
      <c r="M932" t="n">
        <v>0</v>
      </c>
      <c r="N932" t="n">
        <v>0</v>
      </c>
      <c r="O932" t="n">
        <v>0</v>
      </c>
      <c r="P932" t="n">
        <v>0</v>
      </c>
      <c r="Q932" t="n">
        <v>0</v>
      </c>
      <c r="R932" s="2" t="inlineStr"/>
    </row>
    <row r="933" ht="15" customHeight="1">
      <c r="A933" t="inlineStr">
        <is>
          <t>A 12236-2024</t>
        </is>
      </c>
      <c r="B933" s="1" t="n">
        <v>45378</v>
      </c>
      <c r="C933" s="1" t="n">
        <v>45824</v>
      </c>
      <c r="D933" t="inlineStr">
        <is>
          <t>VÄSTMANLANDS LÄN</t>
        </is>
      </c>
      <c r="E933" t="inlineStr">
        <is>
          <t>SALA</t>
        </is>
      </c>
      <c r="F933" t="inlineStr">
        <is>
          <t>Kommuner</t>
        </is>
      </c>
      <c r="G933" t="n">
        <v>4.4</v>
      </c>
      <c r="H933" t="n">
        <v>0</v>
      </c>
      <c r="I933" t="n">
        <v>0</v>
      </c>
      <c r="J933" t="n">
        <v>0</v>
      </c>
      <c r="K933" t="n">
        <v>0</v>
      </c>
      <c r="L933" t="n">
        <v>0</v>
      </c>
      <c r="M933" t="n">
        <v>0</v>
      </c>
      <c r="N933" t="n">
        <v>0</v>
      </c>
      <c r="O933" t="n">
        <v>0</v>
      </c>
      <c r="P933" t="n">
        <v>0</v>
      </c>
      <c r="Q933" t="n">
        <v>0</v>
      </c>
      <c r="R933" s="2" t="inlineStr"/>
    </row>
    <row r="934" ht="15" customHeight="1">
      <c r="A934" t="inlineStr">
        <is>
          <t>A 12244-2024</t>
        </is>
      </c>
      <c r="B934" s="1" t="n">
        <v>45378</v>
      </c>
      <c r="C934" s="1" t="n">
        <v>45824</v>
      </c>
      <c r="D934" t="inlineStr">
        <is>
          <t>VÄSTMANLANDS LÄN</t>
        </is>
      </c>
      <c r="E934" t="inlineStr">
        <is>
          <t>SALA</t>
        </is>
      </c>
      <c r="G934" t="n">
        <v>3.6</v>
      </c>
      <c r="H934" t="n">
        <v>0</v>
      </c>
      <c r="I934" t="n">
        <v>0</v>
      </c>
      <c r="J934" t="n">
        <v>0</v>
      </c>
      <c r="K934" t="n">
        <v>0</v>
      </c>
      <c r="L934" t="n">
        <v>0</v>
      </c>
      <c r="M934" t="n">
        <v>0</v>
      </c>
      <c r="N934" t="n">
        <v>0</v>
      </c>
      <c r="O934" t="n">
        <v>0</v>
      </c>
      <c r="P934" t="n">
        <v>0</v>
      </c>
      <c r="Q934" t="n">
        <v>0</v>
      </c>
      <c r="R934" s="2" t="inlineStr"/>
    </row>
    <row r="935" ht="15" customHeight="1">
      <c r="A935" t="inlineStr">
        <is>
          <t>A 12237-2024</t>
        </is>
      </c>
      <c r="B935" s="1" t="n">
        <v>45378</v>
      </c>
      <c r="C935" s="1" t="n">
        <v>45824</v>
      </c>
      <c r="D935" t="inlineStr">
        <is>
          <t>VÄSTMANLANDS LÄN</t>
        </is>
      </c>
      <c r="E935" t="inlineStr">
        <is>
          <t>SALA</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12242-2024</t>
        </is>
      </c>
      <c r="B936" s="1" t="n">
        <v>45378</v>
      </c>
      <c r="C936" s="1" t="n">
        <v>45824</v>
      </c>
      <c r="D936" t="inlineStr">
        <is>
          <t>VÄSTMANLANDS LÄN</t>
        </is>
      </c>
      <c r="E936" t="inlineStr">
        <is>
          <t>SALA</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12463-2024</t>
        </is>
      </c>
      <c r="B937" s="1" t="n">
        <v>45378</v>
      </c>
      <c r="C937" s="1" t="n">
        <v>45824</v>
      </c>
      <c r="D937" t="inlineStr">
        <is>
          <t>VÄSTMANLANDS LÄN</t>
        </is>
      </c>
      <c r="E937" t="inlineStr">
        <is>
          <t>SALA</t>
        </is>
      </c>
      <c r="G937" t="n">
        <v>1.9</v>
      </c>
      <c r="H937" t="n">
        <v>0</v>
      </c>
      <c r="I937" t="n">
        <v>0</v>
      </c>
      <c r="J937" t="n">
        <v>0</v>
      </c>
      <c r="K937" t="n">
        <v>0</v>
      </c>
      <c r="L937" t="n">
        <v>0</v>
      </c>
      <c r="M937" t="n">
        <v>0</v>
      </c>
      <c r="N937" t="n">
        <v>0</v>
      </c>
      <c r="O937" t="n">
        <v>0</v>
      </c>
      <c r="P937" t="n">
        <v>0</v>
      </c>
      <c r="Q937" t="n">
        <v>0</v>
      </c>
      <c r="R937" s="2" t="inlineStr"/>
    </row>
    <row r="938" ht="15" customHeight="1">
      <c r="A938" t="inlineStr">
        <is>
          <t>A 12485-2024</t>
        </is>
      </c>
      <c r="B938" s="1" t="n">
        <v>45379</v>
      </c>
      <c r="C938" s="1" t="n">
        <v>45824</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13106-2024</t>
        </is>
      </c>
      <c r="B939" s="1" t="n">
        <v>45385</v>
      </c>
      <c r="C939" s="1" t="n">
        <v>45824</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13110-2024</t>
        </is>
      </c>
      <c r="B940" s="1" t="n">
        <v>45385</v>
      </c>
      <c r="C940" s="1" t="n">
        <v>45824</v>
      </c>
      <c r="D940" t="inlineStr">
        <is>
          <t>VÄSTMANLANDS LÄN</t>
        </is>
      </c>
      <c r="E940" t="inlineStr">
        <is>
          <t>SALA</t>
        </is>
      </c>
      <c r="G940" t="n">
        <v>3</v>
      </c>
      <c r="H940" t="n">
        <v>0</v>
      </c>
      <c r="I940" t="n">
        <v>0</v>
      </c>
      <c r="J940" t="n">
        <v>0</v>
      </c>
      <c r="K940" t="n">
        <v>0</v>
      </c>
      <c r="L940" t="n">
        <v>0</v>
      </c>
      <c r="M940" t="n">
        <v>0</v>
      </c>
      <c r="N940" t="n">
        <v>0</v>
      </c>
      <c r="O940" t="n">
        <v>0</v>
      </c>
      <c r="P940" t="n">
        <v>0</v>
      </c>
      <c r="Q940" t="n">
        <v>0</v>
      </c>
      <c r="R940" s="2" t="inlineStr"/>
    </row>
    <row r="941" ht="15" customHeight="1">
      <c r="A941" t="inlineStr">
        <is>
          <t>A 14001-2024</t>
        </is>
      </c>
      <c r="B941" s="1" t="n">
        <v>45392</v>
      </c>
      <c r="C941" s="1" t="n">
        <v>45824</v>
      </c>
      <c r="D941" t="inlineStr">
        <is>
          <t>VÄSTMANLANDS LÄN</t>
        </is>
      </c>
      <c r="E941" t="inlineStr">
        <is>
          <t>SALA</t>
        </is>
      </c>
      <c r="G941" t="n">
        <v>2.2</v>
      </c>
      <c r="H941" t="n">
        <v>0</v>
      </c>
      <c r="I941" t="n">
        <v>0</v>
      </c>
      <c r="J941" t="n">
        <v>0</v>
      </c>
      <c r="K941" t="n">
        <v>0</v>
      </c>
      <c r="L941" t="n">
        <v>0</v>
      </c>
      <c r="M941" t="n">
        <v>0</v>
      </c>
      <c r="N941" t="n">
        <v>0</v>
      </c>
      <c r="O941" t="n">
        <v>0</v>
      </c>
      <c r="P941" t="n">
        <v>0</v>
      </c>
      <c r="Q941" t="n">
        <v>0</v>
      </c>
      <c r="R941" s="2" t="inlineStr"/>
    </row>
    <row r="942" ht="15" customHeight="1">
      <c r="A942" t="inlineStr">
        <is>
          <t>A 14115-2024</t>
        </is>
      </c>
      <c r="B942" s="1" t="n">
        <v>45392</v>
      </c>
      <c r="C942" s="1" t="n">
        <v>45824</v>
      </c>
      <c r="D942" t="inlineStr">
        <is>
          <t>VÄSTMANLANDS LÄN</t>
        </is>
      </c>
      <c r="E942" t="inlineStr">
        <is>
          <t>SALA</t>
        </is>
      </c>
      <c r="G942" t="n">
        <v>5</v>
      </c>
      <c r="H942" t="n">
        <v>0</v>
      </c>
      <c r="I942" t="n">
        <v>0</v>
      </c>
      <c r="J942" t="n">
        <v>0</v>
      </c>
      <c r="K942" t="n">
        <v>0</v>
      </c>
      <c r="L942" t="n">
        <v>0</v>
      </c>
      <c r="M942" t="n">
        <v>0</v>
      </c>
      <c r="N942" t="n">
        <v>0</v>
      </c>
      <c r="O942" t="n">
        <v>0</v>
      </c>
      <c r="P942" t="n">
        <v>0</v>
      </c>
      <c r="Q942" t="n">
        <v>0</v>
      </c>
      <c r="R942" s="2" t="inlineStr"/>
    </row>
    <row r="943" ht="15" customHeight="1">
      <c r="A943" t="inlineStr">
        <is>
          <t>A 14181-2024</t>
        </is>
      </c>
      <c r="B943" s="1" t="n">
        <v>45393</v>
      </c>
      <c r="C943" s="1" t="n">
        <v>45824</v>
      </c>
      <c r="D943" t="inlineStr">
        <is>
          <t>VÄSTMANLANDS LÄN</t>
        </is>
      </c>
      <c r="E943" t="inlineStr">
        <is>
          <t>SALA</t>
        </is>
      </c>
      <c r="G943" t="n">
        <v>6.4</v>
      </c>
      <c r="H943" t="n">
        <v>0</v>
      </c>
      <c r="I943" t="n">
        <v>0</v>
      </c>
      <c r="J943" t="n">
        <v>0</v>
      </c>
      <c r="K943" t="n">
        <v>0</v>
      </c>
      <c r="L943" t="n">
        <v>0</v>
      </c>
      <c r="M943" t="n">
        <v>0</v>
      </c>
      <c r="N943" t="n">
        <v>0</v>
      </c>
      <c r="O943" t="n">
        <v>0</v>
      </c>
      <c r="P943" t="n">
        <v>0</v>
      </c>
      <c r="Q943" t="n">
        <v>0</v>
      </c>
      <c r="R943" s="2" t="inlineStr"/>
    </row>
    <row r="944" ht="15" customHeight="1">
      <c r="A944" t="inlineStr">
        <is>
          <t>A 15972-2024</t>
        </is>
      </c>
      <c r="B944" s="1" t="n">
        <v>45405</v>
      </c>
      <c r="C944" s="1" t="n">
        <v>45824</v>
      </c>
      <c r="D944" t="inlineStr">
        <is>
          <t>VÄSTMANLANDS LÄN</t>
        </is>
      </c>
      <c r="E944" t="inlineStr">
        <is>
          <t>SALA</t>
        </is>
      </c>
      <c r="G944" t="n">
        <v>1.8</v>
      </c>
      <c r="H944" t="n">
        <v>0</v>
      </c>
      <c r="I944" t="n">
        <v>0</v>
      </c>
      <c r="J944" t="n">
        <v>0</v>
      </c>
      <c r="K944" t="n">
        <v>0</v>
      </c>
      <c r="L944" t="n">
        <v>0</v>
      </c>
      <c r="M944" t="n">
        <v>0</v>
      </c>
      <c r="N944" t="n">
        <v>0</v>
      </c>
      <c r="O944" t="n">
        <v>0</v>
      </c>
      <c r="P944" t="n">
        <v>0</v>
      </c>
      <c r="Q944" t="n">
        <v>0</v>
      </c>
      <c r="R944" s="2" t="inlineStr"/>
    </row>
    <row r="945" ht="15" customHeight="1">
      <c r="A945" t="inlineStr">
        <is>
          <t>A 15968-2024</t>
        </is>
      </c>
      <c r="B945" s="1" t="n">
        <v>45405</v>
      </c>
      <c r="C945" s="1" t="n">
        <v>45824</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15965-2024</t>
        </is>
      </c>
      <c r="B946" s="1" t="n">
        <v>45405</v>
      </c>
      <c r="C946" s="1" t="n">
        <v>45824</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16159-2024</t>
        </is>
      </c>
      <c r="B947" s="1" t="n">
        <v>45406</v>
      </c>
      <c r="C947" s="1" t="n">
        <v>45824</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16163-2024</t>
        </is>
      </c>
      <c r="B948" s="1" t="n">
        <v>45406</v>
      </c>
      <c r="C948" s="1" t="n">
        <v>45824</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16148-2024</t>
        </is>
      </c>
      <c r="B949" s="1" t="n">
        <v>45406</v>
      </c>
      <c r="C949" s="1" t="n">
        <v>45824</v>
      </c>
      <c r="D949" t="inlineStr">
        <is>
          <t>VÄSTMANLANDS LÄN</t>
        </is>
      </c>
      <c r="E949" t="inlineStr">
        <is>
          <t>SALA</t>
        </is>
      </c>
      <c r="G949" t="n">
        <v>5.1</v>
      </c>
      <c r="H949" t="n">
        <v>0</v>
      </c>
      <c r="I949" t="n">
        <v>0</v>
      </c>
      <c r="J949" t="n">
        <v>0</v>
      </c>
      <c r="K949" t="n">
        <v>0</v>
      </c>
      <c r="L949" t="n">
        <v>0</v>
      </c>
      <c r="M949" t="n">
        <v>0</v>
      </c>
      <c r="N949" t="n">
        <v>0</v>
      </c>
      <c r="O949" t="n">
        <v>0</v>
      </c>
      <c r="P949" t="n">
        <v>0</v>
      </c>
      <c r="Q949" t="n">
        <v>0</v>
      </c>
      <c r="R949" s="2" t="inlineStr"/>
    </row>
    <row r="950" ht="15" customHeight="1">
      <c r="A950" t="inlineStr">
        <is>
          <t>A 16160-2024</t>
        </is>
      </c>
      <c r="B950" s="1" t="n">
        <v>45406</v>
      </c>
      <c r="C950" s="1" t="n">
        <v>45824</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16767-2024</t>
        </is>
      </c>
      <c r="B951" s="1" t="n">
        <v>45411</v>
      </c>
      <c r="C951" s="1" t="n">
        <v>45824</v>
      </c>
      <c r="D951" t="inlineStr">
        <is>
          <t>VÄSTMANLANDS LÄN</t>
        </is>
      </c>
      <c r="E951" t="inlineStr">
        <is>
          <t>SALA</t>
        </is>
      </c>
      <c r="G951" t="n">
        <v>2.5</v>
      </c>
      <c r="H951" t="n">
        <v>0</v>
      </c>
      <c r="I951" t="n">
        <v>0</v>
      </c>
      <c r="J951" t="n">
        <v>0</v>
      </c>
      <c r="K951" t="n">
        <v>0</v>
      </c>
      <c r="L951" t="n">
        <v>0</v>
      </c>
      <c r="M951" t="n">
        <v>0</v>
      </c>
      <c r="N951" t="n">
        <v>0</v>
      </c>
      <c r="O951" t="n">
        <v>0</v>
      </c>
      <c r="P951" t="n">
        <v>0</v>
      </c>
      <c r="Q951" t="n">
        <v>0</v>
      </c>
      <c r="R951" s="2" t="inlineStr"/>
    </row>
    <row r="952" ht="15" customHeight="1">
      <c r="A952" t="inlineStr">
        <is>
          <t>A 16760-2024</t>
        </is>
      </c>
      <c r="B952" s="1" t="n">
        <v>45411</v>
      </c>
      <c r="C952" s="1" t="n">
        <v>45824</v>
      </c>
      <c r="D952" t="inlineStr">
        <is>
          <t>VÄSTMANLANDS LÄN</t>
        </is>
      </c>
      <c r="E952" t="inlineStr">
        <is>
          <t>SALA</t>
        </is>
      </c>
      <c r="G952" t="n">
        <v>2.6</v>
      </c>
      <c r="H952" t="n">
        <v>0</v>
      </c>
      <c r="I952" t="n">
        <v>0</v>
      </c>
      <c r="J952" t="n">
        <v>0</v>
      </c>
      <c r="K952" t="n">
        <v>0</v>
      </c>
      <c r="L952" t="n">
        <v>0</v>
      </c>
      <c r="M952" t="n">
        <v>0</v>
      </c>
      <c r="N952" t="n">
        <v>0</v>
      </c>
      <c r="O952" t="n">
        <v>0</v>
      </c>
      <c r="P952" t="n">
        <v>0</v>
      </c>
      <c r="Q952" t="n">
        <v>0</v>
      </c>
      <c r="R952" s="2" t="inlineStr"/>
    </row>
    <row r="953" ht="15" customHeight="1">
      <c r="A953" t="inlineStr">
        <is>
          <t>A 16769-2024</t>
        </is>
      </c>
      <c r="B953" s="1" t="n">
        <v>45411</v>
      </c>
      <c r="C953" s="1" t="n">
        <v>45824</v>
      </c>
      <c r="D953" t="inlineStr">
        <is>
          <t>VÄSTMANLANDS LÄN</t>
        </is>
      </c>
      <c r="E953" t="inlineStr">
        <is>
          <t>SALA</t>
        </is>
      </c>
      <c r="G953" t="n">
        <v>12</v>
      </c>
      <c r="H953" t="n">
        <v>0</v>
      </c>
      <c r="I953" t="n">
        <v>0</v>
      </c>
      <c r="J953" t="n">
        <v>0</v>
      </c>
      <c r="K953" t="n">
        <v>0</v>
      </c>
      <c r="L953" t="n">
        <v>0</v>
      </c>
      <c r="M953" t="n">
        <v>0</v>
      </c>
      <c r="N953" t="n">
        <v>0</v>
      </c>
      <c r="O953" t="n">
        <v>0</v>
      </c>
      <c r="P953" t="n">
        <v>0</v>
      </c>
      <c r="Q953" t="n">
        <v>0</v>
      </c>
      <c r="R953" s="2" t="inlineStr"/>
    </row>
    <row r="954" ht="15" customHeight="1">
      <c r="A954" t="inlineStr">
        <is>
          <t>A 17455-2024</t>
        </is>
      </c>
      <c r="B954" s="1" t="n">
        <v>45415</v>
      </c>
      <c r="C954" s="1" t="n">
        <v>45824</v>
      </c>
      <c r="D954" t="inlineStr">
        <is>
          <t>VÄSTMANLANDS LÄN</t>
        </is>
      </c>
      <c r="E954" t="inlineStr">
        <is>
          <t>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17495-2024</t>
        </is>
      </c>
      <c r="B955" s="1" t="n">
        <v>45415</v>
      </c>
      <c r="C955" s="1" t="n">
        <v>45824</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17457-2024</t>
        </is>
      </c>
      <c r="B956" s="1" t="n">
        <v>45415</v>
      </c>
      <c r="C956" s="1" t="n">
        <v>45824</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17458-2024</t>
        </is>
      </c>
      <c r="B957" s="1" t="n">
        <v>45415</v>
      </c>
      <c r="C957" s="1" t="n">
        <v>45824</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17496-2024</t>
        </is>
      </c>
      <c r="B958" s="1" t="n">
        <v>45415</v>
      </c>
      <c r="C958" s="1" t="n">
        <v>45824</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17918-2024</t>
        </is>
      </c>
      <c r="B959" s="1" t="n">
        <v>45419</v>
      </c>
      <c r="C959" s="1" t="n">
        <v>45824</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18461-2024</t>
        </is>
      </c>
      <c r="B960" s="1" t="n">
        <v>45425</v>
      </c>
      <c r="C960" s="1" t="n">
        <v>45824</v>
      </c>
      <c r="D960" t="inlineStr">
        <is>
          <t>VÄSTMANLANDS LÄN</t>
        </is>
      </c>
      <c r="E960" t="inlineStr">
        <is>
          <t>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18522-2024</t>
        </is>
      </c>
      <c r="B961" s="1" t="n">
        <v>45425</v>
      </c>
      <c r="C961" s="1" t="n">
        <v>45824</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18750-2024</t>
        </is>
      </c>
      <c r="B962" s="1" t="n">
        <v>45426</v>
      </c>
      <c r="C962" s="1" t="n">
        <v>45824</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18762-2024</t>
        </is>
      </c>
      <c r="B963" s="1" t="n">
        <v>45426</v>
      </c>
      <c r="C963" s="1" t="n">
        <v>45824</v>
      </c>
      <c r="D963" t="inlineStr">
        <is>
          <t>VÄSTMANLANDS LÄN</t>
        </is>
      </c>
      <c r="E963" t="inlineStr">
        <is>
          <t>SALA</t>
        </is>
      </c>
      <c r="G963" t="n">
        <v>6.2</v>
      </c>
      <c r="H963" t="n">
        <v>0</v>
      </c>
      <c r="I963" t="n">
        <v>0</v>
      </c>
      <c r="J963" t="n">
        <v>0</v>
      </c>
      <c r="K963" t="n">
        <v>0</v>
      </c>
      <c r="L963" t="n">
        <v>0</v>
      </c>
      <c r="M963" t="n">
        <v>0</v>
      </c>
      <c r="N963" t="n">
        <v>0</v>
      </c>
      <c r="O963" t="n">
        <v>0</v>
      </c>
      <c r="P963" t="n">
        <v>0</v>
      </c>
      <c r="Q963" t="n">
        <v>0</v>
      </c>
      <c r="R963" s="2" t="inlineStr"/>
    </row>
    <row r="964" ht="15" customHeight="1">
      <c r="A964" t="inlineStr">
        <is>
          <t>A 19224-2024</t>
        </is>
      </c>
      <c r="B964" s="1" t="n">
        <v>45428</v>
      </c>
      <c r="C964" s="1" t="n">
        <v>45824</v>
      </c>
      <c r="D964" t="inlineStr">
        <is>
          <t>VÄSTMANLANDS LÄN</t>
        </is>
      </c>
      <c r="E964" t="inlineStr">
        <is>
          <t>SALA</t>
        </is>
      </c>
      <c r="G964" t="n">
        <v>1.5</v>
      </c>
      <c r="H964" t="n">
        <v>0</v>
      </c>
      <c r="I964" t="n">
        <v>0</v>
      </c>
      <c r="J964" t="n">
        <v>0</v>
      </c>
      <c r="K964" t="n">
        <v>0</v>
      </c>
      <c r="L964" t="n">
        <v>0</v>
      </c>
      <c r="M964" t="n">
        <v>0</v>
      </c>
      <c r="N964" t="n">
        <v>0</v>
      </c>
      <c r="O964" t="n">
        <v>0</v>
      </c>
      <c r="P964" t="n">
        <v>0</v>
      </c>
      <c r="Q964" t="n">
        <v>0</v>
      </c>
      <c r="R964" s="2" t="inlineStr"/>
    </row>
    <row r="965" ht="15" customHeight="1">
      <c r="A965" t="inlineStr">
        <is>
          <t>A 19803-2024</t>
        </is>
      </c>
      <c r="B965" s="1" t="n">
        <v>45432</v>
      </c>
      <c r="C965" s="1" t="n">
        <v>45824</v>
      </c>
      <c r="D965" t="inlineStr">
        <is>
          <t>VÄSTMANLANDS LÄN</t>
        </is>
      </c>
      <c r="E965" t="inlineStr">
        <is>
          <t>SALA</t>
        </is>
      </c>
      <c r="G965" t="n">
        <v>3.1</v>
      </c>
      <c r="H965" t="n">
        <v>0</v>
      </c>
      <c r="I965" t="n">
        <v>0</v>
      </c>
      <c r="J965" t="n">
        <v>0</v>
      </c>
      <c r="K965" t="n">
        <v>0</v>
      </c>
      <c r="L965" t="n">
        <v>0</v>
      </c>
      <c r="M965" t="n">
        <v>0</v>
      </c>
      <c r="N965" t="n">
        <v>0</v>
      </c>
      <c r="O965" t="n">
        <v>0</v>
      </c>
      <c r="P965" t="n">
        <v>0</v>
      </c>
      <c r="Q965" t="n">
        <v>0</v>
      </c>
      <c r="R965" s="2" t="inlineStr"/>
    </row>
    <row r="966" ht="15" customHeight="1">
      <c r="A966" t="inlineStr">
        <is>
          <t>A 19860-2024</t>
        </is>
      </c>
      <c r="B966" s="1" t="n">
        <v>45433</v>
      </c>
      <c r="C966" s="1" t="n">
        <v>45824</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19969-2024</t>
        </is>
      </c>
      <c r="B967" s="1" t="n">
        <v>45433</v>
      </c>
      <c r="C967" s="1" t="n">
        <v>45824</v>
      </c>
      <c r="D967" t="inlineStr">
        <is>
          <t>VÄSTMANLANDS LÄN</t>
        </is>
      </c>
      <c r="E967" t="inlineStr">
        <is>
          <t>SALA</t>
        </is>
      </c>
      <c r="G967" t="n">
        <v>4.7</v>
      </c>
      <c r="H967" t="n">
        <v>0</v>
      </c>
      <c r="I967" t="n">
        <v>0</v>
      </c>
      <c r="J967" t="n">
        <v>0</v>
      </c>
      <c r="K967" t="n">
        <v>0</v>
      </c>
      <c r="L967" t="n">
        <v>0</v>
      </c>
      <c r="M967" t="n">
        <v>0</v>
      </c>
      <c r="N967" t="n">
        <v>0</v>
      </c>
      <c r="O967" t="n">
        <v>0</v>
      </c>
      <c r="P967" t="n">
        <v>0</v>
      </c>
      <c r="Q967" t="n">
        <v>0</v>
      </c>
      <c r="R967" s="2" t="inlineStr"/>
    </row>
    <row r="968" ht="15" customHeight="1">
      <c r="A968" t="inlineStr">
        <is>
          <t>A 21234-2024</t>
        </is>
      </c>
      <c r="B968" s="1" t="n">
        <v>45440</v>
      </c>
      <c r="C968" s="1" t="n">
        <v>45824</v>
      </c>
      <c r="D968" t="inlineStr">
        <is>
          <t>VÄSTMANLANDS LÄN</t>
        </is>
      </c>
      <c r="E968" t="inlineStr">
        <is>
          <t>SALA</t>
        </is>
      </c>
      <c r="G968" t="n">
        <v>4.9</v>
      </c>
      <c r="H968" t="n">
        <v>0</v>
      </c>
      <c r="I968" t="n">
        <v>0</v>
      </c>
      <c r="J968" t="n">
        <v>0</v>
      </c>
      <c r="K968" t="n">
        <v>0</v>
      </c>
      <c r="L968" t="n">
        <v>0</v>
      </c>
      <c r="M968" t="n">
        <v>0</v>
      </c>
      <c r="N968" t="n">
        <v>0</v>
      </c>
      <c r="O968" t="n">
        <v>0</v>
      </c>
      <c r="P968" t="n">
        <v>0</v>
      </c>
      <c r="Q968" t="n">
        <v>0</v>
      </c>
      <c r="R968" s="2" t="inlineStr"/>
    </row>
    <row r="969" ht="15" customHeight="1">
      <c r="A969" t="inlineStr">
        <is>
          <t>A 21225-2024</t>
        </is>
      </c>
      <c r="B969" s="1" t="n">
        <v>45440</v>
      </c>
      <c r="C969" s="1" t="n">
        <v>45824</v>
      </c>
      <c r="D969" t="inlineStr">
        <is>
          <t>VÄSTMANLANDS LÄN</t>
        </is>
      </c>
      <c r="E969" t="inlineStr">
        <is>
          <t>SALA</t>
        </is>
      </c>
      <c r="G969" t="n">
        <v>2.2</v>
      </c>
      <c r="H969" t="n">
        <v>0</v>
      </c>
      <c r="I969" t="n">
        <v>0</v>
      </c>
      <c r="J969" t="n">
        <v>0</v>
      </c>
      <c r="K969" t="n">
        <v>0</v>
      </c>
      <c r="L969" t="n">
        <v>0</v>
      </c>
      <c r="M969" t="n">
        <v>0</v>
      </c>
      <c r="N969" t="n">
        <v>0</v>
      </c>
      <c r="O969" t="n">
        <v>0</v>
      </c>
      <c r="P969" t="n">
        <v>0</v>
      </c>
      <c r="Q969" t="n">
        <v>0</v>
      </c>
      <c r="R969" s="2" t="inlineStr"/>
    </row>
    <row r="970" ht="15" customHeight="1">
      <c r="A970" t="inlineStr">
        <is>
          <t>A 21968-2024</t>
        </is>
      </c>
      <c r="B970" s="1" t="n">
        <v>45443</v>
      </c>
      <c r="C970" s="1" t="n">
        <v>45824</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23317-2024</t>
        </is>
      </c>
      <c r="B971" s="1" t="n">
        <v>45453</v>
      </c>
      <c r="C971" s="1" t="n">
        <v>45824</v>
      </c>
      <c r="D971" t="inlineStr">
        <is>
          <t>VÄSTMANLANDS LÄN</t>
        </is>
      </c>
      <c r="E971" t="inlineStr">
        <is>
          <t>SALA</t>
        </is>
      </c>
      <c r="G971" t="n">
        <v>6.5</v>
      </c>
      <c r="H971" t="n">
        <v>0</v>
      </c>
      <c r="I971" t="n">
        <v>0</v>
      </c>
      <c r="J971" t="n">
        <v>0</v>
      </c>
      <c r="K971" t="n">
        <v>0</v>
      </c>
      <c r="L971" t="n">
        <v>0</v>
      </c>
      <c r="M971" t="n">
        <v>0</v>
      </c>
      <c r="N971" t="n">
        <v>0</v>
      </c>
      <c r="O971" t="n">
        <v>0</v>
      </c>
      <c r="P971" t="n">
        <v>0</v>
      </c>
      <c r="Q971" t="n">
        <v>0</v>
      </c>
      <c r="R971" s="2" t="inlineStr"/>
    </row>
    <row r="972" ht="15" customHeight="1">
      <c r="A972" t="inlineStr">
        <is>
          <t>A 23406-2024</t>
        </is>
      </c>
      <c r="B972" s="1" t="n">
        <v>45453</v>
      </c>
      <c r="C972" s="1" t="n">
        <v>45824</v>
      </c>
      <c r="D972" t="inlineStr">
        <is>
          <t>VÄSTMANLANDS LÄN</t>
        </is>
      </c>
      <c r="E972" t="inlineStr">
        <is>
          <t>SALA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23431-2024</t>
        </is>
      </c>
      <c r="B973" s="1" t="n">
        <v>45453</v>
      </c>
      <c r="C973" s="1" t="n">
        <v>45824</v>
      </c>
      <c r="D973" t="inlineStr">
        <is>
          <t>VÄSTMANLANDS LÄN</t>
        </is>
      </c>
      <c r="E973" t="inlineStr">
        <is>
          <t>SALA</t>
        </is>
      </c>
      <c r="G973" t="n">
        <v>1.6</v>
      </c>
      <c r="H973" t="n">
        <v>0</v>
      </c>
      <c r="I973" t="n">
        <v>0</v>
      </c>
      <c r="J973" t="n">
        <v>0</v>
      </c>
      <c r="K973" t="n">
        <v>0</v>
      </c>
      <c r="L973" t="n">
        <v>0</v>
      </c>
      <c r="M973" t="n">
        <v>0</v>
      </c>
      <c r="N973" t="n">
        <v>0</v>
      </c>
      <c r="O973" t="n">
        <v>0</v>
      </c>
      <c r="P973" t="n">
        <v>0</v>
      </c>
      <c r="Q973" t="n">
        <v>0</v>
      </c>
      <c r="R973" s="2" t="inlineStr"/>
    </row>
    <row r="974" ht="15" customHeight="1">
      <c r="A974" t="inlineStr">
        <is>
          <t>A 23433-2024</t>
        </is>
      </c>
      <c r="B974" s="1" t="n">
        <v>45453</v>
      </c>
      <c r="C974" s="1" t="n">
        <v>45824</v>
      </c>
      <c r="D974" t="inlineStr">
        <is>
          <t>VÄSTMANLANDS LÄN</t>
        </is>
      </c>
      <c r="E974" t="inlineStr">
        <is>
          <t>SALA</t>
        </is>
      </c>
      <c r="G974" t="n">
        <v>2.1</v>
      </c>
      <c r="H974" t="n">
        <v>0</v>
      </c>
      <c r="I974" t="n">
        <v>0</v>
      </c>
      <c r="J974" t="n">
        <v>0</v>
      </c>
      <c r="K974" t="n">
        <v>0</v>
      </c>
      <c r="L974" t="n">
        <v>0</v>
      </c>
      <c r="M974" t="n">
        <v>0</v>
      </c>
      <c r="N974" t="n">
        <v>0</v>
      </c>
      <c r="O974" t="n">
        <v>0</v>
      </c>
      <c r="P974" t="n">
        <v>0</v>
      </c>
      <c r="Q974" t="n">
        <v>0</v>
      </c>
      <c r="R974" s="2" t="inlineStr"/>
    </row>
    <row r="975" ht="15" customHeight="1">
      <c r="A975" t="inlineStr">
        <is>
          <t>A 23322-2024</t>
        </is>
      </c>
      <c r="B975" s="1" t="n">
        <v>45453</v>
      </c>
      <c r="C975" s="1" t="n">
        <v>45824</v>
      </c>
      <c r="D975" t="inlineStr">
        <is>
          <t>VÄSTMANLANDS LÄN</t>
        </is>
      </c>
      <c r="E975" t="inlineStr">
        <is>
          <t>SALA</t>
        </is>
      </c>
      <c r="G975" t="n">
        <v>3.2</v>
      </c>
      <c r="H975" t="n">
        <v>0</v>
      </c>
      <c r="I975" t="n">
        <v>0</v>
      </c>
      <c r="J975" t="n">
        <v>0</v>
      </c>
      <c r="K975" t="n">
        <v>0</v>
      </c>
      <c r="L975" t="n">
        <v>0</v>
      </c>
      <c r="M975" t="n">
        <v>0</v>
      </c>
      <c r="N975" t="n">
        <v>0</v>
      </c>
      <c r="O975" t="n">
        <v>0</v>
      </c>
      <c r="P975" t="n">
        <v>0</v>
      </c>
      <c r="Q975" t="n">
        <v>0</v>
      </c>
      <c r="R975" s="2" t="inlineStr"/>
    </row>
    <row r="976" ht="15" customHeight="1">
      <c r="A976" t="inlineStr">
        <is>
          <t>A 23621-2024</t>
        </is>
      </c>
      <c r="B976" s="1" t="n">
        <v>45454</v>
      </c>
      <c r="C976" s="1" t="n">
        <v>45824</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24039-2024</t>
        </is>
      </c>
      <c r="B977" s="1" t="n">
        <v>45456</v>
      </c>
      <c r="C977" s="1" t="n">
        <v>45824</v>
      </c>
      <c r="D977" t="inlineStr">
        <is>
          <t>VÄSTMANLANDS LÄN</t>
        </is>
      </c>
      <c r="E977" t="inlineStr">
        <is>
          <t>SALA</t>
        </is>
      </c>
      <c r="G977" t="n">
        <v>1.2</v>
      </c>
      <c r="H977" t="n">
        <v>0</v>
      </c>
      <c r="I977" t="n">
        <v>0</v>
      </c>
      <c r="J977" t="n">
        <v>0</v>
      </c>
      <c r="K977" t="n">
        <v>0</v>
      </c>
      <c r="L977" t="n">
        <v>0</v>
      </c>
      <c r="M977" t="n">
        <v>0</v>
      </c>
      <c r="N977" t="n">
        <v>0</v>
      </c>
      <c r="O977" t="n">
        <v>0</v>
      </c>
      <c r="P977" t="n">
        <v>0</v>
      </c>
      <c r="Q977" t="n">
        <v>0</v>
      </c>
      <c r="R977" s="2" t="inlineStr"/>
    </row>
    <row r="978" ht="15" customHeight="1">
      <c r="A978" t="inlineStr">
        <is>
          <t>A 24037-2024</t>
        </is>
      </c>
      <c r="B978" s="1" t="n">
        <v>45456</v>
      </c>
      <c r="C978" s="1" t="n">
        <v>45824</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24175-2024</t>
        </is>
      </c>
      <c r="B979" s="1" t="n">
        <v>45456</v>
      </c>
      <c r="C979" s="1" t="n">
        <v>45824</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24337-2024</t>
        </is>
      </c>
      <c r="B980" s="1" t="n">
        <v>45457</v>
      </c>
      <c r="C980" s="1" t="n">
        <v>45824</v>
      </c>
      <c r="D980" t="inlineStr">
        <is>
          <t>VÄSTMANLANDS LÄN</t>
        </is>
      </c>
      <c r="E980" t="inlineStr">
        <is>
          <t>SALA</t>
        </is>
      </c>
      <c r="G980" t="n">
        <v>2.9</v>
      </c>
      <c r="H980" t="n">
        <v>0</v>
      </c>
      <c r="I980" t="n">
        <v>0</v>
      </c>
      <c r="J980" t="n">
        <v>0</v>
      </c>
      <c r="K980" t="n">
        <v>0</v>
      </c>
      <c r="L980" t="n">
        <v>0</v>
      </c>
      <c r="M980" t="n">
        <v>0</v>
      </c>
      <c r="N980" t="n">
        <v>0</v>
      </c>
      <c r="O980" t="n">
        <v>0</v>
      </c>
      <c r="P980" t="n">
        <v>0</v>
      </c>
      <c r="Q980" t="n">
        <v>0</v>
      </c>
      <c r="R980" s="2" t="inlineStr"/>
    </row>
    <row r="981" ht="15" customHeight="1">
      <c r="A981" t="inlineStr">
        <is>
          <t>A 24375-2024</t>
        </is>
      </c>
      <c r="B981" s="1" t="n">
        <v>45457</v>
      </c>
      <c r="C981" s="1" t="n">
        <v>45824</v>
      </c>
      <c r="D981" t="inlineStr">
        <is>
          <t>VÄSTMANLANDS LÄN</t>
        </is>
      </c>
      <c r="E981" t="inlineStr">
        <is>
          <t>SALA</t>
        </is>
      </c>
      <c r="G981" t="n">
        <v>6.3</v>
      </c>
      <c r="H981" t="n">
        <v>0</v>
      </c>
      <c r="I981" t="n">
        <v>0</v>
      </c>
      <c r="J981" t="n">
        <v>0</v>
      </c>
      <c r="K981" t="n">
        <v>0</v>
      </c>
      <c r="L981" t="n">
        <v>0</v>
      </c>
      <c r="M981" t="n">
        <v>0</v>
      </c>
      <c r="N981" t="n">
        <v>0</v>
      </c>
      <c r="O981" t="n">
        <v>0</v>
      </c>
      <c r="P981" t="n">
        <v>0</v>
      </c>
      <c r="Q981" t="n">
        <v>0</v>
      </c>
      <c r="R981" s="2" t="inlineStr"/>
    </row>
    <row r="982" ht="15" customHeight="1">
      <c r="A982" t="inlineStr">
        <is>
          <t>A 24866-2024</t>
        </is>
      </c>
      <c r="B982" s="1" t="n">
        <v>45461</v>
      </c>
      <c r="C982" s="1" t="n">
        <v>45824</v>
      </c>
      <c r="D982" t="inlineStr">
        <is>
          <t>VÄSTMANLANDS LÄN</t>
        </is>
      </c>
      <c r="E982" t="inlineStr">
        <is>
          <t>SALA</t>
        </is>
      </c>
      <c r="G982" t="n">
        <v>2.8</v>
      </c>
      <c r="H982" t="n">
        <v>0</v>
      </c>
      <c r="I982" t="n">
        <v>0</v>
      </c>
      <c r="J982" t="n">
        <v>0</v>
      </c>
      <c r="K982" t="n">
        <v>0</v>
      </c>
      <c r="L982" t="n">
        <v>0</v>
      </c>
      <c r="M982" t="n">
        <v>0</v>
      </c>
      <c r="N982" t="n">
        <v>0</v>
      </c>
      <c r="O982" t="n">
        <v>0</v>
      </c>
      <c r="P982" t="n">
        <v>0</v>
      </c>
      <c r="Q982" t="n">
        <v>0</v>
      </c>
      <c r="R982" s="2" t="inlineStr"/>
    </row>
    <row r="983" ht="15" customHeight="1">
      <c r="A983" t="inlineStr">
        <is>
          <t>A 24900-2024</t>
        </is>
      </c>
      <c r="B983" s="1" t="n">
        <v>45461</v>
      </c>
      <c r="C983" s="1" t="n">
        <v>45824</v>
      </c>
      <c r="D983" t="inlineStr">
        <is>
          <t>VÄSTMANLANDS LÄN</t>
        </is>
      </c>
      <c r="E983" t="inlineStr">
        <is>
          <t>SALA</t>
        </is>
      </c>
      <c r="G983" t="n">
        <v>5.8</v>
      </c>
      <c r="H983" t="n">
        <v>0</v>
      </c>
      <c r="I983" t="n">
        <v>0</v>
      </c>
      <c r="J983" t="n">
        <v>0</v>
      </c>
      <c r="K983" t="n">
        <v>0</v>
      </c>
      <c r="L983" t="n">
        <v>0</v>
      </c>
      <c r="M983" t="n">
        <v>0</v>
      </c>
      <c r="N983" t="n">
        <v>0</v>
      </c>
      <c r="O983" t="n">
        <v>0</v>
      </c>
      <c r="P983" t="n">
        <v>0</v>
      </c>
      <c r="Q983" t="n">
        <v>0</v>
      </c>
      <c r="R983" s="2" t="inlineStr"/>
    </row>
    <row r="984" ht="15" customHeight="1">
      <c r="A984" t="inlineStr">
        <is>
          <t>A 24864-2024</t>
        </is>
      </c>
      <c r="B984" s="1" t="n">
        <v>45461</v>
      </c>
      <c r="C984" s="1" t="n">
        <v>45824</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25541-2024</t>
        </is>
      </c>
      <c r="B985" s="1" t="n">
        <v>45463</v>
      </c>
      <c r="C985" s="1" t="n">
        <v>45824</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25860-2024</t>
        </is>
      </c>
      <c r="B986" s="1" t="n">
        <v>45467</v>
      </c>
      <c r="C986" s="1" t="n">
        <v>45824</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25897-2024</t>
        </is>
      </c>
      <c r="B987" s="1" t="n">
        <v>45467</v>
      </c>
      <c r="C987" s="1" t="n">
        <v>45824</v>
      </c>
      <c r="D987" t="inlineStr">
        <is>
          <t>VÄSTMANLANDS LÄN</t>
        </is>
      </c>
      <c r="E987" t="inlineStr">
        <is>
          <t>SALA</t>
        </is>
      </c>
      <c r="G987" t="n">
        <v>9.9</v>
      </c>
      <c r="H987" t="n">
        <v>0</v>
      </c>
      <c r="I987" t="n">
        <v>0</v>
      </c>
      <c r="J987" t="n">
        <v>0</v>
      </c>
      <c r="K987" t="n">
        <v>0</v>
      </c>
      <c r="L987" t="n">
        <v>0</v>
      </c>
      <c r="M987" t="n">
        <v>0</v>
      </c>
      <c r="N987" t="n">
        <v>0</v>
      </c>
      <c r="O987" t="n">
        <v>0</v>
      </c>
      <c r="P987" t="n">
        <v>0</v>
      </c>
      <c r="Q987" t="n">
        <v>0</v>
      </c>
      <c r="R987" s="2" t="inlineStr"/>
    </row>
    <row r="988" ht="15" customHeight="1">
      <c r="A988" t="inlineStr">
        <is>
          <t>A 25891-2024</t>
        </is>
      </c>
      <c r="B988" s="1" t="n">
        <v>45467</v>
      </c>
      <c r="C988" s="1" t="n">
        <v>45824</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25868-2024</t>
        </is>
      </c>
      <c r="B989" s="1" t="n">
        <v>45467</v>
      </c>
      <c r="C989" s="1" t="n">
        <v>45824</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26854-2024</t>
        </is>
      </c>
      <c r="B990" s="1" t="n">
        <v>45470</v>
      </c>
      <c r="C990" s="1" t="n">
        <v>45824</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26848-2024</t>
        </is>
      </c>
      <c r="B991" s="1" t="n">
        <v>45470</v>
      </c>
      <c r="C991" s="1" t="n">
        <v>45824</v>
      </c>
      <c r="D991" t="inlineStr">
        <is>
          <t>VÄSTMANLANDS LÄN</t>
        </is>
      </c>
      <c r="E991" t="inlineStr">
        <is>
          <t>SALA</t>
        </is>
      </c>
      <c r="G991" t="n">
        <v>0.7</v>
      </c>
      <c r="H991" t="n">
        <v>0</v>
      </c>
      <c r="I991" t="n">
        <v>0</v>
      </c>
      <c r="J991" t="n">
        <v>0</v>
      </c>
      <c r="K991" t="n">
        <v>0</v>
      </c>
      <c r="L991" t="n">
        <v>0</v>
      </c>
      <c r="M991" t="n">
        <v>0</v>
      </c>
      <c r="N991" t="n">
        <v>0</v>
      </c>
      <c r="O991" t="n">
        <v>0</v>
      </c>
      <c r="P991" t="n">
        <v>0</v>
      </c>
      <c r="Q991" t="n">
        <v>0</v>
      </c>
      <c r="R991" s="2" t="inlineStr"/>
    </row>
    <row r="992" ht="15" customHeight="1">
      <c r="A992" t="inlineStr">
        <is>
          <t>A 26844-2024</t>
        </is>
      </c>
      <c r="B992" s="1" t="n">
        <v>45470</v>
      </c>
      <c r="C992" s="1" t="n">
        <v>45824</v>
      </c>
      <c r="D992" t="inlineStr">
        <is>
          <t>VÄSTMANLANDS LÄN</t>
        </is>
      </c>
      <c r="E992" t="inlineStr">
        <is>
          <t>SALA</t>
        </is>
      </c>
      <c r="G992" t="n">
        <v>2.6</v>
      </c>
      <c r="H992" t="n">
        <v>0</v>
      </c>
      <c r="I992" t="n">
        <v>0</v>
      </c>
      <c r="J992" t="n">
        <v>0</v>
      </c>
      <c r="K992" t="n">
        <v>0</v>
      </c>
      <c r="L992" t="n">
        <v>0</v>
      </c>
      <c r="M992" t="n">
        <v>0</v>
      </c>
      <c r="N992" t="n">
        <v>0</v>
      </c>
      <c r="O992" t="n">
        <v>0</v>
      </c>
      <c r="P992" t="n">
        <v>0</v>
      </c>
      <c r="Q992" t="n">
        <v>0</v>
      </c>
      <c r="R992" s="2" t="inlineStr"/>
    </row>
    <row r="993" ht="15" customHeight="1">
      <c r="A993" t="inlineStr">
        <is>
          <t>A 27097-2024</t>
        </is>
      </c>
      <c r="B993" s="1" t="n">
        <v>45471</v>
      </c>
      <c r="C993" s="1" t="n">
        <v>45824</v>
      </c>
      <c r="D993" t="inlineStr">
        <is>
          <t>VÄSTMANLANDS LÄN</t>
        </is>
      </c>
      <c r="E993" t="inlineStr">
        <is>
          <t>SALA</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27262-2024</t>
        </is>
      </c>
      <c r="B994" s="1" t="n">
        <v>45471</v>
      </c>
      <c r="C994" s="1" t="n">
        <v>45824</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27261-2024</t>
        </is>
      </c>
      <c r="B995" s="1" t="n">
        <v>45471</v>
      </c>
      <c r="C995" s="1" t="n">
        <v>45824</v>
      </c>
      <c r="D995" t="inlineStr">
        <is>
          <t>VÄSTMANLANDS LÄN</t>
        </is>
      </c>
      <c r="E995" t="inlineStr">
        <is>
          <t>SALA</t>
        </is>
      </c>
      <c r="G995" t="n">
        <v>6.1</v>
      </c>
      <c r="H995" t="n">
        <v>0</v>
      </c>
      <c r="I995" t="n">
        <v>0</v>
      </c>
      <c r="J995" t="n">
        <v>0</v>
      </c>
      <c r="K995" t="n">
        <v>0</v>
      </c>
      <c r="L995" t="n">
        <v>0</v>
      </c>
      <c r="M995" t="n">
        <v>0</v>
      </c>
      <c r="N995" t="n">
        <v>0</v>
      </c>
      <c r="O995" t="n">
        <v>0</v>
      </c>
      <c r="P995" t="n">
        <v>0</v>
      </c>
      <c r="Q995" t="n">
        <v>0</v>
      </c>
      <c r="R995" s="2" t="inlineStr"/>
    </row>
    <row r="996" ht="15" customHeight="1">
      <c r="A996" t="inlineStr">
        <is>
          <t>A 28082-2024</t>
        </is>
      </c>
      <c r="B996" s="1" t="n">
        <v>45476</v>
      </c>
      <c r="C996" s="1" t="n">
        <v>45824</v>
      </c>
      <c r="D996" t="inlineStr">
        <is>
          <t>VÄSTMANLANDS LÄN</t>
        </is>
      </c>
      <c r="E996" t="inlineStr">
        <is>
          <t>SALA</t>
        </is>
      </c>
      <c r="G996" t="n">
        <v>4.7</v>
      </c>
      <c r="H996" t="n">
        <v>0</v>
      </c>
      <c r="I996" t="n">
        <v>0</v>
      </c>
      <c r="J996" t="n">
        <v>0</v>
      </c>
      <c r="K996" t="n">
        <v>0</v>
      </c>
      <c r="L996" t="n">
        <v>0</v>
      </c>
      <c r="M996" t="n">
        <v>0</v>
      </c>
      <c r="N996" t="n">
        <v>0</v>
      </c>
      <c r="O996" t="n">
        <v>0</v>
      </c>
      <c r="P996" t="n">
        <v>0</v>
      </c>
      <c r="Q996" t="n">
        <v>0</v>
      </c>
      <c r="R996" s="2" t="inlineStr"/>
    </row>
    <row r="997" ht="15" customHeight="1">
      <c r="A997" t="inlineStr">
        <is>
          <t>A 28093-2024</t>
        </is>
      </c>
      <c r="B997" s="1" t="n">
        <v>45476</v>
      </c>
      <c r="C997" s="1" t="n">
        <v>45824</v>
      </c>
      <c r="D997" t="inlineStr">
        <is>
          <t>VÄSTMANLANDS LÄN</t>
        </is>
      </c>
      <c r="E997" t="inlineStr">
        <is>
          <t>SALA</t>
        </is>
      </c>
      <c r="G997" t="n">
        <v>4.2</v>
      </c>
      <c r="H997" t="n">
        <v>0</v>
      </c>
      <c r="I997" t="n">
        <v>0</v>
      </c>
      <c r="J997" t="n">
        <v>0</v>
      </c>
      <c r="K997" t="n">
        <v>0</v>
      </c>
      <c r="L997" t="n">
        <v>0</v>
      </c>
      <c r="M997" t="n">
        <v>0</v>
      </c>
      <c r="N997" t="n">
        <v>0</v>
      </c>
      <c r="O997" t="n">
        <v>0</v>
      </c>
      <c r="P997" t="n">
        <v>0</v>
      </c>
      <c r="Q997" t="n">
        <v>0</v>
      </c>
      <c r="R997" s="2" t="inlineStr"/>
    </row>
    <row r="998" ht="15" customHeight="1">
      <c r="A998" t="inlineStr">
        <is>
          <t>A 28439-2024</t>
        </is>
      </c>
      <c r="B998" s="1" t="n">
        <v>45477</v>
      </c>
      <c r="C998" s="1" t="n">
        <v>45824</v>
      </c>
      <c r="D998" t="inlineStr">
        <is>
          <t>VÄSTMANLANDS LÄN</t>
        </is>
      </c>
      <c r="E998" t="inlineStr">
        <is>
          <t>SALA</t>
        </is>
      </c>
      <c r="G998" t="n">
        <v>9.5</v>
      </c>
      <c r="H998" t="n">
        <v>0</v>
      </c>
      <c r="I998" t="n">
        <v>0</v>
      </c>
      <c r="J998" t="n">
        <v>0</v>
      </c>
      <c r="K998" t="n">
        <v>0</v>
      </c>
      <c r="L998" t="n">
        <v>0</v>
      </c>
      <c r="M998" t="n">
        <v>0</v>
      </c>
      <c r="N998" t="n">
        <v>0</v>
      </c>
      <c r="O998" t="n">
        <v>0</v>
      </c>
      <c r="P998" t="n">
        <v>0</v>
      </c>
      <c r="Q998" t="n">
        <v>0</v>
      </c>
      <c r="R998" s="2" t="inlineStr"/>
    </row>
    <row r="999" ht="15" customHeight="1">
      <c r="A999" t="inlineStr">
        <is>
          <t>A 28614-2024</t>
        </is>
      </c>
      <c r="B999" s="1" t="n">
        <v>45478</v>
      </c>
      <c r="C999" s="1" t="n">
        <v>45824</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28661-2024</t>
        </is>
      </c>
      <c r="B1000" s="1" t="n">
        <v>45478</v>
      </c>
      <c r="C1000" s="1" t="n">
        <v>45824</v>
      </c>
      <c r="D1000" t="inlineStr">
        <is>
          <t>VÄSTMANLANDS LÄN</t>
        </is>
      </c>
      <c r="E1000" t="inlineStr">
        <is>
          <t>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29019-2024</t>
        </is>
      </c>
      <c r="B1001" s="1" t="n">
        <v>45481</v>
      </c>
      <c r="C1001" s="1" t="n">
        <v>45824</v>
      </c>
      <c r="D1001" t="inlineStr">
        <is>
          <t>VÄSTMANLANDS LÄN</t>
        </is>
      </c>
      <c r="E1001" t="inlineStr">
        <is>
          <t>SALA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30028-2024</t>
        </is>
      </c>
      <c r="B1002" s="1" t="n">
        <v>45485</v>
      </c>
      <c r="C1002" s="1" t="n">
        <v>45824</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29929-2024</t>
        </is>
      </c>
      <c r="B1003" s="1" t="n">
        <v>45488</v>
      </c>
      <c r="C1003" s="1" t="n">
        <v>45824</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30613-2024</t>
        </is>
      </c>
      <c r="B1004" s="1" t="n">
        <v>45495</v>
      </c>
      <c r="C1004" s="1" t="n">
        <v>45824</v>
      </c>
      <c r="D1004" t="inlineStr">
        <is>
          <t>VÄSTMANLANDS LÄN</t>
        </is>
      </c>
      <c r="E1004" t="inlineStr">
        <is>
          <t>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31235-2024</t>
        </is>
      </c>
      <c r="B1005" s="1" t="n">
        <v>45503</v>
      </c>
      <c r="C1005" s="1" t="n">
        <v>45824</v>
      </c>
      <c r="D1005" t="inlineStr">
        <is>
          <t>VÄSTMANLANDS LÄN</t>
        </is>
      </c>
      <c r="E1005" t="inlineStr">
        <is>
          <t>SALA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31405-2024</t>
        </is>
      </c>
      <c r="B1006" s="1" t="n">
        <v>45505</v>
      </c>
      <c r="C1006" s="1" t="n">
        <v>45824</v>
      </c>
      <c r="D1006" t="inlineStr">
        <is>
          <t>VÄSTMANLANDS LÄN</t>
        </is>
      </c>
      <c r="E1006" t="inlineStr">
        <is>
          <t>SALA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31599-2024</t>
        </is>
      </c>
      <c r="B1007" s="1" t="n">
        <v>45506</v>
      </c>
      <c r="C1007" s="1" t="n">
        <v>45824</v>
      </c>
      <c r="D1007" t="inlineStr">
        <is>
          <t>VÄSTMANLANDS LÄN</t>
        </is>
      </c>
      <c r="E1007" t="inlineStr">
        <is>
          <t>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31608-2024</t>
        </is>
      </c>
      <c r="B1008" s="1" t="n">
        <v>45506</v>
      </c>
      <c r="C1008" s="1" t="n">
        <v>45824</v>
      </c>
      <c r="D1008" t="inlineStr">
        <is>
          <t>VÄSTMANLANDS LÄN</t>
        </is>
      </c>
      <c r="E1008" t="inlineStr">
        <is>
          <t>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31601-2024</t>
        </is>
      </c>
      <c r="B1009" s="1" t="n">
        <v>45506</v>
      </c>
      <c r="C1009" s="1" t="n">
        <v>45824</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31609-2024</t>
        </is>
      </c>
      <c r="B1010" s="1" t="n">
        <v>45506</v>
      </c>
      <c r="C1010" s="1" t="n">
        <v>45824</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31597-2024</t>
        </is>
      </c>
      <c r="B1011" s="1" t="n">
        <v>45506</v>
      </c>
      <c r="C1011" s="1" t="n">
        <v>45824</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31655-2024</t>
        </is>
      </c>
      <c r="B1012" s="1" t="n">
        <v>45506</v>
      </c>
      <c r="C1012" s="1" t="n">
        <v>45824</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31612-2024</t>
        </is>
      </c>
      <c r="B1013" s="1" t="n">
        <v>45506</v>
      </c>
      <c r="C1013" s="1" t="n">
        <v>45824</v>
      </c>
      <c r="D1013" t="inlineStr">
        <is>
          <t>VÄSTMANLANDS LÄN</t>
        </is>
      </c>
      <c r="E1013" t="inlineStr">
        <is>
          <t>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31941-2024</t>
        </is>
      </c>
      <c r="B1014" s="1" t="n">
        <v>45510</v>
      </c>
      <c r="C1014" s="1" t="n">
        <v>45824</v>
      </c>
      <c r="D1014" t="inlineStr">
        <is>
          <t>VÄSTMANLANDS LÄN</t>
        </is>
      </c>
      <c r="E1014" t="inlineStr">
        <is>
          <t>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32372-2024</t>
        </is>
      </c>
      <c r="B1015" s="1" t="n">
        <v>45512</v>
      </c>
      <c r="C1015" s="1" t="n">
        <v>45824</v>
      </c>
      <c r="D1015" t="inlineStr">
        <is>
          <t>VÄSTMANLANDS LÄN</t>
        </is>
      </c>
      <c r="E1015" t="inlineStr">
        <is>
          <t>SALA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32303-2024</t>
        </is>
      </c>
      <c r="B1016" s="1" t="n">
        <v>45512</v>
      </c>
      <c r="C1016" s="1" t="n">
        <v>45824</v>
      </c>
      <c r="D1016" t="inlineStr">
        <is>
          <t>VÄSTMANLANDS LÄN</t>
        </is>
      </c>
      <c r="E1016" t="inlineStr">
        <is>
          <t>SALA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32484-2024</t>
        </is>
      </c>
      <c r="B1017" s="1" t="n">
        <v>45513</v>
      </c>
      <c r="C1017" s="1" t="n">
        <v>45824</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34419-2024</t>
        </is>
      </c>
      <c r="B1018" s="1" t="n">
        <v>45525</v>
      </c>
      <c r="C1018" s="1" t="n">
        <v>45824</v>
      </c>
      <c r="D1018" t="inlineStr">
        <is>
          <t>VÄSTMANLANDS LÄN</t>
        </is>
      </c>
      <c r="E1018" t="inlineStr">
        <is>
          <t>SALA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34412-2024</t>
        </is>
      </c>
      <c r="B1019" s="1" t="n">
        <v>45525</v>
      </c>
      <c r="C1019" s="1" t="n">
        <v>45824</v>
      </c>
      <c r="D1019" t="inlineStr">
        <is>
          <t>VÄSTMANLANDS LÄN</t>
        </is>
      </c>
      <c r="E1019" t="inlineStr">
        <is>
          <t>SALA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34416-2024</t>
        </is>
      </c>
      <c r="B1020" s="1" t="n">
        <v>45525</v>
      </c>
      <c r="C1020" s="1" t="n">
        <v>45824</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35003-2024</t>
        </is>
      </c>
      <c r="B1021" s="1" t="n">
        <v>45527</v>
      </c>
      <c r="C1021" s="1" t="n">
        <v>45824</v>
      </c>
      <c r="D1021" t="inlineStr">
        <is>
          <t>VÄSTMANLANDS LÄN</t>
        </is>
      </c>
      <c r="E1021" t="inlineStr">
        <is>
          <t>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35016-2024</t>
        </is>
      </c>
      <c r="B1022" s="1" t="n">
        <v>45527</v>
      </c>
      <c r="C1022" s="1" t="n">
        <v>45824</v>
      </c>
      <c r="D1022" t="inlineStr">
        <is>
          <t>VÄSTMANLANDS LÄN</t>
        </is>
      </c>
      <c r="E1022" t="inlineStr">
        <is>
          <t>SALA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35010-2024</t>
        </is>
      </c>
      <c r="B1023" s="1" t="n">
        <v>45527</v>
      </c>
      <c r="C1023" s="1" t="n">
        <v>45824</v>
      </c>
      <c r="D1023" t="inlineStr">
        <is>
          <t>VÄSTMANLANDS LÄN</t>
        </is>
      </c>
      <c r="E1023" t="inlineStr">
        <is>
          <t>SALA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35462-2024</t>
        </is>
      </c>
      <c r="B1024" s="1" t="n">
        <v>45531</v>
      </c>
      <c r="C1024" s="1" t="n">
        <v>45824</v>
      </c>
      <c r="D1024" t="inlineStr">
        <is>
          <t>VÄSTMANLANDS LÄN</t>
        </is>
      </c>
      <c r="E1024" t="inlineStr">
        <is>
          <t>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35499-2024</t>
        </is>
      </c>
      <c r="B1025" s="1" t="n">
        <v>45531</v>
      </c>
      <c r="C1025" s="1" t="n">
        <v>45824</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35529-2024</t>
        </is>
      </c>
      <c r="B1026" s="1" t="n">
        <v>45531</v>
      </c>
      <c r="C1026" s="1" t="n">
        <v>45824</v>
      </c>
      <c r="D1026" t="inlineStr">
        <is>
          <t>VÄSTMANLANDS LÄN</t>
        </is>
      </c>
      <c r="E1026" t="inlineStr">
        <is>
          <t>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35558-2024</t>
        </is>
      </c>
      <c r="B1027" s="1" t="n">
        <v>45531</v>
      </c>
      <c r="C1027" s="1" t="n">
        <v>45824</v>
      </c>
      <c r="D1027" t="inlineStr">
        <is>
          <t>VÄSTMANLANDS LÄN</t>
        </is>
      </c>
      <c r="E1027" t="inlineStr">
        <is>
          <t>SALA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35519-2024</t>
        </is>
      </c>
      <c r="B1028" s="1" t="n">
        <v>45531</v>
      </c>
      <c r="C1028" s="1" t="n">
        <v>45824</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35528-2024</t>
        </is>
      </c>
      <c r="B1029" s="1" t="n">
        <v>45531</v>
      </c>
      <c r="C1029" s="1" t="n">
        <v>45824</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35573-2024</t>
        </is>
      </c>
      <c r="B1030" s="1" t="n">
        <v>45531</v>
      </c>
      <c r="C1030" s="1" t="n">
        <v>45824</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36075-2024</t>
        </is>
      </c>
      <c r="B1031" s="1" t="n">
        <v>45533</v>
      </c>
      <c r="C1031" s="1" t="n">
        <v>45824</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35976-2024</t>
        </is>
      </c>
      <c r="B1032" s="1" t="n">
        <v>45533</v>
      </c>
      <c r="C1032" s="1" t="n">
        <v>45824</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36073-2024</t>
        </is>
      </c>
      <c r="B1033" s="1" t="n">
        <v>45533</v>
      </c>
      <c r="C1033" s="1" t="n">
        <v>45824</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37137-2024</t>
        </is>
      </c>
      <c r="B1034" s="1" t="n">
        <v>45539</v>
      </c>
      <c r="C1034" s="1" t="n">
        <v>45824</v>
      </c>
      <c r="D1034" t="inlineStr">
        <is>
          <t>VÄSTMANLANDS LÄN</t>
        </is>
      </c>
      <c r="E1034" t="inlineStr">
        <is>
          <t>SALA</t>
        </is>
      </c>
      <c r="F1034" t="inlineStr">
        <is>
          <t>Kommuner</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37183-2024</t>
        </is>
      </c>
      <c r="B1035" s="1" t="n">
        <v>45539</v>
      </c>
      <c r="C1035" s="1" t="n">
        <v>45824</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37185-2024</t>
        </is>
      </c>
      <c r="B1036" s="1" t="n">
        <v>45539</v>
      </c>
      <c r="C1036" s="1" t="n">
        <v>45824</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37224-2024</t>
        </is>
      </c>
      <c r="B1037" s="1" t="n">
        <v>45539</v>
      </c>
      <c r="C1037" s="1" t="n">
        <v>45824</v>
      </c>
      <c r="D1037" t="inlineStr">
        <is>
          <t>VÄSTMANLANDS LÄN</t>
        </is>
      </c>
      <c r="E1037" t="inlineStr">
        <is>
          <t>SALA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37190-2024</t>
        </is>
      </c>
      <c r="B1038" s="1" t="n">
        <v>45539</v>
      </c>
      <c r="C1038" s="1" t="n">
        <v>45824</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37251-2024</t>
        </is>
      </c>
      <c r="B1039" s="1" t="n">
        <v>45540</v>
      </c>
      <c r="C1039" s="1" t="n">
        <v>45824</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37332-2024</t>
        </is>
      </c>
      <c r="B1040" s="1" t="n">
        <v>45540</v>
      </c>
      <c r="C1040" s="1" t="n">
        <v>45824</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37337-2024</t>
        </is>
      </c>
      <c r="B1041" s="1" t="n">
        <v>45540</v>
      </c>
      <c r="C1041" s="1" t="n">
        <v>45824</v>
      </c>
      <c r="D1041" t="inlineStr">
        <is>
          <t>VÄSTMANLANDS LÄN</t>
        </is>
      </c>
      <c r="E1041" t="inlineStr">
        <is>
          <t>SALA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37602-2024</t>
        </is>
      </c>
      <c r="B1042" s="1" t="n">
        <v>45541</v>
      </c>
      <c r="C1042" s="1" t="n">
        <v>45824</v>
      </c>
      <c r="D1042" t="inlineStr">
        <is>
          <t>VÄSTMANLANDS LÄN</t>
        </is>
      </c>
      <c r="E1042" t="inlineStr">
        <is>
          <t>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37587-2024</t>
        </is>
      </c>
      <c r="B1043" s="1" t="n">
        <v>45541</v>
      </c>
      <c r="C1043" s="1" t="n">
        <v>45824</v>
      </c>
      <c r="D1043" t="inlineStr">
        <is>
          <t>VÄSTMANLANDS LÄN</t>
        </is>
      </c>
      <c r="E1043" t="inlineStr">
        <is>
          <t>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37612-2024</t>
        </is>
      </c>
      <c r="B1044" s="1" t="n">
        <v>45541</v>
      </c>
      <c r="C1044" s="1" t="n">
        <v>45824</v>
      </c>
      <c r="D1044" t="inlineStr">
        <is>
          <t>VÄSTMANLANDS LÄN</t>
        </is>
      </c>
      <c r="E1044" t="inlineStr">
        <is>
          <t>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37624-2024</t>
        </is>
      </c>
      <c r="B1045" s="1" t="n">
        <v>45541</v>
      </c>
      <c r="C1045" s="1" t="n">
        <v>45824</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37615-2024</t>
        </is>
      </c>
      <c r="B1046" s="1" t="n">
        <v>45541</v>
      </c>
      <c r="C1046" s="1" t="n">
        <v>45824</v>
      </c>
      <c r="D1046" t="inlineStr">
        <is>
          <t>VÄSTMANLANDS LÄN</t>
        </is>
      </c>
      <c r="E1046" t="inlineStr">
        <is>
          <t>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37958-2024</t>
        </is>
      </c>
      <c r="B1047" s="1" t="n">
        <v>45544</v>
      </c>
      <c r="C1047" s="1" t="n">
        <v>45824</v>
      </c>
      <c r="D1047" t="inlineStr">
        <is>
          <t>VÄSTMANLANDS LÄN</t>
        </is>
      </c>
      <c r="E1047" t="inlineStr">
        <is>
          <t>SALA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38434-2024</t>
        </is>
      </c>
      <c r="B1048" s="1" t="n">
        <v>45546</v>
      </c>
      <c r="C1048" s="1" t="n">
        <v>45824</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39364-2024</t>
        </is>
      </c>
      <c r="B1049" s="1" t="n">
        <v>45551</v>
      </c>
      <c r="C1049" s="1" t="n">
        <v>45824</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40272-2024</t>
        </is>
      </c>
      <c r="B1050" s="1" t="n">
        <v>45554</v>
      </c>
      <c r="C1050" s="1" t="n">
        <v>45824</v>
      </c>
      <c r="D1050" t="inlineStr">
        <is>
          <t>VÄSTMANLANDS LÄN</t>
        </is>
      </c>
      <c r="E1050" t="inlineStr">
        <is>
          <t>SALA</t>
        </is>
      </c>
      <c r="F1050" t="inlineStr">
        <is>
          <t>Kommuner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40085-2024</t>
        </is>
      </c>
      <c r="B1051" s="1" t="n">
        <v>45554</v>
      </c>
      <c r="C1051" s="1" t="n">
        <v>45824</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40757-2024</t>
        </is>
      </c>
      <c r="B1052" s="1" t="n">
        <v>45558</v>
      </c>
      <c r="C1052" s="1" t="n">
        <v>45824</v>
      </c>
      <c r="D1052" t="inlineStr">
        <is>
          <t>VÄSTMANLANDS LÄN</t>
        </is>
      </c>
      <c r="E1052" t="inlineStr">
        <is>
          <t>SALA</t>
        </is>
      </c>
      <c r="F1052" t="inlineStr">
        <is>
          <t>Kommuner</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41247-2024</t>
        </is>
      </c>
      <c r="B1053" s="1" t="n">
        <v>45559</v>
      </c>
      <c r="C1053" s="1" t="n">
        <v>45824</v>
      </c>
      <c r="D1053" t="inlineStr">
        <is>
          <t>VÄSTMANLANDS LÄN</t>
        </is>
      </c>
      <c r="E1053" t="inlineStr">
        <is>
          <t>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41748-2024</t>
        </is>
      </c>
      <c r="B1054" s="1" t="n">
        <v>45561</v>
      </c>
      <c r="C1054" s="1" t="n">
        <v>45824</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42617-2024</t>
        </is>
      </c>
      <c r="B1055" s="1" t="n">
        <v>45565</v>
      </c>
      <c r="C1055" s="1" t="n">
        <v>45824</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42684-2024</t>
        </is>
      </c>
      <c r="B1056" s="1" t="n">
        <v>45565</v>
      </c>
      <c r="C1056" s="1" t="n">
        <v>45824</v>
      </c>
      <c r="D1056" t="inlineStr">
        <is>
          <t>VÄSTMANLANDS LÄN</t>
        </is>
      </c>
      <c r="E1056" t="inlineStr">
        <is>
          <t>SALA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43196-2024</t>
        </is>
      </c>
      <c r="B1057" s="1" t="n">
        <v>45567</v>
      </c>
      <c r="C1057" s="1" t="n">
        <v>45824</v>
      </c>
      <c r="D1057" t="inlineStr">
        <is>
          <t>VÄSTMANLANDS LÄN</t>
        </is>
      </c>
      <c r="E1057" t="inlineStr">
        <is>
          <t>SALA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43108-2024</t>
        </is>
      </c>
      <c r="B1058" s="1" t="n">
        <v>45567</v>
      </c>
      <c r="C1058" s="1" t="n">
        <v>45824</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43359-2024</t>
        </is>
      </c>
      <c r="B1059" s="1" t="n">
        <v>45568</v>
      </c>
      <c r="C1059" s="1" t="n">
        <v>45824</v>
      </c>
      <c r="D1059" t="inlineStr">
        <is>
          <t>VÄSTMANLANDS LÄN</t>
        </is>
      </c>
      <c r="E1059" t="inlineStr">
        <is>
          <t>SALA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43600-2024</t>
        </is>
      </c>
      <c r="B1060" s="1" t="n">
        <v>45569</v>
      </c>
      <c r="C1060" s="1" t="n">
        <v>45824</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43596-2024</t>
        </is>
      </c>
      <c r="B1061" s="1" t="n">
        <v>45569</v>
      </c>
      <c r="C1061" s="1" t="n">
        <v>45824</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44544-2024</t>
        </is>
      </c>
      <c r="B1062" s="1" t="n">
        <v>45574</v>
      </c>
      <c r="C1062" s="1" t="n">
        <v>45824</v>
      </c>
      <c r="D1062" t="inlineStr">
        <is>
          <t>VÄSTMANLANDS LÄN</t>
        </is>
      </c>
      <c r="E1062" t="inlineStr">
        <is>
          <t>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44746-2024</t>
        </is>
      </c>
      <c r="B1063" s="1" t="n">
        <v>45574</v>
      </c>
      <c r="C1063" s="1" t="n">
        <v>45824</v>
      </c>
      <c r="D1063" t="inlineStr">
        <is>
          <t>VÄSTMANLANDS LÄN</t>
        </is>
      </c>
      <c r="E1063" t="inlineStr">
        <is>
          <t>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45185-2024</t>
        </is>
      </c>
      <c r="B1064" s="1" t="n">
        <v>45575</v>
      </c>
      <c r="C1064" s="1" t="n">
        <v>45824</v>
      </c>
      <c r="D1064" t="inlineStr">
        <is>
          <t>VÄSTMANLANDS LÄN</t>
        </is>
      </c>
      <c r="E1064" t="inlineStr">
        <is>
          <t>SALA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45187-2024</t>
        </is>
      </c>
      <c r="B1065" s="1" t="n">
        <v>45575</v>
      </c>
      <c r="C1065" s="1" t="n">
        <v>45824</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45313-2024</t>
        </is>
      </c>
      <c r="B1066" s="1" t="n">
        <v>45576</v>
      </c>
      <c r="C1066" s="1" t="n">
        <v>45824</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45737-2024</t>
        </is>
      </c>
      <c r="B1067" s="1" t="n">
        <v>45579</v>
      </c>
      <c r="C1067" s="1" t="n">
        <v>45824</v>
      </c>
      <c r="D1067" t="inlineStr">
        <is>
          <t>VÄSTMANLANDS LÄN</t>
        </is>
      </c>
      <c r="E1067" t="inlineStr">
        <is>
          <t>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45738-2024</t>
        </is>
      </c>
      <c r="B1068" s="1" t="n">
        <v>45579</v>
      </c>
      <c r="C1068" s="1" t="n">
        <v>45824</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45765-2024</t>
        </is>
      </c>
      <c r="B1069" s="1" t="n">
        <v>45579</v>
      </c>
      <c r="C1069" s="1" t="n">
        <v>45824</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45761-2024</t>
        </is>
      </c>
      <c r="B1070" s="1" t="n">
        <v>45579</v>
      </c>
      <c r="C1070" s="1" t="n">
        <v>45824</v>
      </c>
      <c r="D1070" t="inlineStr">
        <is>
          <t>VÄSTMANLANDS LÄN</t>
        </is>
      </c>
      <c r="E1070" t="inlineStr">
        <is>
          <t>SALA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45931-2024</t>
        </is>
      </c>
      <c r="B1071" s="1" t="n">
        <v>45580</v>
      </c>
      <c r="C1071" s="1" t="n">
        <v>45824</v>
      </c>
      <c r="D1071" t="inlineStr">
        <is>
          <t>VÄSTMANLANDS LÄN</t>
        </is>
      </c>
      <c r="E1071" t="inlineStr">
        <is>
          <t>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46861-2024</t>
        </is>
      </c>
      <c r="B1072" s="1" t="n">
        <v>45583</v>
      </c>
      <c r="C1072" s="1" t="n">
        <v>45824</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46682-2024</t>
        </is>
      </c>
      <c r="B1073" s="1" t="n">
        <v>45583</v>
      </c>
      <c r="C1073" s="1" t="n">
        <v>45824</v>
      </c>
      <c r="D1073" t="inlineStr">
        <is>
          <t>VÄSTMANLANDS LÄN</t>
        </is>
      </c>
      <c r="E1073" t="inlineStr">
        <is>
          <t>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47061-2024</t>
        </is>
      </c>
      <c r="B1074" s="1" t="n">
        <v>45586</v>
      </c>
      <c r="C1074" s="1" t="n">
        <v>45824</v>
      </c>
      <c r="D1074" t="inlineStr">
        <is>
          <t>VÄSTMANLANDS LÄN</t>
        </is>
      </c>
      <c r="E1074" t="inlineStr">
        <is>
          <t>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47038-2024</t>
        </is>
      </c>
      <c r="B1075" s="1" t="n">
        <v>45586</v>
      </c>
      <c r="C1075" s="1" t="n">
        <v>45824</v>
      </c>
      <c r="D1075" t="inlineStr">
        <is>
          <t>VÄSTMANLANDS LÄN</t>
        </is>
      </c>
      <c r="E1075" t="inlineStr">
        <is>
          <t>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47479-2024</t>
        </is>
      </c>
      <c r="B1076" s="1" t="n">
        <v>45587</v>
      </c>
      <c r="C1076" s="1" t="n">
        <v>45824</v>
      </c>
      <c r="D1076" t="inlineStr">
        <is>
          <t>VÄSTMANLANDS LÄN</t>
        </is>
      </c>
      <c r="E1076" t="inlineStr">
        <is>
          <t>SALA</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47474-2024</t>
        </is>
      </c>
      <c r="B1077" s="1" t="n">
        <v>45587</v>
      </c>
      <c r="C1077" s="1" t="n">
        <v>45824</v>
      </c>
      <c r="D1077" t="inlineStr">
        <is>
          <t>VÄSTMANLANDS LÄN</t>
        </is>
      </c>
      <c r="E1077" t="inlineStr">
        <is>
          <t>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47294-2024</t>
        </is>
      </c>
      <c r="B1078" s="1" t="n">
        <v>45587</v>
      </c>
      <c r="C1078" s="1" t="n">
        <v>45824</v>
      </c>
      <c r="D1078" t="inlineStr">
        <is>
          <t>VÄSTMANLANDS LÄN</t>
        </is>
      </c>
      <c r="E1078" t="inlineStr">
        <is>
          <t>SALA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47468-2024</t>
        </is>
      </c>
      <c r="B1079" s="1" t="n">
        <v>45587</v>
      </c>
      <c r="C1079" s="1" t="n">
        <v>45824</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47351-2024</t>
        </is>
      </c>
      <c r="B1080" s="1" t="n">
        <v>45587</v>
      </c>
      <c r="C1080" s="1" t="n">
        <v>45824</v>
      </c>
      <c r="D1080" t="inlineStr">
        <is>
          <t>VÄSTMANLANDS LÄN</t>
        </is>
      </c>
      <c r="E1080" t="inlineStr">
        <is>
          <t>SALA</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48114-2024</t>
        </is>
      </c>
      <c r="B1081" s="1" t="n">
        <v>45589</v>
      </c>
      <c r="C1081" s="1" t="n">
        <v>45824</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48117-2024</t>
        </is>
      </c>
      <c r="B1082" s="1" t="n">
        <v>45589</v>
      </c>
      <c r="C1082" s="1" t="n">
        <v>45824</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48104-2024</t>
        </is>
      </c>
      <c r="B1083" s="1" t="n">
        <v>45589</v>
      </c>
      <c r="C1083" s="1" t="n">
        <v>45824</v>
      </c>
      <c r="D1083" t="inlineStr">
        <is>
          <t>VÄSTMANLANDS LÄN</t>
        </is>
      </c>
      <c r="E1083" t="inlineStr">
        <is>
          <t>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48124-2024</t>
        </is>
      </c>
      <c r="B1084" s="1" t="n">
        <v>45589</v>
      </c>
      <c r="C1084" s="1" t="n">
        <v>45824</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48569-2024</t>
        </is>
      </c>
      <c r="B1085" s="1" t="n">
        <v>45591</v>
      </c>
      <c r="C1085" s="1" t="n">
        <v>45824</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48570-2024</t>
        </is>
      </c>
      <c r="B1086" s="1" t="n">
        <v>45591</v>
      </c>
      <c r="C1086" s="1" t="n">
        <v>45824</v>
      </c>
      <c r="D1086" t="inlineStr">
        <is>
          <t>VÄSTMANLANDS LÄN</t>
        </is>
      </c>
      <c r="E1086" t="inlineStr">
        <is>
          <t>SALA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49512-2024</t>
        </is>
      </c>
      <c r="B1087" s="1" t="n">
        <v>45591</v>
      </c>
      <c r="C1087" s="1" t="n">
        <v>45824</v>
      </c>
      <c r="D1087" t="inlineStr">
        <is>
          <t>VÄSTMANLANDS LÄN</t>
        </is>
      </c>
      <c r="E1087" t="inlineStr">
        <is>
          <t>SALA</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48571-2024</t>
        </is>
      </c>
      <c r="B1088" s="1" t="n">
        <v>45591</v>
      </c>
      <c r="C1088" s="1" t="n">
        <v>45824</v>
      </c>
      <c r="D1088" t="inlineStr">
        <is>
          <t>VÄSTMANLANDS LÄN</t>
        </is>
      </c>
      <c r="E1088" t="inlineStr">
        <is>
          <t>SALA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48688-2024</t>
        </is>
      </c>
      <c r="B1089" s="1" t="n">
        <v>45593</v>
      </c>
      <c r="C1089" s="1" t="n">
        <v>45824</v>
      </c>
      <c r="D1089" t="inlineStr">
        <is>
          <t>VÄSTMANLANDS LÄN</t>
        </is>
      </c>
      <c r="E1089" t="inlineStr">
        <is>
          <t>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48810-2024</t>
        </is>
      </c>
      <c r="B1090" s="1" t="n">
        <v>45593</v>
      </c>
      <c r="C1090" s="1" t="n">
        <v>45824</v>
      </c>
      <c r="D1090" t="inlineStr">
        <is>
          <t>VÄSTMANLANDS LÄN</t>
        </is>
      </c>
      <c r="E1090" t="inlineStr">
        <is>
          <t>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48710-2024</t>
        </is>
      </c>
      <c r="B1091" s="1" t="n">
        <v>45593</v>
      </c>
      <c r="C1091" s="1" t="n">
        <v>45824</v>
      </c>
      <c r="D1091" t="inlineStr">
        <is>
          <t>VÄSTMANLANDS LÄN</t>
        </is>
      </c>
      <c r="E1091" t="inlineStr">
        <is>
          <t>SALA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48789-2024</t>
        </is>
      </c>
      <c r="B1092" s="1" t="n">
        <v>45593</v>
      </c>
      <c r="C1092" s="1" t="n">
        <v>45824</v>
      </c>
      <c r="D1092" t="inlineStr">
        <is>
          <t>VÄSTMANLANDS LÄN</t>
        </is>
      </c>
      <c r="E1092" t="inlineStr">
        <is>
          <t>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49661-2024</t>
        </is>
      </c>
      <c r="B1093" s="1" t="n">
        <v>45596</v>
      </c>
      <c r="C1093" s="1" t="n">
        <v>45824</v>
      </c>
      <c r="D1093" t="inlineStr">
        <is>
          <t>VÄSTMANLANDS LÄN</t>
        </is>
      </c>
      <c r="E1093" t="inlineStr">
        <is>
          <t>SALA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49619-2024</t>
        </is>
      </c>
      <c r="B1094" s="1" t="n">
        <v>45596</v>
      </c>
      <c r="C1094" s="1" t="n">
        <v>45824</v>
      </c>
      <c r="D1094" t="inlineStr">
        <is>
          <t>VÄSTMANLANDS LÄN</t>
        </is>
      </c>
      <c r="E1094" t="inlineStr">
        <is>
          <t>SALA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49745-2024</t>
        </is>
      </c>
      <c r="B1095" s="1" t="n">
        <v>45596</v>
      </c>
      <c r="C1095" s="1" t="n">
        <v>45824</v>
      </c>
      <c r="D1095" t="inlineStr">
        <is>
          <t>VÄSTMANLANDS LÄN</t>
        </is>
      </c>
      <c r="E1095" t="inlineStr">
        <is>
          <t>SALA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49744-2024</t>
        </is>
      </c>
      <c r="B1096" s="1" t="n">
        <v>45596</v>
      </c>
      <c r="C1096" s="1" t="n">
        <v>45824</v>
      </c>
      <c r="D1096" t="inlineStr">
        <is>
          <t>VÄSTMANLANDS LÄN</t>
        </is>
      </c>
      <c r="E1096" t="inlineStr">
        <is>
          <t>SALA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49555-2024</t>
        </is>
      </c>
      <c r="B1097" s="1" t="n">
        <v>45596</v>
      </c>
      <c r="C1097" s="1" t="n">
        <v>45824</v>
      </c>
      <c r="D1097" t="inlineStr">
        <is>
          <t>VÄSTMANLANDS LÄN</t>
        </is>
      </c>
      <c r="E1097" t="inlineStr">
        <is>
          <t>SALA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50652-2024</t>
        </is>
      </c>
      <c r="B1098" s="1" t="n">
        <v>45601</v>
      </c>
      <c r="C1098" s="1" t="n">
        <v>45824</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51464-2024</t>
        </is>
      </c>
      <c r="B1099" s="1" t="n">
        <v>45604</v>
      </c>
      <c r="C1099" s="1" t="n">
        <v>45824</v>
      </c>
      <c r="D1099" t="inlineStr">
        <is>
          <t>VÄSTMANLANDS LÄN</t>
        </is>
      </c>
      <c r="E1099" t="inlineStr">
        <is>
          <t>SALA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51775-2024</t>
        </is>
      </c>
      <c r="B1100" s="1" t="n">
        <v>45607</v>
      </c>
      <c r="C1100" s="1" t="n">
        <v>45824</v>
      </c>
      <c r="D1100" t="inlineStr">
        <is>
          <t>VÄSTMANLANDS LÄN</t>
        </is>
      </c>
      <c r="E1100" t="inlineStr">
        <is>
          <t>SALA</t>
        </is>
      </c>
      <c r="F1100" t="inlineStr">
        <is>
          <t>Övriga Aktiebolag</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52177-2024</t>
        </is>
      </c>
      <c r="B1101" s="1" t="n">
        <v>45608</v>
      </c>
      <c r="C1101" s="1" t="n">
        <v>45824</v>
      </c>
      <c r="D1101" t="inlineStr">
        <is>
          <t>VÄSTMANLANDS LÄN</t>
        </is>
      </c>
      <c r="E1101" t="inlineStr">
        <is>
          <t>SALA</t>
        </is>
      </c>
      <c r="F1101" t="inlineStr">
        <is>
          <t>Naturvårdsverket</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52184-2024</t>
        </is>
      </c>
      <c r="B1102" s="1" t="n">
        <v>45608</v>
      </c>
      <c r="C1102" s="1" t="n">
        <v>45824</v>
      </c>
      <c r="D1102" t="inlineStr">
        <is>
          <t>VÄSTMANLANDS LÄN</t>
        </is>
      </c>
      <c r="E1102" t="inlineStr">
        <is>
          <t>SALA</t>
        </is>
      </c>
      <c r="F1102" t="inlineStr">
        <is>
          <t>Naturvårdsverket</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52500-2024</t>
        </is>
      </c>
      <c r="B1103" s="1" t="n">
        <v>45609</v>
      </c>
      <c r="C1103" s="1" t="n">
        <v>45824</v>
      </c>
      <c r="D1103" t="inlineStr">
        <is>
          <t>VÄSTMANLANDS LÄN</t>
        </is>
      </c>
      <c r="E1103" t="inlineStr">
        <is>
          <t>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52503-2024</t>
        </is>
      </c>
      <c r="B1104" s="1" t="n">
        <v>45609</v>
      </c>
      <c r="C1104" s="1" t="n">
        <v>45824</v>
      </c>
      <c r="D1104" t="inlineStr">
        <is>
          <t>VÄSTMANLANDS LÄN</t>
        </is>
      </c>
      <c r="E1104" t="inlineStr">
        <is>
          <t>SALA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52821-2024</t>
        </is>
      </c>
      <c r="B1105" s="1" t="n">
        <v>45610</v>
      </c>
      <c r="C1105" s="1" t="n">
        <v>45824</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52799-2024</t>
        </is>
      </c>
      <c r="B1106" s="1" t="n">
        <v>45610</v>
      </c>
      <c r="C1106" s="1" t="n">
        <v>45824</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52827-2024</t>
        </is>
      </c>
      <c r="B1107" s="1" t="n">
        <v>45610</v>
      </c>
      <c r="C1107" s="1" t="n">
        <v>45824</v>
      </c>
      <c r="D1107" t="inlineStr">
        <is>
          <t>VÄSTMANLANDS LÄN</t>
        </is>
      </c>
      <c r="E1107" t="inlineStr">
        <is>
          <t>SALA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v>
      </c>
      <c r="C1108" s="1" t="n">
        <v>45824</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53166-2024</t>
        </is>
      </c>
      <c r="B1109" s="1" t="n">
        <v>45611</v>
      </c>
      <c r="C1109" s="1" t="n">
        <v>45824</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54043-2024</t>
        </is>
      </c>
      <c r="B1110" s="1" t="n">
        <v>45616</v>
      </c>
      <c r="C1110" s="1" t="n">
        <v>45824</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54199-2024</t>
        </is>
      </c>
      <c r="B1111" s="1" t="n">
        <v>45616</v>
      </c>
      <c r="C1111" s="1" t="n">
        <v>45824</v>
      </c>
      <c r="D1111" t="inlineStr">
        <is>
          <t>VÄSTMANLANDS LÄN</t>
        </is>
      </c>
      <c r="E1111" t="inlineStr">
        <is>
          <t>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54329-2024</t>
        </is>
      </c>
      <c r="B1112" s="1" t="n">
        <v>45617</v>
      </c>
      <c r="C1112" s="1" t="n">
        <v>45824</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54603-2024</t>
        </is>
      </c>
      <c r="B1113" s="1" t="n">
        <v>45617</v>
      </c>
      <c r="C1113" s="1" t="n">
        <v>45824</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54347-2024</t>
        </is>
      </c>
      <c r="B1114" s="1" t="n">
        <v>45617</v>
      </c>
      <c r="C1114" s="1" t="n">
        <v>45824</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54774-2024</t>
        </is>
      </c>
      <c r="B1115" s="1" t="n">
        <v>45618</v>
      </c>
      <c r="C1115" s="1" t="n">
        <v>45824</v>
      </c>
      <c r="D1115" t="inlineStr">
        <is>
          <t>VÄSTMANLANDS LÄN</t>
        </is>
      </c>
      <c r="E1115" t="inlineStr">
        <is>
          <t>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54782-2024</t>
        </is>
      </c>
      <c r="B1116" s="1" t="n">
        <v>45618</v>
      </c>
      <c r="C1116" s="1" t="n">
        <v>45824</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54835-2024</t>
        </is>
      </c>
      <c r="B1117" s="1" t="n">
        <v>45618</v>
      </c>
      <c r="C1117" s="1" t="n">
        <v>45824</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55065-2024</t>
        </is>
      </c>
      <c r="B1118" s="1" t="n">
        <v>45618</v>
      </c>
      <c r="C1118" s="1" t="n">
        <v>45824</v>
      </c>
      <c r="D1118" t="inlineStr">
        <is>
          <t>VÄSTMANLANDS LÄN</t>
        </is>
      </c>
      <c r="E1118" t="inlineStr">
        <is>
          <t>SALA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54836-2024</t>
        </is>
      </c>
      <c r="B1119" s="1" t="n">
        <v>45618</v>
      </c>
      <c r="C1119" s="1" t="n">
        <v>45824</v>
      </c>
      <c r="D1119" t="inlineStr">
        <is>
          <t>VÄSTMANLANDS LÄN</t>
        </is>
      </c>
      <c r="E1119" t="inlineStr">
        <is>
          <t>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55101-2024</t>
        </is>
      </c>
      <c r="B1120" s="1" t="n">
        <v>45618</v>
      </c>
      <c r="C1120" s="1" t="n">
        <v>45824</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54771-2024</t>
        </is>
      </c>
      <c r="B1121" s="1" t="n">
        <v>45618</v>
      </c>
      <c r="C1121" s="1" t="n">
        <v>45824</v>
      </c>
      <c r="D1121" t="inlineStr">
        <is>
          <t>VÄSTMANLANDS LÄN</t>
        </is>
      </c>
      <c r="E1121" t="inlineStr">
        <is>
          <t>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55107-2024</t>
        </is>
      </c>
      <c r="B1122" s="1" t="n">
        <v>45618</v>
      </c>
      <c r="C1122" s="1" t="n">
        <v>45824</v>
      </c>
      <c r="D1122" t="inlineStr">
        <is>
          <t>VÄSTMANLANDS LÄN</t>
        </is>
      </c>
      <c r="E1122" t="inlineStr">
        <is>
          <t>SALA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54768-2024</t>
        </is>
      </c>
      <c r="B1123" s="1" t="n">
        <v>45618</v>
      </c>
      <c r="C1123" s="1" t="n">
        <v>45824</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54959-2024</t>
        </is>
      </c>
      <c r="B1124" s="1" t="n">
        <v>45619</v>
      </c>
      <c r="C1124" s="1" t="n">
        <v>45824</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54960-2024</t>
        </is>
      </c>
      <c r="B1125" s="1" t="n">
        <v>45619</v>
      </c>
      <c r="C1125" s="1" t="n">
        <v>45824</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55784-2024</t>
        </is>
      </c>
      <c r="B1126" s="1" t="n">
        <v>45623</v>
      </c>
      <c r="C1126" s="1" t="n">
        <v>45824</v>
      </c>
      <c r="D1126" t="inlineStr">
        <is>
          <t>VÄSTMANLANDS LÄN</t>
        </is>
      </c>
      <c r="E1126" t="inlineStr">
        <is>
          <t>SALA</t>
        </is>
      </c>
      <c r="F1126" t="inlineStr">
        <is>
          <t>Bergvik skog öst AB</t>
        </is>
      </c>
      <c r="G1126" t="n">
        <v>28.4</v>
      </c>
      <c r="H1126" t="n">
        <v>0</v>
      </c>
      <c r="I1126" t="n">
        <v>0</v>
      </c>
      <c r="J1126" t="n">
        <v>0</v>
      </c>
      <c r="K1126" t="n">
        <v>0</v>
      </c>
      <c r="L1126" t="n">
        <v>0</v>
      </c>
      <c r="M1126" t="n">
        <v>0</v>
      </c>
      <c r="N1126" t="n">
        <v>0</v>
      </c>
      <c r="O1126" t="n">
        <v>0</v>
      </c>
      <c r="P1126" t="n">
        <v>0</v>
      </c>
      <c r="Q1126" t="n">
        <v>0</v>
      </c>
      <c r="R1126" s="2" t="inlineStr"/>
    </row>
    <row r="1127" ht="15" customHeight="1">
      <c r="A1127" t="inlineStr">
        <is>
          <t>A 56150-2024</t>
        </is>
      </c>
      <c r="B1127" s="1" t="n">
        <v>45624</v>
      </c>
      <c r="C1127" s="1" t="n">
        <v>45824</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56540-2024</t>
        </is>
      </c>
      <c r="B1128" s="1" t="n">
        <v>45625</v>
      </c>
      <c r="C1128" s="1" t="n">
        <v>45824</v>
      </c>
      <c r="D1128" t="inlineStr">
        <is>
          <t>VÄSTMANLANDS LÄN</t>
        </is>
      </c>
      <c r="E1128" t="inlineStr">
        <is>
          <t>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56548-2024</t>
        </is>
      </c>
      <c r="B1129" s="1" t="n">
        <v>45625</v>
      </c>
      <c r="C1129" s="1" t="n">
        <v>45824</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56543-2024</t>
        </is>
      </c>
      <c r="B1130" s="1" t="n">
        <v>45625</v>
      </c>
      <c r="C1130" s="1" t="n">
        <v>45824</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56688-2024</t>
        </is>
      </c>
      <c r="B1131" s="1" t="n">
        <v>45627</v>
      </c>
      <c r="C1131" s="1" t="n">
        <v>45824</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56687-2024</t>
        </is>
      </c>
      <c r="B1132" s="1" t="n">
        <v>45627</v>
      </c>
      <c r="C1132" s="1" t="n">
        <v>45824</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56689-2024</t>
        </is>
      </c>
      <c r="B1133" s="1" t="n">
        <v>45627</v>
      </c>
      <c r="C1133" s="1" t="n">
        <v>45824</v>
      </c>
      <c r="D1133" t="inlineStr">
        <is>
          <t>VÄSTMANLANDS LÄN</t>
        </is>
      </c>
      <c r="E1133" t="inlineStr">
        <is>
          <t>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56814-2024</t>
        </is>
      </c>
      <c r="B1134" s="1" t="n">
        <v>45628</v>
      </c>
      <c r="C1134" s="1" t="n">
        <v>45824</v>
      </c>
      <c r="D1134" t="inlineStr">
        <is>
          <t>VÄSTMANLANDS LÄN</t>
        </is>
      </c>
      <c r="E1134" t="inlineStr">
        <is>
          <t>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57404-2024</t>
        </is>
      </c>
      <c r="B1135" s="1" t="n">
        <v>45629</v>
      </c>
      <c r="C1135" s="1" t="n">
        <v>45824</v>
      </c>
      <c r="D1135" t="inlineStr">
        <is>
          <t>VÄSTMANLANDS LÄN</t>
        </is>
      </c>
      <c r="E1135" t="inlineStr">
        <is>
          <t>SALA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57650-2024</t>
        </is>
      </c>
      <c r="B1136" s="1" t="n">
        <v>45630</v>
      </c>
      <c r="C1136" s="1" t="n">
        <v>45824</v>
      </c>
      <c r="D1136" t="inlineStr">
        <is>
          <t>VÄSTMANLANDS LÄN</t>
        </is>
      </c>
      <c r="E1136" t="inlineStr">
        <is>
          <t>SALA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57883-2024</t>
        </is>
      </c>
      <c r="B1137" s="1" t="n">
        <v>45630</v>
      </c>
      <c r="C1137" s="1" t="n">
        <v>45824</v>
      </c>
      <c r="D1137" t="inlineStr">
        <is>
          <t>VÄSTMANLANDS LÄN</t>
        </is>
      </c>
      <c r="E1137" t="inlineStr">
        <is>
          <t>SALA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57895-2024</t>
        </is>
      </c>
      <c r="B1138" s="1" t="n">
        <v>45631</v>
      </c>
      <c r="C1138" s="1" t="n">
        <v>45824</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57948-2024</t>
        </is>
      </c>
      <c r="B1139" s="1" t="n">
        <v>45631</v>
      </c>
      <c r="C1139" s="1" t="n">
        <v>45824</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58126-2024</t>
        </is>
      </c>
      <c r="B1140" s="1" t="n">
        <v>45632</v>
      </c>
      <c r="C1140" s="1" t="n">
        <v>45824</v>
      </c>
      <c r="D1140" t="inlineStr">
        <is>
          <t>VÄSTMANLANDS LÄN</t>
        </is>
      </c>
      <c r="E1140" t="inlineStr">
        <is>
          <t>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58651-2024</t>
        </is>
      </c>
      <c r="B1141" s="1" t="n">
        <v>45635</v>
      </c>
      <c r="C1141" s="1" t="n">
        <v>45824</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58655-2024</t>
        </is>
      </c>
      <c r="B1142" s="1" t="n">
        <v>45635</v>
      </c>
      <c r="C1142" s="1" t="n">
        <v>45824</v>
      </c>
      <c r="D1142" t="inlineStr">
        <is>
          <t>VÄSTMANLANDS LÄN</t>
        </is>
      </c>
      <c r="E1142" t="inlineStr">
        <is>
          <t>SALA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59860-2024</t>
        </is>
      </c>
      <c r="B1143" s="1" t="n">
        <v>45638</v>
      </c>
      <c r="C1143" s="1" t="n">
        <v>45824</v>
      </c>
      <c r="D1143" t="inlineStr">
        <is>
          <t>VÄSTMANLANDS LÄN</t>
        </is>
      </c>
      <c r="E1143" t="inlineStr">
        <is>
          <t>SALA</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59909-2024</t>
        </is>
      </c>
      <c r="B1144" s="1" t="n">
        <v>45641</v>
      </c>
      <c r="C1144" s="1" t="n">
        <v>45824</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60036-2024</t>
        </is>
      </c>
      <c r="B1145" s="1" t="n">
        <v>45642</v>
      </c>
      <c r="C1145" s="1" t="n">
        <v>45824</v>
      </c>
      <c r="D1145" t="inlineStr">
        <is>
          <t>VÄSTMANLANDS LÄN</t>
        </is>
      </c>
      <c r="E1145" t="inlineStr">
        <is>
          <t>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60034-2024</t>
        </is>
      </c>
      <c r="B1146" s="1" t="n">
        <v>45642</v>
      </c>
      <c r="C1146" s="1" t="n">
        <v>45824</v>
      </c>
      <c r="D1146" t="inlineStr">
        <is>
          <t>VÄSTMANLANDS LÄN</t>
        </is>
      </c>
      <c r="E1146" t="inlineStr">
        <is>
          <t>SALA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60328-2024</t>
        </is>
      </c>
      <c r="B1147" s="1" t="n">
        <v>45643</v>
      </c>
      <c r="C1147" s="1" t="n">
        <v>45824</v>
      </c>
      <c r="D1147" t="inlineStr">
        <is>
          <t>VÄSTMANLANDS LÄN</t>
        </is>
      </c>
      <c r="E1147" t="inlineStr">
        <is>
          <t>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60550-2024</t>
        </is>
      </c>
      <c r="B1148" s="1" t="n">
        <v>45643</v>
      </c>
      <c r="C1148" s="1" t="n">
        <v>45824</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60548-2024</t>
        </is>
      </c>
      <c r="B1149" s="1" t="n">
        <v>45643</v>
      </c>
      <c r="C1149" s="1" t="n">
        <v>45824</v>
      </c>
      <c r="D1149" t="inlineStr">
        <is>
          <t>VÄSTMANLANDS LÄN</t>
        </is>
      </c>
      <c r="E1149" t="inlineStr">
        <is>
          <t>SALA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60547-2024</t>
        </is>
      </c>
      <c r="B1150" s="1" t="n">
        <v>45643</v>
      </c>
      <c r="C1150" s="1" t="n">
        <v>45824</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60541-2024</t>
        </is>
      </c>
      <c r="B1151" s="1" t="n">
        <v>45643</v>
      </c>
      <c r="C1151" s="1" t="n">
        <v>45824</v>
      </c>
      <c r="D1151" t="inlineStr">
        <is>
          <t>VÄSTMANLANDS LÄN</t>
        </is>
      </c>
      <c r="E1151" t="inlineStr">
        <is>
          <t>SALA</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60545-2024</t>
        </is>
      </c>
      <c r="B1152" s="1" t="n">
        <v>45643</v>
      </c>
      <c r="C1152" s="1" t="n">
        <v>45824</v>
      </c>
      <c r="D1152" t="inlineStr">
        <is>
          <t>VÄSTMANLANDS LÄN</t>
        </is>
      </c>
      <c r="E1152" t="inlineStr">
        <is>
          <t>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60818-2024</t>
        </is>
      </c>
      <c r="B1153" s="1" t="n">
        <v>45644</v>
      </c>
      <c r="C1153" s="1" t="n">
        <v>45824</v>
      </c>
      <c r="D1153" t="inlineStr">
        <is>
          <t>VÄSTMANLANDS LÄN</t>
        </is>
      </c>
      <c r="E1153" t="inlineStr">
        <is>
          <t>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60823-2024</t>
        </is>
      </c>
      <c r="B1154" s="1" t="n">
        <v>45644</v>
      </c>
      <c r="C1154" s="1" t="n">
        <v>45824</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61517-2024</t>
        </is>
      </c>
      <c r="B1155" s="1" t="n">
        <v>45645</v>
      </c>
      <c r="C1155" s="1" t="n">
        <v>45824</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61444-2024</t>
        </is>
      </c>
      <c r="B1156" s="1" t="n">
        <v>45646</v>
      </c>
      <c r="C1156" s="1" t="n">
        <v>45824</v>
      </c>
      <c r="D1156" t="inlineStr">
        <is>
          <t>VÄSTMANLANDS LÄN</t>
        </is>
      </c>
      <c r="E1156" t="inlineStr">
        <is>
          <t>SALA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61681-2024</t>
        </is>
      </c>
      <c r="B1157" s="1" t="n">
        <v>45647</v>
      </c>
      <c r="C1157" s="1" t="n">
        <v>45824</v>
      </c>
      <c r="D1157" t="inlineStr">
        <is>
          <t>VÄSTMANLANDS LÄN</t>
        </is>
      </c>
      <c r="E1157" t="inlineStr">
        <is>
          <t>SALA</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61683-2024</t>
        </is>
      </c>
      <c r="B1158" s="1" t="n">
        <v>45647</v>
      </c>
      <c r="C1158" s="1" t="n">
        <v>45824</v>
      </c>
      <c r="D1158" t="inlineStr">
        <is>
          <t>VÄSTMANLANDS LÄN</t>
        </is>
      </c>
      <c r="E1158" t="inlineStr">
        <is>
          <t>SALA</t>
        </is>
      </c>
      <c r="F1158" t="inlineStr">
        <is>
          <t>Kommuner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61715-2024</t>
        </is>
      </c>
      <c r="B1159" s="1" t="n">
        <v>45648</v>
      </c>
      <c r="C1159" s="1" t="n">
        <v>45824</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61717-2024</t>
        </is>
      </c>
      <c r="B1160" s="1" t="n">
        <v>45648</v>
      </c>
      <c r="C1160" s="1" t="n">
        <v>45824</v>
      </c>
      <c r="D1160" t="inlineStr">
        <is>
          <t>VÄSTMANLANDS LÄN</t>
        </is>
      </c>
      <c r="E1160" t="inlineStr">
        <is>
          <t>SALA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191-2025</t>
        </is>
      </c>
      <c r="B1161" s="1" t="n">
        <v>45649</v>
      </c>
      <c r="C1161" s="1" t="n">
        <v>45824</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327-2025</t>
        </is>
      </c>
      <c r="B1162" s="1" t="n">
        <v>45657</v>
      </c>
      <c r="C1162" s="1" t="n">
        <v>45824</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876-2025</t>
        </is>
      </c>
      <c r="B1163" s="1" t="n">
        <v>45665</v>
      </c>
      <c r="C1163" s="1" t="n">
        <v>45824</v>
      </c>
      <c r="D1163" t="inlineStr">
        <is>
          <t>VÄSTMANLANDS LÄN</t>
        </is>
      </c>
      <c r="E1163" t="inlineStr">
        <is>
          <t>SALA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922-2025</t>
        </is>
      </c>
      <c r="B1164" s="1" t="n">
        <v>45665</v>
      </c>
      <c r="C1164" s="1" t="n">
        <v>45824</v>
      </c>
      <c r="D1164" t="inlineStr">
        <is>
          <t>VÄSTMANLANDS LÄN</t>
        </is>
      </c>
      <c r="E1164" t="inlineStr">
        <is>
          <t>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1128-2025</t>
        </is>
      </c>
      <c r="B1165" s="1" t="n">
        <v>45666</v>
      </c>
      <c r="C1165" s="1" t="n">
        <v>45824</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996-2025</t>
        </is>
      </c>
      <c r="B1166" s="1" t="n">
        <v>45666</v>
      </c>
      <c r="C1166" s="1" t="n">
        <v>45824</v>
      </c>
      <c r="D1166" t="inlineStr">
        <is>
          <t>VÄSTMANLANDS LÄN</t>
        </is>
      </c>
      <c r="E1166" t="inlineStr">
        <is>
          <t>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988-2025</t>
        </is>
      </c>
      <c r="B1167" s="1" t="n">
        <v>45666</v>
      </c>
      <c r="C1167" s="1" t="n">
        <v>45824</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1569-2025</t>
        </is>
      </c>
      <c r="B1168" s="1" t="n">
        <v>45670</v>
      </c>
      <c r="C1168" s="1" t="n">
        <v>45824</v>
      </c>
      <c r="D1168" t="inlineStr">
        <is>
          <t>VÄSTMANLANDS LÄN</t>
        </is>
      </c>
      <c r="E1168" t="inlineStr">
        <is>
          <t>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1770-2025</t>
        </is>
      </c>
      <c r="B1169" s="1" t="n">
        <v>45671</v>
      </c>
      <c r="C1169" s="1" t="n">
        <v>45824</v>
      </c>
      <c r="D1169" t="inlineStr">
        <is>
          <t>VÄSTMANLANDS LÄN</t>
        </is>
      </c>
      <c r="E1169" t="inlineStr">
        <is>
          <t>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2271-2025</t>
        </is>
      </c>
      <c r="B1170" s="1" t="n">
        <v>45673</v>
      </c>
      <c r="C1170" s="1" t="n">
        <v>45824</v>
      </c>
      <c r="D1170" t="inlineStr">
        <is>
          <t>VÄSTMANLANDS LÄN</t>
        </is>
      </c>
      <c r="E1170" t="inlineStr">
        <is>
          <t>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2521-2025</t>
        </is>
      </c>
      <c r="B1171" s="1" t="n">
        <v>45674</v>
      </c>
      <c r="C1171" s="1" t="n">
        <v>45824</v>
      </c>
      <c r="D1171" t="inlineStr">
        <is>
          <t>VÄSTMANLANDS LÄN</t>
        </is>
      </c>
      <c r="E1171" t="inlineStr">
        <is>
          <t>SALA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3546-2025</t>
        </is>
      </c>
      <c r="B1172" s="1" t="n">
        <v>45680</v>
      </c>
      <c r="C1172" s="1" t="n">
        <v>45824</v>
      </c>
      <c r="D1172" t="inlineStr">
        <is>
          <t>VÄSTMANLANDS LÄN</t>
        </is>
      </c>
      <c r="E1172" t="inlineStr">
        <is>
          <t>SALA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4389-2025</t>
        </is>
      </c>
      <c r="B1173" s="1" t="n">
        <v>45686</v>
      </c>
      <c r="C1173" s="1" t="n">
        <v>45824</v>
      </c>
      <c r="D1173" t="inlineStr">
        <is>
          <t>VÄSTMANLANDS LÄN</t>
        </is>
      </c>
      <c r="E1173" t="inlineStr">
        <is>
          <t>SALA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5032-2025</t>
        </is>
      </c>
      <c r="B1174" s="1" t="n">
        <v>45691</v>
      </c>
      <c r="C1174" s="1" t="n">
        <v>45824</v>
      </c>
      <c r="D1174" t="inlineStr">
        <is>
          <t>VÄSTMANLANDS LÄN</t>
        </is>
      </c>
      <c r="E1174" t="inlineStr">
        <is>
          <t>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5823-2025</t>
        </is>
      </c>
      <c r="B1175" s="1" t="n">
        <v>45694</v>
      </c>
      <c r="C1175" s="1" t="n">
        <v>45824</v>
      </c>
      <c r="D1175" t="inlineStr">
        <is>
          <t>VÄSTMANLANDS LÄN</t>
        </is>
      </c>
      <c r="E1175" t="inlineStr">
        <is>
          <t>SALA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5824-2025</t>
        </is>
      </c>
      <c r="B1176" s="1" t="n">
        <v>45694</v>
      </c>
      <c r="C1176" s="1" t="n">
        <v>45824</v>
      </c>
      <c r="D1176" t="inlineStr">
        <is>
          <t>VÄSTMANLANDS LÄN</t>
        </is>
      </c>
      <c r="E1176" t="inlineStr">
        <is>
          <t>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6032-2025</t>
        </is>
      </c>
      <c r="B1177" s="1" t="n">
        <v>45695</v>
      </c>
      <c r="C1177" s="1" t="n">
        <v>45824</v>
      </c>
      <c r="D1177" t="inlineStr">
        <is>
          <t>VÄSTMANLANDS LÄN</t>
        </is>
      </c>
      <c r="E1177" t="inlineStr">
        <is>
          <t>SALA</t>
        </is>
      </c>
      <c r="F1177" t="inlineStr">
        <is>
          <t>Bergvik skog öst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45824</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45824</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6190-2025</t>
        </is>
      </c>
      <c r="B1180" s="1" t="n">
        <v>45698</v>
      </c>
      <c r="C1180" s="1" t="n">
        <v>45824</v>
      </c>
      <c r="D1180" t="inlineStr">
        <is>
          <t>VÄSTMANLANDS LÄN</t>
        </is>
      </c>
      <c r="E1180" t="inlineStr">
        <is>
          <t>SALA</t>
        </is>
      </c>
      <c r="F1180" t="inlineStr">
        <is>
          <t>Bergvik skog öst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6154-2025</t>
        </is>
      </c>
      <c r="B1181" s="1" t="n">
        <v>45698</v>
      </c>
      <c r="C1181" s="1" t="n">
        <v>45824</v>
      </c>
      <c r="D1181" t="inlineStr">
        <is>
          <t>VÄSTMANLANDS LÄN</t>
        </is>
      </c>
      <c r="E1181" t="inlineStr">
        <is>
          <t>SALA</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6136-2025</t>
        </is>
      </c>
      <c r="B1182" s="1" t="n">
        <v>45698</v>
      </c>
      <c r="C1182" s="1" t="n">
        <v>45824</v>
      </c>
      <c r="D1182" t="inlineStr">
        <is>
          <t>VÄSTMANLANDS LÄN</t>
        </is>
      </c>
      <c r="E1182" t="inlineStr">
        <is>
          <t>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6132-2025</t>
        </is>
      </c>
      <c r="B1183" s="1" t="n">
        <v>45698</v>
      </c>
      <c r="C1183" s="1" t="n">
        <v>45824</v>
      </c>
      <c r="D1183" t="inlineStr">
        <is>
          <t>VÄSTMANLANDS LÄN</t>
        </is>
      </c>
      <c r="E1183" t="inlineStr">
        <is>
          <t>SALA</t>
        </is>
      </c>
      <c r="F1183" t="inlineStr">
        <is>
          <t>Bergvik skog öst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6127-2025</t>
        </is>
      </c>
      <c r="B1184" s="1" t="n">
        <v>45698</v>
      </c>
      <c r="C1184" s="1" t="n">
        <v>45824</v>
      </c>
      <c r="D1184" t="inlineStr">
        <is>
          <t>VÄSTMANLANDS LÄN</t>
        </is>
      </c>
      <c r="E1184" t="inlineStr">
        <is>
          <t>SALA</t>
        </is>
      </c>
      <c r="F1184" t="inlineStr">
        <is>
          <t>Bergvik skog öst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6691-2025</t>
        </is>
      </c>
      <c r="B1185" s="1" t="n">
        <v>45700</v>
      </c>
      <c r="C1185" s="1" t="n">
        <v>45824</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7197-2025</t>
        </is>
      </c>
      <c r="B1186" s="1" t="n">
        <v>45702</v>
      </c>
      <c r="C1186" s="1" t="n">
        <v>45824</v>
      </c>
      <c r="D1186" t="inlineStr">
        <is>
          <t>VÄSTMANLANDS LÄN</t>
        </is>
      </c>
      <c r="E1186" t="inlineStr">
        <is>
          <t>SALA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7196-2025</t>
        </is>
      </c>
      <c r="B1187" s="1" t="n">
        <v>45702</v>
      </c>
      <c r="C1187" s="1" t="n">
        <v>45824</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7166-2025</t>
        </is>
      </c>
      <c r="B1188" s="1" t="n">
        <v>45702</v>
      </c>
      <c r="C1188" s="1" t="n">
        <v>45824</v>
      </c>
      <c r="D1188" t="inlineStr">
        <is>
          <t>VÄSTMANLANDS LÄN</t>
        </is>
      </c>
      <c r="E1188" t="inlineStr">
        <is>
          <t>SALA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7469-2025</t>
        </is>
      </c>
      <c r="B1189" s="1" t="n">
        <v>45705</v>
      </c>
      <c r="C1189" s="1" t="n">
        <v>45824</v>
      </c>
      <c r="D1189" t="inlineStr">
        <is>
          <t>VÄSTMANLANDS LÄN</t>
        </is>
      </c>
      <c r="E1189" t="inlineStr">
        <is>
          <t>SALA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7459-2025</t>
        </is>
      </c>
      <c r="B1190" s="1" t="n">
        <v>45705</v>
      </c>
      <c r="C1190" s="1" t="n">
        <v>45824</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7703-2025</t>
        </is>
      </c>
      <c r="B1191" s="1" t="n">
        <v>45706</v>
      </c>
      <c r="C1191" s="1" t="n">
        <v>45824</v>
      </c>
      <c r="D1191" t="inlineStr">
        <is>
          <t>VÄSTMANLANDS LÄN</t>
        </is>
      </c>
      <c r="E1191" t="inlineStr">
        <is>
          <t>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7950-2025</t>
        </is>
      </c>
      <c r="B1192" s="1" t="n">
        <v>45707</v>
      </c>
      <c r="C1192" s="1" t="n">
        <v>45824</v>
      </c>
      <c r="D1192" t="inlineStr">
        <is>
          <t>VÄSTMANLANDS LÄN</t>
        </is>
      </c>
      <c r="E1192" t="inlineStr">
        <is>
          <t>SALA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8285-2025</t>
        </is>
      </c>
      <c r="B1193" s="1" t="n">
        <v>45708</v>
      </c>
      <c r="C1193" s="1" t="n">
        <v>45824</v>
      </c>
      <c r="D1193" t="inlineStr">
        <is>
          <t>VÄSTMANLANDS LÄN</t>
        </is>
      </c>
      <c r="E1193" t="inlineStr">
        <is>
          <t>SALA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9095-2025</t>
        </is>
      </c>
      <c r="B1194" s="1" t="n">
        <v>45713</v>
      </c>
      <c r="C1194" s="1" t="n">
        <v>45824</v>
      </c>
      <c r="D1194" t="inlineStr">
        <is>
          <t>VÄSTMANLANDS LÄN</t>
        </is>
      </c>
      <c r="E1194" t="inlineStr">
        <is>
          <t>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9006-2025</t>
        </is>
      </c>
      <c r="B1195" s="1" t="n">
        <v>45713</v>
      </c>
      <c r="C1195" s="1" t="n">
        <v>45824</v>
      </c>
      <c r="D1195" t="inlineStr">
        <is>
          <t>VÄSTMANLANDS LÄN</t>
        </is>
      </c>
      <c r="E1195" t="inlineStr">
        <is>
          <t>SALA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9962-2025</t>
        </is>
      </c>
      <c r="B1196" s="1" t="n">
        <v>45719</v>
      </c>
      <c r="C1196" s="1" t="n">
        <v>45824</v>
      </c>
      <c r="D1196" t="inlineStr">
        <is>
          <t>VÄSTMANLANDS LÄN</t>
        </is>
      </c>
      <c r="E1196" t="inlineStr">
        <is>
          <t>SALA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10248-2025</t>
        </is>
      </c>
      <c r="B1197" s="1" t="n">
        <v>45720</v>
      </c>
      <c r="C1197" s="1" t="n">
        <v>45824</v>
      </c>
      <c r="D1197" t="inlineStr">
        <is>
          <t>VÄSTMANLANDS LÄN</t>
        </is>
      </c>
      <c r="E1197" t="inlineStr">
        <is>
          <t>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10250-2025</t>
        </is>
      </c>
      <c r="B1198" s="1" t="n">
        <v>45720</v>
      </c>
      <c r="C1198" s="1" t="n">
        <v>45824</v>
      </c>
      <c r="D1198" t="inlineStr">
        <is>
          <t>VÄSTMANLANDS LÄN</t>
        </is>
      </c>
      <c r="E1198" t="inlineStr">
        <is>
          <t>SALA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10508-2025</t>
        </is>
      </c>
      <c r="B1199" s="1" t="n">
        <v>45721</v>
      </c>
      <c r="C1199" s="1" t="n">
        <v>45824</v>
      </c>
      <c r="D1199" t="inlineStr">
        <is>
          <t>VÄSTMANLANDS LÄN</t>
        </is>
      </c>
      <c r="E1199" t="inlineStr">
        <is>
          <t>SALA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10824-2025</t>
        </is>
      </c>
      <c r="B1200" s="1" t="n">
        <v>45722</v>
      </c>
      <c r="C1200" s="1" t="n">
        <v>45824</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10913-2025</t>
        </is>
      </c>
      <c r="B1201" s="1" t="n">
        <v>45722</v>
      </c>
      <c r="C1201" s="1" t="n">
        <v>45824</v>
      </c>
      <c r="D1201" t="inlineStr">
        <is>
          <t>VÄSTMANLANDS LÄN</t>
        </is>
      </c>
      <c r="E1201" t="inlineStr">
        <is>
          <t>SALA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11153-2025</t>
        </is>
      </c>
      <c r="B1202" s="1" t="n">
        <v>45723</v>
      </c>
      <c r="C1202" s="1" t="n">
        <v>45824</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11210-2025</t>
        </is>
      </c>
      <c r="B1203" s="1" t="n">
        <v>45726</v>
      </c>
      <c r="C1203" s="1" t="n">
        <v>45824</v>
      </c>
      <c r="D1203" t="inlineStr">
        <is>
          <t>VÄSTMANLANDS LÄN</t>
        </is>
      </c>
      <c r="E1203" t="inlineStr">
        <is>
          <t>SALA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11696-2025</t>
        </is>
      </c>
      <c r="B1204" s="1" t="n">
        <v>45727</v>
      </c>
      <c r="C1204" s="1" t="n">
        <v>45824</v>
      </c>
      <c r="D1204" t="inlineStr">
        <is>
          <t>VÄSTMANLANDS LÄN</t>
        </is>
      </c>
      <c r="E1204" t="inlineStr">
        <is>
          <t>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11927-2025</t>
        </is>
      </c>
      <c r="B1205" s="1" t="n">
        <v>45728</v>
      </c>
      <c r="C1205" s="1" t="n">
        <v>45824</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12293-2025</t>
        </is>
      </c>
      <c r="B1206" s="1" t="n">
        <v>45729</v>
      </c>
      <c r="C1206" s="1" t="n">
        <v>45824</v>
      </c>
      <c r="D1206" t="inlineStr">
        <is>
          <t>VÄSTMANLANDS LÄN</t>
        </is>
      </c>
      <c r="E1206" t="inlineStr">
        <is>
          <t>SALA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12756-2025</t>
        </is>
      </c>
      <c r="B1207" s="1" t="n">
        <v>45733</v>
      </c>
      <c r="C1207" s="1" t="n">
        <v>45824</v>
      </c>
      <c r="D1207" t="inlineStr">
        <is>
          <t>VÄSTMANLANDS LÄN</t>
        </is>
      </c>
      <c r="E1207" t="inlineStr">
        <is>
          <t>SALA</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12918-2025</t>
        </is>
      </c>
      <c r="B1208" s="1" t="n">
        <v>45733</v>
      </c>
      <c r="C1208" s="1" t="n">
        <v>45824</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13127-2025</t>
        </is>
      </c>
      <c r="B1209" s="1" t="n">
        <v>45734</v>
      </c>
      <c r="C1209" s="1" t="n">
        <v>45824</v>
      </c>
      <c r="D1209" t="inlineStr">
        <is>
          <t>VÄSTMANLANDS LÄN</t>
        </is>
      </c>
      <c r="E1209" t="inlineStr">
        <is>
          <t>SALA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12922-2025</t>
        </is>
      </c>
      <c r="B1210" s="1" t="n">
        <v>45734</v>
      </c>
      <c r="C1210" s="1" t="n">
        <v>45824</v>
      </c>
      <c r="D1210" t="inlineStr">
        <is>
          <t>VÄSTMANLANDS LÄN</t>
        </is>
      </c>
      <c r="E1210" t="inlineStr">
        <is>
          <t>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12921-2025</t>
        </is>
      </c>
      <c r="B1211" s="1" t="n">
        <v>45734</v>
      </c>
      <c r="C1211" s="1" t="n">
        <v>45824</v>
      </c>
      <c r="D1211" t="inlineStr">
        <is>
          <t>VÄSTMANLANDS LÄN</t>
        </is>
      </c>
      <c r="E1211" t="inlineStr">
        <is>
          <t>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13000-2025</t>
        </is>
      </c>
      <c r="B1212" s="1" t="n">
        <v>45734</v>
      </c>
      <c r="C1212" s="1" t="n">
        <v>45824</v>
      </c>
      <c r="D1212" t="inlineStr">
        <is>
          <t>VÄSTMANLANDS LÄN</t>
        </is>
      </c>
      <c r="E1212" t="inlineStr">
        <is>
          <t>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13128-2025</t>
        </is>
      </c>
      <c r="B1213" s="1" t="n">
        <v>45734</v>
      </c>
      <c r="C1213" s="1" t="n">
        <v>45824</v>
      </c>
      <c r="D1213" t="inlineStr">
        <is>
          <t>VÄSTMANLANDS LÄN</t>
        </is>
      </c>
      <c r="E1213" t="inlineStr">
        <is>
          <t>SALA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13129-2025</t>
        </is>
      </c>
      <c r="B1214" s="1" t="n">
        <v>45734</v>
      </c>
      <c r="C1214" s="1" t="n">
        <v>45824</v>
      </c>
      <c r="D1214" t="inlineStr">
        <is>
          <t>VÄSTMANLANDS LÄN</t>
        </is>
      </c>
      <c r="E1214" t="inlineStr">
        <is>
          <t>SALA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13130-2025</t>
        </is>
      </c>
      <c r="B1215" s="1" t="n">
        <v>45734</v>
      </c>
      <c r="C1215" s="1" t="n">
        <v>45824</v>
      </c>
      <c r="D1215" t="inlineStr">
        <is>
          <t>VÄSTMANLANDS LÄN</t>
        </is>
      </c>
      <c r="E1215" t="inlineStr">
        <is>
          <t>SALA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13188-2025</t>
        </is>
      </c>
      <c r="B1216" s="1" t="n">
        <v>45735</v>
      </c>
      <c r="C1216" s="1" t="n">
        <v>45824</v>
      </c>
      <c r="D1216" t="inlineStr">
        <is>
          <t>VÄSTMANLANDS LÄN</t>
        </is>
      </c>
      <c r="E1216" t="inlineStr">
        <is>
          <t>SALA</t>
        </is>
      </c>
      <c r="F1216" t="inlineStr">
        <is>
          <t>Naturvårdsverket</t>
        </is>
      </c>
      <c r="G1216" t="n">
        <v>18.4</v>
      </c>
      <c r="H1216" t="n">
        <v>0</v>
      </c>
      <c r="I1216" t="n">
        <v>0</v>
      </c>
      <c r="J1216" t="n">
        <v>0</v>
      </c>
      <c r="K1216" t="n">
        <v>0</v>
      </c>
      <c r="L1216" t="n">
        <v>0</v>
      </c>
      <c r="M1216" t="n">
        <v>0</v>
      </c>
      <c r="N1216" t="n">
        <v>0</v>
      </c>
      <c r="O1216" t="n">
        <v>0</v>
      </c>
      <c r="P1216" t="n">
        <v>0</v>
      </c>
      <c r="Q1216" t="n">
        <v>0</v>
      </c>
      <c r="R1216" s="2" t="inlineStr"/>
    </row>
    <row r="1217" ht="15" customHeight="1">
      <c r="A1217" t="inlineStr">
        <is>
          <t>A 13471-2025</t>
        </is>
      </c>
      <c r="B1217" s="1" t="n">
        <v>45736</v>
      </c>
      <c r="C1217" s="1" t="n">
        <v>45824</v>
      </c>
      <c r="D1217" t="inlineStr">
        <is>
          <t>VÄSTMANLANDS LÄN</t>
        </is>
      </c>
      <c r="E1217" t="inlineStr">
        <is>
          <t>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13752-2025</t>
        </is>
      </c>
      <c r="B1218" s="1" t="n">
        <v>45737</v>
      </c>
      <c r="C1218" s="1" t="n">
        <v>45824</v>
      </c>
      <c r="D1218" t="inlineStr">
        <is>
          <t>VÄSTMANLANDS LÄN</t>
        </is>
      </c>
      <c r="E1218" t="inlineStr">
        <is>
          <t>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13746-2025</t>
        </is>
      </c>
      <c r="B1219" s="1" t="n">
        <v>45737</v>
      </c>
      <c r="C1219" s="1" t="n">
        <v>45824</v>
      </c>
      <c r="D1219" t="inlineStr">
        <is>
          <t>VÄSTMANLANDS LÄN</t>
        </is>
      </c>
      <c r="E1219" t="inlineStr">
        <is>
          <t>SALA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13749-2025</t>
        </is>
      </c>
      <c r="B1220" s="1" t="n">
        <v>45737</v>
      </c>
      <c r="C1220" s="1" t="n">
        <v>45824</v>
      </c>
      <c r="D1220" t="inlineStr">
        <is>
          <t>VÄSTMANLANDS LÄN</t>
        </is>
      </c>
      <c r="E1220" t="inlineStr">
        <is>
          <t>SALA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14271-2025</t>
        </is>
      </c>
      <c r="B1221" s="1" t="n">
        <v>45740</v>
      </c>
      <c r="C1221" s="1" t="n">
        <v>45824</v>
      </c>
      <c r="D1221" t="inlineStr">
        <is>
          <t>VÄSTMANLANDS LÄN</t>
        </is>
      </c>
      <c r="E1221" t="inlineStr">
        <is>
          <t>SALA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14024-2025</t>
        </is>
      </c>
      <c r="B1222" s="1" t="n">
        <v>45740</v>
      </c>
      <c r="C1222" s="1" t="n">
        <v>45824</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14268-2025</t>
        </is>
      </c>
      <c r="B1223" s="1" t="n">
        <v>45740</v>
      </c>
      <c r="C1223" s="1" t="n">
        <v>45824</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14690-2025</t>
        </is>
      </c>
      <c r="B1224" s="1" t="n">
        <v>45742</v>
      </c>
      <c r="C1224" s="1" t="n">
        <v>45824</v>
      </c>
      <c r="D1224" t="inlineStr">
        <is>
          <t>VÄSTMANLANDS LÄN</t>
        </is>
      </c>
      <c r="E1224" t="inlineStr">
        <is>
          <t>SALA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14853-2025</t>
        </is>
      </c>
      <c r="B1225" s="1" t="n">
        <v>45743</v>
      </c>
      <c r="C1225" s="1" t="n">
        <v>45824</v>
      </c>
      <c r="D1225" t="inlineStr">
        <is>
          <t>VÄSTMANLANDS LÄN</t>
        </is>
      </c>
      <c r="E1225" t="inlineStr">
        <is>
          <t>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14919-2025</t>
        </is>
      </c>
      <c r="B1226" s="1" t="n">
        <v>45743</v>
      </c>
      <c r="C1226" s="1" t="n">
        <v>45824</v>
      </c>
      <c r="D1226" t="inlineStr">
        <is>
          <t>VÄSTMANLANDS LÄN</t>
        </is>
      </c>
      <c r="E1226" t="inlineStr">
        <is>
          <t>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15000-2025</t>
        </is>
      </c>
      <c r="B1227" s="1" t="n">
        <v>45743</v>
      </c>
      <c r="C1227" s="1" t="n">
        <v>45824</v>
      </c>
      <c r="D1227" t="inlineStr">
        <is>
          <t>VÄSTMANLANDS LÄN</t>
        </is>
      </c>
      <c r="E1227" t="inlineStr">
        <is>
          <t>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14920-2025</t>
        </is>
      </c>
      <c r="B1228" s="1" t="n">
        <v>45743</v>
      </c>
      <c r="C1228" s="1" t="n">
        <v>45824</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15193-2025</t>
        </is>
      </c>
      <c r="B1229" s="1" t="n">
        <v>45744</v>
      </c>
      <c r="C1229" s="1" t="n">
        <v>45824</v>
      </c>
      <c r="D1229" t="inlineStr">
        <is>
          <t>VÄSTMANLANDS LÄN</t>
        </is>
      </c>
      <c r="E1229" t="inlineStr">
        <is>
          <t>SALA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v>
      </c>
      <c r="C1230" s="1" t="n">
        <v>45824</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15272-2025</t>
        </is>
      </c>
      <c r="B1231" s="1" t="n">
        <v>45744</v>
      </c>
      <c r="C1231" s="1" t="n">
        <v>45824</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15756-2025</t>
        </is>
      </c>
      <c r="B1232" s="1" t="n">
        <v>45748</v>
      </c>
      <c r="C1232" s="1" t="n">
        <v>45824</v>
      </c>
      <c r="D1232" t="inlineStr">
        <is>
          <t>VÄSTMANLANDS LÄN</t>
        </is>
      </c>
      <c r="E1232" t="inlineStr">
        <is>
          <t>SALA</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15681-2025</t>
        </is>
      </c>
      <c r="B1233" s="1" t="n">
        <v>45748</v>
      </c>
      <c r="C1233" s="1" t="n">
        <v>45824</v>
      </c>
      <c r="D1233" t="inlineStr">
        <is>
          <t>VÄSTMANLANDS LÄN</t>
        </is>
      </c>
      <c r="E1233" t="inlineStr">
        <is>
          <t>SALA</t>
        </is>
      </c>
      <c r="F1233" t="inlineStr">
        <is>
          <t>Bergvik skog öst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15650-2025</t>
        </is>
      </c>
      <c r="B1234" s="1" t="n">
        <v>45748</v>
      </c>
      <c r="C1234" s="1" t="n">
        <v>45824</v>
      </c>
      <c r="D1234" t="inlineStr">
        <is>
          <t>VÄSTMANLANDS LÄN</t>
        </is>
      </c>
      <c r="E1234" t="inlineStr">
        <is>
          <t>SALA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16133-2025</t>
        </is>
      </c>
      <c r="B1235" s="1" t="n">
        <v>45750</v>
      </c>
      <c r="C1235" s="1" t="n">
        <v>45824</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16328-2025</t>
        </is>
      </c>
      <c r="B1236" s="1" t="n">
        <v>45751</v>
      </c>
      <c r="C1236" s="1" t="n">
        <v>45824</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16641-2025</t>
        </is>
      </c>
      <c r="B1237" s="1" t="n">
        <v>45754</v>
      </c>
      <c r="C1237" s="1" t="n">
        <v>45824</v>
      </c>
      <c r="D1237" t="inlineStr">
        <is>
          <t>VÄSTMANLANDS LÄN</t>
        </is>
      </c>
      <c r="E1237" t="inlineStr">
        <is>
          <t>SALA</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17051-2025</t>
        </is>
      </c>
      <c r="B1238" s="1" t="n">
        <v>45755</v>
      </c>
      <c r="C1238" s="1" t="n">
        <v>45824</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17316-2025</t>
        </is>
      </c>
      <c r="B1239" s="1" t="n">
        <v>45756</v>
      </c>
      <c r="C1239" s="1" t="n">
        <v>45824</v>
      </c>
      <c r="D1239" t="inlineStr">
        <is>
          <t>VÄSTMANLANDS LÄN</t>
        </is>
      </c>
      <c r="E1239" t="inlineStr">
        <is>
          <t>SALA</t>
        </is>
      </c>
      <c r="F1239" t="inlineStr">
        <is>
          <t>Kommuner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17320-2025</t>
        </is>
      </c>
      <c r="B1240" s="1" t="n">
        <v>45756</v>
      </c>
      <c r="C1240" s="1" t="n">
        <v>45824</v>
      </c>
      <c r="D1240" t="inlineStr">
        <is>
          <t>VÄSTMANLANDS LÄN</t>
        </is>
      </c>
      <c r="E1240" t="inlineStr">
        <is>
          <t>SALA</t>
        </is>
      </c>
      <c r="F1240" t="inlineStr">
        <is>
          <t>Kommuner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17719-2025</t>
        </is>
      </c>
      <c r="B1241" s="1" t="n">
        <v>45758</v>
      </c>
      <c r="C1241" s="1" t="n">
        <v>45824</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17766-2025</t>
        </is>
      </c>
      <c r="B1242" s="1" t="n">
        <v>45758</v>
      </c>
      <c r="C1242" s="1" t="n">
        <v>45824</v>
      </c>
      <c r="D1242" t="inlineStr">
        <is>
          <t>VÄSTMANLANDS LÄN</t>
        </is>
      </c>
      <c r="E1242" t="inlineStr">
        <is>
          <t>SALA</t>
        </is>
      </c>
      <c r="G1242" t="n">
        <v>16.5</v>
      </c>
      <c r="H1242" t="n">
        <v>0</v>
      </c>
      <c r="I1242" t="n">
        <v>0</v>
      </c>
      <c r="J1242" t="n">
        <v>0</v>
      </c>
      <c r="K1242" t="n">
        <v>0</v>
      </c>
      <c r="L1242" t="n">
        <v>0</v>
      </c>
      <c r="M1242" t="n">
        <v>0</v>
      </c>
      <c r="N1242" t="n">
        <v>0</v>
      </c>
      <c r="O1242" t="n">
        <v>0</v>
      </c>
      <c r="P1242" t="n">
        <v>0</v>
      </c>
      <c r="Q1242" t="n">
        <v>0</v>
      </c>
      <c r="R1242" s="2" t="inlineStr"/>
    </row>
    <row r="1243" ht="15" customHeight="1">
      <c r="A1243" t="inlineStr">
        <is>
          <t>A 17866-2025</t>
        </is>
      </c>
      <c r="B1243" s="1" t="n">
        <v>45758</v>
      </c>
      <c r="C1243" s="1" t="n">
        <v>45824</v>
      </c>
      <c r="D1243" t="inlineStr">
        <is>
          <t>VÄSTMANLANDS LÄN</t>
        </is>
      </c>
      <c r="E1243" t="inlineStr">
        <is>
          <t>SALA</t>
        </is>
      </c>
      <c r="F1243" t="inlineStr">
        <is>
          <t>Bergvik skog öst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17868-2025</t>
        </is>
      </c>
      <c r="B1244" s="1" t="n">
        <v>45758</v>
      </c>
      <c r="C1244" s="1" t="n">
        <v>45824</v>
      </c>
      <c r="D1244" t="inlineStr">
        <is>
          <t>VÄSTMANLANDS LÄN</t>
        </is>
      </c>
      <c r="E1244" t="inlineStr">
        <is>
          <t>SALA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17722-2025</t>
        </is>
      </c>
      <c r="B1245" s="1" t="n">
        <v>45758</v>
      </c>
      <c r="C1245" s="1" t="n">
        <v>45824</v>
      </c>
      <c r="D1245" t="inlineStr">
        <is>
          <t>VÄSTMANLANDS LÄN</t>
        </is>
      </c>
      <c r="E1245" t="inlineStr">
        <is>
          <t>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18158-2025</t>
        </is>
      </c>
      <c r="B1246" s="1" t="n">
        <v>45761</v>
      </c>
      <c r="C1246" s="1" t="n">
        <v>45824</v>
      </c>
      <c r="D1246" t="inlineStr">
        <is>
          <t>VÄSTMANLANDS LÄN</t>
        </is>
      </c>
      <c r="E1246" t="inlineStr">
        <is>
          <t>SALA</t>
        </is>
      </c>
      <c r="F1246" t="inlineStr">
        <is>
          <t>Bergvik skog öst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17985-2025</t>
        </is>
      </c>
      <c r="B1247" s="1" t="n">
        <v>45761</v>
      </c>
      <c r="C1247" s="1" t="n">
        <v>45824</v>
      </c>
      <c r="D1247" t="inlineStr">
        <is>
          <t>VÄSTMANLANDS LÄN</t>
        </is>
      </c>
      <c r="E1247" t="inlineStr">
        <is>
          <t>SALA</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18340-2025</t>
        </is>
      </c>
      <c r="B1248" s="1" t="n">
        <v>45762</v>
      </c>
      <c r="C1248" s="1" t="n">
        <v>45824</v>
      </c>
      <c r="D1248" t="inlineStr">
        <is>
          <t>VÄSTMANLANDS LÄN</t>
        </is>
      </c>
      <c r="E1248" t="inlineStr">
        <is>
          <t>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18713-2025</t>
        </is>
      </c>
      <c r="B1249" s="1" t="n">
        <v>45763</v>
      </c>
      <c r="C1249" s="1" t="n">
        <v>45824</v>
      </c>
      <c r="D1249" t="inlineStr">
        <is>
          <t>VÄSTMANLANDS LÄN</t>
        </is>
      </c>
      <c r="E1249" t="inlineStr">
        <is>
          <t>SALA</t>
        </is>
      </c>
      <c r="F1249" t="inlineStr">
        <is>
          <t>Bergvik skog öst AB</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19033-2025</t>
        </is>
      </c>
      <c r="B1250" s="1" t="n">
        <v>45764</v>
      </c>
      <c r="C1250" s="1" t="n">
        <v>45824</v>
      </c>
      <c r="D1250" t="inlineStr">
        <is>
          <t>VÄSTMANLANDS LÄN</t>
        </is>
      </c>
      <c r="E1250" t="inlineStr">
        <is>
          <t>SALA</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19243-2025</t>
        </is>
      </c>
      <c r="B1251" s="1" t="n">
        <v>45769</v>
      </c>
      <c r="C1251" s="1" t="n">
        <v>45824</v>
      </c>
      <c r="D1251" t="inlineStr">
        <is>
          <t>VÄSTMANLANDS LÄN</t>
        </is>
      </c>
      <c r="E1251" t="inlineStr">
        <is>
          <t>SALA</t>
        </is>
      </c>
      <c r="F1251" t="inlineStr">
        <is>
          <t>Bergvik skog öst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19297-2025</t>
        </is>
      </c>
      <c r="B1252" s="1" t="n">
        <v>45769</v>
      </c>
      <c r="C1252" s="1" t="n">
        <v>45824</v>
      </c>
      <c r="D1252" t="inlineStr">
        <is>
          <t>VÄSTMANLANDS LÄN</t>
        </is>
      </c>
      <c r="E1252" t="inlineStr">
        <is>
          <t>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19222-2025</t>
        </is>
      </c>
      <c r="B1253" s="1" t="n">
        <v>45769</v>
      </c>
      <c r="C1253" s="1" t="n">
        <v>45824</v>
      </c>
      <c r="D1253" t="inlineStr">
        <is>
          <t>VÄSTMANLANDS LÄN</t>
        </is>
      </c>
      <c r="E1253" t="inlineStr">
        <is>
          <t>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45824</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45824</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19398-2025</t>
        </is>
      </c>
      <c r="B1256" s="1" t="n">
        <v>45769</v>
      </c>
      <c r="C1256" s="1" t="n">
        <v>45824</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19381-2025</t>
        </is>
      </c>
      <c r="B1257" s="1" t="n">
        <v>45769</v>
      </c>
      <c r="C1257" s="1" t="n">
        <v>45824</v>
      </c>
      <c r="D1257" t="inlineStr">
        <is>
          <t>VÄSTMANLANDS LÄN</t>
        </is>
      </c>
      <c r="E1257" t="inlineStr">
        <is>
          <t>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19241-2025</t>
        </is>
      </c>
      <c r="B1258" s="1" t="n">
        <v>45769</v>
      </c>
      <c r="C1258" s="1" t="n">
        <v>45824</v>
      </c>
      <c r="D1258" t="inlineStr">
        <is>
          <t>VÄSTMANLANDS LÄN</t>
        </is>
      </c>
      <c r="E1258" t="inlineStr">
        <is>
          <t>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21168-2025</t>
        </is>
      </c>
      <c r="B1259" s="1" t="n">
        <v>45777</v>
      </c>
      <c r="C1259" s="1" t="n">
        <v>45824</v>
      </c>
      <c r="D1259" t="inlineStr">
        <is>
          <t>VÄSTMANLANDS LÄN</t>
        </is>
      </c>
      <c r="E1259" t="inlineStr">
        <is>
          <t>SALA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21754-2025</t>
        </is>
      </c>
      <c r="B1260" s="1" t="n">
        <v>45783</v>
      </c>
      <c r="C1260" s="1" t="n">
        <v>45824</v>
      </c>
      <c r="D1260" t="inlineStr">
        <is>
          <t>VÄSTMANLANDS LÄN</t>
        </is>
      </c>
      <c r="E1260" t="inlineStr">
        <is>
          <t>SALA</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21751-2025</t>
        </is>
      </c>
      <c r="B1261" s="1" t="n">
        <v>45783</v>
      </c>
      <c r="C1261" s="1" t="n">
        <v>45824</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21738-2025</t>
        </is>
      </c>
      <c r="B1262" s="1" t="n">
        <v>45783</v>
      </c>
      <c r="C1262" s="1" t="n">
        <v>45824</v>
      </c>
      <c r="D1262" t="inlineStr">
        <is>
          <t>VÄSTMANLANDS LÄN</t>
        </is>
      </c>
      <c r="E1262" t="inlineStr">
        <is>
          <t>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21721-2025</t>
        </is>
      </c>
      <c r="B1263" s="1" t="n">
        <v>45783</v>
      </c>
      <c r="C1263" s="1" t="n">
        <v>45824</v>
      </c>
      <c r="D1263" t="inlineStr">
        <is>
          <t>VÄSTMANLANDS LÄN</t>
        </is>
      </c>
      <c r="E1263" t="inlineStr">
        <is>
          <t>SALA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22126-2025</t>
        </is>
      </c>
      <c r="B1264" s="1" t="n">
        <v>45785</v>
      </c>
      <c r="C1264" s="1" t="n">
        <v>45824</v>
      </c>
      <c r="D1264" t="inlineStr">
        <is>
          <t>VÄSTMANLANDS LÄN</t>
        </is>
      </c>
      <c r="E1264" t="inlineStr">
        <is>
          <t>SALA</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22353-2025</t>
        </is>
      </c>
      <c r="B1265" s="1" t="n">
        <v>45786</v>
      </c>
      <c r="C1265" s="1" t="n">
        <v>45824</v>
      </c>
      <c r="D1265" t="inlineStr">
        <is>
          <t>VÄSTMANLANDS LÄN</t>
        </is>
      </c>
      <c r="E1265" t="inlineStr">
        <is>
          <t>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22370-2025</t>
        </is>
      </c>
      <c r="B1266" s="1" t="n">
        <v>45786</v>
      </c>
      <c r="C1266" s="1" t="n">
        <v>45824</v>
      </c>
      <c r="D1266" t="inlineStr">
        <is>
          <t>VÄSTMANLANDS LÄN</t>
        </is>
      </c>
      <c r="E1266" t="inlineStr">
        <is>
          <t>SALA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22383-2025</t>
        </is>
      </c>
      <c r="B1267" s="1" t="n">
        <v>45786</v>
      </c>
      <c r="C1267" s="1" t="n">
        <v>45824</v>
      </c>
      <c r="D1267" t="inlineStr">
        <is>
          <t>VÄSTMANLANDS LÄN</t>
        </is>
      </c>
      <c r="E1267" t="inlineStr">
        <is>
          <t>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22624-2025</t>
        </is>
      </c>
      <c r="B1268" s="1" t="n">
        <v>45789</v>
      </c>
      <c r="C1268" s="1" t="n">
        <v>45824</v>
      </c>
      <c r="D1268" t="inlineStr">
        <is>
          <t>VÄSTMANLANDS LÄN</t>
        </is>
      </c>
      <c r="E1268" t="inlineStr">
        <is>
          <t>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22616-2025</t>
        </is>
      </c>
      <c r="B1269" s="1" t="n">
        <v>45789</v>
      </c>
      <c r="C1269" s="1" t="n">
        <v>45824</v>
      </c>
      <c r="D1269" t="inlineStr">
        <is>
          <t>VÄSTMANLANDS LÄN</t>
        </is>
      </c>
      <c r="E1269" t="inlineStr">
        <is>
          <t>SALA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22625-2025</t>
        </is>
      </c>
      <c r="B1270" s="1" t="n">
        <v>45789</v>
      </c>
      <c r="C1270" s="1" t="n">
        <v>45824</v>
      </c>
      <c r="D1270" t="inlineStr">
        <is>
          <t>VÄSTMANLANDS LÄN</t>
        </is>
      </c>
      <c r="E1270" t="inlineStr">
        <is>
          <t>SALA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23810-2025</t>
        </is>
      </c>
      <c r="B1271" s="1" t="n">
        <v>45793</v>
      </c>
      <c r="C1271" s="1" t="n">
        <v>45824</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23804-2025</t>
        </is>
      </c>
      <c r="B1272" s="1" t="n">
        <v>45793</v>
      </c>
      <c r="C1272" s="1" t="n">
        <v>45824</v>
      </c>
      <c r="D1272" t="inlineStr">
        <is>
          <t>VÄSTMANLANDS LÄN</t>
        </is>
      </c>
      <c r="E1272" t="inlineStr">
        <is>
          <t>SALA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24169-2025</t>
        </is>
      </c>
      <c r="B1273" s="1" t="n">
        <v>45796</v>
      </c>
      <c r="C1273" s="1" t="n">
        <v>45824</v>
      </c>
      <c r="D1273" t="inlineStr">
        <is>
          <t>VÄSTMANLANDS LÄN</t>
        </is>
      </c>
      <c r="E1273" t="inlineStr">
        <is>
          <t>SALA</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24410-2025</t>
        </is>
      </c>
      <c r="B1274" s="1" t="n">
        <v>45797</v>
      </c>
      <c r="C1274" s="1" t="n">
        <v>45824</v>
      </c>
      <c r="D1274" t="inlineStr">
        <is>
          <t>VÄSTMANLANDS LÄN</t>
        </is>
      </c>
      <c r="E1274" t="inlineStr">
        <is>
          <t>SALA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24463-2025</t>
        </is>
      </c>
      <c r="B1275" s="1" t="n">
        <v>45798</v>
      </c>
      <c r="C1275" s="1" t="n">
        <v>45824</v>
      </c>
      <c r="D1275" t="inlineStr">
        <is>
          <t>VÄSTMANLANDS LÄN</t>
        </is>
      </c>
      <c r="E1275" t="inlineStr">
        <is>
          <t>SALA</t>
        </is>
      </c>
      <c r="F1275" t="inlineStr">
        <is>
          <t>Bergvik skog öst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24460-2025</t>
        </is>
      </c>
      <c r="B1276" s="1" t="n">
        <v>45798</v>
      </c>
      <c r="C1276" s="1" t="n">
        <v>45824</v>
      </c>
      <c r="D1276" t="inlineStr">
        <is>
          <t>VÄSTMANLANDS LÄN</t>
        </is>
      </c>
      <c r="E1276" t="inlineStr">
        <is>
          <t>SALA</t>
        </is>
      </c>
      <c r="F1276" t="inlineStr">
        <is>
          <t>Bergvik skog öst AB</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24910-2025</t>
        </is>
      </c>
      <c r="B1277" s="1" t="n">
        <v>45799</v>
      </c>
      <c r="C1277" s="1" t="n">
        <v>45824</v>
      </c>
      <c r="D1277" t="inlineStr">
        <is>
          <t>VÄSTMANLANDS LÄN</t>
        </is>
      </c>
      <c r="E1277" t="inlineStr">
        <is>
          <t>SALA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26661-2025</t>
        </is>
      </c>
      <c r="B1278" s="1" t="n">
        <v>45810</v>
      </c>
      <c r="C1278" s="1" t="n">
        <v>45824</v>
      </c>
      <c r="D1278" t="inlineStr">
        <is>
          <t>VÄSTMANLANDS LÄN</t>
        </is>
      </c>
      <c r="E1278" t="inlineStr">
        <is>
          <t>SALA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27981-2025</t>
        </is>
      </c>
      <c r="B1279" s="1" t="n">
        <v>45817</v>
      </c>
      <c r="C1279" s="1" t="n">
        <v>45824</v>
      </c>
      <c r="D1279" t="inlineStr">
        <is>
          <t>VÄSTMANLANDS LÄN</t>
        </is>
      </c>
      <c r="E1279" t="inlineStr">
        <is>
          <t>SALA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27989-2025</t>
        </is>
      </c>
      <c r="B1280" s="1" t="n">
        <v>45817</v>
      </c>
      <c r="C1280" s="1" t="n">
        <v>45824</v>
      </c>
      <c r="D1280" t="inlineStr">
        <is>
          <t>VÄSTMANLANDS LÄN</t>
        </is>
      </c>
      <c r="E1280" t="inlineStr">
        <is>
          <t>SALA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28193-2025</t>
        </is>
      </c>
      <c r="B1281" s="1" t="n">
        <v>45818</v>
      </c>
      <c r="C1281" s="1" t="n">
        <v>45824</v>
      </c>
      <c r="D1281" t="inlineStr">
        <is>
          <t>VÄSTMANLANDS LÄN</t>
        </is>
      </c>
      <c r="E1281" t="inlineStr">
        <is>
          <t>SALA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28278-2025</t>
        </is>
      </c>
      <c r="B1282" s="1" t="n">
        <v>45818</v>
      </c>
      <c r="C1282" s="1" t="n">
        <v>45824</v>
      </c>
      <c r="D1282" t="inlineStr">
        <is>
          <t>VÄSTMANLANDS LÄN</t>
        </is>
      </c>
      <c r="E1282" t="inlineStr">
        <is>
          <t>SALA</t>
        </is>
      </c>
      <c r="G1282" t="n">
        <v>7.6</v>
      </c>
      <c r="H1282" t="n">
        <v>0</v>
      </c>
      <c r="I1282" t="n">
        <v>0</v>
      </c>
      <c r="J1282" t="n">
        <v>0</v>
      </c>
      <c r="K1282" t="n">
        <v>0</v>
      </c>
      <c r="L1282" t="n">
        <v>0</v>
      </c>
      <c r="M1282" t="n">
        <v>0</v>
      </c>
      <c r="N1282" t="n">
        <v>0</v>
      </c>
      <c r="O1282" t="n">
        <v>0</v>
      </c>
      <c r="P1282" t="n">
        <v>0</v>
      </c>
      <c r="Q1282" t="n">
        <v>0</v>
      </c>
      <c r="R1282" s="2" t="inlineStr"/>
    </row>
    <row r="1283" ht="15" customHeight="1">
      <c r="A1283" t="inlineStr">
        <is>
          <t>A 28284-2025</t>
        </is>
      </c>
      <c r="B1283" s="1" t="n">
        <v>45818</v>
      </c>
      <c r="C1283" s="1" t="n">
        <v>45824</v>
      </c>
      <c r="D1283" t="inlineStr">
        <is>
          <t>VÄSTMANLANDS LÄN</t>
        </is>
      </c>
      <c r="E1283" t="inlineStr">
        <is>
          <t>SALA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28628-2025</t>
        </is>
      </c>
      <c r="B1284" s="1" t="n">
        <v>45819</v>
      </c>
      <c r="C1284" s="1" t="n">
        <v>45824</v>
      </c>
      <c r="D1284" t="inlineStr">
        <is>
          <t>VÄSTMANLANDS LÄN</t>
        </is>
      </c>
      <c r="E1284" t="inlineStr">
        <is>
          <t>SALA</t>
        </is>
      </c>
      <c r="F1284" t="inlineStr">
        <is>
          <t>Sveaskog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28630-2025</t>
        </is>
      </c>
      <c r="B1285" s="1" t="n">
        <v>45819</v>
      </c>
      <c r="C1285" s="1" t="n">
        <v>45824</v>
      </c>
      <c r="D1285" t="inlineStr">
        <is>
          <t>VÄSTMANLANDS LÄN</t>
        </is>
      </c>
      <c r="E1285" t="inlineStr">
        <is>
          <t>SALA</t>
        </is>
      </c>
      <c r="F1285" t="inlineStr">
        <is>
          <t>Sveaskog</t>
        </is>
      </c>
      <c r="G1285" t="n">
        <v>9</v>
      </c>
      <c r="H1285" t="n">
        <v>0</v>
      </c>
      <c r="I1285" t="n">
        <v>0</v>
      </c>
      <c r="J1285" t="n">
        <v>0</v>
      </c>
      <c r="K1285" t="n">
        <v>0</v>
      </c>
      <c r="L1285" t="n">
        <v>0</v>
      </c>
      <c r="M1285" t="n">
        <v>0</v>
      </c>
      <c r="N1285" t="n">
        <v>0</v>
      </c>
      <c r="O1285" t="n">
        <v>0</v>
      </c>
      <c r="P1285" t="n">
        <v>0</v>
      </c>
      <c r="Q1285" t="n">
        <v>0</v>
      </c>
      <c r="R1285" s="2" t="inlineStr"/>
    </row>
    <row r="1286" ht="15" customHeight="1">
      <c r="A1286" t="inlineStr">
        <is>
          <t>A 28632-2025</t>
        </is>
      </c>
      <c r="B1286" s="1" t="n">
        <v>45819</v>
      </c>
      <c r="C1286" s="1" t="n">
        <v>45824</v>
      </c>
      <c r="D1286" t="inlineStr">
        <is>
          <t>VÄSTMANLANDS LÄN</t>
        </is>
      </c>
      <c r="E1286" t="inlineStr">
        <is>
          <t>SALA</t>
        </is>
      </c>
      <c r="F1286" t="inlineStr">
        <is>
          <t>Sveaskog</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28837-2025</t>
        </is>
      </c>
      <c r="B1287" s="1" t="n">
        <v>45820</v>
      </c>
      <c r="C1287" s="1" t="n">
        <v>45824</v>
      </c>
      <c r="D1287" t="inlineStr">
        <is>
          <t>VÄSTMANLANDS LÄN</t>
        </is>
      </c>
      <c r="E1287" t="inlineStr">
        <is>
          <t>SALA</t>
        </is>
      </c>
      <c r="F1287" t="inlineStr">
        <is>
          <t>Sveaskog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28849-2025</t>
        </is>
      </c>
      <c r="B1288" s="1" t="n">
        <v>45820</v>
      </c>
      <c r="C1288" s="1" t="n">
        <v>45824</v>
      </c>
      <c r="D1288" t="inlineStr">
        <is>
          <t>VÄSTMANLANDS LÄN</t>
        </is>
      </c>
      <c r="E1288" t="inlineStr">
        <is>
          <t>SALA</t>
        </is>
      </c>
      <c r="G1288" t="n">
        <v>1.1</v>
      </c>
      <c r="H1288" t="n">
        <v>0</v>
      </c>
      <c r="I1288" t="n">
        <v>0</v>
      </c>
      <c r="J1288" t="n">
        <v>0</v>
      </c>
      <c r="K1288" t="n">
        <v>0</v>
      </c>
      <c r="L1288" t="n">
        <v>0</v>
      </c>
      <c r="M1288" t="n">
        <v>0</v>
      </c>
      <c r="N1288" t="n">
        <v>0</v>
      </c>
      <c r="O1288" t="n">
        <v>0</v>
      </c>
      <c r="P1288" t="n">
        <v>0</v>
      </c>
      <c r="Q1288" t="n">
        <v>0</v>
      </c>
      <c r="R1288" s="2" t="inlineStr"/>
    </row>
    <row r="1289">
      <c r="A1289" t="inlineStr">
        <is>
          <t>A 29085-2025</t>
        </is>
      </c>
      <c r="B1289" s="1" t="n">
        <v>45821</v>
      </c>
      <c r="C1289" s="1" t="n">
        <v>45824</v>
      </c>
      <c r="D1289" t="inlineStr">
        <is>
          <t>VÄSTMANLANDS LÄN</t>
        </is>
      </c>
      <c r="E1289" t="inlineStr">
        <is>
          <t>SALA</t>
        </is>
      </c>
      <c r="G1289" t="n">
        <v>3.5</v>
      </c>
      <c r="H1289" t="n">
        <v>0</v>
      </c>
      <c r="I1289" t="n">
        <v>0</v>
      </c>
      <c r="J1289" t="n">
        <v>0</v>
      </c>
      <c r="K1289" t="n">
        <v>0</v>
      </c>
      <c r="L1289" t="n">
        <v>0</v>
      </c>
      <c r="M1289" t="n">
        <v>0</v>
      </c>
      <c r="N1289" t="n">
        <v>0</v>
      </c>
      <c r="O1289" t="n">
        <v>0</v>
      </c>
      <c r="P1289" t="n">
        <v>0</v>
      </c>
      <c r="Q1289" t="n">
        <v>0</v>
      </c>
      <c r="R12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2025-06-16T18:54:01Z</dcterms:created>
  <dcterms:modified xmlns:dcterms="http://purl.org/dc/terms/" xmlns:xsi="http://www.w3.org/2001/XMLSchema-instance" xsi:type="dcterms:W3CDTF">2025-06-16T18:54:02Z</dcterms:modified>
</cp:coreProperties>
</file>