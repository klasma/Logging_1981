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45639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45639</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45639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45639</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45639</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45639</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45639</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45639</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45639</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45639</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45639</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45639</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45639</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45639</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45639</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45639</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45639</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45639</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45639</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45639</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45639</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45639</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45639</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45639</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45639</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45639</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45639</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45639</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45639</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45639</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45639</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45639</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45639</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45639</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39483-2019</t>
        </is>
      </c>
      <c r="B36" s="1" t="n">
        <v>43691</v>
      </c>
      <c r="C36" s="1" t="n">
        <v>45639</v>
      </c>
      <c r="D36" t="inlineStr">
        <is>
          <t>VÄSTMANLANDS LÄN</t>
        </is>
      </c>
      <c r="E36" t="inlineStr">
        <is>
          <t>SALA</t>
        </is>
      </c>
      <c r="G36" t="n">
        <v>4.6</v>
      </c>
      <c r="H36" t="n">
        <v>2</v>
      </c>
      <c r="I36" t="n">
        <v>0</v>
      </c>
      <c r="J36" t="n">
        <v>1</v>
      </c>
      <c r="K36" t="n">
        <v>0</v>
      </c>
      <c r="L36" t="n">
        <v>0</v>
      </c>
      <c r="M36" t="n">
        <v>0</v>
      </c>
      <c r="N36" t="n">
        <v>0</v>
      </c>
      <c r="O36" t="n">
        <v>1</v>
      </c>
      <c r="P36" t="n">
        <v>0</v>
      </c>
      <c r="Q36" t="n">
        <v>2</v>
      </c>
      <c r="R36" s="2" t="inlineStr">
        <is>
          <t>Nordfladdermus
Vattenfladdermus</t>
        </is>
      </c>
      <c r="S36">
        <f>HYPERLINK("https://klasma.github.io/Logging_1981/artfynd/A 39483-2019 artfynd.xlsx", "A 39483-2019")</f>
        <v/>
      </c>
      <c r="T36">
        <f>HYPERLINK("https://klasma.github.io/Logging_1981/kartor/A 39483-2019 karta.png", "A 39483-2019")</f>
        <v/>
      </c>
      <c r="V36">
        <f>HYPERLINK("https://klasma.github.io/Logging_1981/klagomål/A 39483-2019 FSC-klagomål.docx", "A 39483-2019")</f>
        <v/>
      </c>
      <c r="W36">
        <f>HYPERLINK("https://klasma.github.io/Logging_1981/klagomålsmail/A 39483-2019 FSC-klagomål mail.docx", "A 39483-2019")</f>
        <v/>
      </c>
      <c r="X36">
        <f>HYPERLINK("https://klasma.github.io/Logging_1981/tillsyn/A 39483-2019 tillsynsbegäran.docx", "A 39483-2019")</f>
        <v/>
      </c>
      <c r="Y36">
        <f>HYPERLINK("https://klasma.github.io/Logging_1981/tillsynsmail/A 39483-2019 tillsynsbegäran mail.docx", "A 39483-2019")</f>
        <v/>
      </c>
    </row>
    <row r="37" ht="15" customHeight="1">
      <c r="A37" t="inlineStr">
        <is>
          <t>A 59152-2019</t>
        </is>
      </c>
      <c r="B37" s="1" t="n">
        <v>43775</v>
      </c>
      <c r="C37" s="1" t="n">
        <v>45639</v>
      </c>
      <c r="D37" t="inlineStr">
        <is>
          <t>VÄSTMANLANDS LÄN</t>
        </is>
      </c>
      <c r="E37" t="inlineStr">
        <is>
          <t>SALA</t>
        </is>
      </c>
      <c r="F37" t="inlineStr">
        <is>
          <t>Övriga Aktiebolag</t>
        </is>
      </c>
      <c r="G37" t="n">
        <v>4.6</v>
      </c>
      <c r="H37" t="n">
        <v>0</v>
      </c>
      <c r="I37" t="n">
        <v>1</v>
      </c>
      <c r="J37" t="n">
        <v>1</v>
      </c>
      <c r="K37" t="n">
        <v>0</v>
      </c>
      <c r="L37" t="n">
        <v>0</v>
      </c>
      <c r="M37" t="n">
        <v>0</v>
      </c>
      <c r="N37" t="n">
        <v>0</v>
      </c>
      <c r="O37" t="n">
        <v>1</v>
      </c>
      <c r="P37" t="n">
        <v>0</v>
      </c>
      <c r="Q37" t="n">
        <v>2</v>
      </c>
      <c r="R37" s="2" t="inlineStr">
        <is>
          <t>Svart taggsvamp
Vedticka</t>
        </is>
      </c>
      <c r="S37">
        <f>HYPERLINK("https://klasma.github.io/Logging_1981/artfynd/A 59152-2019 artfynd.xlsx", "A 59152-2019")</f>
        <v/>
      </c>
      <c r="T37">
        <f>HYPERLINK("https://klasma.github.io/Logging_1981/kartor/A 59152-2019 karta.png", "A 59152-2019")</f>
        <v/>
      </c>
      <c r="V37">
        <f>HYPERLINK("https://klasma.github.io/Logging_1981/klagomål/A 59152-2019 FSC-klagomål.docx", "A 59152-2019")</f>
        <v/>
      </c>
      <c r="W37">
        <f>HYPERLINK("https://klasma.github.io/Logging_1981/klagomålsmail/A 59152-2019 FSC-klagomål mail.docx", "A 59152-2019")</f>
        <v/>
      </c>
      <c r="X37">
        <f>HYPERLINK("https://klasma.github.io/Logging_1981/tillsyn/A 59152-2019 tillsynsbegäran.docx", "A 59152-2019")</f>
        <v/>
      </c>
      <c r="Y37">
        <f>HYPERLINK("https://klasma.github.io/Logging_1981/tillsynsmail/A 59152-2019 tillsynsbegäran mail.docx", "A 59152-2019")</f>
        <v/>
      </c>
    </row>
    <row r="38" ht="15" customHeight="1">
      <c r="A38" t="inlineStr">
        <is>
          <t>A 32975-2020</t>
        </is>
      </c>
      <c r="B38" s="1" t="n">
        <v>44020</v>
      </c>
      <c r="C38" s="1" t="n">
        <v>45639</v>
      </c>
      <c r="D38" t="inlineStr">
        <is>
          <t>VÄSTMANLANDS LÄN</t>
        </is>
      </c>
      <c r="E38" t="inlineStr">
        <is>
          <t>SALA</t>
        </is>
      </c>
      <c r="G38" t="n">
        <v>10.1</v>
      </c>
      <c r="H38" t="n">
        <v>2</v>
      </c>
      <c r="I38" t="n">
        <v>0</v>
      </c>
      <c r="J38" t="n">
        <v>0</v>
      </c>
      <c r="K38" t="n">
        <v>1</v>
      </c>
      <c r="L38" t="n">
        <v>0</v>
      </c>
      <c r="M38" t="n">
        <v>0</v>
      </c>
      <c r="N38" t="n">
        <v>0</v>
      </c>
      <c r="O38" t="n">
        <v>1</v>
      </c>
      <c r="P38" t="n">
        <v>1</v>
      </c>
      <c r="Q38" t="n">
        <v>2</v>
      </c>
      <c r="R38" s="2" t="inlineStr">
        <is>
          <t>Knärot
Revlummer</t>
        </is>
      </c>
      <c r="S38">
        <f>HYPERLINK("https://klasma.github.io/Logging_1981/artfynd/A 32975-2020 artfynd.xlsx", "A 32975-2020")</f>
        <v/>
      </c>
      <c r="T38">
        <f>HYPERLINK("https://klasma.github.io/Logging_1981/kartor/A 32975-2020 karta.png", "A 32975-2020")</f>
        <v/>
      </c>
      <c r="U38">
        <f>HYPERLINK("https://klasma.github.io/Logging_1981/knärot/A 32975-2020 karta knärot.png", "A 32975-2020")</f>
        <v/>
      </c>
      <c r="V38">
        <f>HYPERLINK("https://klasma.github.io/Logging_1981/klagomål/A 32975-2020 FSC-klagomål.docx", "A 32975-2020")</f>
        <v/>
      </c>
      <c r="W38">
        <f>HYPERLINK("https://klasma.github.io/Logging_1981/klagomålsmail/A 32975-2020 FSC-klagomål mail.docx", "A 32975-2020")</f>
        <v/>
      </c>
      <c r="X38">
        <f>HYPERLINK("https://klasma.github.io/Logging_1981/tillsyn/A 32975-2020 tillsynsbegäran.docx", "A 32975-2020")</f>
        <v/>
      </c>
      <c r="Y38">
        <f>HYPERLINK("https://klasma.github.io/Logging_1981/tillsynsmail/A 32975-2020 tillsynsbegäran mail.docx", "A 32975-2020")</f>
        <v/>
      </c>
    </row>
    <row r="39" ht="15" customHeight="1">
      <c r="A39" t="inlineStr">
        <is>
          <t>A 54555-2021</t>
        </is>
      </c>
      <c r="B39" s="1" t="n">
        <v>44473</v>
      </c>
      <c r="C39" s="1" t="n">
        <v>45639</v>
      </c>
      <c r="D39" t="inlineStr">
        <is>
          <t>VÄSTMANLANDS LÄN</t>
        </is>
      </c>
      <c r="E39" t="inlineStr">
        <is>
          <t>SALA</t>
        </is>
      </c>
      <c r="G39" t="n">
        <v>13</v>
      </c>
      <c r="H39" t="n">
        <v>0</v>
      </c>
      <c r="I39" t="n">
        <v>1</v>
      </c>
      <c r="J39" t="n">
        <v>1</v>
      </c>
      <c r="K39" t="n">
        <v>0</v>
      </c>
      <c r="L39" t="n">
        <v>0</v>
      </c>
      <c r="M39" t="n">
        <v>0</v>
      </c>
      <c r="N39" t="n">
        <v>0</v>
      </c>
      <c r="O39" t="n">
        <v>1</v>
      </c>
      <c r="P39" t="n">
        <v>0</v>
      </c>
      <c r="Q39" t="n">
        <v>2</v>
      </c>
      <c r="R39" s="2" t="inlineStr">
        <is>
          <t>Storgröe
Stubbspretmossa</t>
        </is>
      </c>
      <c r="S39">
        <f>HYPERLINK("https://klasma.github.io/Logging_1981/artfynd/A 54555-2021 artfynd.xlsx", "A 54555-2021")</f>
        <v/>
      </c>
      <c r="T39">
        <f>HYPERLINK("https://klasma.github.io/Logging_1981/kartor/A 54555-2021 karta.png", "A 54555-2021")</f>
        <v/>
      </c>
      <c r="V39">
        <f>HYPERLINK("https://klasma.github.io/Logging_1981/klagomål/A 54555-2021 FSC-klagomål.docx", "A 54555-2021")</f>
        <v/>
      </c>
      <c r="W39">
        <f>HYPERLINK("https://klasma.github.io/Logging_1981/klagomålsmail/A 54555-2021 FSC-klagomål mail.docx", "A 54555-2021")</f>
        <v/>
      </c>
      <c r="X39">
        <f>HYPERLINK("https://klasma.github.io/Logging_1981/tillsyn/A 54555-2021 tillsynsbegäran.docx", "A 54555-2021")</f>
        <v/>
      </c>
      <c r="Y39">
        <f>HYPERLINK("https://klasma.github.io/Logging_1981/tillsynsmail/A 54555-2021 tillsynsbegäran mail.docx", "A 54555-2021")</f>
        <v/>
      </c>
    </row>
    <row r="40" ht="15" customHeight="1">
      <c r="A40" t="inlineStr">
        <is>
          <t>A 73598-2021</t>
        </is>
      </c>
      <c r="B40" s="1" t="n">
        <v>44552</v>
      </c>
      <c r="C40" s="1" t="n">
        <v>45639</v>
      </c>
      <c r="D40" t="inlineStr">
        <is>
          <t>VÄSTMANLANDS LÄN</t>
        </is>
      </c>
      <c r="E40" t="inlineStr">
        <is>
          <t>SALA</t>
        </is>
      </c>
      <c r="G40" t="n">
        <v>1.3</v>
      </c>
      <c r="H40" t="n">
        <v>1</v>
      </c>
      <c r="I40" t="n">
        <v>1</v>
      </c>
      <c r="J40" t="n">
        <v>0</v>
      </c>
      <c r="K40" t="n">
        <v>0</v>
      </c>
      <c r="L40" t="n">
        <v>0</v>
      </c>
      <c r="M40" t="n">
        <v>0</v>
      </c>
      <c r="N40" t="n">
        <v>0</v>
      </c>
      <c r="O40" t="n">
        <v>0</v>
      </c>
      <c r="P40" t="n">
        <v>0</v>
      </c>
      <c r="Q40" t="n">
        <v>2</v>
      </c>
      <c r="R40" s="2" t="inlineStr">
        <is>
          <t>Kryddspindling
Blåsippa</t>
        </is>
      </c>
      <c r="S40">
        <f>HYPERLINK("https://klasma.github.io/Logging_1981/artfynd/A 73598-2021 artfynd.xlsx", "A 73598-2021")</f>
        <v/>
      </c>
      <c r="T40">
        <f>HYPERLINK("https://klasma.github.io/Logging_1981/kartor/A 73598-2021 karta.png", "A 73598-2021")</f>
        <v/>
      </c>
      <c r="V40">
        <f>HYPERLINK("https://klasma.github.io/Logging_1981/klagomål/A 73598-2021 FSC-klagomål.docx", "A 73598-2021")</f>
        <v/>
      </c>
      <c r="W40">
        <f>HYPERLINK("https://klasma.github.io/Logging_1981/klagomålsmail/A 73598-2021 FSC-klagomål mail.docx", "A 73598-2021")</f>
        <v/>
      </c>
      <c r="X40">
        <f>HYPERLINK("https://klasma.github.io/Logging_1981/tillsyn/A 73598-2021 tillsynsbegäran.docx", "A 73598-2021")</f>
        <v/>
      </c>
      <c r="Y40">
        <f>HYPERLINK("https://klasma.github.io/Logging_1981/tillsynsmail/A 73598-2021 tillsynsbegäran mail.docx", "A 73598-2021")</f>
        <v/>
      </c>
    </row>
    <row r="41" ht="15" customHeight="1">
      <c r="A41" t="inlineStr">
        <is>
          <t>A 1500-2022</t>
        </is>
      </c>
      <c r="B41" s="1" t="n">
        <v>44573</v>
      </c>
      <c r="C41" s="1" t="n">
        <v>45639</v>
      </c>
      <c r="D41" t="inlineStr">
        <is>
          <t>VÄSTMANLANDS LÄN</t>
        </is>
      </c>
      <c r="E41" t="inlineStr">
        <is>
          <t>SALA</t>
        </is>
      </c>
      <c r="G41" t="n">
        <v>5.8</v>
      </c>
      <c r="H41" t="n">
        <v>2</v>
      </c>
      <c r="I41" t="n">
        <v>0</v>
      </c>
      <c r="J41" t="n">
        <v>0</v>
      </c>
      <c r="K41" t="n">
        <v>1</v>
      </c>
      <c r="L41" t="n">
        <v>0</v>
      </c>
      <c r="M41" t="n">
        <v>0</v>
      </c>
      <c r="N41" t="n">
        <v>0</v>
      </c>
      <c r="O41" t="n">
        <v>1</v>
      </c>
      <c r="P41" t="n">
        <v>1</v>
      </c>
      <c r="Q41" t="n">
        <v>2</v>
      </c>
      <c r="R41" s="2" t="inlineStr">
        <is>
          <t>Knärot
Revlummer</t>
        </is>
      </c>
      <c r="S41">
        <f>HYPERLINK("https://klasma.github.io/Logging_1981/artfynd/A 1500-2022 artfynd.xlsx", "A 1500-2022")</f>
        <v/>
      </c>
      <c r="T41">
        <f>HYPERLINK("https://klasma.github.io/Logging_1981/kartor/A 1500-2022 karta.png", "A 1500-2022")</f>
        <v/>
      </c>
      <c r="U41">
        <f>HYPERLINK("https://klasma.github.io/Logging_1981/knärot/A 1500-2022 karta knärot.png", "A 1500-2022")</f>
        <v/>
      </c>
      <c r="V41">
        <f>HYPERLINK("https://klasma.github.io/Logging_1981/klagomål/A 1500-2022 FSC-klagomål.docx", "A 1500-2022")</f>
        <v/>
      </c>
      <c r="W41">
        <f>HYPERLINK("https://klasma.github.io/Logging_1981/klagomålsmail/A 1500-2022 FSC-klagomål mail.docx", "A 1500-2022")</f>
        <v/>
      </c>
      <c r="X41">
        <f>HYPERLINK("https://klasma.github.io/Logging_1981/tillsyn/A 1500-2022 tillsynsbegäran.docx", "A 1500-2022")</f>
        <v/>
      </c>
      <c r="Y41">
        <f>HYPERLINK("https://klasma.github.io/Logging_1981/tillsynsmail/A 1500-2022 tillsynsbegäran mail.docx", "A 1500-2022")</f>
        <v/>
      </c>
    </row>
    <row r="42" ht="15" customHeight="1">
      <c r="A42" t="inlineStr">
        <is>
          <t>A 40042-2022</t>
        </is>
      </c>
      <c r="B42" s="1" t="n">
        <v>44819</v>
      </c>
      <c r="C42" s="1" t="n">
        <v>45639</v>
      </c>
      <c r="D42" t="inlineStr">
        <is>
          <t>VÄSTMANLANDS LÄN</t>
        </is>
      </c>
      <c r="E42" t="inlineStr">
        <is>
          <t>SALA</t>
        </is>
      </c>
      <c r="G42" t="n">
        <v>1.7</v>
      </c>
      <c r="H42" t="n">
        <v>2</v>
      </c>
      <c r="I42" t="n">
        <v>0</v>
      </c>
      <c r="J42" t="n">
        <v>0</v>
      </c>
      <c r="K42" t="n">
        <v>1</v>
      </c>
      <c r="L42" t="n">
        <v>0</v>
      </c>
      <c r="M42" t="n">
        <v>0</v>
      </c>
      <c r="N42" t="n">
        <v>0</v>
      </c>
      <c r="O42" t="n">
        <v>1</v>
      </c>
      <c r="P42" t="n">
        <v>1</v>
      </c>
      <c r="Q42" t="n">
        <v>2</v>
      </c>
      <c r="R42" s="2" t="inlineStr">
        <is>
          <t>Knärot
Revlummer</t>
        </is>
      </c>
      <c r="S42">
        <f>HYPERLINK("https://klasma.github.io/Logging_1981/artfynd/A 40042-2022 artfynd.xlsx", "A 40042-2022")</f>
        <v/>
      </c>
      <c r="T42">
        <f>HYPERLINK("https://klasma.github.io/Logging_1981/kartor/A 40042-2022 karta.png", "A 40042-2022")</f>
        <v/>
      </c>
      <c r="U42">
        <f>HYPERLINK("https://klasma.github.io/Logging_1981/knärot/A 40042-2022 karta knärot.png", "A 40042-2022")</f>
        <v/>
      </c>
      <c r="V42">
        <f>HYPERLINK("https://klasma.github.io/Logging_1981/klagomål/A 40042-2022 FSC-klagomål.docx", "A 40042-2022")</f>
        <v/>
      </c>
      <c r="W42">
        <f>HYPERLINK("https://klasma.github.io/Logging_1981/klagomålsmail/A 40042-2022 FSC-klagomål mail.docx", "A 40042-2022")</f>
        <v/>
      </c>
      <c r="X42">
        <f>HYPERLINK("https://klasma.github.io/Logging_1981/tillsyn/A 40042-2022 tillsynsbegäran.docx", "A 40042-2022")</f>
        <v/>
      </c>
      <c r="Y42">
        <f>HYPERLINK("https://klasma.github.io/Logging_1981/tillsynsmail/A 40042-2022 tillsynsbegäran mail.docx", "A 40042-2022")</f>
        <v/>
      </c>
    </row>
    <row r="43" ht="15" customHeight="1">
      <c r="A43" t="inlineStr">
        <is>
          <t>A 52909-2022</t>
        </is>
      </c>
      <c r="B43" s="1" t="n">
        <v>44875</v>
      </c>
      <c r="C43" s="1" t="n">
        <v>45639</v>
      </c>
      <c r="D43" t="inlineStr">
        <is>
          <t>VÄSTMANLANDS LÄN</t>
        </is>
      </c>
      <c r="E43" t="inlineStr">
        <is>
          <t>SALA</t>
        </is>
      </c>
      <c r="G43" t="n">
        <v>0.5</v>
      </c>
      <c r="H43" t="n">
        <v>1</v>
      </c>
      <c r="I43" t="n">
        <v>0</v>
      </c>
      <c r="J43" t="n">
        <v>1</v>
      </c>
      <c r="K43" t="n">
        <v>0</v>
      </c>
      <c r="L43" t="n">
        <v>0</v>
      </c>
      <c r="M43" t="n">
        <v>0</v>
      </c>
      <c r="N43" t="n">
        <v>0</v>
      </c>
      <c r="O43" t="n">
        <v>1</v>
      </c>
      <c r="P43" t="n">
        <v>0</v>
      </c>
      <c r="Q43" t="n">
        <v>2</v>
      </c>
      <c r="R43" s="2" t="inlineStr">
        <is>
          <t>Svinrot
Nattviol</t>
        </is>
      </c>
      <c r="S43">
        <f>HYPERLINK("https://klasma.github.io/Logging_1981/artfynd/A 52909-2022 artfynd.xlsx", "A 52909-2022")</f>
        <v/>
      </c>
      <c r="T43">
        <f>HYPERLINK("https://klasma.github.io/Logging_1981/kartor/A 52909-2022 karta.png", "A 52909-2022")</f>
        <v/>
      </c>
      <c r="V43">
        <f>HYPERLINK("https://klasma.github.io/Logging_1981/klagomål/A 52909-2022 FSC-klagomål.docx", "A 52909-2022")</f>
        <v/>
      </c>
      <c r="W43">
        <f>HYPERLINK("https://klasma.github.io/Logging_1981/klagomålsmail/A 52909-2022 FSC-klagomål mail.docx", "A 52909-2022")</f>
        <v/>
      </c>
      <c r="X43">
        <f>HYPERLINK("https://klasma.github.io/Logging_1981/tillsyn/A 52909-2022 tillsynsbegäran.docx", "A 52909-2022")</f>
        <v/>
      </c>
      <c r="Y43">
        <f>HYPERLINK("https://klasma.github.io/Logging_1981/tillsynsmail/A 52909-2022 tillsynsbegäran mail.docx", "A 52909-2022")</f>
        <v/>
      </c>
    </row>
    <row r="44" ht="15" customHeight="1">
      <c r="A44" t="inlineStr">
        <is>
          <t>A 7747-2023</t>
        </is>
      </c>
      <c r="B44" s="1" t="n">
        <v>44973</v>
      </c>
      <c r="C44" s="1" t="n">
        <v>45639</v>
      </c>
      <c r="D44" t="inlineStr">
        <is>
          <t>VÄSTMANLANDS LÄN</t>
        </is>
      </c>
      <c r="E44" t="inlineStr">
        <is>
          <t>SALA</t>
        </is>
      </c>
      <c r="F44" t="inlineStr">
        <is>
          <t>Övriga Aktiebolag</t>
        </is>
      </c>
      <c r="G44" t="n">
        <v>3.1</v>
      </c>
      <c r="H44" t="n">
        <v>1</v>
      </c>
      <c r="I44" t="n">
        <v>0</v>
      </c>
      <c r="J44" t="n">
        <v>2</v>
      </c>
      <c r="K44" t="n">
        <v>0</v>
      </c>
      <c r="L44" t="n">
        <v>0</v>
      </c>
      <c r="M44" t="n">
        <v>0</v>
      </c>
      <c r="N44" t="n">
        <v>0</v>
      </c>
      <c r="O44" t="n">
        <v>2</v>
      </c>
      <c r="P44" t="n">
        <v>0</v>
      </c>
      <c r="Q44" t="n">
        <v>2</v>
      </c>
      <c r="R44" s="2" t="inlineStr">
        <is>
          <t>Mindre timmerman
Talltita</t>
        </is>
      </c>
      <c r="S44">
        <f>HYPERLINK("https://klasma.github.io/Logging_1981/artfynd/A 7747-2023 artfynd.xlsx", "A 7747-2023")</f>
        <v/>
      </c>
      <c r="T44">
        <f>HYPERLINK("https://klasma.github.io/Logging_1981/kartor/A 7747-2023 karta.png", "A 7747-2023")</f>
        <v/>
      </c>
      <c r="V44">
        <f>HYPERLINK("https://klasma.github.io/Logging_1981/klagomål/A 7747-2023 FSC-klagomål.docx", "A 7747-2023")</f>
        <v/>
      </c>
      <c r="W44">
        <f>HYPERLINK("https://klasma.github.io/Logging_1981/klagomålsmail/A 7747-2023 FSC-klagomål mail.docx", "A 7747-2023")</f>
        <v/>
      </c>
      <c r="X44">
        <f>HYPERLINK("https://klasma.github.io/Logging_1981/tillsyn/A 7747-2023 tillsynsbegäran.docx", "A 7747-2023")</f>
        <v/>
      </c>
      <c r="Y44">
        <f>HYPERLINK("https://klasma.github.io/Logging_1981/tillsynsmail/A 7747-2023 tillsynsbegäran mail.docx", "A 7747-2023")</f>
        <v/>
      </c>
      <c r="Z44">
        <f>HYPERLINK("https://klasma.github.io/Logging_1981/fåglar/A 7747-2023 prioriterade fågelarter.docx", "A 7747-2023")</f>
        <v/>
      </c>
    </row>
    <row r="45" ht="15" customHeight="1">
      <c r="A45" t="inlineStr">
        <is>
          <t>A 13029-2023</t>
        </is>
      </c>
      <c r="B45" s="1" t="n">
        <v>45001</v>
      </c>
      <c r="C45" s="1" t="n">
        <v>45639</v>
      </c>
      <c r="D45" t="inlineStr">
        <is>
          <t>VÄSTMANLANDS LÄN</t>
        </is>
      </c>
      <c r="E45" t="inlineStr">
        <is>
          <t>SALA</t>
        </is>
      </c>
      <c r="G45" t="n">
        <v>2</v>
      </c>
      <c r="H45" t="n">
        <v>0</v>
      </c>
      <c r="I45" t="n">
        <v>0</v>
      </c>
      <c r="J45" t="n">
        <v>2</v>
      </c>
      <c r="K45" t="n">
        <v>0</v>
      </c>
      <c r="L45" t="n">
        <v>0</v>
      </c>
      <c r="M45" t="n">
        <v>0</v>
      </c>
      <c r="N45" t="n">
        <v>0</v>
      </c>
      <c r="O45" t="n">
        <v>2</v>
      </c>
      <c r="P45" t="n">
        <v>0</v>
      </c>
      <c r="Q45" t="n">
        <v>2</v>
      </c>
      <c r="R45" s="2" t="inlineStr">
        <is>
          <t>Krusfrö
Linmåra/småsnärjmåra</t>
        </is>
      </c>
      <c r="S45">
        <f>HYPERLINK("https://klasma.github.io/Logging_1981/artfynd/A 13029-2023 artfynd.xlsx", "A 13029-2023")</f>
        <v/>
      </c>
      <c r="T45">
        <f>HYPERLINK("https://klasma.github.io/Logging_1981/kartor/A 13029-2023 karta.png", "A 13029-2023")</f>
        <v/>
      </c>
      <c r="V45">
        <f>HYPERLINK("https://klasma.github.io/Logging_1981/klagomål/A 13029-2023 FSC-klagomål.docx", "A 13029-2023")</f>
        <v/>
      </c>
      <c r="W45">
        <f>HYPERLINK("https://klasma.github.io/Logging_1981/klagomålsmail/A 13029-2023 FSC-klagomål mail.docx", "A 13029-2023")</f>
        <v/>
      </c>
      <c r="X45">
        <f>HYPERLINK("https://klasma.github.io/Logging_1981/tillsyn/A 13029-2023 tillsynsbegäran.docx", "A 13029-2023")</f>
        <v/>
      </c>
      <c r="Y45">
        <f>HYPERLINK("https://klasma.github.io/Logging_1981/tillsynsmail/A 13029-2023 tillsynsbegäran mail.docx", "A 13029-2023")</f>
        <v/>
      </c>
    </row>
    <row r="46" ht="15" customHeight="1">
      <c r="A46" t="inlineStr">
        <is>
          <t>A 27499-2023</t>
        </is>
      </c>
      <c r="B46" s="1" t="n">
        <v>45097</v>
      </c>
      <c r="C46" s="1" t="n">
        <v>45639</v>
      </c>
      <c r="D46" t="inlineStr">
        <is>
          <t>VÄSTMANLANDS LÄN</t>
        </is>
      </c>
      <c r="E46" t="inlineStr">
        <is>
          <t>SALA</t>
        </is>
      </c>
      <c r="G46" t="n">
        <v>9.5</v>
      </c>
      <c r="H46" t="n">
        <v>0</v>
      </c>
      <c r="I46" t="n">
        <v>1</v>
      </c>
      <c r="J46" t="n">
        <v>1</v>
      </c>
      <c r="K46" t="n">
        <v>0</v>
      </c>
      <c r="L46" t="n">
        <v>0</v>
      </c>
      <c r="M46" t="n">
        <v>0</v>
      </c>
      <c r="N46" t="n">
        <v>0</v>
      </c>
      <c r="O46" t="n">
        <v>1</v>
      </c>
      <c r="P46" t="n">
        <v>0</v>
      </c>
      <c r="Q46" t="n">
        <v>2</v>
      </c>
      <c r="R46" s="2" t="inlineStr">
        <is>
          <t>Motaggsvamp
Dropptaggsvamp</t>
        </is>
      </c>
      <c r="S46">
        <f>HYPERLINK("https://klasma.github.io/Logging_1981/artfynd/A 27499-2023 artfynd.xlsx", "A 27499-2023")</f>
        <v/>
      </c>
      <c r="T46">
        <f>HYPERLINK("https://klasma.github.io/Logging_1981/kartor/A 27499-2023 karta.png", "A 27499-2023")</f>
        <v/>
      </c>
      <c r="V46">
        <f>HYPERLINK("https://klasma.github.io/Logging_1981/klagomål/A 27499-2023 FSC-klagomål.docx", "A 27499-2023")</f>
        <v/>
      </c>
      <c r="W46">
        <f>HYPERLINK("https://klasma.github.io/Logging_1981/klagomålsmail/A 27499-2023 FSC-klagomål mail.docx", "A 27499-2023")</f>
        <v/>
      </c>
      <c r="X46">
        <f>HYPERLINK("https://klasma.github.io/Logging_1981/tillsyn/A 27499-2023 tillsynsbegäran.docx", "A 27499-2023")</f>
        <v/>
      </c>
      <c r="Y46">
        <f>HYPERLINK("https://klasma.github.io/Logging_1981/tillsynsmail/A 27499-2023 tillsynsbegäran mail.docx", "A 27499-2023")</f>
        <v/>
      </c>
    </row>
    <row r="47" ht="15" customHeight="1">
      <c r="A47" t="inlineStr">
        <is>
          <t>A 34752-2023</t>
        </is>
      </c>
      <c r="B47" s="1" t="n">
        <v>45141</v>
      </c>
      <c r="C47" s="1" t="n">
        <v>45639</v>
      </c>
      <c r="D47" t="inlineStr">
        <is>
          <t>VÄSTMANLANDS LÄN</t>
        </is>
      </c>
      <c r="E47" t="inlineStr">
        <is>
          <t>SALA</t>
        </is>
      </c>
      <c r="G47" t="n">
        <v>4.9</v>
      </c>
      <c r="H47" t="n">
        <v>1</v>
      </c>
      <c r="I47" t="n">
        <v>0</v>
      </c>
      <c r="J47" t="n">
        <v>0</v>
      </c>
      <c r="K47" t="n">
        <v>2</v>
      </c>
      <c r="L47" t="n">
        <v>0</v>
      </c>
      <c r="M47" t="n">
        <v>0</v>
      </c>
      <c r="N47" t="n">
        <v>0</v>
      </c>
      <c r="O47" t="n">
        <v>2</v>
      </c>
      <c r="P47" t="n">
        <v>2</v>
      </c>
      <c r="Q47" t="n">
        <v>2</v>
      </c>
      <c r="R47" s="2" t="inlineStr">
        <is>
          <t>Knärot
Sprickporing</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row>
    <row r="48" ht="15" customHeight="1">
      <c r="A48" t="inlineStr">
        <is>
          <t>A 59780-2023</t>
        </is>
      </c>
      <c r="B48" s="1" t="n">
        <v>45257</v>
      </c>
      <c r="C48" s="1" t="n">
        <v>45639</v>
      </c>
      <c r="D48" t="inlineStr">
        <is>
          <t>VÄSTMANLANDS LÄN</t>
        </is>
      </c>
      <c r="E48" t="inlineStr">
        <is>
          <t>SALA</t>
        </is>
      </c>
      <c r="G48" t="n">
        <v>5.9</v>
      </c>
      <c r="H48" t="n">
        <v>1</v>
      </c>
      <c r="I48" t="n">
        <v>0</v>
      </c>
      <c r="J48" t="n">
        <v>1</v>
      </c>
      <c r="K48" t="n">
        <v>1</v>
      </c>
      <c r="L48" t="n">
        <v>0</v>
      </c>
      <c r="M48" t="n">
        <v>0</v>
      </c>
      <c r="N48" t="n">
        <v>0</v>
      </c>
      <c r="O48" t="n">
        <v>2</v>
      </c>
      <c r="P48" t="n">
        <v>1</v>
      </c>
      <c r="Q48" t="n">
        <v>2</v>
      </c>
      <c r="R48" s="2" t="inlineStr">
        <is>
          <t>Knärot
Vedtrappmossa</t>
        </is>
      </c>
      <c r="S48">
        <f>HYPERLINK("https://klasma.github.io/Logging_1981/artfynd/A 59780-2023 artfynd.xlsx", "A 59780-2023")</f>
        <v/>
      </c>
      <c r="T48">
        <f>HYPERLINK("https://klasma.github.io/Logging_1981/kartor/A 59780-2023 karta.png", "A 59780-2023")</f>
        <v/>
      </c>
      <c r="U48">
        <f>HYPERLINK("https://klasma.github.io/Logging_1981/knärot/A 59780-2023 karta knärot.png", "A 59780-2023")</f>
        <v/>
      </c>
      <c r="V48">
        <f>HYPERLINK("https://klasma.github.io/Logging_1981/klagomål/A 59780-2023 FSC-klagomål.docx", "A 59780-2023")</f>
        <v/>
      </c>
      <c r="W48">
        <f>HYPERLINK("https://klasma.github.io/Logging_1981/klagomålsmail/A 59780-2023 FSC-klagomål mail.docx", "A 59780-2023")</f>
        <v/>
      </c>
      <c r="X48">
        <f>HYPERLINK("https://klasma.github.io/Logging_1981/tillsyn/A 59780-2023 tillsynsbegäran.docx", "A 59780-2023")</f>
        <v/>
      </c>
      <c r="Y48">
        <f>HYPERLINK("https://klasma.github.io/Logging_1981/tillsynsmail/A 59780-2023 tillsynsbegäran mail.docx", "A 59780-2023")</f>
        <v/>
      </c>
    </row>
    <row r="49" ht="15" customHeight="1">
      <c r="A49" t="inlineStr">
        <is>
          <t>A 4261-2024</t>
        </is>
      </c>
      <c r="B49" s="1" t="n">
        <v>45324</v>
      </c>
      <c r="C49" s="1" t="n">
        <v>45639</v>
      </c>
      <c r="D49" t="inlineStr">
        <is>
          <t>VÄSTMANLANDS LÄN</t>
        </is>
      </c>
      <c r="E49" t="inlineStr">
        <is>
          <t>SALA</t>
        </is>
      </c>
      <c r="G49" t="n">
        <v>5.7</v>
      </c>
      <c r="H49" t="n">
        <v>0</v>
      </c>
      <c r="I49" t="n">
        <v>1</v>
      </c>
      <c r="J49" t="n">
        <v>1</v>
      </c>
      <c r="K49" t="n">
        <v>0</v>
      </c>
      <c r="L49" t="n">
        <v>0</v>
      </c>
      <c r="M49" t="n">
        <v>0</v>
      </c>
      <c r="N49" t="n">
        <v>0</v>
      </c>
      <c r="O49" t="n">
        <v>1</v>
      </c>
      <c r="P49" t="n">
        <v>0</v>
      </c>
      <c r="Q49" t="n">
        <v>2</v>
      </c>
      <c r="R49" s="2" t="inlineStr">
        <is>
          <t>Ullticka
Västlig hakmossa</t>
        </is>
      </c>
      <c r="S49">
        <f>HYPERLINK("https://klasma.github.io/Logging_1981/artfynd/A 4261-2024 artfynd.xlsx", "A 4261-2024")</f>
        <v/>
      </c>
      <c r="T49">
        <f>HYPERLINK("https://klasma.github.io/Logging_1981/kartor/A 4261-2024 karta.png", "A 4261-2024")</f>
        <v/>
      </c>
      <c r="V49">
        <f>HYPERLINK("https://klasma.github.io/Logging_1981/klagomål/A 4261-2024 FSC-klagomål.docx", "A 4261-2024")</f>
        <v/>
      </c>
      <c r="W49">
        <f>HYPERLINK("https://klasma.github.io/Logging_1981/klagomålsmail/A 4261-2024 FSC-klagomål mail.docx", "A 4261-2024")</f>
        <v/>
      </c>
      <c r="X49">
        <f>HYPERLINK("https://klasma.github.io/Logging_1981/tillsyn/A 4261-2024 tillsynsbegäran.docx", "A 4261-2024")</f>
        <v/>
      </c>
      <c r="Y49">
        <f>HYPERLINK("https://klasma.github.io/Logging_1981/tillsynsmail/A 4261-2024 tillsynsbegäran mail.docx", "A 4261-2024")</f>
        <v/>
      </c>
    </row>
    <row r="50" ht="15" customHeight="1">
      <c r="A50" t="inlineStr">
        <is>
          <t>A 9921-2024</t>
        </is>
      </c>
      <c r="B50" s="1" t="n">
        <v>45363</v>
      </c>
      <c r="C50" s="1" t="n">
        <v>45639</v>
      </c>
      <c r="D50" t="inlineStr">
        <is>
          <t>VÄSTMANLANDS LÄN</t>
        </is>
      </c>
      <c r="E50" t="inlineStr">
        <is>
          <t>SALA</t>
        </is>
      </c>
      <c r="G50" t="n">
        <v>5.6</v>
      </c>
      <c r="H50" t="n">
        <v>0</v>
      </c>
      <c r="I50" t="n">
        <v>1</v>
      </c>
      <c r="J50" t="n">
        <v>1</v>
      </c>
      <c r="K50" t="n">
        <v>0</v>
      </c>
      <c r="L50" t="n">
        <v>0</v>
      </c>
      <c r="M50" t="n">
        <v>0</v>
      </c>
      <c r="N50" t="n">
        <v>0</v>
      </c>
      <c r="O50" t="n">
        <v>1</v>
      </c>
      <c r="P50" t="n">
        <v>0</v>
      </c>
      <c r="Q50" t="n">
        <v>2</v>
      </c>
      <c r="R50" s="2" t="inlineStr">
        <is>
          <t>Leptoporus erubescens
Vedticka</t>
        </is>
      </c>
      <c r="S50">
        <f>HYPERLINK("https://klasma.github.io/Logging_1981/artfynd/A 9921-2024 artfynd.xlsx", "A 9921-2024")</f>
        <v/>
      </c>
      <c r="T50">
        <f>HYPERLINK("https://klasma.github.io/Logging_1981/kartor/A 9921-2024 karta.png", "A 9921-2024")</f>
        <v/>
      </c>
      <c r="U50">
        <f>HYPERLINK("https://klasma.github.io/Logging_1981/knärot/A 9921-2024 karta knärot.png", "A 9921-2024")</f>
        <v/>
      </c>
      <c r="V50">
        <f>HYPERLINK("https://klasma.github.io/Logging_1981/klagomål/A 9921-2024 FSC-klagomål.docx", "A 9921-2024")</f>
        <v/>
      </c>
      <c r="W50">
        <f>HYPERLINK("https://klasma.github.io/Logging_1981/klagomålsmail/A 9921-2024 FSC-klagomål mail.docx", "A 9921-2024")</f>
        <v/>
      </c>
      <c r="X50">
        <f>HYPERLINK("https://klasma.github.io/Logging_1981/tillsyn/A 9921-2024 tillsynsbegäran.docx", "A 9921-2024")</f>
        <v/>
      </c>
      <c r="Y50">
        <f>HYPERLINK("https://klasma.github.io/Logging_1981/tillsynsmail/A 9921-2024 tillsynsbegäran mail.docx", "A 9921-2024")</f>
        <v/>
      </c>
    </row>
    <row r="51" ht="15" customHeight="1">
      <c r="A51" t="inlineStr">
        <is>
          <t>A 10552-2024</t>
        </is>
      </c>
      <c r="B51" s="1" t="n">
        <v>45366</v>
      </c>
      <c r="C51" s="1" t="n">
        <v>45639</v>
      </c>
      <c r="D51" t="inlineStr">
        <is>
          <t>VÄSTMANLANDS LÄN</t>
        </is>
      </c>
      <c r="E51" t="inlineStr">
        <is>
          <t>SALA</t>
        </is>
      </c>
      <c r="G51" t="n">
        <v>6.5</v>
      </c>
      <c r="H51" t="n">
        <v>2</v>
      </c>
      <c r="I51" t="n">
        <v>1</v>
      </c>
      <c r="J51" t="n">
        <v>0</v>
      </c>
      <c r="K51" t="n">
        <v>0</v>
      </c>
      <c r="L51" t="n">
        <v>0</v>
      </c>
      <c r="M51" t="n">
        <v>0</v>
      </c>
      <c r="N51" t="n">
        <v>0</v>
      </c>
      <c r="O51" t="n">
        <v>0</v>
      </c>
      <c r="P51" t="n">
        <v>0</v>
      </c>
      <c r="Q51" t="n">
        <v>2</v>
      </c>
      <c r="R51" s="2" t="inlineStr">
        <is>
          <t>Plattlummer
Fläcknycklar</t>
        </is>
      </c>
      <c r="S51">
        <f>HYPERLINK("https://klasma.github.io/Logging_1981/artfynd/A 10552-2024 artfynd.xlsx", "A 10552-2024")</f>
        <v/>
      </c>
      <c r="T51">
        <f>HYPERLINK("https://klasma.github.io/Logging_1981/kartor/A 10552-2024 karta.png", "A 10552-2024")</f>
        <v/>
      </c>
      <c r="V51">
        <f>HYPERLINK("https://klasma.github.io/Logging_1981/klagomål/A 10552-2024 FSC-klagomål.docx", "A 10552-2024")</f>
        <v/>
      </c>
      <c r="W51">
        <f>HYPERLINK("https://klasma.github.io/Logging_1981/klagomålsmail/A 10552-2024 FSC-klagomål mail.docx", "A 10552-2024")</f>
        <v/>
      </c>
      <c r="X51">
        <f>HYPERLINK("https://klasma.github.io/Logging_1981/tillsyn/A 10552-2024 tillsynsbegäran.docx", "A 10552-2024")</f>
        <v/>
      </c>
      <c r="Y51">
        <f>HYPERLINK("https://klasma.github.io/Logging_1981/tillsynsmail/A 10552-2024 tillsynsbegäran mail.docx", "A 10552-2024")</f>
        <v/>
      </c>
    </row>
    <row r="52" ht="15" customHeight="1">
      <c r="A52" t="inlineStr">
        <is>
          <t>A 12444-2024</t>
        </is>
      </c>
      <c r="B52" s="1" t="n">
        <v>45379</v>
      </c>
      <c r="C52" s="1" t="n">
        <v>45639</v>
      </c>
      <c r="D52" t="inlineStr">
        <is>
          <t>VÄSTMANLANDS LÄN</t>
        </is>
      </c>
      <c r="E52" t="inlineStr">
        <is>
          <t>SALA</t>
        </is>
      </c>
      <c r="G52" t="n">
        <v>5.5</v>
      </c>
      <c r="H52" t="n">
        <v>0</v>
      </c>
      <c r="I52" t="n">
        <v>1</v>
      </c>
      <c r="J52" t="n">
        <v>1</v>
      </c>
      <c r="K52" t="n">
        <v>0</v>
      </c>
      <c r="L52" t="n">
        <v>0</v>
      </c>
      <c r="M52" t="n">
        <v>0</v>
      </c>
      <c r="N52" t="n">
        <v>0</v>
      </c>
      <c r="O52" t="n">
        <v>1</v>
      </c>
      <c r="P52" t="n">
        <v>0</v>
      </c>
      <c r="Q52" t="n">
        <v>2</v>
      </c>
      <c r="R52" s="2" t="inlineStr">
        <is>
          <t>Ullticka
Stuplav</t>
        </is>
      </c>
      <c r="S52">
        <f>HYPERLINK("https://klasma.github.io/Logging_1981/artfynd/A 12444-2024 artfynd.xlsx", "A 12444-2024")</f>
        <v/>
      </c>
      <c r="T52">
        <f>HYPERLINK("https://klasma.github.io/Logging_1981/kartor/A 12444-2024 karta.png", "A 12444-2024")</f>
        <v/>
      </c>
      <c r="U52">
        <f>HYPERLINK("https://klasma.github.io/Logging_1981/knärot/A 12444-2024 karta knärot.png", "A 12444-2024")</f>
        <v/>
      </c>
      <c r="V52">
        <f>HYPERLINK("https://klasma.github.io/Logging_1981/klagomål/A 12444-2024 FSC-klagomål.docx", "A 12444-2024")</f>
        <v/>
      </c>
      <c r="W52">
        <f>HYPERLINK("https://klasma.github.io/Logging_1981/klagomålsmail/A 12444-2024 FSC-klagomål mail.docx", "A 12444-2024")</f>
        <v/>
      </c>
      <c r="X52">
        <f>HYPERLINK("https://klasma.github.io/Logging_1981/tillsyn/A 12444-2024 tillsynsbegäran.docx", "A 12444-2024")</f>
        <v/>
      </c>
      <c r="Y52">
        <f>HYPERLINK("https://klasma.github.io/Logging_1981/tillsynsmail/A 12444-2024 tillsynsbegäran mail.docx", "A 12444-2024")</f>
        <v/>
      </c>
    </row>
    <row r="53" ht="15" customHeight="1">
      <c r="A53" t="inlineStr">
        <is>
          <t>A 40493-2024</t>
        </is>
      </c>
      <c r="B53" s="1" t="n">
        <v>45555</v>
      </c>
      <c r="C53" s="1" t="n">
        <v>45639</v>
      </c>
      <c r="D53" t="inlineStr">
        <is>
          <t>VÄSTMANLANDS LÄN</t>
        </is>
      </c>
      <c r="E53" t="inlineStr">
        <is>
          <t>SALA</t>
        </is>
      </c>
      <c r="G53" t="n">
        <v>3.8</v>
      </c>
      <c r="H53" t="n">
        <v>0</v>
      </c>
      <c r="I53" t="n">
        <v>1</v>
      </c>
      <c r="J53" t="n">
        <v>1</v>
      </c>
      <c r="K53" t="n">
        <v>0</v>
      </c>
      <c r="L53" t="n">
        <v>0</v>
      </c>
      <c r="M53" t="n">
        <v>0</v>
      </c>
      <c r="N53" t="n">
        <v>0</v>
      </c>
      <c r="O53" t="n">
        <v>1</v>
      </c>
      <c r="P53" t="n">
        <v>0</v>
      </c>
      <c r="Q53" t="n">
        <v>2</v>
      </c>
      <c r="R53" s="2" t="inlineStr">
        <is>
          <t>Vedskivlav
Dropptaggsvamp</t>
        </is>
      </c>
      <c r="S53">
        <f>HYPERLINK("https://klasma.github.io/Logging_1981/artfynd/A 40493-2024 artfynd.xlsx", "A 40493-2024")</f>
        <v/>
      </c>
      <c r="T53">
        <f>HYPERLINK("https://klasma.github.io/Logging_1981/kartor/A 40493-2024 karta.png", "A 40493-2024")</f>
        <v/>
      </c>
      <c r="V53">
        <f>HYPERLINK("https://klasma.github.io/Logging_1981/klagomål/A 40493-2024 FSC-klagomål.docx", "A 40493-2024")</f>
        <v/>
      </c>
      <c r="W53">
        <f>HYPERLINK("https://klasma.github.io/Logging_1981/klagomålsmail/A 40493-2024 FSC-klagomål mail.docx", "A 40493-2024")</f>
        <v/>
      </c>
      <c r="X53">
        <f>HYPERLINK("https://klasma.github.io/Logging_1981/tillsyn/A 40493-2024 tillsynsbegäran.docx", "A 40493-2024")</f>
        <v/>
      </c>
      <c r="Y53">
        <f>HYPERLINK("https://klasma.github.io/Logging_1981/tillsynsmail/A 40493-2024 tillsynsbegäran mail.docx", "A 40493-2024")</f>
        <v/>
      </c>
    </row>
    <row r="54" ht="15" customHeight="1">
      <c r="A54" t="inlineStr">
        <is>
          <t>A 47716-2019</t>
        </is>
      </c>
      <c r="B54" s="1" t="n">
        <v>43724</v>
      </c>
      <c r="C54" s="1" t="n">
        <v>45639</v>
      </c>
      <c r="D54" t="inlineStr">
        <is>
          <t>VÄSTMANLANDS LÄN</t>
        </is>
      </c>
      <c r="E54" t="inlineStr">
        <is>
          <t>SALA</t>
        </is>
      </c>
      <c r="G54" t="n">
        <v>5</v>
      </c>
      <c r="H54" t="n">
        <v>0</v>
      </c>
      <c r="I54" t="n">
        <v>0</v>
      </c>
      <c r="J54" t="n">
        <v>0</v>
      </c>
      <c r="K54" t="n">
        <v>0</v>
      </c>
      <c r="L54" t="n">
        <v>0</v>
      </c>
      <c r="M54" t="n">
        <v>1</v>
      </c>
      <c r="N54" t="n">
        <v>0</v>
      </c>
      <c r="O54" t="n">
        <v>1</v>
      </c>
      <c r="P54" t="n">
        <v>1</v>
      </c>
      <c r="Q54" t="n">
        <v>1</v>
      </c>
      <c r="R54" s="2" t="inlineStr">
        <is>
          <t>Skogsalm</t>
        </is>
      </c>
      <c r="S54">
        <f>HYPERLINK("https://klasma.github.io/Logging_1981/artfynd/A 47716-2019 artfynd.xlsx", "A 47716-2019")</f>
        <v/>
      </c>
      <c r="T54">
        <f>HYPERLINK("https://klasma.github.io/Logging_1981/kartor/A 47716-2019 karta.png", "A 47716-2019")</f>
        <v/>
      </c>
      <c r="V54">
        <f>HYPERLINK("https://klasma.github.io/Logging_1981/klagomål/A 47716-2019 FSC-klagomål.docx", "A 47716-2019")</f>
        <v/>
      </c>
      <c r="W54">
        <f>HYPERLINK("https://klasma.github.io/Logging_1981/klagomålsmail/A 47716-2019 FSC-klagomål mail.docx", "A 47716-2019")</f>
        <v/>
      </c>
      <c r="X54">
        <f>HYPERLINK("https://klasma.github.io/Logging_1981/tillsyn/A 47716-2019 tillsynsbegäran.docx", "A 47716-2019")</f>
        <v/>
      </c>
      <c r="Y54">
        <f>HYPERLINK("https://klasma.github.io/Logging_1981/tillsynsmail/A 47716-2019 tillsynsbegäran mail.docx", "A 47716-2019")</f>
        <v/>
      </c>
    </row>
    <row r="55" ht="15" customHeight="1">
      <c r="A55" t="inlineStr">
        <is>
          <t>A 52753-2019</t>
        </is>
      </c>
      <c r="B55" s="1" t="n">
        <v>43739</v>
      </c>
      <c r="C55" s="1" t="n">
        <v>45639</v>
      </c>
      <c r="D55" t="inlineStr">
        <is>
          <t>VÄSTMANLANDS LÄN</t>
        </is>
      </c>
      <c r="E55" t="inlineStr">
        <is>
          <t>SALA</t>
        </is>
      </c>
      <c r="G55" t="n">
        <v>4.9</v>
      </c>
      <c r="H55" t="n">
        <v>1</v>
      </c>
      <c r="I55" t="n">
        <v>0</v>
      </c>
      <c r="J55" t="n">
        <v>0</v>
      </c>
      <c r="K55" t="n">
        <v>1</v>
      </c>
      <c r="L55" t="n">
        <v>0</v>
      </c>
      <c r="M55" t="n">
        <v>0</v>
      </c>
      <c r="N55" t="n">
        <v>0</v>
      </c>
      <c r="O55" t="n">
        <v>1</v>
      </c>
      <c r="P55" t="n">
        <v>1</v>
      </c>
      <c r="Q55" t="n">
        <v>1</v>
      </c>
      <c r="R55" s="2" t="inlineStr">
        <is>
          <t>Knärot</t>
        </is>
      </c>
      <c r="S55">
        <f>HYPERLINK("https://klasma.github.io/Logging_1981/artfynd/A 52753-2019 artfynd.xlsx", "A 52753-2019")</f>
        <v/>
      </c>
      <c r="T55">
        <f>HYPERLINK("https://klasma.github.io/Logging_1981/kartor/A 52753-2019 karta.png", "A 52753-2019")</f>
        <v/>
      </c>
      <c r="U55">
        <f>HYPERLINK("https://klasma.github.io/Logging_1981/knärot/A 52753-2019 karta knärot.png", "A 52753-2019")</f>
        <v/>
      </c>
      <c r="V55">
        <f>HYPERLINK("https://klasma.github.io/Logging_1981/klagomål/A 52753-2019 FSC-klagomål.docx", "A 52753-2019")</f>
        <v/>
      </c>
      <c r="W55">
        <f>HYPERLINK("https://klasma.github.io/Logging_1981/klagomålsmail/A 52753-2019 FSC-klagomål mail.docx", "A 52753-2019")</f>
        <v/>
      </c>
      <c r="X55">
        <f>HYPERLINK("https://klasma.github.io/Logging_1981/tillsyn/A 52753-2019 tillsynsbegäran.docx", "A 52753-2019")</f>
        <v/>
      </c>
      <c r="Y55">
        <f>HYPERLINK("https://klasma.github.io/Logging_1981/tillsynsmail/A 52753-2019 tillsynsbegäran mail.docx", "A 52753-2019")</f>
        <v/>
      </c>
    </row>
    <row r="56" ht="15" customHeight="1">
      <c r="A56" t="inlineStr">
        <is>
          <t>A 8432-2020</t>
        </is>
      </c>
      <c r="B56" s="1" t="n">
        <v>43875</v>
      </c>
      <c r="C56" s="1" t="n">
        <v>45639</v>
      </c>
      <c r="D56" t="inlineStr">
        <is>
          <t>VÄSTMANLANDS LÄN</t>
        </is>
      </c>
      <c r="E56" t="inlineStr">
        <is>
          <t>SALA</t>
        </is>
      </c>
      <c r="G56" t="n">
        <v>2</v>
      </c>
      <c r="H56" t="n">
        <v>1</v>
      </c>
      <c r="I56" t="n">
        <v>0</v>
      </c>
      <c r="J56" t="n">
        <v>0</v>
      </c>
      <c r="K56" t="n">
        <v>1</v>
      </c>
      <c r="L56" t="n">
        <v>0</v>
      </c>
      <c r="M56" t="n">
        <v>0</v>
      </c>
      <c r="N56" t="n">
        <v>0</v>
      </c>
      <c r="O56" t="n">
        <v>1</v>
      </c>
      <c r="P56" t="n">
        <v>1</v>
      </c>
      <c r="Q56" t="n">
        <v>1</v>
      </c>
      <c r="R56" s="2" t="inlineStr">
        <is>
          <t>Bombmurkla</t>
        </is>
      </c>
      <c r="S56">
        <f>HYPERLINK("https://klasma.github.io/Logging_1981/artfynd/A 8432-2020 artfynd.xlsx", "A 8432-2020")</f>
        <v/>
      </c>
      <c r="T56">
        <f>HYPERLINK("https://klasma.github.io/Logging_1981/kartor/A 8432-2020 karta.png", "A 8432-2020")</f>
        <v/>
      </c>
      <c r="V56">
        <f>HYPERLINK("https://klasma.github.io/Logging_1981/klagomål/A 8432-2020 FSC-klagomål.docx", "A 8432-2020")</f>
        <v/>
      </c>
      <c r="W56">
        <f>HYPERLINK("https://klasma.github.io/Logging_1981/klagomålsmail/A 8432-2020 FSC-klagomål mail.docx", "A 8432-2020")</f>
        <v/>
      </c>
      <c r="X56">
        <f>HYPERLINK("https://klasma.github.io/Logging_1981/tillsyn/A 8432-2020 tillsynsbegäran.docx", "A 8432-2020")</f>
        <v/>
      </c>
      <c r="Y56">
        <f>HYPERLINK("https://klasma.github.io/Logging_1981/tillsynsmail/A 8432-2020 tillsynsbegäran mail.docx", "A 8432-2020")</f>
        <v/>
      </c>
    </row>
    <row r="57" ht="15" customHeight="1">
      <c r="A57" t="inlineStr">
        <is>
          <t>A 13671-2020</t>
        </is>
      </c>
      <c r="B57" s="1" t="n">
        <v>43903</v>
      </c>
      <c r="C57" s="1" t="n">
        <v>45639</v>
      </c>
      <c r="D57" t="inlineStr">
        <is>
          <t>VÄSTMANLANDS LÄN</t>
        </is>
      </c>
      <c r="E57" t="inlineStr">
        <is>
          <t>SALA</t>
        </is>
      </c>
      <c r="G57" t="n">
        <v>2.5</v>
      </c>
      <c r="H57" t="n">
        <v>1</v>
      </c>
      <c r="I57" t="n">
        <v>0</v>
      </c>
      <c r="J57" t="n">
        <v>0</v>
      </c>
      <c r="K57" t="n">
        <v>0</v>
      </c>
      <c r="L57" t="n">
        <v>0</v>
      </c>
      <c r="M57" t="n">
        <v>0</v>
      </c>
      <c r="N57" t="n">
        <v>0</v>
      </c>
      <c r="O57" t="n">
        <v>0</v>
      </c>
      <c r="P57" t="n">
        <v>0</v>
      </c>
      <c r="Q57" t="n">
        <v>1</v>
      </c>
      <c r="R57" s="2" t="inlineStr">
        <is>
          <t>Revlummer</t>
        </is>
      </c>
      <c r="S57">
        <f>HYPERLINK("https://klasma.github.io/Logging_1981/artfynd/A 13671-2020 artfynd.xlsx", "A 13671-2020")</f>
        <v/>
      </c>
      <c r="T57">
        <f>HYPERLINK("https://klasma.github.io/Logging_1981/kartor/A 13671-2020 karta.png", "A 13671-2020")</f>
        <v/>
      </c>
      <c r="V57">
        <f>HYPERLINK("https://klasma.github.io/Logging_1981/klagomål/A 13671-2020 FSC-klagomål.docx", "A 13671-2020")</f>
        <v/>
      </c>
      <c r="W57">
        <f>HYPERLINK("https://klasma.github.io/Logging_1981/klagomålsmail/A 13671-2020 FSC-klagomål mail.docx", "A 13671-2020")</f>
        <v/>
      </c>
      <c r="X57">
        <f>HYPERLINK("https://klasma.github.io/Logging_1981/tillsyn/A 13671-2020 tillsynsbegäran.docx", "A 13671-2020")</f>
        <v/>
      </c>
      <c r="Y57">
        <f>HYPERLINK("https://klasma.github.io/Logging_1981/tillsynsmail/A 13671-2020 tillsynsbegäran mail.docx", "A 13671-2020")</f>
        <v/>
      </c>
    </row>
    <row r="58" ht="15" customHeight="1">
      <c r="A58" t="inlineStr">
        <is>
          <t>A 39800-2020</t>
        </is>
      </c>
      <c r="B58" s="1" t="n">
        <v>44067</v>
      </c>
      <c r="C58" s="1" t="n">
        <v>45639</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39800-2020 artfynd.xlsx", "A 39800-2020")</f>
        <v/>
      </c>
      <c r="T58">
        <f>HYPERLINK("https://klasma.github.io/Logging_1981/kartor/A 39800-2020 karta.png", "A 39800-2020")</f>
        <v/>
      </c>
      <c r="V58">
        <f>HYPERLINK("https://klasma.github.io/Logging_1981/klagomål/A 39800-2020 FSC-klagomål.docx", "A 39800-2020")</f>
        <v/>
      </c>
      <c r="W58">
        <f>HYPERLINK("https://klasma.github.io/Logging_1981/klagomålsmail/A 39800-2020 FSC-klagomål mail.docx", "A 39800-2020")</f>
        <v/>
      </c>
      <c r="X58">
        <f>HYPERLINK("https://klasma.github.io/Logging_1981/tillsyn/A 39800-2020 tillsynsbegäran.docx", "A 39800-2020")</f>
        <v/>
      </c>
      <c r="Y58">
        <f>HYPERLINK("https://klasma.github.io/Logging_1981/tillsynsmail/A 39800-2020 tillsynsbegäran mail.docx", "A 39800-2020")</f>
        <v/>
      </c>
    </row>
    <row r="59" ht="15" customHeight="1">
      <c r="A59" t="inlineStr">
        <is>
          <t>A 39807-2020</t>
        </is>
      </c>
      <c r="B59" s="1" t="n">
        <v>44067</v>
      </c>
      <c r="C59" s="1" t="n">
        <v>45639</v>
      </c>
      <c r="D59" t="inlineStr">
        <is>
          <t>VÄSTMANLANDS LÄN</t>
        </is>
      </c>
      <c r="E59" t="inlineStr">
        <is>
          <t>SALA</t>
        </is>
      </c>
      <c r="F59" t="inlineStr">
        <is>
          <t>Sveaskog</t>
        </is>
      </c>
      <c r="G59" t="n">
        <v>1.8</v>
      </c>
      <c r="H59" t="n">
        <v>1</v>
      </c>
      <c r="I59" t="n">
        <v>0</v>
      </c>
      <c r="J59" t="n">
        <v>0</v>
      </c>
      <c r="K59" t="n">
        <v>1</v>
      </c>
      <c r="L59" t="n">
        <v>0</v>
      </c>
      <c r="M59" t="n">
        <v>0</v>
      </c>
      <c r="N59" t="n">
        <v>0</v>
      </c>
      <c r="O59" t="n">
        <v>1</v>
      </c>
      <c r="P59" t="n">
        <v>1</v>
      </c>
      <c r="Q59" t="n">
        <v>1</v>
      </c>
      <c r="R59" s="2" t="inlineStr">
        <is>
          <t>Bombmurkla</t>
        </is>
      </c>
      <c r="S59">
        <f>HYPERLINK("https://klasma.github.io/Logging_1981/artfynd/A 39807-2020 artfynd.xlsx", "A 39807-2020")</f>
        <v/>
      </c>
      <c r="T59">
        <f>HYPERLINK("https://klasma.github.io/Logging_1981/kartor/A 39807-2020 karta.png", "A 39807-2020")</f>
        <v/>
      </c>
      <c r="V59">
        <f>HYPERLINK("https://klasma.github.io/Logging_1981/klagomål/A 39807-2020 FSC-klagomål.docx", "A 39807-2020")</f>
        <v/>
      </c>
      <c r="W59">
        <f>HYPERLINK("https://klasma.github.io/Logging_1981/klagomålsmail/A 39807-2020 FSC-klagomål mail.docx", "A 39807-2020")</f>
        <v/>
      </c>
      <c r="X59">
        <f>HYPERLINK("https://klasma.github.io/Logging_1981/tillsyn/A 39807-2020 tillsynsbegäran.docx", "A 39807-2020")</f>
        <v/>
      </c>
      <c r="Y59">
        <f>HYPERLINK("https://klasma.github.io/Logging_1981/tillsynsmail/A 39807-2020 tillsynsbegäran mail.docx", "A 39807-2020")</f>
        <v/>
      </c>
    </row>
    <row r="60" ht="15" customHeight="1">
      <c r="A60" t="inlineStr">
        <is>
          <t>A 42352-2020</t>
        </is>
      </c>
      <c r="B60" s="1" t="n">
        <v>44076</v>
      </c>
      <c r="C60" s="1" t="n">
        <v>45639</v>
      </c>
      <c r="D60" t="inlineStr">
        <is>
          <t>VÄSTMANLANDS LÄN</t>
        </is>
      </c>
      <c r="E60" t="inlineStr">
        <is>
          <t>SALA</t>
        </is>
      </c>
      <c r="G60" t="n">
        <v>8.6</v>
      </c>
      <c r="H60" t="n">
        <v>1</v>
      </c>
      <c r="I60" t="n">
        <v>0</v>
      </c>
      <c r="J60" t="n">
        <v>0</v>
      </c>
      <c r="K60" t="n">
        <v>0</v>
      </c>
      <c r="L60" t="n">
        <v>0</v>
      </c>
      <c r="M60" t="n">
        <v>0</v>
      </c>
      <c r="N60" t="n">
        <v>0</v>
      </c>
      <c r="O60" t="n">
        <v>0</v>
      </c>
      <c r="P60" t="n">
        <v>0</v>
      </c>
      <c r="Q60" t="n">
        <v>1</v>
      </c>
      <c r="R60" s="2" t="inlineStr">
        <is>
          <t>Mattlummer</t>
        </is>
      </c>
      <c r="S60">
        <f>HYPERLINK("https://klasma.github.io/Logging_1981/artfynd/A 42352-2020 artfynd.xlsx", "A 42352-2020")</f>
        <v/>
      </c>
      <c r="T60">
        <f>HYPERLINK("https://klasma.github.io/Logging_1981/kartor/A 42352-2020 karta.png", "A 42352-2020")</f>
        <v/>
      </c>
      <c r="V60">
        <f>HYPERLINK("https://klasma.github.io/Logging_1981/klagomål/A 42352-2020 FSC-klagomål.docx", "A 42352-2020")</f>
        <v/>
      </c>
      <c r="W60">
        <f>HYPERLINK("https://klasma.github.io/Logging_1981/klagomålsmail/A 42352-2020 FSC-klagomål mail.docx", "A 42352-2020")</f>
        <v/>
      </c>
      <c r="X60">
        <f>HYPERLINK("https://klasma.github.io/Logging_1981/tillsyn/A 42352-2020 tillsynsbegäran.docx", "A 42352-2020")</f>
        <v/>
      </c>
      <c r="Y60">
        <f>HYPERLINK("https://klasma.github.io/Logging_1981/tillsynsmail/A 42352-2020 tillsynsbegäran mail.docx", "A 42352-2020")</f>
        <v/>
      </c>
    </row>
    <row r="61" ht="15" customHeight="1">
      <c r="A61" t="inlineStr">
        <is>
          <t>A 56014-2020</t>
        </is>
      </c>
      <c r="B61" s="1" t="n">
        <v>44132</v>
      </c>
      <c r="C61" s="1" t="n">
        <v>45639</v>
      </c>
      <c r="D61" t="inlineStr">
        <is>
          <t>VÄSTMANLANDS LÄN</t>
        </is>
      </c>
      <c r="E61" t="inlineStr">
        <is>
          <t>SALA</t>
        </is>
      </c>
      <c r="G61" t="n">
        <v>5.6</v>
      </c>
      <c r="H61" t="n">
        <v>0</v>
      </c>
      <c r="I61" t="n">
        <v>0</v>
      </c>
      <c r="J61" t="n">
        <v>0</v>
      </c>
      <c r="K61" t="n">
        <v>1</v>
      </c>
      <c r="L61" t="n">
        <v>0</v>
      </c>
      <c r="M61" t="n">
        <v>0</v>
      </c>
      <c r="N61" t="n">
        <v>0</v>
      </c>
      <c r="O61" t="n">
        <v>1</v>
      </c>
      <c r="P61" t="n">
        <v>1</v>
      </c>
      <c r="Q61" t="n">
        <v>1</v>
      </c>
      <c r="R61" s="2" t="inlineStr">
        <is>
          <t>Blackticka</t>
        </is>
      </c>
      <c r="S61">
        <f>HYPERLINK("https://klasma.github.io/Logging_1981/artfynd/A 56014-2020 artfynd.xlsx", "A 56014-2020")</f>
        <v/>
      </c>
      <c r="T61">
        <f>HYPERLINK("https://klasma.github.io/Logging_1981/kartor/A 56014-2020 karta.png", "A 56014-2020")</f>
        <v/>
      </c>
      <c r="V61">
        <f>HYPERLINK("https://klasma.github.io/Logging_1981/klagomål/A 56014-2020 FSC-klagomål.docx", "A 56014-2020")</f>
        <v/>
      </c>
      <c r="W61">
        <f>HYPERLINK("https://klasma.github.io/Logging_1981/klagomålsmail/A 56014-2020 FSC-klagomål mail.docx", "A 56014-2020")</f>
        <v/>
      </c>
      <c r="X61">
        <f>HYPERLINK("https://klasma.github.io/Logging_1981/tillsyn/A 56014-2020 tillsynsbegäran.docx", "A 56014-2020")</f>
        <v/>
      </c>
      <c r="Y61">
        <f>HYPERLINK("https://klasma.github.io/Logging_1981/tillsynsmail/A 56014-2020 tillsynsbegäran mail.docx", "A 56014-2020")</f>
        <v/>
      </c>
    </row>
    <row r="62" ht="15" customHeight="1">
      <c r="A62" t="inlineStr">
        <is>
          <t>A 13973-2021</t>
        </is>
      </c>
      <c r="B62" s="1" t="n">
        <v>44277</v>
      </c>
      <c r="C62" s="1" t="n">
        <v>45639</v>
      </c>
      <c r="D62" t="inlineStr">
        <is>
          <t>VÄSTMANLANDS LÄN</t>
        </is>
      </c>
      <c r="E62" t="inlineStr">
        <is>
          <t>SALA</t>
        </is>
      </c>
      <c r="G62" t="n">
        <v>2</v>
      </c>
      <c r="H62" t="n">
        <v>1</v>
      </c>
      <c r="I62" t="n">
        <v>0</v>
      </c>
      <c r="J62" t="n">
        <v>0</v>
      </c>
      <c r="K62" t="n">
        <v>0</v>
      </c>
      <c r="L62" t="n">
        <v>0</v>
      </c>
      <c r="M62" t="n">
        <v>0</v>
      </c>
      <c r="N62" t="n">
        <v>0</v>
      </c>
      <c r="O62" t="n">
        <v>0</v>
      </c>
      <c r="P62" t="n">
        <v>0</v>
      </c>
      <c r="Q62" t="n">
        <v>1</v>
      </c>
      <c r="R62" s="2" t="inlineStr">
        <is>
          <t>Blåsippa</t>
        </is>
      </c>
      <c r="S62">
        <f>HYPERLINK("https://klasma.github.io/Logging_1981/artfynd/A 13973-2021 artfynd.xlsx", "A 13973-2021")</f>
        <v/>
      </c>
      <c r="T62">
        <f>HYPERLINK("https://klasma.github.io/Logging_1981/kartor/A 13973-2021 karta.png", "A 13973-2021")</f>
        <v/>
      </c>
      <c r="V62">
        <f>HYPERLINK("https://klasma.github.io/Logging_1981/klagomål/A 13973-2021 FSC-klagomål.docx", "A 13973-2021")</f>
        <v/>
      </c>
      <c r="W62">
        <f>HYPERLINK("https://klasma.github.io/Logging_1981/klagomålsmail/A 13973-2021 FSC-klagomål mail.docx", "A 13973-2021")</f>
        <v/>
      </c>
      <c r="X62">
        <f>HYPERLINK("https://klasma.github.io/Logging_1981/tillsyn/A 13973-2021 tillsynsbegäran.docx", "A 13973-2021")</f>
        <v/>
      </c>
      <c r="Y62">
        <f>HYPERLINK("https://klasma.github.io/Logging_1981/tillsynsmail/A 13973-2021 tillsynsbegäran mail.docx", "A 13973-2021")</f>
        <v/>
      </c>
    </row>
    <row r="63" ht="15" customHeight="1">
      <c r="A63" t="inlineStr">
        <is>
          <t>A 44970-2021</t>
        </is>
      </c>
      <c r="B63" s="1" t="n">
        <v>44438</v>
      </c>
      <c r="C63" s="1" t="n">
        <v>45639</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Revlummer</t>
        </is>
      </c>
      <c r="S63">
        <f>HYPERLINK("https://klasma.github.io/Logging_1981/artfynd/A 44970-2021 artfynd.xlsx", "A 44970-2021")</f>
        <v/>
      </c>
      <c r="T63">
        <f>HYPERLINK("https://klasma.github.io/Logging_1981/kartor/A 44970-2021 karta.png", "A 44970-2021")</f>
        <v/>
      </c>
      <c r="V63">
        <f>HYPERLINK("https://klasma.github.io/Logging_1981/klagomål/A 44970-2021 FSC-klagomål.docx", "A 44970-2021")</f>
        <v/>
      </c>
      <c r="W63">
        <f>HYPERLINK("https://klasma.github.io/Logging_1981/klagomålsmail/A 44970-2021 FSC-klagomål mail.docx", "A 44970-2021")</f>
        <v/>
      </c>
      <c r="X63">
        <f>HYPERLINK("https://klasma.github.io/Logging_1981/tillsyn/A 44970-2021 tillsynsbegäran.docx", "A 44970-2021")</f>
        <v/>
      </c>
      <c r="Y63">
        <f>HYPERLINK("https://klasma.github.io/Logging_1981/tillsynsmail/A 44970-2021 tillsynsbegäran mail.docx", "A 44970-2021")</f>
        <v/>
      </c>
    </row>
    <row r="64" ht="15" customHeight="1">
      <c r="A64" t="inlineStr">
        <is>
          <t>A 7919-2022</t>
        </is>
      </c>
      <c r="B64" s="1" t="n">
        <v>44608</v>
      </c>
      <c r="C64" s="1" t="n">
        <v>45639</v>
      </c>
      <c r="D64" t="inlineStr">
        <is>
          <t>VÄSTMANLANDS LÄN</t>
        </is>
      </c>
      <c r="E64" t="inlineStr">
        <is>
          <t>SALA</t>
        </is>
      </c>
      <c r="F64" t="inlineStr">
        <is>
          <t>Bergvik skog öst AB</t>
        </is>
      </c>
      <c r="G64" t="n">
        <v>4.5</v>
      </c>
      <c r="H64" t="n">
        <v>1</v>
      </c>
      <c r="I64" t="n">
        <v>0</v>
      </c>
      <c r="J64" t="n">
        <v>1</v>
      </c>
      <c r="K64" t="n">
        <v>0</v>
      </c>
      <c r="L64" t="n">
        <v>0</v>
      </c>
      <c r="M64" t="n">
        <v>0</v>
      </c>
      <c r="N64" t="n">
        <v>0</v>
      </c>
      <c r="O64" t="n">
        <v>1</v>
      </c>
      <c r="P64" t="n">
        <v>0</v>
      </c>
      <c r="Q64" t="n">
        <v>1</v>
      </c>
      <c r="R64" s="2" t="inlineStr">
        <is>
          <t>Ävjepilört</t>
        </is>
      </c>
      <c r="S64">
        <f>HYPERLINK("https://klasma.github.io/Logging_1981/artfynd/A 7919-2022 artfynd.xlsx", "A 7919-2022")</f>
        <v/>
      </c>
      <c r="T64">
        <f>HYPERLINK("https://klasma.github.io/Logging_1981/kartor/A 7919-2022 karta.png", "A 7919-2022")</f>
        <v/>
      </c>
      <c r="V64">
        <f>HYPERLINK("https://klasma.github.io/Logging_1981/klagomål/A 7919-2022 FSC-klagomål.docx", "A 7919-2022")</f>
        <v/>
      </c>
      <c r="W64">
        <f>HYPERLINK("https://klasma.github.io/Logging_1981/klagomålsmail/A 7919-2022 FSC-klagomål mail.docx", "A 7919-2022")</f>
        <v/>
      </c>
      <c r="X64">
        <f>HYPERLINK("https://klasma.github.io/Logging_1981/tillsyn/A 7919-2022 tillsynsbegäran.docx", "A 7919-2022")</f>
        <v/>
      </c>
      <c r="Y64">
        <f>HYPERLINK("https://klasma.github.io/Logging_1981/tillsynsmail/A 7919-2022 tillsynsbegäran mail.docx", "A 7919-2022")</f>
        <v/>
      </c>
    </row>
    <row r="65" ht="15" customHeight="1">
      <c r="A65" t="inlineStr">
        <is>
          <t>A 15988-2022</t>
        </is>
      </c>
      <c r="B65" s="1" t="n">
        <v>44664</v>
      </c>
      <c r="C65" s="1" t="n">
        <v>45639</v>
      </c>
      <c r="D65" t="inlineStr">
        <is>
          <t>VÄSTMANLANDS LÄN</t>
        </is>
      </c>
      <c r="E65" t="inlineStr">
        <is>
          <t>SALA</t>
        </is>
      </c>
      <c r="G65" t="n">
        <v>5</v>
      </c>
      <c r="H65" t="n">
        <v>1</v>
      </c>
      <c r="I65" t="n">
        <v>0</v>
      </c>
      <c r="J65" t="n">
        <v>0</v>
      </c>
      <c r="K65" t="n">
        <v>1</v>
      </c>
      <c r="L65" t="n">
        <v>0</v>
      </c>
      <c r="M65" t="n">
        <v>0</v>
      </c>
      <c r="N65" t="n">
        <v>0</v>
      </c>
      <c r="O65" t="n">
        <v>1</v>
      </c>
      <c r="P65" t="n">
        <v>1</v>
      </c>
      <c r="Q65" t="n">
        <v>1</v>
      </c>
      <c r="R65" s="2" t="inlineStr">
        <is>
          <t>Knärot</t>
        </is>
      </c>
      <c r="S65">
        <f>HYPERLINK("https://klasma.github.io/Logging_1981/artfynd/A 15988-2022 artfynd.xlsx", "A 15988-2022")</f>
        <v/>
      </c>
      <c r="T65">
        <f>HYPERLINK("https://klasma.github.io/Logging_1981/kartor/A 15988-2022 karta.png", "A 15988-2022")</f>
        <v/>
      </c>
      <c r="U65">
        <f>HYPERLINK("https://klasma.github.io/Logging_1981/knärot/A 15988-2022 karta knärot.png", "A 15988-2022")</f>
        <v/>
      </c>
      <c r="V65">
        <f>HYPERLINK("https://klasma.github.io/Logging_1981/klagomål/A 15988-2022 FSC-klagomål.docx", "A 15988-2022")</f>
        <v/>
      </c>
      <c r="W65">
        <f>HYPERLINK("https://klasma.github.io/Logging_1981/klagomålsmail/A 15988-2022 FSC-klagomål mail.docx", "A 15988-2022")</f>
        <v/>
      </c>
      <c r="X65">
        <f>HYPERLINK("https://klasma.github.io/Logging_1981/tillsyn/A 15988-2022 tillsynsbegäran.docx", "A 15988-2022")</f>
        <v/>
      </c>
      <c r="Y65">
        <f>HYPERLINK("https://klasma.github.io/Logging_1981/tillsynsmail/A 15988-2022 tillsynsbegäran mail.docx", "A 15988-2022")</f>
        <v/>
      </c>
    </row>
    <row r="66" ht="15" customHeight="1">
      <c r="A66" t="inlineStr">
        <is>
          <t>A 29985-2022</t>
        </is>
      </c>
      <c r="B66" s="1" t="n">
        <v>44756</v>
      </c>
      <c r="C66" s="1" t="n">
        <v>45639</v>
      </c>
      <c r="D66" t="inlineStr">
        <is>
          <t>VÄSTMANLANDS LÄN</t>
        </is>
      </c>
      <c r="E66" t="inlineStr">
        <is>
          <t>SALA</t>
        </is>
      </c>
      <c r="F66" t="inlineStr">
        <is>
          <t>Kommuner</t>
        </is>
      </c>
      <c r="G66" t="n">
        <v>1</v>
      </c>
      <c r="H66" t="n">
        <v>1</v>
      </c>
      <c r="I66" t="n">
        <v>1</v>
      </c>
      <c r="J66" t="n">
        <v>0</v>
      </c>
      <c r="K66" t="n">
        <v>0</v>
      </c>
      <c r="L66" t="n">
        <v>0</v>
      </c>
      <c r="M66" t="n">
        <v>0</v>
      </c>
      <c r="N66" t="n">
        <v>0</v>
      </c>
      <c r="O66" t="n">
        <v>0</v>
      </c>
      <c r="P66" t="n">
        <v>0</v>
      </c>
      <c r="Q66" t="n">
        <v>1</v>
      </c>
      <c r="R66" s="2" t="inlineStr">
        <is>
          <t>Skogsknipprot</t>
        </is>
      </c>
      <c r="S66">
        <f>HYPERLINK("https://klasma.github.io/Logging_1981/artfynd/A 29985-2022 artfynd.xlsx", "A 29985-2022")</f>
        <v/>
      </c>
      <c r="T66">
        <f>HYPERLINK("https://klasma.github.io/Logging_1981/kartor/A 29985-2022 karta.png", "A 29985-2022")</f>
        <v/>
      </c>
      <c r="V66">
        <f>HYPERLINK("https://klasma.github.io/Logging_1981/klagomål/A 29985-2022 FSC-klagomål.docx", "A 29985-2022")</f>
        <v/>
      </c>
      <c r="W66">
        <f>HYPERLINK("https://klasma.github.io/Logging_1981/klagomålsmail/A 29985-2022 FSC-klagomål mail.docx", "A 29985-2022")</f>
        <v/>
      </c>
      <c r="X66">
        <f>HYPERLINK("https://klasma.github.io/Logging_1981/tillsyn/A 29985-2022 tillsynsbegäran.docx", "A 29985-2022")</f>
        <v/>
      </c>
      <c r="Y66">
        <f>HYPERLINK("https://klasma.github.io/Logging_1981/tillsynsmail/A 29985-2022 tillsynsbegäran mail.docx", "A 29985-2022")</f>
        <v/>
      </c>
    </row>
    <row r="67" ht="15" customHeight="1">
      <c r="A67" t="inlineStr">
        <is>
          <t>A 43705-2022</t>
        </is>
      </c>
      <c r="B67" s="1" t="n">
        <v>44837</v>
      </c>
      <c r="C67" s="1" t="n">
        <v>45639</v>
      </c>
      <c r="D67" t="inlineStr">
        <is>
          <t>VÄSTMANLANDS LÄN</t>
        </is>
      </c>
      <c r="E67" t="inlineStr">
        <is>
          <t>SALA</t>
        </is>
      </c>
      <c r="G67" t="n">
        <v>2.9</v>
      </c>
      <c r="H67" t="n">
        <v>1</v>
      </c>
      <c r="I67" t="n">
        <v>0</v>
      </c>
      <c r="J67" t="n">
        <v>0</v>
      </c>
      <c r="K67" t="n">
        <v>1</v>
      </c>
      <c r="L67" t="n">
        <v>0</v>
      </c>
      <c r="M67" t="n">
        <v>0</v>
      </c>
      <c r="N67" t="n">
        <v>0</v>
      </c>
      <c r="O67" t="n">
        <v>1</v>
      </c>
      <c r="P67" t="n">
        <v>1</v>
      </c>
      <c r="Q67" t="n">
        <v>1</v>
      </c>
      <c r="R67" s="2" t="inlineStr">
        <is>
          <t>Knärot</t>
        </is>
      </c>
      <c r="S67">
        <f>HYPERLINK("https://klasma.github.io/Logging_1981/artfynd/A 43705-2022 artfynd.xlsx", "A 43705-2022")</f>
        <v/>
      </c>
      <c r="T67">
        <f>HYPERLINK("https://klasma.github.io/Logging_1981/kartor/A 43705-2022 karta.png", "A 43705-2022")</f>
        <v/>
      </c>
      <c r="U67">
        <f>HYPERLINK("https://klasma.github.io/Logging_1981/knärot/A 43705-2022 karta knärot.png", "A 43705-2022")</f>
        <v/>
      </c>
      <c r="V67">
        <f>HYPERLINK("https://klasma.github.io/Logging_1981/klagomål/A 43705-2022 FSC-klagomål.docx", "A 43705-2022")</f>
        <v/>
      </c>
      <c r="W67">
        <f>HYPERLINK("https://klasma.github.io/Logging_1981/klagomålsmail/A 43705-2022 FSC-klagomål mail.docx", "A 43705-2022")</f>
        <v/>
      </c>
      <c r="X67">
        <f>HYPERLINK("https://klasma.github.io/Logging_1981/tillsyn/A 43705-2022 tillsynsbegäran.docx", "A 43705-2022")</f>
        <v/>
      </c>
      <c r="Y67">
        <f>HYPERLINK("https://klasma.github.io/Logging_1981/tillsynsmail/A 43705-2022 tillsynsbegäran mail.docx", "A 43705-2022")</f>
        <v/>
      </c>
    </row>
    <row r="68" ht="15" customHeight="1">
      <c r="A68" t="inlineStr">
        <is>
          <t>A 56704-2022</t>
        </is>
      </c>
      <c r="B68" s="1" t="n">
        <v>44893</v>
      </c>
      <c r="C68" s="1" t="n">
        <v>45639</v>
      </c>
      <c r="D68" t="inlineStr">
        <is>
          <t>VÄSTMANLANDS LÄN</t>
        </is>
      </c>
      <c r="E68" t="inlineStr">
        <is>
          <t>SALA</t>
        </is>
      </c>
      <c r="G68" t="n">
        <v>3.2</v>
      </c>
      <c r="H68" t="n">
        <v>1</v>
      </c>
      <c r="I68" t="n">
        <v>0</v>
      </c>
      <c r="J68" t="n">
        <v>0</v>
      </c>
      <c r="K68" t="n">
        <v>1</v>
      </c>
      <c r="L68" t="n">
        <v>0</v>
      </c>
      <c r="M68" t="n">
        <v>0</v>
      </c>
      <c r="N68" t="n">
        <v>0</v>
      </c>
      <c r="O68" t="n">
        <v>1</v>
      </c>
      <c r="P68" t="n">
        <v>1</v>
      </c>
      <c r="Q68" t="n">
        <v>1</v>
      </c>
      <c r="R68" s="2" t="inlineStr">
        <is>
          <t>Knärot</t>
        </is>
      </c>
      <c r="S68">
        <f>HYPERLINK("https://klasma.github.io/Logging_1981/artfynd/A 56704-2022 artfynd.xlsx", "A 56704-2022")</f>
        <v/>
      </c>
      <c r="T68">
        <f>HYPERLINK("https://klasma.github.io/Logging_1981/kartor/A 56704-2022 karta.png", "A 56704-2022")</f>
        <v/>
      </c>
      <c r="U68">
        <f>HYPERLINK("https://klasma.github.io/Logging_1981/knärot/A 56704-2022 karta knärot.png", "A 56704-2022")</f>
        <v/>
      </c>
      <c r="V68">
        <f>HYPERLINK("https://klasma.github.io/Logging_1981/klagomål/A 56704-2022 FSC-klagomål.docx", "A 56704-2022")</f>
        <v/>
      </c>
      <c r="W68">
        <f>HYPERLINK("https://klasma.github.io/Logging_1981/klagomålsmail/A 56704-2022 FSC-klagomål mail.docx", "A 56704-2022")</f>
        <v/>
      </c>
      <c r="X68">
        <f>HYPERLINK("https://klasma.github.io/Logging_1981/tillsyn/A 56704-2022 tillsynsbegäran.docx", "A 56704-2022")</f>
        <v/>
      </c>
      <c r="Y68">
        <f>HYPERLINK("https://klasma.github.io/Logging_1981/tillsynsmail/A 56704-2022 tillsynsbegäran mail.docx", "A 56704-2022")</f>
        <v/>
      </c>
    </row>
    <row r="69" ht="15" customHeight="1">
      <c r="A69" t="inlineStr">
        <is>
          <t>A 7731-2023</t>
        </is>
      </c>
      <c r="B69" s="1" t="n">
        <v>44973</v>
      </c>
      <c r="C69" s="1" t="n">
        <v>45639</v>
      </c>
      <c r="D69" t="inlineStr">
        <is>
          <t>VÄSTMANLANDS LÄN</t>
        </is>
      </c>
      <c r="E69" t="inlineStr">
        <is>
          <t>SALA</t>
        </is>
      </c>
      <c r="F69" t="inlineStr">
        <is>
          <t>Bergvik skog öst AB</t>
        </is>
      </c>
      <c r="G69" t="n">
        <v>1.7</v>
      </c>
      <c r="H69" t="n">
        <v>1</v>
      </c>
      <c r="I69" t="n">
        <v>0</v>
      </c>
      <c r="J69" t="n">
        <v>1</v>
      </c>
      <c r="K69" t="n">
        <v>0</v>
      </c>
      <c r="L69" t="n">
        <v>0</v>
      </c>
      <c r="M69" t="n">
        <v>0</v>
      </c>
      <c r="N69" t="n">
        <v>0</v>
      </c>
      <c r="O69" t="n">
        <v>1</v>
      </c>
      <c r="P69" t="n">
        <v>0</v>
      </c>
      <c r="Q69" t="n">
        <v>1</v>
      </c>
      <c r="R69" s="2" t="inlineStr">
        <is>
          <t>Ävjepilört</t>
        </is>
      </c>
      <c r="S69">
        <f>HYPERLINK("https://klasma.github.io/Logging_1981/artfynd/A 7731-2023 artfynd.xlsx", "A 7731-2023")</f>
        <v/>
      </c>
      <c r="T69">
        <f>HYPERLINK("https://klasma.github.io/Logging_1981/kartor/A 7731-2023 karta.png", "A 7731-2023")</f>
        <v/>
      </c>
      <c r="V69">
        <f>HYPERLINK("https://klasma.github.io/Logging_1981/klagomål/A 7731-2023 FSC-klagomål.docx", "A 7731-2023")</f>
        <v/>
      </c>
      <c r="W69">
        <f>HYPERLINK("https://klasma.github.io/Logging_1981/klagomålsmail/A 7731-2023 FSC-klagomål mail.docx", "A 7731-2023")</f>
        <v/>
      </c>
      <c r="X69">
        <f>HYPERLINK("https://klasma.github.io/Logging_1981/tillsyn/A 7731-2023 tillsynsbegäran.docx", "A 7731-2023")</f>
        <v/>
      </c>
      <c r="Y69">
        <f>HYPERLINK("https://klasma.github.io/Logging_1981/tillsynsmail/A 7731-2023 tillsynsbegäran mail.docx", "A 7731-2023")</f>
        <v/>
      </c>
    </row>
    <row r="70" ht="15" customHeight="1">
      <c r="A70" t="inlineStr">
        <is>
          <t>A 14775-2023</t>
        </is>
      </c>
      <c r="B70" s="1" t="n">
        <v>45014</v>
      </c>
      <c r="C70" s="1" t="n">
        <v>45639</v>
      </c>
      <c r="D70" t="inlineStr">
        <is>
          <t>VÄSTMANLANDS LÄN</t>
        </is>
      </c>
      <c r="E70" t="inlineStr">
        <is>
          <t>SALA</t>
        </is>
      </c>
      <c r="G70" t="n">
        <v>1.3</v>
      </c>
      <c r="H70" t="n">
        <v>1</v>
      </c>
      <c r="I70" t="n">
        <v>0</v>
      </c>
      <c r="J70" t="n">
        <v>0</v>
      </c>
      <c r="K70" t="n">
        <v>1</v>
      </c>
      <c r="L70" t="n">
        <v>0</v>
      </c>
      <c r="M70" t="n">
        <v>0</v>
      </c>
      <c r="N70" t="n">
        <v>0</v>
      </c>
      <c r="O70" t="n">
        <v>1</v>
      </c>
      <c r="P70" t="n">
        <v>1</v>
      </c>
      <c r="Q70" t="n">
        <v>1</v>
      </c>
      <c r="R70" s="2" t="inlineStr">
        <is>
          <t>Knärot</t>
        </is>
      </c>
      <c r="S70">
        <f>HYPERLINK("https://klasma.github.io/Logging_1981/artfynd/A 14775-2023 artfynd.xlsx", "A 14775-2023")</f>
        <v/>
      </c>
      <c r="T70">
        <f>HYPERLINK("https://klasma.github.io/Logging_1981/kartor/A 14775-2023 karta.png", "A 14775-2023")</f>
        <v/>
      </c>
      <c r="U70">
        <f>HYPERLINK("https://klasma.github.io/Logging_1981/knärot/A 14775-2023 karta knärot.png", "A 14775-2023")</f>
        <v/>
      </c>
      <c r="V70">
        <f>HYPERLINK("https://klasma.github.io/Logging_1981/klagomål/A 14775-2023 FSC-klagomål.docx", "A 14775-2023")</f>
        <v/>
      </c>
      <c r="W70">
        <f>HYPERLINK("https://klasma.github.io/Logging_1981/klagomålsmail/A 14775-2023 FSC-klagomål mail.docx", "A 14775-2023")</f>
        <v/>
      </c>
      <c r="X70">
        <f>HYPERLINK("https://klasma.github.io/Logging_1981/tillsyn/A 14775-2023 tillsynsbegäran.docx", "A 14775-2023")</f>
        <v/>
      </c>
      <c r="Y70">
        <f>HYPERLINK("https://klasma.github.io/Logging_1981/tillsynsmail/A 14775-2023 tillsynsbegäran mail.docx", "A 14775-2023")</f>
        <v/>
      </c>
    </row>
    <row r="71" ht="15" customHeight="1">
      <c r="A71" t="inlineStr">
        <is>
          <t>A 29727-2023</t>
        </is>
      </c>
      <c r="B71" s="1" t="n">
        <v>45107</v>
      </c>
      <c r="C71" s="1" t="n">
        <v>45639</v>
      </c>
      <c r="D71" t="inlineStr">
        <is>
          <t>VÄSTMANLANDS LÄN</t>
        </is>
      </c>
      <c r="E71" t="inlineStr">
        <is>
          <t>SALA</t>
        </is>
      </c>
      <c r="G71" t="n">
        <v>1.9</v>
      </c>
      <c r="H71" t="n">
        <v>0</v>
      </c>
      <c r="I71" t="n">
        <v>0</v>
      </c>
      <c r="J71" t="n">
        <v>1</v>
      </c>
      <c r="K71" t="n">
        <v>0</v>
      </c>
      <c r="L71" t="n">
        <v>0</v>
      </c>
      <c r="M71" t="n">
        <v>0</v>
      </c>
      <c r="N71" t="n">
        <v>0</v>
      </c>
      <c r="O71" t="n">
        <v>1</v>
      </c>
      <c r="P71" t="n">
        <v>0</v>
      </c>
      <c r="Q71" t="n">
        <v>1</v>
      </c>
      <c r="R71" s="2" t="inlineStr">
        <is>
          <t>Vedtrappmossa</t>
        </is>
      </c>
      <c r="S71">
        <f>HYPERLINK("https://klasma.github.io/Logging_1981/artfynd/A 29727-2023 artfynd.xlsx", "A 29727-2023")</f>
        <v/>
      </c>
      <c r="T71">
        <f>HYPERLINK("https://klasma.github.io/Logging_1981/kartor/A 29727-2023 karta.png", "A 29727-2023")</f>
        <v/>
      </c>
      <c r="V71">
        <f>HYPERLINK("https://klasma.github.io/Logging_1981/klagomål/A 29727-2023 FSC-klagomål.docx", "A 29727-2023")</f>
        <v/>
      </c>
      <c r="W71">
        <f>HYPERLINK("https://klasma.github.io/Logging_1981/klagomålsmail/A 29727-2023 FSC-klagomål mail.docx", "A 29727-2023")</f>
        <v/>
      </c>
      <c r="X71">
        <f>HYPERLINK("https://klasma.github.io/Logging_1981/tillsyn/A 29727-2023 tillsynsbegäran.docx", "A 29727-2023")</f>
        <v/>
      </c>
      <c r="Y71">
        <f>HYPERLINK("https://klasma.github.io/Logging_1981/tillsynsmail/A 29727-2023 tillsynsbegäran mail.docx", "A 29727-2023")</f>
        <v/>
      </c>
    </row>
    <row r="72" ht="15" customHeight="1">
      <c r="A72" t="inlineStr">
        <is>
          <t>A 31535-2023</t>
        </is>
      </c>
      <c r="B72" s="1" t="n">
        <v>45116</v>
      </c>
      <c r="C72" s="1" t="n">
        <v>45639</v>
      </c>
      <c r="D72" t="inlineStr">
        <is>
          <t>VÄSTMANLANDS LÄN</t>
        </is>
      </c>
      <c r="E72" t="inlineStr">
        <is>
          <t>SALA</t>
        </is>
      </c>
      <c r="G72" t="n">
        <v>0.9</v>
      </c>
      <c r="H72" t="n">
        <v>0</v>
      </c>
      <c r="I72" t="n">
        <v>0</v>
      </c>
      <c r="J72" t="n">
        <v>1</v>
      </c>
      <c r="K72" t="n">
        <v>0</v>
      </c>
      <c r="L72" t="n">
        <v>0</v>
      </c>
      <c r="M72" t="n">
        <v>0</v>
      </c>
      <c r="N72" t="n">
        <v>0</v>
      </c>
      <c r="O72" t="n">
        <v>1</v>
      </c>
      <c r="P72" t="n">
        <v>0</v>
      </c>
      <c r="Q72" t="n">
        <v>1</v>
      </c>
      <c r="R72" s="2" t="inlineStr">
        <is>
          <t>Orange taggsvamp</t>
        </is>
      </c>
      <c r="S72">
        <f>HYPERLINK("https://klasma.github.io/Logging_1981/artfynd/A 31535-2023 artfynd.xlsx", "A 31535-2023")</f>
        <v/>
      </c>
      <c r="T72">
        <f>HYPERLINK("https://klasma.github.io/Logging_1981/kartor/A 31535-2023 karta.png", "A 31535-2023")</f>
        <v/>
      </c>
      <c r="V72">
        <f>HYPERLINK("https://klasma.github.io/Logging_1981/klagomål/A 31535-2023 FSC-klagomål.docx", "A 31535-2023")</f>
        <v/>
      </c>
      <c r="W72">
        <f>HYPERLINK("https://klasma.github.io/Logging_1981/klagomålsmail/A 31535-2023 FSC-klagomål mail.docx", "A 31535-2023")</f>
        <v/>
      </c>
      <c r="X72">
        <f>HYPERLINK("https://klasma.github.io/Logging_1981/tillsyn/A 31535-2023 tillsynsbegäran.docx", "A 31535-2023")</f>
        <v/>
      </c>
      <c r="Y72">
        <f>HYPERLINK("https://klasma.github.io/Logging_1981/tillsynsmail/A 31535-2023 tillsynsbegäran mail.docx", "A 31535-2023")</f>
        <v/>
      </c>
    </row>
    <row r="73" ht="15" customHeight="1">
      <c r="A73" t="inlineStr">
        <is>
          <t>A 43175-2023</t>
        </is>
      </c>
      <c r="B73" s="1" t="n">
        <v>45183</v>
      </c>
      <c r="C73" s="1" t="n">
        <v>45639</v>
      </c>
      <c r="D73" t="inlineStr">
        <is>
          <t>VÄSTMANLANDS LÄN</t>
        </is>
      </c>
      <c r="E73" t="inlineStr">
        <is>
          <t>SALA</t>
        </is>
      </c>
      <c r="G73" t="n">
        <v>5.6</v>
      </c>
      <c r="H73" t="n">
        <v>0</v>
      </c>
      <c r="I73" t="n">
        <v>1</v>
      </c>
      <c r="J73" t="n">
        <v>0</v>
      </c>
      <c r="K73" t="n">
        <v>0</v>
      </c>
      <c r="L73" t="n">
        <v>0</v>
      </c>
      <c r="M73" t="n">
        <v>0</v>
      </c>
      <c r="N73" t="n">
        <v>0</v>
      </c>
      <c r="O73" t="n">
        <v>0</v>
      </c>
      <c r="P73" t="n">
        <v>0</v>
      </c>
      <c r="Q73" t="n">
        <v>1</v>
      </c>
      <c r="R73" s="2" t="inlineStr">
        <is>
          <t>Grönpyrola</t>
        </is>
      </c>
      <c r="S73">
        <f>HYPERLINK("https://klasma.github.io/Logging_1981/artfynd/A 43175-2023 artfynd.xlsx", "A 43175-2023")</f>
        <v/>
      </c>
      <c r="T73">
        <f>HYPERLINK("https://klasma.github.io/Logging_1981/kartor/A 43175-2023 karta.png", "A 43175-2023")</f>
        <v/>
      </c>
      <c r="V73">
        <f>HYPERLINK("https://klasma.github.io/Logging_1981/klagomål/A 43175-2023 FSC-klagomål.docx", "A 43175-2023")</f>
        <v/>
      </c>
      <c r="W73">
        <f>HYPERLINK("https://klasma.github.io/Logging_1981/klagomålsmail/A 43175-2023 FSC-klagomål mail.docx", "A 43175-2023")</f>
        <v/>
      </c>
      <c r="X73">
        <f>HYPERLINK("https://klasma.github.io/Logging_1981/tillsyn/A 43175-2023 tillsynsbegäran.docx", "A 43175-2023")</f>
        <v/>
      </c>
      <c r="Y73">
        <f>HYPERLINK("https://klasma.github.io/Logging_1981/tillsynsmail/A 43175-2023 tillsynsbegäran mail.docx", "A 43175-2023")</f>
        <v/>
      </c>
    </row>
    <row r="74" ht="15" customHeight="1">
      <c r="A74" t="inlineStr">
        <is>
          <t>A 55550-2023</t>
        </is>
      </c>
      <c r="B74" s="1" t="n">
        <v>45232</v>
      </c>
      <c r="C74" s="1" t="n">
        <v>45639</v>
      </c>
      <c r="D74" t="inlineStr">
        <is>
          <t>VÄSTMANLANDS LÄN</t>
        </is>
      </c>
      <c r="E74" t="inlineStr">
        <is>
          <t>SALA</t>
        </is>
      </c>
      <c r="G74" t="n">
        <v>9.9</v>
      </c>
      <c r="H74" t="n">
        <v>1</v>
      </c>
      <c r="I74" t="n">
        <v>0</v>
      </c>
      <c r="J74" t="n">
        <v>0</v>
      </c>
      <c r="K74" t="n">
        <v>1</v>
      </c>
      <c r="L74" t="n">
        <v>0</v>
      </c>
      <c r="M74" t="n">
        <v>0</v>
      </c>
      <c r="N74" t="n">
        <v>0</v>
      </c>
      <c r="O74" t="n">
        <v>1</v>
      </c>
      <c r="P74" t="n">
        <v>1</v>
      </c>
      <c r="Q74" t="n">
        <v>1</v>
      </c>
      <c r="R74" s="2" t="inlineStr">
        <is>
          <t>Knärot</t>
        </is>
      </c>
      <c r="S74">
        <f>HYPERLINK("https://klasma.github.io/Logging_1981/artfynd/A 55550-2023 artfynd.xlsx", "A 55550-2023")</f>
        <v/>
      </c>
      <c r="T74">
        <f>HYPERLINK("https://klasma.github.io/Logging_1981/kartor/A 55550-2023 karta.png", "A 55550-2023")</f>
        <v/>
      </c>
      <c r="U74">
        <f>HYPERLINK("https://klasma.github.io/Logging_1981/knärot/A 55550-2023 karta knärot.png", "A 55550-2023")</f>
        <v/>
      </c>
      <c r="V74">
        <f>HYPERLINK("https://klasma.github.io/Logging_1981/klagomål/A 55550-2023 FSC-klagomål.docx", "A 55550-2023")</f>
        <v/>
      </c>
      <c r="W74">
        <f>HYPERLINK("https://klasma.github.io/Logging_1981/klagomålsmail/A 55550-2023 FSC-klagomål mail.docx", "A 55550-2023")</f>
        <v/>
      </c>
      <c r="X74">
        <f>HYPERLINK("https://klasma.github.io/Logging_1981/tillsyn/A 55550-2023 tillsynsbegäran.docx", "A 55550-2023")</f>
        <v/>
      </c>
      <c r="Y74">
        <f>HYPERLINK("https://klasma.github.io/Logging_1981/tillsynsmail/A 55550-2023 tillsynsbegäran mail.docx", "A 55550-2023")</f>
        <v/>
      </c>
    </row>
    <row r="75" ht="15" customHeight="1">
      <c r="A75" t="inlineStr">
        <is>
          <t>A 3534-2024</t>
        </is>
      </c>
      <c r="B75" s="1" t="n">
        <v>45320</v>
      </c>
      <c r="C75" s="1" t="n">
        <v>45639</v>
      </c>
      <c r="D75" t="inlineStr">
        <is>
          <t>VÄSTMANLANDS LÄN</t>
        </is>
      </c>
      <c r="E75" t="inlineStr">
        <is>
          <t>SALA</t>
        </is>
      </c>
      <c r="G75" t="n">
        <v>1.9</v>
      </c>
      <c r="H75" t="n">
        <v>1</v>
      </c>
      <c r="I75" t="n">
        <v>0</v>
      </c>
      <c r="J75" t="n">
        <v>0</v>
      </c>
      <c r="K75" t="n">
        <v>0</v>
      </c>
      <c r="L75" t="n">
        <v>1</v>
      </c>
      <c r="M75" t="n">
        <v>0</v>
      </c>
      <c r="N75" t="n">
        <v>0</v>
      </c>
      <c r="O75" t="n">
        <v>1</v>
      </c>
      <c r="P75" t="n">
        <v>1</v>
      </c>
      <c r="Q75" t="n">
        <v>1</v>
      </c>
      <c r="R75" s="2" t="inlineStr">
        <is>
          <t>Mosippa</t>
        </is>
      </c>
      <c r="S75">
        <f>HYPERLINK("https://klasma.github.io/Logging_1981/artfynd/A 3534-2024 artfynd.xlsx", "A 3534-2024")</f>
        <v/>
      </c>
      <c r="T75">
        <f>HYPERLINK("https://klasma.github.io/Logging_1981/kartor/A 3534-2024 karta.png", "A 3534-2024")</f>
        <v/>
      </c>
      <c r="V75">
        <f>HYPERLINK("https://klasma.github.io/Logging_1981/klagomål/A 3534-2024 FSC-klagomål.docx", "A 3534-2024")</f>
        <v/>
      </c>
      <c r="W75">
        <f>HYPERLINK("https://klasma.github.io/Logging_1981/klagomålsmail/A 3534-2024 FSC-klagomål mail.docx", "A 3534-2024")</f>
        <v/>
      </c>
      <c r="X75">
        <f>HYPERLINK("https://klasma.github.io/Logging_1981/tillsyn/A 3534-2024 tillsynsbegäran.docx", "A 3534-2024")</f>
        <v/>
      </c>
      <c r="Y75">
        <f>HYPERLINK("https://klasma.github.io/Logging_1981/tillsynsmail/A 3534-2024 tillsynsbegäran mail.docx", "A 3534-2024")</f>
        <v/>
      </c>
    </row>
    <row r="76" ht="15" customHeight="1">
      <c r="A76" t="inlineStr">
        <is>
          <t>A 12434-2024</t>
        </is>
      </c>
      <c r="B76" s="1" t="n">
        <v>45379</v>
      </c>
      <c r="C76" s="1" t="n">
        <v>45639</v>
      </c>
      <c r="D76" t="inlineStr">
        <is>
          <t>VÄSTMANLANDS LÄN</t>
        </is>
      </c>
      <c r="E76" t="inlineStr">
        <is>
          <t>SALA</t>
        </is>
      </c>
      <c r="G76" t="n">
        <v>7.8</v>
      </c>
      <c r="H76" t="n">
        <v>1</v>
      </c>
      <c r="I76" t="n">
        <v>0</v>
      </c>
      <c r="J76" t="n">
        <v>0</v>
      </c>
      <c r="K76" t="n">
        <v>1</v>
      </c>
      <c r="L76" t="n">
        <v>0</v>
      </c>
      <c r="M76" t="n">
        <v>0</v>
      </c>
      <c r="N76" t="n">
        <v>0</v>
      </c>
      <c r="O76" t="n">
        <v>1</v>
      </c>
      <c r="P76" t="n">
        <v>1</v>
      </c>
      <c r="Q76" t="n">
        <v>1</v>
      </c>
      <c r="R76" s="2" t="inlineStr">
        <is>
          <t>Knärot</t>
        </is>
      </c>
      <c r="S76">
        <f>HYPERLINK("https://klasma.github.io/Logging_1981/artfynd/A 12434-2024 artfynd.xlsx", "A 12434-2024")</f>
        <v/>
      </c>
      <c r="T76">
        <f>HYPERLINK("https://klasma.github.io/Logging_1981/kartor/A 12434-2024 karta.png", "A 12434-2024")</f>
        <v/>
      </c>
      <c r="U76">
        <f>HYPERLINK("https://klasma.github.io/Logging_1981/knärot/A 12434-2024 karta knärot.png", "A 12434-2024")</f>
        <v/>
      </c>
      <c r="V76">
        <f>HYPERLINK("https://klasma.github.io/Logging_1981/klagomål/A 12434-2024 FSC-klagomål.docx", "A 12434-2024")</f>
        <v/>
      </c>
      <c r="W76">
        <f>HYPERLINK("https://klasma.github.io/Logging_1981/klagomålsmail/A 12434-2024 FSC-klagomål mail.docx", "A 12434-2024")</f>
        <v/>
      </c>
      <c r="X76">
        <f>HYPERLINK("https://klasma.github.io/Logging_1981/tillsyn/A 12434-2024 tillsynsbegäran.docx", "A 12434-2024")</f>
        <v/>
      </c>
      <c r="Y76">
        <f>HYPERLINK("https://klasma.github.io/Logging_1981/tillsynsmail/A 12434-2024 tillsynsbegäran mail.docx", "A 12434-2024")</f>
        <v/>
      </c>
    </row>
    <row r="77" ht="15" customHeight="1">
      <c r="A77" t="inlineStr">
        <is>
          <t>A 19716-2024</t>
        </is>
      </c>
      <c r="B77" s="1" t="n">
        <v>45432</v>
      </c>
      <c r="C77" s="1" t="n">
        <v>45639</v>
      </c>
      <c r="D77" t="inlineStr">
        <is>
          <t>VÄSTMANLANDS LÄN</t>
        </is>
      </c>
      <c r="E77" t="inlineStr">
        <is>
          <t>SALA</t>
        </is>
      </c>
      <c r="G77" t="n">
        <v>5.5</v>
      </c>
      <c r="H77" t="n">
        <v>1</v>
      </c>
      <c r="I77" t="n">
        <v>0</v>
      </c>
      <c r="J77" t="n">
        <v>0</v>
      </c>
      <c r="K77" t="n">
        <v>0</v>
      </c>
      <c r="L77" t="n">
        <v>0</v>
      </c>
      <c r="M77" t="n">
        <v>0</v>
      </c>
      <c r="N77" t="n">
        <v>0</v>
      </c>
      <c r="O77" t="n">
        <v>0</v>
      </c>
      <c r="P77" t="n">
        <v>0</v>
      </c>
      <c r="Q77" t="n">
        <v>1</v>
      </c>
      <c r="R77" s="2" t="inlineStr">
        <is>
          <t>Fläcknycklar</t>
        </is>
      </c>
      <c r="S77">
        <f>HYPERLINK("https://klasma.github.io/Logging_1981/artfynd/A 19716-2024 artfynd.xlsx", "A 19716-2024")</f>
        <v/>
      </c>
      <c r="T77">
        <f>HYPERLINK("https://klasma.github.io/Logging_1981/kartor/A 19716-2024 karta.png", "A 19716-2024")</f>
        <v/>
      </c>
      <c r="V77">
        <f>HYPERLINK("https://klasma.github.io/Logging_1981/klagomål/A 19716-2024 FSC-klagomål.docx", "A 19716-2024")</f>
        <v/>
      </c>
      <c r="W77">
        <f>HYPERLINK("https://klasma.github.io/Logging_1981/klagomålsmail/A 19716-2024 FSC-klagomål mail.docx", "A 19716-2024")</f>
        <v/>
      </c>
      <c r="X77">
        <f>HYPERLINK("https://klasma.github.io/Logging_1981/tillsyn/A 19716-2024 tillsynsbegäran.docx", "A 19716-2024")</f>
        <v/>
      </c>
      <c r="Y77">
        <f>HYPERLINK("https://klasma.github.io/Logging_1981/tillsynsmail/A 19716-2024 tillsynsbegäran mail.docx", "A 19716-2024")</f>
        <v/>
      </c>
    </row>
    <row r="78" ht="15" customHeight="1">
      <c r="A78" t="inlineStr">
        <is>
          <t>A 22350-2024</t>
        </is>
      </c>
      <c r="B78" s="1" t="n">
        <v>45446</v>
      </c>
      <c r="C78" s="1" t="n">
        <v>45639</v>
      </c>
      <c r="D78" t="inlineStr">
        <is>
          <t>VÄSTMANLANDS LÄN</t>
        </is>
      </c>
      <c r="E78" t="inlineStr">
        <is>
          <t>SALA</t>
        </is>
      </c>
      <c r="G78" t="n">
        <v>1.2</v>
      </c>
      <c r="H78" t="n">
        <v>1</v>
      </c>
      <c r="I78" t="n">
        <v>0</v>
      </c>
      <c r="J78" t="n">
        <v>0</v>
      </c>
      <c r="K78" t="n">
        <v>0</v>
      </c>
      <c r="L78" t="n">
        <v>0</v>
      </c>
      <c r="M78" t="n">
        <v>0</v>
      </c>
      <c r="N78" t="n">
        <v>0</v>
      </c>
      <c r="O78" t="n">
        <v>0</v>
      </c>
      <c r="P78" t="n">
        <v>0</v>
      </c>
      <c r="Q78" t="n">
        <v>1</v>
      </c>
      <c r="R78" s="2" t="inlineStr">
        <is>
          <t>Blåsippa</t>
        </is>
      </c>
      <c r="S78">
        <f>HYPERLINK("https://klasma.github.io/Logging_1981/artfynd/A 22350-2024 artfynd.xlsx", "A 22350-2024")</f>
        <v/>
      </c>
      <c r="T78">
        <f>HYPERLINK("https://klasma.github.io/Logging_1981/kartor/A 22350-2024 karta.png", "A 22350-2024")</f>
        <v/>
      </c>
      <c r="V78">
        <f>HYPERLINK("https://klasma.github.io/Logging_1981/klagomål/A 22350-2024 FSC-klagomål.docx", "A 22350-2024")</f>
        <v/>
      </c>
      <c r="W78">
        <f>HYPERLINK("https://klasma.github.io/Logging_1981/klagomålsmail/A 22350-2024 FSC-klagomål mail.docx", "A 22350-2024")</f>
        <v/>
      </c>
      <c r="X78">
        <f>HYPERLINK("https://klasma.github.io/Logging_1981/tillsyn/A 22350-2024 tillsynsbegäran.docx", "A 22350-2024")</f>
        <v/>
      </c>
      <c r="Y78">
        <f>HYPERLINK("https://klasma.github.io/Logging_1981/tillsynsmail/A 22350-2024 tillsynsbegäran mail.docx", "A 22350-2024")</f>
        <v/>
      </c>
    </row>
    <row r="79" ht="15" customHeight="1">
      <c r="A79" t="inlineStr">
        <is>
          <t>A 27591-2024</t>
        </is>
      </c>
      <c r="B79" s="1" t="n">
        <v>45474</v>
      </c>
      <c r="C79" s="1" t="n">
        <v>45639</v>
      </c>
      <c r="D79" t="inlineStr">
        <is>
          <t>VÄSTMANLANDS LÄN</t>
        </is>
      </c>
      <c r="E79" t="inlineStr">
        <is>
          <t>SALA</t>
        </is>
      </c>
      <c r="G79" t="n">
        <v>5.1</v>
      </c>
      <c r="H79" t="n">
        <v>1</v>
      </c>
      <c r="I79" t="n">
        <v>0</v>
      </c>
      <c r="J79" t="n">
        <v>1</v>
      </c>
      <c r="K79" t="n">
        <v>0</v>
      </c>
      <c r="L79" t="n">
        <v>0</v>
      </c>
      <c r="M79" t="n">
        <v>0</v>
      </c>
      <c r="N79" t="n">
        <v>0</v>
      </c>
      <c r="O79" t="n">
        <v>1</v>
      </c>
      <c r="P79" t="n">
        <v>0</v>
      </c>
      <c r="Q79" t="n">
        <v>1</v>
      </c>
      <c r="R79" s="2" t="inlineStr">
        <is>
          <t>Spillkråka</t>
        </is>
      </c>
      <c r="S79">
        <f>HYPERLINK("https://klasma.github.io/Logging_1981/artfynd/A 27591-2024 artfynd.xlsx", "A 27591-2024")</f>
        <v/>
      </c>
      <c r="T79">
        <f>HYPERLINK("https://klasma.github.io/Logging_1981/kartor/A 27591-2024 karta.png", "A 27591-2024")</f>
        <v/>
      </c>
      <c r="V79">
        <f>HYPERLINK("https://klasma.github.io/Logging_1981/klagomål/A 27591-2024 FSC-klagomål.docx", "A 27591-2024")</f>
        <v/>
      </c>
      <c r="W79">
        <f>HYPERLINK("https://klasma.github.io/Logging_1981/klagomålsmail/A 27591-2024 FSC-klagomål mail.docx", "A 27591-2024")</f>
        <v/>
      </c>
      <c r="X79">
        <f>HYPERLINK("https://klasma.github.io/Logging_1981/tillsyn/A 27591-2024 tillsynsbegäran.docx", "A 27591-2024")</f>
        <v/>
      </c>
      <c r="Y79">
        <f>HYPERLINK("https://klasma.github.io/Logging_1981/tillsynsmail/A 27591-2024 tillsynsbegäran mail.docx", "A 27591-2024")</f>
        <v/>
      </c>
      <c r="Z79">
        <f>HYPERLINK("https://klasma.github.io/Logging_1981/fåglar/A 27591-2024 prioriterade fågelarter.docx", "A 27591-2024")</f>
        <v/>
      </c>
    </row>
    <row r="80" ht="15" customHeight="1">
      <c r="A80" t="inlineStr">
        <is>
          <t>A 41270-2024</t>
        </is>
      </c>
      <c r="B80" s="1" t="n">
        <v>45559</v>
      </c>
      <c r="C80" s="1" t="n">
        <v>45639</v>
      </c>
      <c r="D80" t="inlineStr">
        <is>
          <t>VÄSTMANLANDS LÄN</t>
        </is>
      </c>
      <c r="E80" t="inlineStr">
        <is>
          <t>SALA</t>
        </is>
      </c>
      <c r="G80" t="n">
        <v>15.2</v>
      </c>
      <c r="H80" t="n">
        <v>1</v>
      </c>
      <c r="I80" t="n">
        <v>0</v>
      </c>
      <c r="J80" t="n">
        <v>1</v>
      </c>
      <c r="K80" t="n">
        <v>0</v>
      </c>
      <c r="L80" t="n">
        <v>0</v>
      </c>
      <c r="M80" t="n">
        <v>0</v>
      </c>
      <c r="N80" t="n">
        <v>0</v>
      </c>
      <c r="O80" t="n">
        <v>1</v>
      </c>
      <c r="P80" t="n">
        <v>0</v>
      </c>
      <c r="Q80" t="n">
        <v>1</v>
      </c>
      <c r="R80" s="2" t="inlineStr">
        <is>
          <t>Havsörn</t>
        </is>
      </c>
      <c r="S80">
        <f>HYPERLINK("https://klasma.github.io/Logging_1981/artfynd/A 41270-2024 artfynd.xlsx", "A 41270-2024")</f>
        <v/>
      </c>
      <c r="T80">
        <f>HYPERLINK("https://klasma.github.io/Logging_1981/kartor/A 41270-2024 karta.png", "A 41270-2024")</f>
        <v/>
      </c>
      <c r="V80">
        <f>HYPERLINK("https://klasma.github.io/Logging_1981/klagomål/A 41270-2024 FSC-klagomål.docx", "A 41270-2024")</f>
        <v/>
      </c>
      <c r="W80">
        <f>HYPERLINK("https://klasma.github.io/Logging_1981/klagomålsmail/A 41270-2024 FSC-klagomål mail.docx", "A 41270-2024")</f>
        <v/>
      </c>
      <c r="X80">
        <f>HYPERLINK("https://klasma.github.io/Logging_1981/tillsyn/A 41270-2024 tillsynsbegäran.docx", "A 41270-2024")</f>
        <v/>
      </c>
      <c r="Y80">
        <f>HYPERLINK("https://klasma.github.io/Logging_1981/tillsynsmail/A 41270-2024 tillsynsbegäran mail.docx", "A 41270-2024")</f>
        <v/>
      </c>
      <c r="Z80">
        <f>HYPERLINK("https://klasma.github.io/Logging_1981/fåglar/A 41270-2024 prioriterade fågelarter.docx", "A 41270-2024")</f>
        <v/>
      </c>
    </row>
    <row r="81" ht="15" customHeight="1">
      <c r="A81" t="inlineStr">
        <is>
          <t>A 43068-2024</t>
        </is>
      </c>
      <c r="B81" s="1" t="n">
        <v>45567</v>
      </c>
      <c r="C81" s="1" t="n">
        <v>45639</v>
      </c>
      <c r="D81" t="inlineStr">
        <is>
          <t>VÄSTMANLANDS LÄN</t>
        </is>
      </c>
      <c r="E81" t="inlineStr">
        <is>
          <t>SALA</t>
        </is>
      </c>
      <c r="G81" t="n">
        <v>1.1</v>
      </c>
      <c r="H81" t="n">
        <v>0</v>
      </c>
      <c r="I81" t="n">
        <v>1</v>
      </c>
      <c r="J81" t="n">
        <v>0</v>
      </c>
      <c r="K81" t="n">
        <v>0</v>
      </c>
      <c r="L81" t="n">
        <v>0</v>
      </c>
      <c r="M81" t="n">
        <v>0</v>
      </c>
      <c r="N81" t="n">
        <v>0</v>
      </c>
      <c r="O81" t="n">
        <v>0</v>
      </c>
      <c r="P81" t="n">
        <v>0</v>
      </c>
      <c r="Q81" t="n">
        <v>1</v>
      </c>
      <c r="R81" s="2" t="inlineStr">
        <is>
          <t>Vedticka</t>
        </is>
      </c>
      <c r="S81">
        <f>HYPERLINK("https://klasma.github.io/Logging_1981/artfynd/A 43068-2024 artfynd.xlsx", "A 43068-2024")</f>
        <v/>
      </c>
      <c r="T81">
        <f>HYPERLINK("https://klasma.github.io/Logging_1981/kartor/A 43068-2024 karta.png", "A 43068-2024")</f>
        <v/>
      </c>
      <c r="V81">
        <f>HYPERLINK("https://klasma.github.io/Logging_1981/klagomål/A 43068-2024 FSC-klagomål.docx", "A 43068-2024")</f>
        <v/>
      </c>
      <c r="W81">
        <f>HYPERLINK("https://klasma.github.io/Logging_1981/klagomålsmail/A 43068-2024 FSC-klagomål mail.docx", "A 43068-2024")</f>
        <v/>
      </c>
      <c r="X81">
        <f>HYPERLINK("https://klasma.github.io/Logging_1981/tillsyn/A 43068-2024 tillsynsbegäran.docx", "A 43068-2024")</f>
        <v/>
      </c>
      <c r="Y81">
        <f>HYPERLINK("https://klasma.github.io/Logging_1981/tillsynsmail/A 43068-2024 tillsynsbegäran mail.docx", "A 43068-2024")</f>
        <v/>
      </c>
    </row>
    <row r="82" ht="15" customHeight="1">
      <c r="A82" t="inlineStr">
        <is>
          <t>A 18255-2019</t>
        </is>
      </c>
      <c r="B82" s="1" t="n">
        <v>43558</v>
      </c>
      <c r="C82" s="1" t="n">
        <v>45639</v>
      </c>
      <c r="D82" t="inlineStr">
        <is>
          <t>VÄSTMANLANDS LÄN</t>
        </is>
      </c>
      <c r="E82" t="inlineStr">
        <is>
          <t>SALA</t>
        </is>
      </c>
      <c r="F82" t="inlineStr">
        <is>
          <t>Kommuner</t>
        </is>
      </c>
      <c r="G82" t="n">
        <v>2.2</v>
      </c>
      <c r="H82" t="n">
        <v>0</v>
      </c>
      <c r="I82" t="n">
        <v>0</v>
      </c>
      <c r="J82" t="n">
        <v>0</v>
      </c>
      <c r="K82" t="n">
        <v>0</v>
      </c>
      <c r="L82" t="n">
        <v>0</v>
      </c>
      <c r="M82" t="n">
        <v>0</v>
      </c>
      <c r="N82" t="n">
        <v>0</v>
      </c>
      <c r="O82" t="n">
        <v>0</v>
      </c>
      <c r="P82" t="n">
        <v>0</v>
      </c>
      <c r="Q82" t="n">
        <v>0</v>
      </c>
      <c r="R82" s="2" t="inlineStr"/>
    </row>
    <row r="83" ht="15" customHeight="1">
      <c r="A83" t="inlineStr">
        <is>
          <t>A 18352-2019</t>
        </is>
      </c>
      <c r="B83" s="1" t="n">
        <v>43559</v>
      </c>
      <c r="C83" s="1" t="n">
        <v>45639</v>
      </c>
      <c r="D83" t="inlineStr">
        <is>
          <t>VÄSTMANLANDS LÄN</t>
        </is>
      </c>
      <c r="E83" t="inlineStr">
        <is>
          <t>SALA</t>
        </is>
      </c>
      <c r="F83" t="inlineStr">
        <is>
          <t>Kommuner</t>
        </is>
      </c>
      <c r="G83" t="n">
        <v>1.7</v>
      </c>
      <c r="H83" t="n">
        <v>0</v>
      </c>
      <c r="I83" t="n">
        <v>0</v>
      </c>
      <c r="J83" t="n">
        <v>0</v>
      </c>
      <c r="K83" t="n">
        <v>0</v>
      </c>
      <c r="L83" t="n">
        <v>0</v>
      </c>
      <c r="M83" t="n">
        <v>0</v>
      </c>
      <c r="N83" t="n">
        <v>0</v>
      </c>
      <c r="O83" t="n">
        <v>0</v>
      </c>
      <c r="P83" t="n">
        <v>0</v>
      </c>
      <c r="Q83" t="n">
        <v>0</v>
      </c>
      <c r="R83" s="2" t="inlineStr"/>
    </row>
    <row r="84" ht="15" customHeight="1">
      <c r="A84" t="inlineStr">
        <is>
          <t>A 18791-2019</t>
        </is>
      </c>
      <c r="B84" s="1" t="n">
        <v>43562</v>
      </c>
      <c r="C84" s="1" t="n">
        <v>45639</v>
      </c>
      <c r="D84" t="inlineStr">
        <is>
          <t>VÄSTMANLANDS LÄN</t>
        </is>
      </c>
      <c r="E84" t="inlineStr">
        <is>
          <t>SALA</t>
        </is>
      </c>
      <c r="G84" t="n">
        <v>3.4</v>
      </c>
      <c r="H84" t="n">
        <v>0</v>
      </c>
      <c r="I84" t="n">
        <v>0</v>
      </c>
      <c r="J84" t="n">
        <v>0</v>
      </c>
      <c r="K84" t="n">
        <v>0</v>
      </c>
      <c r="L84" t="n">
        <v>0</v>
      </c>
      <c r="M84" t="n">
        <v>0</v>
      </c>
      <c r="N84" t="n">
        <v>0</v>
      </c>
      <c r="O84" t="n">
        <v>0</v>
      </c>
      <c r="P84" t="n">
        <v>0</v>
      </c>
      <c r="Q84" t="n">
        <v>0</v>
      </c>
      <c r="R84" s="2" t="inlineStr"/>
    </row>
    <row r="85" ht="15" customHeight="1">
      <c r="A85" t="inlineStr">
        <is>
          <t>A 18961-2019</t>
        </is>
      </c>
      <c r="B85" s="1" t="n">
        <v>43563</v>
      </c>
      <c r="C85" s="1" t="n">
        <v>45639</v>
      </c>
      <c r="D85" t="inlineStr">
        <is>
          <t>VÄSTMANLANDS LÄN</t>
        </is>
      </c>
      <c r="E85" t="inlineStr">
        <is>
          <t>SALA</t>
        </is>
      </c>
      <c r="F85" t="inlineStr">
        <is>
          <t>Kommuner</t>
        </is>
      </c>
      <c r="G85" t="n">
        <v>1.5</v>
      </c>
      <c r="H85" t="n">
        <v>0</v>
      </c>
      <c r="I85" t="n">
        <v>0</v>
      </c>
      <c r="J85" t="n">
        <v>0</v>
      </c>
      <c r="K85" t="n">
        <v>0</v>
      </c>
      <c r="L85" t="n">
        <v>0</v>
      </c>
      <c r="M85" t="n">
        <v>0</v>
      </c>
      <c r="N85" t="n">
        <v>0</v>
      </c>
      <c r="O85" t="n">
        <v>0</v>
      </c>
      <c r="P85" t="n">
        <v>0</v>
      </c>
      <c r="Q85" t="n">
        <v>0</v>
      </c>
      <c r="R85" s="2" t="inlineStr"/>
    </row>
    <row r="86" ht="15" customHeight="1">
      <c r="A86" t="inlineStr">
        <is>
          <t>A 19869-2019</t>
        </is>
      </c>
      <c r="B86" s="1" t="n">
        <v>43567</v>
      </c>
      <c r="C86" s="1" t="n">
        <v>45639</v>
      </c>
      <c r="D86" t="inlineStr">
        <is>
          <t>VÄSTMANLANDS LÄN</t>
        </is>
      </c>
      <c r="E86" t="inlineStr">
        <is>
          <t>SALA</t>
        </is>
      </c>
      <c r="G86" t="n">
        <v>1.6</v>
      </c>
      <c r="H86" t="n">
        <v>0</v>
      </c>
      <c r="I86" t="n">
        <v>0</v>
      </c>
      <c r="J86" t="n">
        <v>0</v>
      </c>
      <c r="K86" t="n">
        <v>0</v>
      </c>
      <c r="L86" t="n">
        <v>0</v>
      </c>
      <c r="M86" t="n">
        <v>0</v>
      </c>
      <c r="N86" t="n">
        <v>0</v>
      </c>
      <c r="O86" t="n">
        <v>0</v>
      </c>
      <c r="P86" t="n">
        <v>0</v>
      </c>
      <c r="Q86" t="n">
        <v>0</v>
      </c>
      <c r="R86" s="2" t="inlineStr"/>
    </row>
    <row r="87" ht="15" customHeight="1">
      <c r="A87" t="inlineStr">
        <is>
          <t>A 21985-2019</t>
        </is>
      </c>
      <c r="B87" s="1" t="n">
        <v>43584</v>
      </c>
      <c r="C87" s="1" t="n">
        <v>45639</v>
      </c>
      <c r="D87" t="inlineStr">
        <is>
          <t>VÄSTMANLANDS LÄN</t>
        </is>
      </c>
      <c r="E87" t="inlineStr">
        <is>
          <t>SALA</t>
        </is>
      </c>
      <c r="G87" t="n">
        <v>1.7</v>
      </c>
      <c r="H87" t="n">
        <v>0</v>
      </c>
      <c r="I87" t="n">
        <v>0</v>
      </c>
      <c r="J87" t="n">
        <v>0</v>
      </c>
      <c r="K87" t="n">
        <v>0</v>
      </c>
      <c r="L87" t="n">
        <v>0</v>
      </c>
      <c r="M87" t="n">
        <v>0</v>
      </c>
      <c r="N87" t="n">
        <v>0</v>
      </c>
      <c r="O87" t="n">
        <v>0</v>
      </c>
      <c r="P87" t="n">
        <v>0</v>
      </c>
      <c r="Q87" t="n">
        <v>0</v>
      </c>
      <c r="R87" s="2" t="inlineStr"/>
    </row>
    <row r="88" ht="15" customHeight="1">
      <c r="A88" t="inlineStr">
        <is>
          <t>A 22249-2019</t>
        </is>
      </c>
      <c r="B88" s="1" t="n">
        <v>43585</v>
      </c>
      <c r="C88" s="1" t="n">
        <v>45639</v>
      </c>
      <c r="D88" t="inlineStr">
        <is>
          <t>VÄSTMANLANDS LÄN</t>
        </is>
      </c>
      <c r="E88" t="inlineStr">
        <is>
          <t>SALA</t>
        </is>
      </c>
      <c r="F88" t="inlineStr">
        <is>
          <t>Kommuner</t>
        </is>
      </c>
      <c r="G88" t="n">
        <v>0.8</v>
      </c>
      <c r="H88" t="n">
        <v>0</v>
      </c>
      <c r="I88" t="n">
        <v>0</v>
      </c>
      <c r="J88" t="n">
        <v>0</v>
      </c>
      <c r="K88" t="n">
        <v>0</v>
      </c>
      <c r="L88" t="n">
        <v>0</v>
      </c>
      <c r="M88" t="n">
        <v>0</v>
      </c>
      <c r="N88" t="n">
        <v>0</v>
      </c>
      <c r="O88" t="n">
        <v>0</v>
      </c>
      <c r="P88" t="n">
        <v>0</v>
      </c>
      <c r="Q88" t="n">
        <v>0</v>
      </c>
      <c r="R88" s="2" t="inlineStr"/>
    </row>
    <row r="89" ht="15" customHeight="1">
      <c r="A89" t="inlineStr">
        <is>
          <t>A 22833-2019</t>
        </is>
      </c>
      <c r="B89" s="1" t="n">
        <v>43591</v>
      </c>
      <c r="C89" s="1" t="n">
        <v>45639</v>
      </c>
      <c r="D89" t="inlineStr">
        <is>
          <t>VÄSTMANLANDS LÄN</t>
        </is>
      </c>
      <c r="E89" t="inlineStr">
        <is>
          <t>SALA</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25005-2019</t>
        </is>
      </c>
      <c r="B90" s="1" t="n">
        <v>43602</v>
      </c>
      <c r="C90" s="1" t="n">
        <v>45639</v>
      </c>
      <c r="D90" t="inlineStr">
        <is>
          <t>VÄSTMANLANDS LÄN</t>
        </is>
      </c>
      <c r="E90" t="inlineStr">
        <is>
          <t>SALA</t>
        </is>
      </c>
      <c r="F90" t="inlineStr">
        <is>
          <t>Kommuner</t>
        </is>
      </c>
      <c r="G90" t="n">
        <v>4.3</v>
      </c>
      <c r="H90" t="n">
        <v>0</v>
      </c>
      <c r="I90" t="n">
        <v>0</v>
      </c>
      <c r="J90" t="n">
        <v>0</v>
      </c>
      <c r="K90" t="n">
        <v>0</v>
      </c>
      <c r="L90" t="n">
        <v>0</v>
      </c>
      <c r="M90" t="n">
        <v>0</v>
      </c>
      <c r="N90" t="n">
        <v>0</v>
      </c>
      <c r="O90" t="n">
        <v>0</v>
      </c>
      <c r="P90" t="n">
        <v>0</v>
      </c>
      <c r="Q90" t="n">
        <v>0</v>
      </c>
      <c r="R90" s="2" t="inlineStr"/>
    </row>
    <row r="91" ht="15" customHeight="1">
      <c r="A91" t="inlineStr">
        <is>
          <t>A 25814-2019</t>
        </is>
      </c>
      <c r="B91" s="1" t="n">
        <v>43608</v>
      </c>
      <c r="C91" s="1" t="n">
        <v>45639</v>
      </c>
      <c r="D91" t="inlineStr">
        <is>
          <t>VÄSTMANLANDS LÄN</t>
        </is>
      </c>
      <c r="E91" t="inlineStr">
        <is>
          <t>SALA</t>
        </is>
      </c>
      <c r="G91" t="n">
        <v>2.1</v>
      </c>
      <c r="H91" t="n">
        <v>0</v>
      </c>
      <c r="I91" t="n">
        <v>0</v>
      </c>
      <c r="J91" t="n">
        <v>0</v>
      </c>
      <c r="K91" t="n">
        <v>0</v>
      </c>
      <c r="L91" t="n">
        <v>0</v>
      </c>
      <c r="M91" t="n">
        <v>0</v>
      </c>
      <c r="N91" t="n">
        <v>0</v>
      </c>
      <c r="O91" t="n">
        <v>0</v>
      </c>
      <c r="P91" t="n">
        <v>0</v>
      </c>
      <c r="Q91" t="n">
        <v>0</v>
      </c>
      <c r="R91" s="2" t="inlineStr"/>
    </row>
    <row r="92" ht="15" customHeight="1">
      <c r="A92" t="inlineStr">
        <is>
          <t>A 26861-2019</t>
        </is>
      </c>
      <c r="B92" s="1" t="n">
        <v>43613</v>
      </c>
      <c r="C92" s="1" t="n">
        <v>45639</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27164-2019</t>
        </is>
      </c>
      <c r="B93" s="1" t="n">
        <v>43614</v>
      </c>
      <c r="C93" s="1" t="n">
        <v>45639</v>
      </c>
      <c r="D93" t="inlineStr">
        <is>
          <t>VÄSTMANLANDS LÄN</t>
        </is>
      </c>
      <c r="E93" t="inlineStr">
        <is>
          <t>SALA</t>
        </is>
      </c>
      <c r="G93" t="n">
        <v>1.9</v>
      </c>
      <c r="H93" t="n">
        <v>0</v>
      </c>
      <c r="I93" t="n">
        <v>0</v>
      </c>
      <c r="J93" t="n">
        <v>0</v>
      </c>
      <c r="K93" t="n">
        <v>0</v>
      </c>
      <c r="L93" t="n">
        <v>0</v>
      </c>
      <c r="M93" t="n">
        <v>0</v>
      </c>
      <c r="N93" t="n">
        <v>0</v>
      </c>
      <c r="O93" t="n">
        <v>0</v>
      </c>
      <c r="P93" t="n">
        <v>0</v>
      </c>
      <c r="Q93" t="n">
        <v>0</v>
      </c>
      <c r="R93" s="2" t="inlineStr"/>
    </row>
    <row r="94" ht="15" customHeight="1">
      <c r="A94" t="inlineStr">
        <is>
          <t>A 27040-2019</t>
        </is>
      </c>
      <c r="B94" s="1" t="n">
        <v>43614</v>
      </c>
      <c r="C94" s="1" t="n">
        <v>45639</v>
      </c>
      <c r="D94" t="inlineStr">
        <is>
          <t>VÄSTMANLANDS LÄN</t>
        </is>
      </c>
      <c r="E94" t="inlineStr">
        <is>
          <t>SALA</t>
        </is>
      </c>
      <c r="G94" t="n">
        <v>1.4</v>
      </c>
      <c r="H94" t="n">
        <v>0</v>
      </c>
      <c r="I94" t="n">
        <v>0</v>
      </c>
      <c r="J94" t="n">
        <v>0</v>
      </c>
      <c r="K94" t="n">
        <v>0</v>
      </c>
      <c r="L94" t="n">
        <v>0</v>
      </c>
      <c r="M94" t="n">
        <v>0</v>
      </c>
      <c r="N94" t="n">
        <v>0</v>
      </c>
      <c r="O94" t="n">
        <v>0</v>
      </c>
      <c r="P94" t="n">
        <v>0</v>
      </c>
      <c r="Q94" t="n">
        <v>0</v>
      </c>
      <c r="R94" s="2" t="inlineStr"/>
    </row>
    <row r="95" ht="15" customHeight="1">
      <c r="A95" t="inlineStr">
        <is>
          <t>A 28132-2019</t>
        </is>
      </c>
      <c r="B95" s="1" t="n">
        <v>43621</v>
      </c>
      <c r="C95" s="1" t="n">
        <v>45639</v>
      </c>
      <c r="D95" t="inlineStr">
        <is>
          <t>VÄSTMANLANDS LÄN</t>
        </is>
      </c>
      <c r="E95" t="inlineStr">
        <is>
          <t>SALA</t>
        </is>
      </c>
      <c r="G95" t="n">
        <v>2.4</v>
      </c>
      <c r="H95" t="n">
        <v>0</v>
      </c>
      <c r="I95" t="n">
        <v>0</v>
      </c>
      <c r="J95" t="n">
        <v>0</v>
      </c>
      <c r="K95" t="n">
        <v>0</v>
      </c>
      <c r="L95" t="n">
        <v>0</v>
      </c>
      <c r="M95" t="n">
        <v>0</v>
      </c>
      <c r="N95" t="n">
        <v>0</v>
      </c>
      <c r="O95" t="n">
        <v>0</v>
      </c>
      <c r="P95" t="n">
        <v>0</v>
      </c>
      <c r="Q95" t="n">
        <v>0</v>
      </c>
      <c r="R95" s="2" t="inlineStr"/>
    </row>
    <row r="96" ht="15" customHeight="1">
      <c r="A96" t="inlineStr">
        <is>
          <t>A 28143-2019</t>
        </is>
      </c>
      <c r="B96" s="1" t="n">
        <v>43621</v>
      </c>
      <c r="C96" s="1" t="n">
        <v>45639</v>
      </c>
      <c r="D96" t="inlineStr">
        <is>
          <t>VÄSTMANLANDS LÄN</t>
        </is>
      </c>
      <c r="E96" t="inlineStr">
        <is>
          <t>SALA</t>
        </is>
      </c>
      <c r="G96" t="n">
        <v>2.3</v>
      </c>
      <c r="H96" t="n">
        <v>0</v>
      </c>
      <c r="I96" t="n">
        <v>0</v>
      </c>
      <c r="J96" t="n">
        <v>0</v>
      </c>
      <c r="K96" t="n">
        <v>0</v>
      </c>
      <c r="L96" t="n">
        <v>0</v>
      </c>
      <c r="M96" t="n">
        <v>0</v>
      </c>
      <c r="N96" t="n">
        <v>0</v>
      </c>
      <c r="O96" t="n">
        <v>0</v>
      </c>
      <c r="P96" t="n">
        <v>0</v>
      </c>
      <c r="Q96" t="n">
        <v>0</v>
      </c>
      <c r="R96" s="2" t="inlineStr"/>
    </row>
    <row r="97" ht="15" customHeight="1">
      <c r="A97" t="inlineStr">
        <is>
          <t>A 28162-2019</t>
        </is>
      </c>
      <c r="B97" s="1" t="n">
        <v>43621</v>
      </c>
      <c r="C97" s="1" t="n">
        <v>45639</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29023-2019</t>
        </is>
      </c>
      <c r="B98" s="1" t="n">
        <v>43628</v>
      </c>
      <c r="C98" s="1" t="n">
        <v>45639</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29331-2019</t>
        </is>
      </c>
      <c r="B99" s="1" t="n">
        <v>43629</v>
      </c>
      <c r="C99" s="1" t="n">
        <v>45639</v>
      </c>
      <c r="D99" t="inlineStr">
        <is>
          <t>VÄSTMANLANDS LÄN</t>
        </is>
      </c>
      <c r="E99" t="inlineStr">
        <is>
          <t>SALA</t>
        </is>
      </c>
      <c r="G99" t="n">
        <v>5</v>
      </c>
      <c r="H99" t="n">
        <v>0</v>
      </c>
      <c r="I99" t="n">
        <v>0</v>
      </c>
      <c r="J99" t="n">
        <v>0</v>
      </c>
      <c r="K99" t="n">
        <v>0</v>
      </c>
      <c r="L99" t="n">
        <v>0</v>
      </c>
      <c r="M99" t="n">
        <v>0</v>
      </c>
      <c r="N99" t="n">
        <v>0</v>
      </c>
      <c r="O99" t="n">
        <v>0</v>
      </c>
      <c r="P99" t="n">
        <v>0</v>
      </c>
      <c r="Q99" t="n">
        <v>0</v>
      </c>
      <c r="R99" s="2" t="inlineStr"/>
    </row>
    <row r="100" ht="15" customHeight="1">
      <c r="A100" t="inlineStr">
        <is>
          <t>A 31225-2019</t>
        </is>
      </c>
      <c r="B100" s="1" t="n">
        <v>43635</v>
      </c>
      <c r="C100" s="1" t="n">
        <v>45639</v>
      </c>
      <c r="D100" t="inlineStr">
        <is>
          <t>VÄSTMANLANDS LÄN</t>
        </is>
      </c>
      <c r="E100" t="inlineStr">
        <is>
          <t>SALA</t>
        </is>
      </c>
      <c r="G100" t="n">
        <v>1.5</v>
      </c>
      <c r="H100" t="n">
        <v>0</v>
      </c>
      <c r="I100" t="n">
        <v>0</v>
      </c>
      <c r="J100" t="n">
        <v>0</v>
      </c>
      <c r="K100" t="n">
        <v>0</v>
      </c>
      <c r="L100" t="n">
        <v>0</v>
      </c>
      <c r="M100" t="n">
        <v>0</v>
      </c>
      <c r="N100" t="n">
        <v>0</v>
      </c>
      <c r="O100" t="n">
        <v>0</v>
      </c>
      <c r="P100" t="n">
        <v>0</v>
      </c>
      <c r="Q100" t="n">
        <v>0</v>
      </c>
      <c r="R100" s="2" t="inlineStr"/>
    </row>
    <row r="101" ht="15" customHeight="1">
      <c r="A101" t="inlineStr">
        <is>
          <t>A 30974-2019</t>
        </is>
      </c>
      <c r="B101" s="1" t="n">
        <v>43639</v>
      </c>
      <c r="C101" s="1" t="n">
        <v>45639</v>
      </c>
      <c r="D101" t="inlineStr">
        <is>
          <t>VÄSTMANLANDS LÄN</t>
        </is>
      </c>
      <c r="E101" t="inlineStr">
        <is>
          <t>SALA</t>
        </is>
      </c>
      <c r="G101" t="n">
        <v>3.1</v>
      </c>
      <c r="H101" t="n">
        <v>0</v>
      </c>
      <c r="I101" t="n">
        <v>0</v>
      </c>
      <c r="J101" t="n">
        <v>0</v>
      </c>
      <c r="K101" t="n">
        <v>0</v>
      </c>
      <c r="L101" t="n">
        <v>0</v>
      </c>
      <c r="M101" t="n">
        <v>0</v>
      </c>
      <c r="N101" t="n">
        <v>0</v>
      </c>
      <c r="O101" t="n">
        <v>0</v>
      </c>
      <c r="P101" t="n">
        <v>0</v>
      </c>
      <c r="Q101" t="n">
        <v>0</v>
      </c>
      <c r="R101" s="2" t="inlineStr"/>
    </row>
    <row r="102" ht="15" customHeight="1">
      <c r="A102" t="inlineStr">
        <is>
          <t>A 34709-2019</t>
        </is>
      </c>
      <c r="B102" s="1" t="n">
        <v>43648</v>
      </c>
      <c r="C102" s="1" t="n">
        <v>45639</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35690-2019</t>
        </is>
      </c>
      <c r="B103" s="1" t="n">
        <v>43664</v>
      </c>
      <c r="C103" s="1" t="n">
        <v>45639</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36142-2019</t>
        </is>
      </c>
      <c r="B104" s="1" t="n">
        <v>43668</v>
      </c>
      <c r="C104" s="1" t="n">
        <v>45639</v>
      </c>
      <c r="D104" t="inlineStr">
        <is>
          <t>VÄSTMANLANDS LÄN</t>
        </is>
      </c>
      <c r="E104" t="inlineStr">
        <is>
          <t>SALA</t>
        </is>
      </c>
      <c r="G104" t="n">
        <v>0.6</v>
      </c>
      <c r="H104" t="n">
        <v>0</v>
      </c>
      <c r="I104" t="n">
        <v>0</v>
      </c>
      <c r="J104" t="n">
        <v>0</v>
      </c>
      <c r="K104" t="n">
        <v>0</v>
      </c>
      <c r="L104" t="n">
        <v>0</v>
      </c>
      <c r="M104" t="n">
        <v>0</v>
      </c>
      <c r="N104" t="n">
        <v>0</v>
      </c>
      <c r="O104" t="n">
        <v>0</v>
      </c>
      <c r="P104" t="n">
        <v>0</v>
      </c>
      <c r="Q104" t="n">
        <v>0</v>
      </c>
      <c r="R104" s="2" t="inlineStr"/>
    </row>
    <row r="105" ht="15" customHeight="1">
      <c r="A105" t="inlineStr">
        <is>
          <t>A 36429-2019</t>
        </is>
      </c>
      <c r="B105" s="1" t="n">
        <v>43670</v>
      </c>
      <c r="C105" s="1" t="n">
        <v>45639</v>
      </c>
      <c r="D105" t="inlineStr">
        <is>
          <t>VÄSTMANLANDS LÄN</t>
        </is>
      </c>
      <c r="E105" t="inlineStr">
        <is>
          <t>SALA</t>
        </is>
      </c>
      <c r="G105" t="n">
        <v>2</v>
      </c>
      <c r="H105" t="n">
        <v>0</v>
      </c>
      <c r="I105" t="n">
        <v>0</v>
      </c>
      <c r="J105" t="n">
        <v>0</v>
      </c>
      <c r="K105" t="n">
        <v>0</v>
      </c>
      <c r="L105" t="n">
        <v>0</v>
      </c>
      <c r="M105" t="n">
        <v>0</v>
      </c>
      <c r="N105" t="n">
        <v>0</v>
      </c>
      <c r="O105" t="n">
        <v>0</v>
      </c>
      <c r="P105" t="n">
        <v>0</v>
      </c>
      <c r="Q105" t="n">
        <v>0</v>
      </c>
      <c r="R105" s="2" t="inlineStr"/>
    </row>
    <row r="106" ht="15" customHeight="1">
      <c r="A106" t="inlineStr">
        <is>
          <t>A 36600-2019</t>
        </is>
      </c>
      <c r="B106" s="1" t="n">
        <v>43671</v>
      </c>
      <c r="C106" s="1" t="n">
        <v>45639</v>
      </c>
      <c r="D106" t="inlineStr">
        <is>
          <t>VÄSTMANLANDS LÄN</t>
        </is>
      </c>
      <c r="E106" t="inlineStr">
        <is>
          <t>SALA</t>
        </is>
      </c>
      <c r="F106" t="inlineStr">
        <is>
          <t>Kyrkan</t>
        </is>
      </c>
      <c r="G106" t="n">
        <v>4.3</v>
      </c>
      <c r="H106" t="n">
        <v>0</v>
      </c>
      <c r="I106" t="n">
        <v>0</v>
      </c>
      <c r="J106" t="n">
        <v>0</v>
      </c>
      <c r="K106" t="n">
        <v>0</v>
      </c>
      <c r="L106" t="n">
        <v>0</v>
      </c>
      <c r="M106" t="n">
        <v>0</v>
      </c>
      <c r="N106" t="n">
        <v>0</v>
      </c>
      <c r="O106" t="n">
        <v>0</v>
      </c>
      <c r="P106" t="n">
        <v>0</v>
      </c>
      <c r="Q106" t="n">
        <v>0</v>
      </c>
      <c r="R106" s="2" t="inlineStr"/>
    </row>
    <row r="107" ht="15" customHeight="1">
      <c r="A107" t="inlineStr">
        <is>
          <t>A 37186-2019</t>
        </is>
      </c>
      <c r="B107" s="1" t="n">
        <v>43677</v>
      </c>
      <c r="C107" s="1" t="n">
        <v>45639</v>
      </c>
      <c r="D107" t="inlineStr">
        <is>
          <t>VÄSTMANLANDS LÄN</t>
        </is>
      </c>
      <c r="E107" t="inlineStr">
        <is>
          <t>SALA</t>
        </is>
      </c>
      <c r="G107" t="n">
        <v>1.8</v>
      </c>
      <c r="H107" t="n">
        <v>0</v>
      </c>
      <c r="I107" t="n">
        <v>0</v>
      </c>
      <c r="J107" t="n">
        <v>0</v>
      </c>
      <c r="K107" t="n">
        <v>0</v>
      </c>
      <c r="L107" t="n">
        <v>0</v>
      </c>
      <c r="M107" t="n">
        <v>0</v>
      </c>
      <c r="N107" t="n">
        <v>0</v>
      </c>
      <c r="O107" t="n">
        <v>0</v>
      </c>
      <c r="P107" t="n">
        <v>0</v>
      </c>
      <c r="Q107" t="n">
        <v>0</v>
      </c>
      <c r="R107" s="2" t="inlineStr"/>
    </row>
    <row r="108" ht="15" customHeight="1">
      <c r="A108" t="inlineStr">
        <is>
          <t>A 37533-2019</t>
        </is>
      </c>
      <c r="B108" s="1" t="n">
        <v>43679</v>
      </c>
      <c r="C108" s="1" t="n">
        <v>45639</v>
      </c>
      <c r="D108" t="inlineStr">
        <is>
          <t>VÄSTMANLANDS LÄN</t>
        </is>
      </c>
      <c r="E108" t="inlineStr">
        <is>
          <t>SALA</t>
        </is>
      </c>
      <c r="G108" t="n">
        <v>7.9</v>
      </c>
      <c r="H108" t="n">
        <v>0</v>
      </c>
      <c r="I108" t="n">
        <v>0</v>
      </c>
      <c r="J108" t="n">
        <v>0</v>
      </c>
      <c r="K108" t="n">
        <v>0</v>
      </c>
      <c r="L108" t="n">
        <v>0</v>
      </c>
      <c r="M108" t="n">
        <v>0</v>
      </c>
      <c r="N108" t="n">
        <v>0</v>
      </c>
      <c r="O108" t="n">
        <v>0</v>
      </c>
      <c r="P108" t="n">
        <v>0</v>
      </c>
      <c r="Q108" t="n">
        <v>0</v>
      </c>
      <c r="R108" s="2" t="inlineStr"/>
    </row>
    <row r="109" ht="15" customHeight="1">
      <c r="A109" t="inlineStr">
        <is>
          <t>A 38645-2019</t>
        </is>
      </c>
      <c r="B109" s="1" t="n">
        <v>43686</v>
      </c>
      <c r="C109" s="1" t="n">
        <v>45639</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45639</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45639</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45639</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45639</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45639</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45639</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45639</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45639</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45639</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45639</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45639</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45639</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45639</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45639</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45639</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45639</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45639</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45639</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45639</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45639</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45639</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45639</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45639</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45639</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45639</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45639</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45639</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45639</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45639</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45639</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45639</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45639</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45639</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45639</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45639</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45639</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45639</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45639</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45639</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45639</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45639</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45639</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45639</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45639</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45639</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45639</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45639</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45639</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45639</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45639</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45639</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45639</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45639</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45639</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45639</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45639</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45639</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45639</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45639</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45639</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45639</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45639</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45639</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45639</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45639</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45639</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45639</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45639</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45639</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45639</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45639</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45639</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45639</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45639</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45639</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45639</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45639</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45639</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45639</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45639</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45639</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45639</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45639</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45639</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45639</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45639</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45639</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45639</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45639</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45639</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45639</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45639</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45639</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45639</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45639</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45639</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45639</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45639</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45639</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45639</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45639</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45639</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45639</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45639</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45639</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45639</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45639</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45639</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45639</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45639</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45639</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45639</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45639</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45639</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45639</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45639</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45639</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45639</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45639</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45639</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45639</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45639</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45639</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45639</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45639</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45639</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45639</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45639</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45639</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45639</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45639</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45639</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45639</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45639</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45639</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45639</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45639</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45639</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45639</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45639</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45639</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45639</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45639</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45639</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45639</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45639</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45639</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45639</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45639</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45639</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45639</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45639</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45639</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45639</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45639</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45639</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45639</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45639</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45639</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45639</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45639</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45639</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45639</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45639</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45639</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45639</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45639</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45639</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45639</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45639</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45639</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45639</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45639</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45639</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45639</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45639</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45639</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45639</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45639</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45639</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45639</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45639</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45639</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45639</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45639</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45639</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45639</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45639</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45639</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45639</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45639</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45639</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45639</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45639</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45639</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45639</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45639</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45639</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45639</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45639</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45639</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45639</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45639</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45639</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45639</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45639</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45639</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45639</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45639</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45639</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45639</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45639</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45639</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45639</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45639</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45639</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45639</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45639</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45639</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45639</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45639</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45639</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45639</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45639</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45639</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45639</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45639</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45639</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45639</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45639</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45639</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45639</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45639</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45639</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45639</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45639</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45639</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45639</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45639</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45639</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45639</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45639</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45639</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45639</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45639</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45639</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45639</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45639</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45639</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45639</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45639</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45639</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45639</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45639</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45639</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45639</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45639</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45639</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45639</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45639</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45639</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45639</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45639</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45639</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45639</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45639</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45639</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45639</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45639</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45639</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45639</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45639</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45639</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45639</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45639</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45639</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45639</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45639</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45639</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45639</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45639</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45639</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45639</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45639</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45639</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45639</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45639</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45639</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45639</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45639</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45639</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45639</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45639</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45639</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45639</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45639</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45639</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45639</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45639</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45639</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45639</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45639</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45639</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45639</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45639</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45639</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45639</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45639</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45639</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45639</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45639</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45639</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45639</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45639</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45639</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45639</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45639</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45639</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45639</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45639</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45639</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45639</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45639</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45639</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45639</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45639</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45639</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45639</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45639</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45639</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45639</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45639</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45639</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45639</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45639</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45639</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45639</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45639</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45639</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45639</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45639</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45639</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45639</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45639</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45639</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45639</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45639</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45639</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45639</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45639</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45639</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45639</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45639</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45639</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45639</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45639</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45639</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45639</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45639</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45639</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45639</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45639</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45639</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45639</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45639</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45639</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45639</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45639</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45639</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45639</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45639</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45639</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45639</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45639</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45639</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45639</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45639</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45639</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45639</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45639</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45639</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45639</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45639</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45639</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45639</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45639</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45639</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45639</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45639</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45639</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45639</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45639</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45639</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45639</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45639</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45639</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45639</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45639</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45639</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45639</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45639</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45639</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45639</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45639</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45639</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45639</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45639</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45639</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45639</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45639</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45639</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45639</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45639</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45639</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45639</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45639</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45639</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45639</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45639</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45639</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45639</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45639</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45639</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45639</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45639</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45639</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45639</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45639</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45639</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45639</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45639</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45639</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45639</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45639</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45639</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45639</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45639</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45639</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45639</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45639</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45639</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45639</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45639</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45639</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45639</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45639</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45639</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45639</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45639</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45639</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45639</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45639</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45639</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45639</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45639</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45639</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45639</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45639</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45639</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45639</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45639</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45639</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45639</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45639</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45639</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45639</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45639</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45639</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45639</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45639</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45639</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45639</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45639</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45639</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45639</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45639</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45639</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45639</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45639</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45639</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45639</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45639</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45639</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45639</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45639</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45639</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45639</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45639</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45639</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45639</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45639</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45639</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45639</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45639</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45639</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45639</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45639</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45639</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45639</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45639</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45639</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45639</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45639</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45639</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45639</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45639</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45639</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45639</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45639</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45639</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45639</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45639</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45639</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45639</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45639</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45639</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45639</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45639</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45639</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45639</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45639</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45639</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45639</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45639</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45639</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45639</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45639</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45639</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45639</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45639</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45639</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45639</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45639</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45639</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45639</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45639</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45639</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45639</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45639</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45639</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45639</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45639</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45639</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45639</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45639</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45639</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45639</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45639</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45639</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45639</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45639</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45639</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45639</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45639</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45639</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45639</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45639</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45639</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45639</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45639</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45639</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45639</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45639</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45639</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45639</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45639</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45639</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45639</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45639</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45639</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45639</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45639</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45639</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45639</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45639</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45639</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45639</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45639</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45639</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45639</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45639</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45639</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45639</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45639</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45639</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45639</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45639</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45639</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45639</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45639</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45639</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45639</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45639</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45639</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45639</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45639</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45639</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45639</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45639</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45639</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45639</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45639</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45639</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45639</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45639</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45639</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45639</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45639</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45639</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45639</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45639</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45639</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45639</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45639</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45639</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45639</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45639</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45639</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45639</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45639</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45639</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45639</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45639</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45639</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45639</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45639</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45639</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45639</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45639</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45639</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45639</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45639</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45639</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45639</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45639</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45639</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45639</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45639</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45639</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45639</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45639</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45639</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45639</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45639</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45639</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45639</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45639</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45639</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45639</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45639</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45639</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45639</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45639</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45639</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45639</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45639</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45639</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45639</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45639</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45639</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45639</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45639</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45639</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45639</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45639</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45639</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45639</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45639</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45639</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45639</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45639</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45639</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45639</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45639</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45639</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45639</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45639</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45639</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45639</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45639</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45639</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45639</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45639</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45639</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45639</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45639</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45639</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45639</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45639</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45639</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45639</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45639</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45639</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45639</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45639</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45639</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45639</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45639</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45639</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45639</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45639</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45639</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45639</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45639</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45639</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45639</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45639</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45639</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45639</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45639</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45639</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45639</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45639</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45639</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45639</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45639</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45639</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45639</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45639</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45639</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45639</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45639</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45639</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45639</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45639</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45639</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45639</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45639</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45639</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45639</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45639</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45639</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45639</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45639</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45639</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45639</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45639</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45639</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45639</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45639</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45639</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45639</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45639</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45639</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45639</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45639</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45639</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45639</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45639</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45639</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45639</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45639</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45639</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45639</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45639</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45639</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45639</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45639</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45639</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45639</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45639</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45639</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45639</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45639</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45639</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45639</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45639</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45639</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45639</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45639</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45639</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45639</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45639</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45639</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45639</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45639</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45639</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45639</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45639</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45639</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45639</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45639</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45639</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45639</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45639</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45639</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45639</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45639</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45639</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45639</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45639</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45639</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45639</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45639</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45639</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45639</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45639</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45639</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45639</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45639</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45639</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45639</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45639</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45639</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45639</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45639</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45639</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45639</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45639</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45639</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45639</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45639</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45639</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45639</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45639</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45639</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45639</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45639</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45639</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45639</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45639</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45639</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45639</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45639</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45639</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45639</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45639</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45639</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45639</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45639</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45639</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45639</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45639</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45639</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45639</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45639</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45639</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45639</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45639</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45639</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45639</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45639</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45639</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45639</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45639</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45639</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45639</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45639</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45639</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45639</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45639</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45639</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45639</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45639</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45639</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45639</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45639</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45639</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45639</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45639</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45639</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45639</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45639</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45639</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45639</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45639</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45639</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45639</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45639</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45639</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45639</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45639</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45639</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45639</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45639</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45639</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45639</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45639</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45639</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45639</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45639</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45639</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45639</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45639</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45639</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45639</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45639</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45639</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45639</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45639</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45639</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45639</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45639</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45639</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45639</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45639</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45639</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45639</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45639</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45639</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45639</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45639</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45639</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45639</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45639</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45639</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45639</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45639</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45639</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45639</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45639</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45639</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45639</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45639</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45639</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45639</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45639</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45639</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45639</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45639</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45639</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45639</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45639</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45639</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45639</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45639</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45639</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45639</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45639</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45639</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45639</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45639</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45639</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45639</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45639</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45639</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45639</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45639</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45639</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45639</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45639</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45639</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45639</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45639</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45639</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45639</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45639</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45639</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45639</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45639</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45639</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45639</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45639</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45639</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45639</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45639</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45639</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45639</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45639</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45639</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45639</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45639</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45639</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45639</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45639</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45639</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45639</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45639</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45639</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45639</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45639</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45639</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45639</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45639</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45639</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45639</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45639</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45639</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45639</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45639</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45639</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45639</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45639</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52799-2024</t>
        </is>
      </c>
      <c r="B1093" s="1" t="n">
        <v>45610</v>
      </c>
      <c r="C1093" s="1" t="n">
        <v>45639</v>
      </c>
      <c r="D1093" t="inlineStr">
        <is>
          <t>VÄSTMANLANDS LÄN</t>
        </is>
      </c>
      <c r="E1093" t="inlineStr">
        <is>
          <t>SALA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52827-2024</t>
        </is>
      </c>
      <c r="B1094" s="1" t="n">
        <v>45610</v>
      </c>
      <c r="C1094" s="1" t="n">
        <v>45639</v>
      </c>
      <c r="D1094" t="inlineStr">
        <is>
          <t>VÄSTMANLANDS LÄN</t>
        </is>
      </c>
      <c r="E1094" t="inlineStr">
        <is>
          <t>SALA</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52821-2024</t>
        </is>
      </c>
      <c r="B1095" s="1" t="n">
        <v>45610</v>
      </c>
      <c r="C1095" s="1" t="n">
        <v>45639</v>
      </c>
      <c r="D1095" t="inlineStr">
        <is>
          <t>VÄSTMANLANDS LÄN</t>
        </is>
      </c>
      <c r="E1095" t="inlineStr">
        <is>
          <t>SALA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45639</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45639</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45639</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54043-2024</t>
        </is>
      </c>
      <c r="B1099" s="1" t="n">
        <v>45616</v>
      </c>
      <c r="C1099" s="1" t="n">
        <v>45639</v>
      </c>
      <c r="D1099" t="inlineStr">
        <is>
          <t>VÄSTMANLANDS LÄN</t>
        </is>
      </c>
      <c r="E1099" t="inlineStr">
        <is>
          <t>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54199-2024</t>
        </is>
      </c>
      <c r="B1100" s="1" t="n">
        <v>45616</v>
      </c>
      <c r="C1100" s="1" t="n">
        <v>45639</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54329-2024</t>
        </is>
      </c>
      <c r="B1101" s="1" t="n">
        <v>45617</v>
      </c>
      <c r="C1101" s="1" t="n">
        <v>45639</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54347-2024</t>
        </is>
      </c>
      <c r="B1102" s="1" t="n">
        <v>45617</v>
      </c>
      <c r="C1102" s="1" t="n">
        <v>45639</v>
      </c>
      <c r="D1102" t="inlineStr">
        <is>
          <t>VÄSTMANLANDS LÄN</t>
        </is>
      </c>
      <c r="E1102" t="inlineStr">
        <is>
          <t>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45639</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54771-2024</t>
        </is>
      </c>
      <c r="B1104" s="1" t="n">
        <v>45618</v>
      </c>
      <c r="C1104" s="1" t="n">
        <v>45639</v>
      </c>
      <c r="D1104" t="inlineStr">
        <is>
          <t>VÄSTMANLANDS LÄN</t>
        </is>
      </c>
      <c r="E1104" t="inlineStr">
        <is>
          <t>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54768-2024</t>
        </is>
      </c>
      <c r="B1105" s="1" t="n">
        <v>45618</v>
      </c>
      <c r="C1105" s="1" t="n">
        <v>45639</v>
      </c>
      <c r="D1105" t="inlineStr">
        <is>
          <t>VÄSTMANLANDS LÄN</t>
        </is>
      </c>
      <c r="E1105" t="inlineStr">
        <is>
          <t>SALA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54836-2024</t>
        </is>
      </c>
      <c r="B1106" s="1" t="n">
        <v>45618</v>
      </c>
      <c r="C1106" s="1" t="n">
        <v>45639</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45639</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45639</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45639</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55101-2024</t>
        </is>
      </c>
      <c r="B1110" s="1" t="n">
        <v>45618</v>
      </c>
      <c r="C1110" s="1" t="n">
        <v>45639</v>
      </c>
      <c r="D1110" t="inlineStr">
        <is>
          <t>VÄSTMANLANDS LÄN</t>
        </is>
      </c>
      <c r="E1110" t="inlineStr">
        <is>
          <t>SALA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55107-2024</t>
        </is>
      </c>
      <c r="B1111" s="1" t="n">
        <v>45618</v>
      </c>
      <c r="C1111" s="1" t="n">
        <v>45639</v>
      </c>
      <c r="D1111" t="inlineStr">
        <is>
          <t>VÄSTMANLANDS LÄN</t>
        </is>
      </c>
      <c r="E1111" t="inlineStr">
        <is>
          <t>SALA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45639</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54960-2024</t>
        </is>
      </c>
      <c r="B1113" s="1" t="n">
        <v>45619</v>
      </c>
      <c r="C1113" s="1" t="n">
        <v>45639</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54959-2024</t>
        </is>
      </c>
      <c r="B1114" s="1" t="n">
        <v>45619</v>
      </c>
      <c r="C1114" s="1" t="n">
        <v>45639</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45639</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45639</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56543-2024</t>
        </is>
      </c>
      <c r="B1117" s="1" t="n">
        <v>45625</v>
      </c>
      <c r="C1117" s="1" t="n">
        <v>45639</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56540-2024</t>
        </is>
      </c>
      <c r="B1118" s="1" t="n">
        <v>45625</v>
      </c>
      <c r="C1118" s="1" t="n">
        <v>45639</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56548-2024</t>
        </is>
      </c>
      <c r="B1119" s="1" t="n">
        <v>45625</v>
      </c>
      <c r="C1119" s="1" t="n">
        <v>45639</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56688-2024</t>
        </is>
      </c>
      <c r="B1120" s="1" t="n">
        <v>45627</v>
      </c>
      <c r="C1120" s="1" t="n">
        <v>45639</v>
      </c>
      <c r="D1120" t="inlineStr">
        <is>
          <t>VÄSTMANLANDS LÄN</t>
        </is>
      </c>
      <c r="E1120" t="inlineStr">
        <is>
          <t>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56687-2024</t>
        </is>
      </c>
      <c r="B1121" s="1" t="n">
        <v>45627</v>
      </c>
      <c r="C1121" s="1" t="n">
        <v>45639</v>
      </c>
      <c r="D1121" t="inlineStr">
        <is>
          <t>VÄSTMANLANDS LÄN</t>
        </is>
      </c>
      <c r="E1121" t="inlineStr">
        <is>
          <t>SALA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56689-2024</t>
        </is>
      </c>
      <c r="B1122" s="1" t="n">
        <v>45627</v>
      </c>
      <c r="C1122" s="1" t="n">
        <v>45639</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45639</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45639</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57883-2024</t>
        </is>
      </c>
      <c r="B1125" s="1" t="n">
        <v>45630</v>
      </c>
      <c r="C1125" s="1" t="n">
        <v>45639</v>
      </c>
      <c r="D1125" t="inlineStr">
        <is>
          <t>VÄSTMANLANDS LÄN</t>
        </is>
      </c>
      <c r="E1125" t="inlineStr">
        <is>
          <t>SALA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57650-2024</t>
        </is>
      </c>
      <c r="B1126" s="1" t="n">
        <v>45630</v>
      </c>
      <c r="C1126" s="1" t="n">
        <v>45639</v>
      </c>
      <c r="D1126" t="inlineStr">
        <is>
          <t>VÄSTMANLANDS LÄN</t>
        </is>
      </c>
      <c r="E1126" t="inlineStr">
        <is>
          <t>SALA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45639</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45639</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58126-2024</t>
        </is>
      </c>
      <c r="B1129" s="1" t="n">
        <v>45632</v>
      </c>
      <c r="C1129" s="1" t="n">
        <v>45639</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58711-2024</t>
        </is>
      </c>
      <c r="B1130" s="1" t="n">
        <v>45635</v>
      </c>
      <c r="C1130" s="1" t="n">
        <v>45639</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58651-2024</t>
        </is>
      </c>
      <c r="B1131" s="1" t="n">
        <v>45635</v>
      </c>
      <c r="C1131" s="1" t="n">
        <v>45639</v>
      </c>
      <c r="D1131" t="inlineStr">
        <is>
          <t>VÄSTMANLANDS LÄN</t>
        </is>
      </c>
      <c r="E1131" t="inlineStr">
        <is>
          <t>SALA</t>
        </is>
      </c>
      <c r="G1131" t="n">
        <v>1.5</v>
      </c>
      <c r="H1131" t="n">
        <v>0</v>
      </c>
      <c r="I1131" t="n">
        <v>0</v>
      </c>
      <c r="J1131" t="n">
        <v>0</v>
      </c>
      <c r="K1131" t="n">
        <v>0</v>
      </c>
      <c r="L1131" t="n">
        <v>0</v>
      </c>
      <c r="M1131" t="n">
        <v>0</v>
      </c>
      <c r="N1131" t="n">
        <v>0</v>
      </c>
      <c r="O1131" t="n">
        <v>0</v>
      </c>
      <c r="P1131" t="n">
        <v>0</v>
      </c>
      <c r="Q1131" t="n">
        <v>0</v>
      </c>
      <c r="R1131" s="2" t="inlineStr"/>
    </row>
    <row r="1132">
      <c r="A1132" t="inlineStr">
        <is>
          <t>A 58655-2024</t>
        </is>
      </c>
      <c r="B1132" s="1" t="n">
        <v>45635</v>
      </c>
      <c r="C1132" s="1" t="n">
        <v>45639</v>
      </c>
      <c r="D1132" t="inlineStr">
        <is>
          <t>VÄSTMANLANDS LÄN</t>
        </is>
      </c>
      <c r="E1132" t="inlineStr">
        <is>
          <t>SALA</t>
        </is>
      </c>
      <c r="G1132" t="n">
        <v>1.4</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2024-12-13T15:27:45Z</dcterms:created>
  <dcterms:modified xmlns:dcterms="http://purl.org/dc/terms/" xmlns:xsi="http://www.w3.org/2001/XMLSchema-instance" xsi:type="dcterms:W3CDTF">2024-12-13T15:27:46Z</dcterms:modified>
</cp:coreProperties>
</file>