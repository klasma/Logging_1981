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46161</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46161</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46161</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46161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46161</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34752-2023</t>
        </is>
      </c>
      <c r="B12" s="1" t="n">
        <v>45141</v>
      </c>
      <c r="C12" s="1" t="n">
        <v>46161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46161</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46161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46161</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46161</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46161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46161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46161</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46161</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46161</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46161</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46161</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46161</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21044-2026</t>
        </is>
      </c>
      <c r="B25" s="1" t="n">
        <v>46146.36681712963</v>
      </c>
      <c r="C25" s="1" t="n">
        <v>46161</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46161</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46161</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46161</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46161</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46161</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24872-2025</t>
        </is>
      </c>
      <c r="B31" s="1" t="n">
        <v>45799.49038194444</v>
      </c>
      <c r="C31" s="1" t="n">
        <v>46161</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46161</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46161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46161</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46161</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59826-2025</t>
        </is>
      </c>
      <c r="B36" s="1" t="n">
        <v>45992.65416666667</v>
      </c>
      <c r="C36" s="1" t="n">
        <v>46161</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63584-2025</t>
        </is>
      </c>
      <c r="B37" s="1" t="n">
        <v>46013.77002314815</v>
      </c>
      <c r="C37" s="1" t="n">
        <v>46161</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11846-2024</t>
        </is>
      </c>
      <c r="B38" s="1" t="n">
        <v>45376.4047337963</v>
      </c>
      <c r="C38" s="1" t="n">
        <v>46161</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14485-2026</t>
        </is>
      </c>
      <c r="B39" s="1" t="n">
        <v>46100.59055555556</v>
      </c>
      <c r="C39" s="1" t="n">
        <v>46161</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12444-2024</t>
        </is>
      </c>
      <c r="B40" s="1" t="n">
        <v>45379.46285879629</v>
      </c>
      <c r="C40" s="1" t="n">
        <v>46161</v>
      </c>
      <c r="D40" t="inlineStr">
        <is>
          <t>VÄSTMANLANDS LÄN</t>
        </is>
      </c>
      <c r="E40" t="inlineStr">
        <is>
          <t>SALA</t>
        </is>
      </c>
      <c r="G40" t="n">
        <v>5.5</v>
      </c>
      <c r="H40" t="n">
        <v>0</v>
      </c>
      <c r="I40" t="n">
        <v>1</v>
      </c>
      <c r="J40" t="n">
        <v>1</v>
      </c>
      <c r="K40" t="n">
        <v>0</v>
      </c>
      <c r="L40" t="n">
        <v>0</v>
      </c>
      <c r="M40" t="n">
        <v>0</v>
      </c>
      <c r="N40" t="n">
        <v>0</v>
      </c>
      <c r="O40" t="n">
        <v>1</v>
      </c>
      <c r="P40" t="n">
        <v>0</v>
      </c>
      <c r="Q40" t="n">
        <v>2</v>
      </c>
      <c r="R40" s="2" t="inlineStr">
        <is>
          <t>Ullticka
Stuplav</t>
        </is>
      </c>
      <c r="S40">
        <f>HYPERLINK("https://klasma.github.io/Logging_1981/artfynd/A 12444-2024 artfynd.xlsx", "A 12444-2024")</f>
        <v/>
      </c>
      <c r="T40">
        <f>HYPERLINK("https://klasma.github.io/Logging_1981/kartor/A 12444-2024 karta.png", "A 12444-2024")</f>
        <v/>
      </c>
      <c r="U40">
        <f>HYPERLINK("https://klasma.github.io/Logging_1981/knärot/A 12444-2024 karta knärot.png", "A 12444-2024")</f>
        <v/>
      </c>
      <c r="V40">
        <f>HYPERLINK("https://klasma.github.io/Logging_1981/klagomål/A 12444-2024 FSC-klagomål.docx", "A 12444-2024")</f>
        <v/>
      </c>
      <c r="W40">
        <f>HYPERLINK("https://klasma.github.io/Logging_1981/klagomålsmail/A 12444-2024 FSC-klagomål mail.docx", "A 12444-2024")</f>
        <v/>
      </c>
      <c r="X40">
        <f>HYPERLINK("https://klasma.github.io/Logging_1981/tillsyn/A 12444-2024 tillsynsbegäran.docx", "A 12444-2024")</f>
        <v/>
      </c>
      <c r="Y40">
        <f>HYPERLINK("https://klasma.github.io/Logging_1981/tillsynsmail/A 12444-2024 tillsynsbegäran mail.docx", "A 12444-2024")</f>
        <v/>
      </c>
    </row>
    <row r="41" ht="15" customHeight="1">
      <c r="A41" t="inlineStr">
        <is>
          <t>A 44970-2021</t>
        </is>
      </c>
      <c r="B41" s="1" t="n">
        <v>44438.74399305556</v>
      </c>
      <c r="C41" s="1" t="n">
        <v>46161</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46161</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48705-2025</t>
        </is>
      </c>
      <c r="B43" s="1" t="n">
        <v>45936.62290509259</v>
      </c>
      <c r="C43" s="1" t="n">
        <v>46161</v>
      </c>
      <c r="D43" t="inlineStr">
        <is>
          <t>VÄSTMANLANDS LÄN</t>
        </is>
      </c>
      <c r="E43" t="inlineStr">
        <is>
          <t>SALA</t>
        </is>
      </c>
      <c r="G43" t="n">
        <v>4.4</v>
      </c>
      <c r="H43" t="n">
        <v>1</v>
      </c>
      <c r="I43" t="n">
        <v>1</v>
      </c>
      <c r="J43" t="n">
        <v>0</v>
      </c>
      <c r="K43" t="n">
        <v>0</v>
      </c>
      <c r="L43" t="n">
        <v>0</v>
      </c>
      <c r="M43" t="n">
        <v>0</v>
      </c>
      <c r="N43" t="n">
        <v>0</v>
      </c>
      <c r="O43" t="n">
        <v>0</v>
      </c>
      <c r="P43" t="n">
        <v>0</v>
      </c>
      <c r="Q43" t="n">
        <v>1</v>
      </c>
      <c r="R43" s="2" t="inlineStr">
        <is>
          <t>Plattlummer</t>
        </is>
      </c>
      <c r="S43">
        <f>HYPERLINK("https://klasma.github.io/Logging_1981/artfynd/A 48705-2025 artfynd.xlsx", "A 48705-2025")</f>
        <v/>
      </c>
      <c r="T43">
        <f>HYPERLINK("https://klasma.github.io/Logging_1981/kartor/A 48705-2025 karta.png", "A 48705-2025")</f>
        <v/>
      </c>
      <c r="V43">
        <f>HYPERLINK("https://klasma.github.io/Logging_1981/klagomål/A 48705-2025 FSC-klagomål.docx", "A 48705-2025")</f>
        <v/>
      </c>
      <c r="W43">
        <f>HYPERLINK("https://klasma.github.io/Logging_1981/klagomålsmail/A 48705-2025 FSC-klagomål mail.docx", "A 48705-2025")</f>
        <v/>
      </c>
      <c r="X43">
        <f>HYPERLINK("https://klasma.github.io/Logging_1981/tillsyn/A 48705-2025 tillsynsbegäran.docx", "A 48705-2025")</f>
        <v/>
      </c>
      <c r="Y43">
        <f>HYPERLINK("https://klasma.github.io/Logging_1981/tillsynsmail/A 48705-2025 tillsynsbegäran mail.docx", "A 48705-2025")</f>
        <v/>
      </c>
    </row>
    <row r="44" ht="15" customHeight="1">
      <c r="A44" t="inlineStr">
        <is>
          <t>A 21738-2025</t>
        </is>
      </c>
      <c r="B44" s="1" t="n">
        <v>45783.59173611111</v>
      </c>
      <c r="C44" s="1" t="n">
        <v>46161</v>
      </c>
      <c r="D44" t="inlineStr">
        <is>
          <t>VÄSTMANLANDS LÄN</t>
        </is>
      </c>
      <c r="E44" t="inlineStr">
        <is>
          <t>SALA</t>
        </is>
      </c>
      <c r="G44" t="n">
        <v>2.1</v>
      </c>
      <c r="H44" t="n">
        <v>0</v>
      </c>
      <c r="I44" t="n">
        <v>0</v>
      </c>
      <c r="J44" t="n">
        <v>1</v>
      </c>
      <c r="K44" t="n">
        <v>0</v>
      </c>
      <c r="L44" t="n">
        <v>0</v>
      </c>
      <c r="M44" t="n">
        <v>0</v>
      </c>
      <c r="N44" t="n">
        <v>0</v>
      </c>
      <c r="O44" t="n">
        <v>1</v>
      </c>
      <c r="P44" t="n">
        <v>0</v>
      </c>
      <c r="Q44" t="n">
        <v>1</v>
      </c>
      <c r="R44" s="2" t="inlineStr">
        <is>
          <t>Motaggsvamp</t>
        </is>
      </c>
      <c r="S44">
        <f>HYPERLINK("https://klasma.github.io/Logging_1981/artfynd/A 21738-2025 artfynd.xlsx", "A 21738-2025")</f>
        <v/>
      </c>
      <c r="T44">
        <f>HYPERLINK("https://klasma.github.io/Logging_1981/kartor/A 21738-2025 karta.png", "A 21738-2025")</f>
        <v/>
      </c>
      <c r="V44">
        <f>HYPERLINK("https://klasma.github.io/Logging_1981/klagomål/A 21738-2025 FSC-klagomål.docx", "A 21738-2025")</f>
        <v/>
      </c>
      <c r="W44">
        <f>HYPERLINK("https://klasma.github.io/Logging_1981/klagomålsmail/A 21738-2025 FSC-klagomål mail.docx", "A 21738-2025")</f>
        <v/>
      </c>
      <c r="X44">
        <f>HYPERLINK("https://klasma.github.io/Logging_1981/tillsyn/A 21738-2025 tillsynsbegäran.docx", "A 21738-2025")</f>
        <v/>
      </c>
      <c r="Y44">
        <f>HYPERLINK("https://klasma.github.io/Logging_1981/tillsynsmail/A 21738-2025 tillsynsbegäran mail.docx", "A 21738-2025")</f>
        <v/>
      </c>
    </row>
    <row r="45" ht="15" customHeight="1">
      <c r="A45" t="inlineStr">
        <is>
          <t>A 50268-2025</t>
        </is>
      </c>
      <c r="B45" s="1" t="n">
        <v>45944.35162037037</v>
      </c>
      <c r="C45" s="1" t="n">
        <v>46161</v>
      </c>
      <c r="D45" t="inlineStr">
        <is>
          <t>VÄSTMANLANDS LÄN</t>
        </is>
      </c>
      <c r="E45" t="inlineStr">
        <is>
          <t>SALA</t>
        </is>
      </c>
      <c r="G45" t="n">
        <v>0.7</v>
      </c>
      <c r="H45" t="n">
        <v>1</v>
      </c>
      <c r="I45" t="n">
        <v>0</v>
      </c>
      <c r="J45" t="n">
        <v>0</v>
      </c>
      <c r="K45" t="n">
        <v>0</v>
      </c>
      <c r="L45" t="n">
        <v>0</v>
      </c>
      <c r="M45" t="n">
        <v>0</v>
      </c>
      <c r="N45" t="n">
        <v>0</v>
      </c>
      <c r="O45" t="n">
        <v>0</v>
      </c>
      <c r="P45" t="n">
        <v>0</v>
      </c>
      <c r="Q45" t="n">
        <v>1</v>
      </c>
      <c r="R45" s="2" t="inlineStr">
        <is>
          <t>Fläcknycklar</t>
        </is>
      </c>
      <c r="S45">
        <f>HYPERLINK("https://klasma.github.io/Logging_1981/artfynd/A 50268-2025 artfynd.xlsx", "A 50268-2025")</f>
        <v/>
      </c>
      <c r="T45">
        <f>HYPERLINK("https://klasma.github.io/Logging_1981/kartor/A 50268-2025 karta.png", "A 50268-2025")</f>
        <v/>
      </c>
      <c r="V45">
        <f>HYPERLINK("https://klasma.github.io/Logging_1981/klagomål/A 50268-2025 FSC-klagomål.docx", "A 50268-2025")</f>
        <v/>
      </c>
      <c r="W45">
        <f>HYPERLINK("https://klasma.github.io/Logging_1981/klagomålsmail/A 50268-2025 FSC-klagomål mail.docx", "A 50268-2025")</f>
        <v/>
      </c>
      <c r="X45">
        <f>HYPERLINK("https://klasma.github.io/Logging_1981/tillsyn/A 50268-2025 tillsynsbegäran.docx", "A 50268-2025")</f>
        <v/>
      </c>
      <c r="Y45">
        <f>HYPERLINK("https://klasma.github.io/Logging_1981/tillsynsmail/A 50268-2025 tillsynsbegäran mail.docx", "A 50268-2025")</f>
        <v/>
      </c>
    </row>
    <row r="46" ht="15" customHeight="1">
      <c r="A46" t="inlineStr">
        <is>
          <t>A 22950-2025</t>
        </is>
      </c>
      <c r="B46" s="1" t="n">
        <v>45790.50728009259</v>
      </c>
      <c r="C46" s="1" t="n">
        <v>46161</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37166-2024</t>
        </is>
      </c>
      <c r="B47" s="1" t="n">
        <v>45539</v>
      </c>
      <c r="C47" s="1" t="n">
        <v>46161</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37166-2024 artfynd.xlsx", "A 37166-2024")</f>
        <v/>
      </c>
      <c r="T47">
        <f>HYPERLINK("https://klasma.github.io/Logging_1981/kartor/A 37166-2024 karta.png", "A 37166-2024")</f>
        <v/>
      </c>
      <c r="U47">
        <f>HYPERLINK("https://klasma.github.io/Logging_1981/knärot/A 37166-2024 karta knärot.png", "A 37166-2024")</f>
        <v/>
      </c>
      <c r="V47">
        <f>HYPERLINK("https://klasma.github.io/Logging_1981/klagomål/A 37166-2024 FSC-klagomål.docx", "A 37166-2024")</f>
        <v/>
      </c>
      <c r="W47">
        <f>HYPERLINK("https://klasma.github.io/Logging_1981/klagomålsmail/A 37166-2024 FSC-klagomål mail.docx", "A 37166-2024")</f>
        <v/>
      </c>
      <c r="X47">
        <f>HYPERLINK("https://klasma.github.io/Logging_1981/tillsyn/A 37166-2024 tillsynsbegäran.docx", "A 37166-2024")</f>
        <v/>
      </c>
      <c r="Y47">
        <f>HYPERLINK("https://klasma.github.io/Logging_1981/tillsynsmail/A 37166-2024 tillsynsbegäran mail.docx", "A 37166-2024")</f>
        <v/>
      </c>
    </row>
    <row r="48" ht="15" customHeight="1">
      <c r="A48" t="inlineStr">
        <is>
          <t>A 29727-2023</t>
        </is>
      </c>
      <c r="B48" s="1" t="n">
        <v>45107</v>
      </c>
      <c r="C48" s="1" t="n">
        <v>46161</v>
      </c>
      <c r="D48" t="inlineStr">
        <is>
          <t>VÄSTMANLANDS LÄN</t>
        </is>
      </c>
      <c r="E48" t="inlineStr">
        <is>
          <t>SALA</t>
        </is>
      </c>
      <c r="G48" t="n">
        <v>1.9</v>
      </c>
      <c r="H48" t="n">
        <v>0</v>
      </c>
      <c r="I48" t="n">
        <v>0</v>
      </c>
      <c r="J48" t="n">
        <v>1</v>
      </c>
      <c r="K48" t="n">
        <v>0</v>
      </c>
      <c r="L48" t="n">
        <v>0</v>
      </c>
      <c r="M48" t="n">
        <v>0</v>
      </c>
      <c r="N48" t="n">
        <v>0</v>
      </c>
      <c r="O48" t="n">
        <v>1</v>
      </c>
      <c r="P48" t="n">
        <v>0</v>
      </c>
      <c r="Q48" t="n">
        <v>1</v>
      </c>
      <c r="R48" s="2" t="inlineStr">
        <is>
          <t>Vedtrappmossa</t>
        </is>
      </c>
      <c r="S48">
        <f>HYPERLINK("https://klasma.github.io/Logging_1981/artfynd/A 29727-2023 artfynd.xlsx", "A 29727-2023")</f>
        <v/>
      </c>
      <c r="T48">
        <f>HYPERLINK("https://klasma.github.io/Logging_1981/kartor/A 29727-2023 karta.png", "A 29727-2023")</f>
        <v/>
      </c>
      <c r="V48">
        <f>HYPERLINK("https://klasma.github.io/Logging_1981/klagomål/A 29727-2023 FSC-klagomål.docx", "A 29727-2023")</f>
        <v/>
      </c>
      <c r="W48">
        <f>HYPERLINK("https://klasma.github.io/Logging_1981/klagomålsmail/A 29727-2023 FSC-klagomål mail.docx", "A 29727-2023")</f>
        <v/>
      </c>
      <c r="X48">
        <f>HYPERLINK("https://klasma.github.io/Logging_1981/tillsyn/A 29727-2023 tillsynsbegäran.docx", "A 29727-2023")</f>
        <v/>
      </c>
      <c r="Y48">
        <f>HYPERLINK("https://klasma.github.io/Logging_1981/tillsynsmail/A 29727-2023 tillsynsbegäran mail.docx", "A 29727-2023")</f>
        <v/>
      </c>
    </row>
    <row r="49" ht="15" customHeight="1">
      <c r="A49" t="inlineStr">
        <is>
          <t>A 53052-2025</t>
        </is>
      </c>
      <c r="B49" s="1" t="n">
        <v>45958.36266203703</v>
      </c>
      <c r="C49" s="1" t="n">
        <v>46161</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32594-2025</t>
        </is>
      </c>
      <c r="B50" s="1" t="n">
        <v>45838</v>
      </c>
      <c r="C50" s="1" t="n">
        <v>46161</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14775-2023</t>
        </is>
      </c>
      <c r="B51" s="1" t="n">
        <v>45014</v>
      </c>
      <c r="C51" s="1" t="n">
        <v>46161</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12509-2023</t>
        </is>
      </c>
      <c r="B52" s="1" t="n">
        <v>44999.95988425926</v>
      </c>
      <c r="C52" s="1" t="n">
        <v>46161</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22350-2024</t>
        </is>
      </c>
      <c r="B53" s="1" t="n">
        <v>45446</v>
      </c>
      <c r="C53" s="1" t="n">
        <v>46161</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55995-2025</t>
        </is>
      </c>
      <c r="B54" s="1" t="n">
        <v>45973.56733796297</v>
      </c>
      <c r="C54" s="1" t="n">
        <v>46161</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38255-2025</t>
        </is>
      </c>
      <c r="B55" s="1" t="n">
        <v>45883.38020833334</v>
      </c>
      <c r="C55" s="1" t="n">
        <v>46161</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19361-2025</t>
        </is>
      </c>
      <c r="B56" s="1" t="n">
        <v>45769.63357638889</v>
      </c>
      <c r="C56" s="1" t="n">
        <v>46161</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60852-2024</t>
        </is>
      </c>
      <c r="B57" s="1" t="n">
        <v>45644</v>
      </c>
      <c r="C57" s="1" t="n">
        <v>46161</v>
      </c>
      <c r="D57" t="inlineStr">
        <is>
          <t>VÄSTMANLANDS LÄN</t>
        </is>
      </c>
      <c r="E57" t="inlineStr">
        <is>
          <t>SALA</t>
        </is>
      </c>
      <c r="G57" t="n">
        <v>7.6</v>
      </c>
      <c r="H57" t="n">
        <v>1</v>
      </c>
      <c r="I57" t="n">
        <v>0</v>
      </c>
      <c r="J57" t="n">
        <v>0</v>
      </c>
      <c r="K57" t="n">
        <v>0</v>
      </c>
      <c r="L57" t="n">
        <v>0</v>
      </c>
      <c r="M57" t="n">
        <v>0</v>
      </c>
      <c r="N57" t="n">
        <v>0</v>
      </c>
      <c r="O57" t="n">
        <v>0</v>
      </c>
      <c r="P57" t="n">
        <v>0</v>
      </c>
      <c r="Q57" t="n">
        <v>1</v>
      </c>
      <c r="R57" s="2" t="inlineStr">
        <is>
          <t>Blåsippa</t>
        </is>
      </c>
      <c r="S57">
        <f>HYPERLINK("https://klasma.github.io/Logging_1981/artfynd/A 60852-2024 artfynd.xlsx", "A 60852-2024")</f>
        <v/>
      </c>
      <c r="T57">
        <f>HYPERLINK("https://klasma.github.io/Logging_1981/kartor/A 60852-2024 karta.png", "A 60852-2024")</f>
        <v/>
      </c>
      <c r="V57">
        <f>HYPERLINK("https://klasma.github.io/Logging_1981/klagomål/A 60852-2024 FSC-klagomål.docx", "A 60852-2024")</f>
        <v/>
      </c>
      <c r="W57">
        <f>HYPERLINK("https://klasma.github.io/Logging_1981/klagomålsmail/A 60852-2024 FSC-klagomål mail.docx", "A 60852-2024")</f>
        <v/>
      </c>
      <c r="X57">
        <f>HYPERLINK("https://klasma.github.io/Logging_1981/tillsyn/A 60852-2024 tillsynsbegäran.docx", "A 60852-2024")</f>
        <v/>
      </c>
      <c r="Y57">
        <f>HYPERLINK("https://klasma.github.io/Logging_1981/tillsynsmail/A 60852-2024 tillsynsbegäran mail.docx", "A 60852-2024")</f>
        <v/>
      </c>
    </row>
    <row r="58" ht="15" customHeight="1">
      <c r="A58" t="inlineStr">
        <is>
          <t>A 41570-2021</t>
        </is>
      </c>
      <c r="B58" s="1" t="n">
        <v>44425</v>
      </c>
      <c r="C58" s="1" t="n">
        <v>46161</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43175-2023</t>
        </is>
      </c>
      <c r="B59" s="1" t="n">
        <v>45183</v>
      </c>
      <c r="C59" s="1" t="n">
        <v>46161</v>
      </c>
      <c r="D59" t="inlineStr">
        <is>
          <t>VÄSTMANLANDS LÄN</t>
        </is>
      </c>
      <c r="E59" t="inlineStr">
        <is>
          <t>SALA</t>
        </is>
      </c>
      <c r="G59" t="n">
        <v>5.6</v>
      </c>
      <c r="H59" t="n">
        <v>0</v>
      </c>
      <c r="I59" t="n">
        <v>1</v>
      </c>
      <c r="J59" t="n">
        <v>0</v>
      </c>
      <c r="K59" t="n">
        <v>0</v>
      </c>
      <c r="L59" t="n">
        <v>0</v>
      </c>
      <c r="M59" t="n">
        <v>0</v>
      </c>
      <c r="N59" t="n">
        <v>0</v>
      </c>
      <c r="O59" t="n">
        <v>0</v>
      </c>
      <c r="P59" t="n">
        <v>0</v>
      </c>
      <c r="Q59" t="n">
        <v>1</v>
      </c>
      <c r="R59" s="2" t="inlineStr">
        <is>
          <t>Grönpyrola</t>
        </is>
      </c>
      <c r="S59">
        <f>HYPERLINK("https://klasma.github.io/Logging_1981/artfynd/A 43175-2023 artfynd.xlsx", "A 43175-2023")</f>
        <v/>
      </c>
      <c r="T59">
        <f>HYPERLINK("https://klasma.github.io/Logging_1981/kartor/A 43175-2023 karta.png", "A 43175-2023")</f>
        <v/>
      </c>
      <c r="V59">
        <f>HYPERLINK("https://klasma.github.io/Logging_1981/klagomål/A 43175-2023 FSC-klagomål.docx", "A 43175-2023")</f>
        <v/>
      </c>
      <c r="W59">
        <f>HYPERLINK("https://klasma.github.io/Logging_1981/klagomålsmail/A 43175-2023 FSC-klagomål mail.docx", "A 43175-2023")</f>
        <v/>
      </c>
      <c r="X59">
        <f>HYPERLINK("https://klasma.github.io/Logging_1981/tillsyn/A 43175-2023 tillsynsbegäran.docx", "A 43175-2023")</f>
        <v/>
      </c>
      <c r="Y59">
        <f>HYPERLINK("https://klasma.github.io/Logging_1981/tillsynsmail/A 43175-2023 tillsynsbegäran mail.docx", "A 43175-2023")</f>
        <v/>
      </c>
    </row>
    <row r="60" ht="15" customHeight="1">
      <c r="A60" t="inlineStr">
        <is>
          <t>A 55550-2023</t>
        </is>
      </c>
      <c r="B60" s="1" t="n">
        <v>45232</v>
      </c>
      <c r="C60" s="1" t="n">
        <v>46161</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7672-2026</t>
        </is>
      </c>
      <c r="B61" s="1" t="n">
        <v>46062.42077546296</v>
      </c>
      <c r="C61" s="1" t="n">
        <v>46161</v>
      </c>
      <c r="D61" t="inlineStr">
        <is>
          <t>VÄSTMANLANDS LÄN</t>
        </is>
      </c>
      <c r="E61" t="inlineStr">
        <is>
          <t>SALA</t>
        </is>
      </c>
      <c r="G61" t="n">
        <v>2.9</v>
      </c>
      <c r="H61" t="n">
        <v>1</v>
      </c>
      <c r="I61" t="n">
        <v>0</v>
      </c>
      <c r="J61" t="n">
        <v>0</v>
      </c>
      <c r="K61" t="n">
        <v>0</v>
      </c>
      <c r="L61" t="n">
        <v>0</v>
      </c>
      <c r="M61" t="n">
        <v>0</v>
      </c>
      <c r="N61" t="n">
        <v>0</v>
      </c>
      <c r="O61" t="n">
        <v>0</v>
      </c>
      <c r="P61" t="n">
        <v>0</v>
      </c>
      <c r="Q61" t="n">
        <v>1</v>
      </c>
      <c r="R61" s="2" t="inlineStr">
        <is>
          <t>Nattviol</t>
        </is>
      </c>
      <c r="S61">
        <f>HYPERLINK("https://klasma.github.io/Logging_1981/artfynd/A 7672-2026 artfynd.xlsx", "A 7672-2026")</f>
        <v/>
      </c>
      <c r="T61">
        <f>HYPERLINK("https://klasma.github.io/Logging_1981/kartor/A 7672-2026 karta.png", "A 7672-2026")</f>
        <v/>
      </c>
      <c r="V61">
        <f>HYPERLINK("https://klasma.github.io/Logging_1981/klagomål/A 7672-2026 FSC-klagomål.docx", "A 7672-2026")</f>
        <v/>
      </c>
      <c r="W61">
        <f>HYPERLINK("https://klasma.github.io/Logging_1981/klagomålsmail/A 7672-2026 FSC-klagomål mail.docx", "A 7672-2026")</f>
        <v/>
      </c>
      <c r="X61">
        <f>HYPERLINK("https://klasma.github.io/Logging_1981/tillsyn/A 7672-2026 tillsynsbegäran.docx", "A 7672-2026")</f>
        <v/>
      </c>
      <c r="Y61">
        <f>HYPERLINK("https://klasma.github.io/Logging_1981/tillsynsmail/A 7672-2026 tillsynsbegäran mail.docx", "A 7672-2026")</f>
        <v/>
      </c>
    </row>
    <row r="62" ht="15" customHeight="1">
      <c r="A62" t="inlineStr">
        <is>
          <t>A 41270-2024</t>
        </is>
      </c>
      <c r="B62" s="1" t="n">
        <v>45559</v>
      </c>
      <c r="C62" s="1" t="n">
        <v>46161</v>
      </c>
      <c r="D62" t="inlineStr">
        <is>
          <t>VÄSTMANLANDS LÄN</t>
        </is>
      </c>
      <c r="E62" t="inlineStr">
        <is>
          <t>SALA</t>
        </is>
      </c>
      <c r="G62" t="n">
        <v>15.2</v>
      </c>
      <c r="H62" t="n">
        <v>1</v>
      </c>
      <c r="I62" t="n">
        <v>0</v>
      </c>
      <c r="J62" t="n">
        <v>1</v>
      </c>
      <c r="K62" t="n">
        <v>0</v>
      </c>
      <c r="L62" t="n">
        <v>0</v>
      </c>
      <c r="M62" t="n">
        <v>0</v>
      </c>
      <c r="N62" t="n">
        <v>0</v>
      </c>
      <c r="O62" t="n">
        <v>1</v>
      </c>
      <c r="P62" t="n">
        <v>0</v>
      </c>
      <c r="Q62" t="n">
        <v>1</v>
      </c>
      <c r="R62" s="2" t="inlineStr">
        <is>
          <t>Havsörn</t>
        </is>
      </c>
      <c r="S62">
        <f>HYPERLINK("https://klasma.github.io/Logging_1981/artfynd/A 41270-2024 artfynd.xlsx", "A 41270-2024")</f>
        <v/>
      </c>
      <c r="T62">
        <f>HYPERLINK("https://klasma.github.io/Logging_1981/kartor/A 41270-2024 karta.png", "A 41270-2024")</f>
        <v/>
      </c>
      <c r="V62">
        <f>HYPERLINK("https://klasma.github.io/Logging_1981/klagomål/A 41270-2024 FSC-klagomål.docx", "A 41270-2024")</f>
        <v/>
      </c>
      <c r="W62">
        <f>HYPERLINK("https://klasma.github.io/Logging_1981/klagomålsmail/A 41270-2024 FSC-klagomål mail.docx", "A 41270-2024")</f>
        <v/>
      </c>
      <c r="X62">
        <f>HYPERLINK("https://klasma.github.io/Logging_1981/tillsyn/A 41270-2024 tillsynsbegäran.docx", "A 41270-2024")</f>
        <v/>
      </c>
      <c r="Y62">
        <f>HYPERLINK("https://klasma.github.io/Logging_1981/tillsynsmail/A 41270-2024 tillsynsbegäran mail.docx", "A 41270-2024")</f>
        <v/>
      </c>
      <c r="Z62">
        <f>HYPERLINK("https://klasma.github.io/Logging_1981/fåglar/A 41270-2024 prioriterade fågelarter.docx", "A 41270-2024")</f>
        <v/>
      </c>
    </row>
    <row r="63" ht="15" customHeight="1">
      <c r="A63" t="inlineStr">
        <is>
          <t>A 18896-2026</t>
        </is>
      </c>
      <c r="B63" s="1" t="n">
        <v>46129</v>
      </c>
      <c r="C63" s="1" t="n">
        <v>46161</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14488-2026</t>
        </is>
      </c>
      <c r="B64" s="1" t="n">
        <v>46100.59216435185</v>
      </c>
      <c r="C64" s="1" t="n">
        <v>46161</v>
      </c>
      <c r="D64" t="inlineStr">
        <is>
          <t>VÄSTMANLANDS LÄN</t>
        </is>
      </c>
      <c r="E64" t="inlineStr">
        <is>
          <t>SALA</t>
        </is>
      </c>
      <c r="F64" t="inlineStr">
        <is>
          <t>Sveaskog</t>
        </is>
      </c>
      <c r="G64" t="n">
        <v>1.5</v>
      </c>
      <c r="H64" t="n">
        <v>1</v>
      </c>
      <c r="I64" t="n">
        <v>0</v>
      </c>
      <c r="J64" t="n">
        <v>0</v>
      </c>
      <c r="K64" t="n">
        <v>0</v>
      </c>
      <c r="L64" t="n">
        <v>0</v>
      </c>
      <c r="M64" t="n">
        <v>0</v>
      </c>
      <c r="N64" t="n">
        <v>0</v>
      </c>
      <c r="O64" t="n">
        <v>0</v>
      </c>
      <c r="P64" t="n">
        <v>0</v>
      </c>
      <c r="Q64" t="n">
        <v>1</v>
      </c>
      <c r="R64" s="2" t="inlineStr">
        <is>
          <t>Mattlummer</t>
        </is>
      </c>
      <c r="S64">
        <f>HYPERLINK("https://klasma.github.io/Logging_1981/artfynd/A 14488-2026 artfynd.xlsx", "A 14488-2026")</f>
        <v/>
      </c>
      <c r="T64">
        <f>HYPERLINK("https://klasma.github.io/Logging_1981/kartor/A 14488-2026 karta.png", "A 14488-2026")</f>
        <v/>
      </c>
      <c r="V64">
        <f>HYPERLINK("https://klasma.github.io/Logging_1981/klagomål/A 14488-2026 FSC-klagomål.docx", "A 14488-2026")</f>
        <v/>
      </c>
      <c r="W64">
        <f>HYPERLINK("https://klasma.github.io/Logging_1981/klagomålsmail/A 14488-2026 FSC-klagomål mail.docx", "A 14488-2026")</f>
        <v/>
      </c>
      <c r="X64">
        <f>HYPERLINK("https://klasma.github.io/Logging_1981/tillsyn/A 14488-2026 tillsynsbegäran.docx", "A 14488-2026")</f>
        <v/>
      </c>
      <c r="Y64">
        <f>HYPERLINK("https://klasma.github.io/Logging_1981/tillsynsmail/A 14488-2026 tillsynsbegäran mail.docx", "A 14488-2026")</f>
        <v/>
      </c>
    </row>
    <row r="65" ht="15" customHeight="1">
      <c r="A65" t="inlineStr">
        <is>
          <t>A 14487-2026</t>
        </is>
      </c>
      <c r="B65" s="1" t="n">
        <v>46100.59162037037</v>
      </c>
      <c r="C65" s="1" t="n">
        <v>46161</v>
      </c>
      <c r="D65" t="inlineStr">
        <is>
          <t>VÄSTMANLANDS LÄN</t>
        </is>
      </c>
      <c r="E65" t="inlineStr">
        <is>
          <t>SALA</t>
        </is>
      </c>
      <c r="F65" t="inlineStr">
        <is>
          <t>Sveaskog</t>
        </is>
      </c>
      <c r="G65" t="n">
        <v>6.7</v>
      </c>
      <c r="H65" t="n">
        <v>0</v>
      </c>
      <c r="I65" t="n">
        <v>0</v>
      </c>
      <c r="J65" t="n">
        <v>1</v>
      </c>
      <c r="K65" t="n">
        <v>0</v>
      </c>
      <c r="L65" t="n">
        <v>0</v>
      </c>
      <c r="M65" t="n">
        <v>0</v>
      </c>
      <c r="N65" t="n">
        <v>0</v>
      </c>
      <c r="O65" t="n">
        <v>1</v>
      </c>
      <c r="P65" t="n">
        <v>0</v>
      </c>
      <c r="Q65" t="n">
        <v>1</v>
      </c>
      <c r="R65" s="2" t="inlineStr">
        <is>
          <t>Motaggsvamp</t>
        </is>
      </c>
      <c r="S65">
        <f>HYPERLINK("https://klasma.github.io/Logging_1981/artfynd/A 14487-2026 artfynd.xlsx", "A 14487-2026")</f>
        <v/>
      </c>
      <c r="T65">
        <f>HYPERLINK("https://klasma.github.io/Logging_1981/kartor/A 14487-2026 karta.png", "A 14487-2026")</f>
        <v/>
      </c>
      <c r="V65">
        <f>HYPERLINK("https://klasma.github.io/Logging_1981/klagomål/A 14487-2026 FSC-klagomål.docx", "A 14487-2026")</f>
        <v/>
      </c>
      <c r="W65">
        <f>HYPERLINK("https://klasma.github.io/Logging_1981/klagomålsmail/A 14487-2026 FSC-klagomål mail.docx", "A 14487-2026")</f>
        <v/>
      </c>
      <c r="X65">
        <f>HYPERLINK("https://klasma.github.io/Logging_1981/tillsyn/A 14487-2026 tillsynsbegäran.docx", "A 14487-2026")</f>
        <v/>
      </c>
      <c r="Y65">
        <f>HYPERLINK("https://klasma.github.io/Logging_1981/tillsynsmail/A 14487-2026 tillsynsbegäran mail.docx", "A 14487-2026")</f>
        <v/>
      </c>
    </row>
    <row r="66" ht="15" customHeight="1">
      <c r="A66" t="inlineStr">
        <is>
          <t>A 43068-2024</t>
        </is>
      </c>
      <c r="B66" s="1" t="n">
        <v>45567</v>
      </c>
      <c r="C66" s="1" t="n">
        <v>46161</v>
      </c>
      <c r="D66" t="inlineStr">
        <is>
          <t>VÄSTMANLANDS LÄN</t>
        </is>
      </c>
      <c r="E66" t="inlineStr">
        <is>
          <t>SALA</t>
        </is>
      </c>
      <c r="G66" t="n">
        <v>1.1</v>
      </c>
      <c r="H66" t="n">
        <v>0</v>
      </c>
      <c r="I66" t="n">
        <v>1</v>
      </c>
      <c r="J66" t="n">
        <v>0</v>
      </c>
      <c r="K66" t="n">
        <v>0</v>
      </c>
      <c r="L66" t="n">
        <v>0</v>
      </c>
      <c r="M66" t="n">
        <v>0</v>
      </c>
      <c r="N66" t="n">
        <v>0</v>
      </c>
      <c r="O66" t="n">
        <v>0</v>
      </c>
      <c r="P66" t="n">
        <v>0</v>
      </c>
      <c r="Q66" t="n">
        <v>1</v>
      </c>
      <c r="R66" s="2" t="inlineStr">
        <is>
          <t>Vedticka</t>
        </is>
      </c>
      <c r="S66">
        <f>HYPERLINK("https://klasma.github.io/Logging_1981/artfynd/A 43068-2024 artfynd.xlsx", "A 43068-2024")</f>
        <v/>
      </c>
      <c r="T66">
        <f>HYPERLINK("https://klasma.github.io/Logging_1981/kartor/A 43068-2024 karta.png", "A 43068-2024")</f>
        <v/>
      </c>
      <c r="V66">
        <f>HYPERLINK("https://klasma.github.io/Logging_1981/klagomål/A 43068-2024 FSC-klagomål.docx", "A 43068-2024")</f>
        <v/>
      </c>
      <c r="W66">
        <f>HYPERLINK("https://klasma.github.io/Logging_1981/klagomålsmail/A 43068-2024 FSC-klagomål mail.docx", "A 43068-2024")</f>
        <v/>
      </c>
      <c r="X66">
        <f>HYPERLINK("https://klasma.github.io/Logging_1981/tillsyn/A 43068-2024 tillsynsbegäran.docx", "A 43068-2024")</f>
        <v/>
      </c>
      <c r="Y66">
        <f>HYPERLINK("https://klasma.github.io/Logging_1981/tillsynsmail/A 43068-2024 tillsynsbegäran mail.docx", "A 43068-2024")</f>
        <v/>
      </c>
    </row>
    <row r="67" ht="15" customHeight="1">
      <c r="A67" t="inlineStr">
        <is>
          <t>A 7919-2022</t>
        </is>
      </c>
      <c r="B67" s="1" t="n">
        <v>44608</v>
      </c>
      <c r="C67" s="1" t="n">
        <v>46161</v>
      </c>
      <c r="D67" t="inlineStr">
        <is>
          <t>VÄSTMANLANDS LÄN</t>
        </is>
      </c>
      <c r="E67" t="inlineStr">
        <is>
          <t>SALA</t>
        </is>
      </c>
      <c r="F67" t="inlineStr">
        <is>
          <t>Bergvik skog öst AB</t>
        </is>
      </c>
      <c r="G67" t="n">
        <v>4.5</v>
      </c>
      <c r="H67" t="n">
        <v>1</v>
      </c>
      <c r="I67" t="n">
        <v>0</v>
      </c>
      <c r="J67" t="n">
        <v>1</v>
      </c>
      <c r="K67" t="n">
        <v>0</v>
      </c>
      <c r="L67" t="n">
        <v>0</v>
      </c>
      <c r="M67" t="n">
        <v>0</v>
      </c>
      <c r="N67" t="n">
        <v>0</v>
      </c>
      <c r="O67" t="n">
        <v>1</v>
      </c>
      <c r="P67" t="n">
        <v>0</v>
      </c>
      <c r="Q67" t="n">
        <v>1</v>
      </c>
      <c r="R67" s="2" t="inlineStr">
        <is>
          <t>Ävjepilört</t>
        </is>
      </c>
      <c r="S67">
        <f>HYPERLINK("https://klasma.github.io/Logging_1981/artfynd/A 7919-2022 artfynd.xlsx", "A 7919-2022")</f>
        <v/>
      </c>
      <c r="T67">
        <f>HYPERLINK("https://klasma.github.io/Logging_1981/kartor/A 7919-2022 karta.png", "A 7919-2022")</f>
        <v/>
      </c>
      <c r="V67">
        <f>HYPERLINK("https://klasma.github.io/Logging_1981/klagomål/A 7919-2022 FSC-klagomål.docx", "A 7919-2022")</f>
        <v/>
      </c>
      <c r="W67">
        <f>HYPERLINK("https://klasma.github.io/Logging_1981/klagomålsmail/A 7919-2022 FSC-klagomål mail.docx", "A 7919-2022")</f>
        <v/>
      </c>
      <c r="X67">
        <f>HYPERLINK("https://klasma.github.io/Logging_1981/tillsyn/A 7919-2022 tillsynsbegäran.docx", "A 7919-2022")</f>
        <v/>
      </c>
      <c r="Y67">
        <f>HYPERLINK("https://klasma.github.io/Logging_1981/tillsynsmail/A 7919-2022 tillsynsbegäran mail.docx", "A 7919-2022")</f>
        <v/>
      </c>
    </row>
    <row r="68" ht="15" customHeight="1">
      <c r="A68" t="inlineStr">
        <is>
          <t>A 29985-2022</t>
        </is>
      </c>
      <c r="B68" s="1" t="n">
        <v>44756</v>
      </c>
      <c r="C68" s="1" t="n">
        <v>46161</v>
      </c>
      <c r="D68" t="inlineStr">
        <is>
          <t>VÄSTMANLANDS LÄN</t>
        </is>
      </c>
      <c r="E68" t="inlineStr">
        <is>
          <t>SALA</t>
        </is>
      </c>
      <c r="F68" t="inlineStr">
        <is>
          <t>Kommuner</t>
        </is>
      </c>
      <c r="G68" t="n">
        <v>1</v>
      </c>
      <c r="H68" t="n">
        <v>1</v>
      </c>
      <c r="I68" t="n">
        <v>1</v>
      </c>
      <c r="J68" t="n">
        <v>0</v>
      </c>
      <c r="K68" t="n">
        <v>0</v>
      </c>
      <c r="L68" t="n">
        <v>0</v>
      </c>
      <c r="M68" t="n">
        <v>0</v>
      </c>
      <c r="N68" t="n">
        <v>0</v>
      </c>
      <c r="O68" t="n">
        <v>0</v>
      </c>
      <c r="P68" t="n">
        <v>0</v>
      </c>
      <c r="Q68" t="n">
        <v>1</v>
      </c>
      <c r="R68" s="2" t="inlineStr">
        <is>
          <t>Skogsknipprot</t>
        </is>
      </c>
      <c r="S68">
        <f>HYPERLINK("https://klasma.github.io/Logging_1981/artfynd/A 29985-2022 artfynd.xlsx", "A 29985-2022")</f>
        <v/>
      </c>
      <c r="T68">
        <f>HYPERLINK("https://klasma.github.io/Logging_1981/kartor/A 29985-2022 karta.png", "A 29985-2022")</f>
        <v/>
      </c>
      <c r="V68">
        <f>HYPERLINK("https://klasma.github.io/Logging_1981/klagomål/A 29985-2022 FSC-klagomål.docx", "A 29985-2022")</f>
        <v/>
      </c>
      <c r="W68">
        <f>HYPERLINK("https://klasma.github.io/Logging_1981/klagomålsmail/A 29985-2022 FSC-klagomål mail.docx", "A 29985-2022")</f>
        <v/>
      </c>
      <c r="X68">
        <f>HYPERLINK("https://klasma.github.io/Logging_1981/tillsyn/A 29985-2022 tillsynsbegäran.docx", "A 29985-2022")</f>
        <v/>
      </c>
      <c r="Y68">
        <f>HYPERLINK("https://klasma.github.io/Logging_1981/tillsynsmail/A 29985-2022 tillsynsbegäran mail.docx", "A 29985-2022")</f>
        <v/>
      </c>
    </row>
    <row r="69" ht="15" customHeight="1">
      <c r="A69" t="inlineStr">
        <is>
          <t>A 7731-2023</t>
        </is>
      </c>
      <c r="B69" s="1" t="n">
        <v>44973</v>
      </c>
      <c r="C69" s="1" t="n">
        <v>46161</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56704-2022</t>
        </is>
      </c>
      <c r="B70" s="1" t="n">
        <v>44893.78075231481</v>
      </c>
      <c r="C70" s="1" t="n">
        <v>46161</v>
      </c>
      <c r="D70" t="inlineStr">
        <is>
          <t>VÄSTMANLANDS LÄN</t>
        </is>
      </c>
      <c r="E70" t="inlineStr">
        <is>
          <t>SALA</t>
        </is>
      </c>
      <c r="G70" t="n">
        <v>3.2</v>
      </c>
      <c r="H70" t="n">
        <v>1</v>
      </c>
      <c r="I70" t="n">
        <v>0</v>
      </c>
      <c r="J70" t="n">
        <v>0</v>
      </c>
      <c r="K70" t="n">
        <v>1</v>
      </c>
      <c r="L70" t="n">
        <v>0</v>
      </c>
      <c r="M70" t="n">
        <v>0</v>
      </c>
      <c r="N70" t="n">
        <v>0</v>
      </c>
      <c r="O70" t="n">
        <v>1</v>
      </c>
      <c r="P70" t="n">
        <v>1</v>
      </c>
      <c r="Q70" t="n">
        <v>1</v>
      </c>
      <c r="R70" s="2" t="inlineStr">
        <is>
          <t>Knärot</t>
        </is>
      </c>
      <c r="S70">
        <f>HYPERLINK("https://klasma.github.io/Logging_1981/artfynd/A 56704-2022 artfynd.xlsx", "A 56704-2022")</f>
        <v/>
      </c>
      <c r="T70">
        <f>HYPERLINK("https://klasma.github.io/Logging_1981/kartor/A 56704-2022 karta.png", "A 56704-2022")</f>
        <v/>
      </c>
      <c r="U70">
        <f>HYPERLINK("https://klasma.github.io/Logging_1981/knärot/A 56704-2022 karta knärot.png", "A 56704-2022")</f>
        <v/>
      </c>
      <c r="V70">
        <f>HYPERLINK("https://klasma.github.io/Logging_1981/klagomål/A 56704-2022 FSC-klagomål.docx", "A 56704-2022")</f>
        <v/>
      </c>
      <c r="W70">
        <f>HYPERLINK("https://klasma.github.io/Logging_1981/klagomålsmail/A 56704-2022 FSC-klagomål mail.docx", "A 56704-2022")</f>
        <v/>
      </c>
      <c r="X70">
        <f>HYPERLINK("https://klasma.github.io/Logging_1981/tillsyn/A 56704-2022 tillsynsbegäran.docx", "A 56704-2022")</f>
        <v/>
      </c>
      <c r="Y70">
        <f>HYPERLINK("https://klasma.github.io/Logging_1981/tillsynsmail/A 56704-2022 tillsynsbegäran mail.docx", "A 56704-2022")</f>
        <v/>
      </c>
    </row>
    <row r="71" ht="15" customHeight="1">
      <c r="A71" t="inlineStr">
        <is>
          <t>A 73124-2021</t>
        </is>
      </c>
      <c r="B71" s="1" t="n">
        <v>44550</v>
      </c>
      <c r="C71" s="1" t="n">
        <v>46161</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46161</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46161</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46161</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46161</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46161</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46161</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46161</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33762-2021</t>
        </is>
      </c>
      <c r="B79" s="1" t="n">
        <v>44378</v>
      </c>
      <c r="C79" s="1" t="n">
        <v>46161</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46161</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46161</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73683-2021</t>
        </is>
      </c>
      <c r="B82" s="1" t="n">
        <v>44552.47971064815</v>
      </c>
      <c r="C82" s="1" t="n">
        <v>46161</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24888-2021</t>
        </is>
      </c>
      <c r="B83" s="1" t="n">
        <v>44341</v>
      </c>
      <c r="C83" s="1" t="n">
        <v>46161</v>
      </c>
      <c r="D83" t="inlineStr">
        <is>
          <t>VÄSTMANLANDS LÄN</t>
        </is>
      </c>
      <c r="E83" t="inlineStr">
        <is>
          <t>SALA</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46161</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74277-2021</t>
        </is>
      </c>
      <c r="B85" s="1" t="n">
        <v>44558.76385416667</v>
      </c>
      <c r="C85" s="1" t="n">
        <v>46161</v>
      </c>
      <c r="D85" t="inlineStr">
        <is>
          <t>VÄSTMANLANDS LÄN</t>
        </is>
      </c>
      <c r="E85" t="inlineStr">
        <is>
          <t>SALA</t>
        </is>
      </c>
      <c r="F85" t="inlineStr">
        <is>
          <t>Kommuner</t>
        </is>
      </c>
      <c r="G85" t="n">
        <v>24.4</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46161</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46161</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31387-2022</t>
        </is>
      </c>
      <c r="B88" s="1" t="n">
        <v>44774.62174768518</v>
      </c>
      <c r="C88" s="1" t="n">
        <v>46161</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46161</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46161</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46161</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46161</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46161</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46161</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46161</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46161</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55733-2022</t>
        </is>
      </c>
      <c r="B98" s="1" t="n">
        <v>44888.58435185185</v>
      </c>
      <c r="C98" s="1" t="n">
        <v>46161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46161</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29228-2022</t>
        </is>
      </c>
      <c r="B101" s="1" t="n">
        <v>44750</v>
      </c>
      <c r="C101" s="1" t="n">
        <v>46161</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46161</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46161</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46161</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46161</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46161</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46161</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46161</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46161</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46161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46161</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46161</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46161</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46161</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46161</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46161</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46161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46161</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46161</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46161</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46161</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46161</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46161</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46161</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46161</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46161</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46161</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46161</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46161</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46161</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46161</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46161</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46161</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46161</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46161</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46161</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46161</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46161</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46161</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46161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46161</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46161</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46161</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46161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46161</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46161</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46161</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46161</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46161</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46161</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46161</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46161</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46161</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46161</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46161</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46161</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46161</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46161</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46161</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46161</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46161</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37881-2021</t>
        </is>
      </c>
      <c r="B164" s="1" t="n">
        <v>44403</v>
      </c>
      <c r="C164" s="1" t="n">
        <v>46161</v>
      </c>
      <c r="D164" t="inlineStr">
        <is>
          <t>VÄSTMANLANDS LÄN</t>
        </is>
      </c>
      <c r="E164" t="inlineStr">
        <is>
          <t>SALA</t>
        </is>
      </c>
      <c r="G164" t="n">
        <v>4.6</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46161</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46161</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46161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46161</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46161</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46161</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46161</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46161</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46161</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46161</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46161</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46161</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46161</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46161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46161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58107-2021</t>
        </is>
      </c>
      <c r="B180" s="1" t="n">
        <v>44487</v>
      </c>
      <c r="C180" s="1" t="n">
        <v>46161</v>
      </c>
      <c r="D180" t="inlineStr">
        <is>
          <t>VÄSTMANLANDS LÄN</t>
        </is>
      </c>
      <c r="E180" t="inlineStr">
        <is>
          <t>SALA</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46161</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46161</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35462-2024</t>
        </is>
      </c>
      <c r="B183" s="1" t="n">
        <v>45531</v>
      </c>
      <c r="C183" s="1" t="n">
        <v>46161</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46161</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6097-2022</t>
        </is>
      </c>
      <c r="B185" s="1" t="n">
        <v>44599</v>
      </c>
      <c r="C185" s="1" t="n">
        <v>46161</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16767-2024</t>
        </is>
      </c>
      <c r="B186" s="1" t="n">
        <v>45411.38171296296</v>
      </c>
      <c r="C186" s="1" t="n">
        <v>46161</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13188-2025</t>
        </is>
      </c>
      <c r="B187" s="1" t="n">
        <v>45735.39246527778</v>
      </c>
      <c r="C187" s="1" t="n">
        <v>46161</v>
      </c>
      <c r="D187" t="inlineStr">
        <is>
          <t>VÄSTMANLANDS LÄN</t>
        </is>
      </c>
      <c r="E187" t="inlineStr">
        <is>
          <t>SALA</t>
        </is>
      </c>
      <c r="F187" t="inlineStr">
        <is>
          <t>Naturvårdsverket</t>
        </is>
      </c>
      <c r="G187" t="n">
        <v>18.4</v>
      </c>
      <c r="H187" t="n">
        <v>0</v>
      </c>
      <c r="I187" t="n">
        <v>0</v>
      </c>
      <c r="J187" t="n">
        <v>0</v>
      </c>
      <c r="K187" t="n">
        <v>0</v>
      </c>
      <c r="L187" t="n">
        <v>0</v>
      </c>
      <c r="M187" t="n">
        <v>0</v>
      </c>
      <c r="N187" t="n">
        <v>0</v>
      </c>
      <c r="O187" t="n">
        <v>0</v>
      </c>
      <c r="P187" t="n">
        <v>0</v>
      </c>
      <c r="Q187" t="n">
        <v>0</v>
      </c>
      <c r="R187" s="2" t="inlineStr"/>
    </row>
    <row r="188" ht="15" customHeight="1">
      <c r="A188" t="inlineStr">
        <is>
          <t>A 26692-2023</t>
        </is>
      </c>
      <c r="B188" s="1" t="n">
        <v>45093.360625</v>
      </c>
      <c r="C188" s="1" t="n">
        <v>46161</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48057-2025</t>
        </is>
      </c>
      <c r="B189" s="1" t="n">
        <v>45932.67947916667</v>
      </c>
      <c r="C189" s="1" t="n">
        <v>46161</v>
      </c>
      <c r="D189" t="inlineStr">
        <is>
          <t>VÄSTMANLANDS LÄN</t>
        </is>
      </c>
      <c r="E189" t="inlineStr">
        <is>
          <t>SALA</t>
        </is>
      </c>
      <c r="G189" t="n">
        <v>4.3</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46161</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46161</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48710-2025</t>
        </is>
      </c>
      <c r="B192" s="1" t="n">
        <v>45936.63184027778</v>
      </c>
      <c r="C192" s="1" t="n">
        <v>46161</v>
      </c>
      <c r="D192" t="inlineStr">
        <is>
          <t>VÄSTMANLANDS LÄN</t>
        </is>
      </c>
      <c r="E192" t="inlineStr">
        <is>
          <t>SALA</t>
        </is>
      </c>
      <c r="G192" t="n">
        <v>2.7</v>
      </c>
      <c r="H192" t="n">
        <v>0</v>
      </c>
      <c r="I192" t="n">
        <v>0</v>
      </c>
      <c r="J192" t="n">
        <v>0</v>
      </c>
      <c r="K192" t="n">
        <v>0</v>
      </c>
      <c r="L192" t="n">
        <v>0</v>
      </c>
      <c r="M192" t="n">
        <v>0</v>
      </c>
      <c r="N192" t="n">
        <v>0</v>
      </c>
      <c r="O192" t="n">
        <v>0</v>
      </c>
      <c r="P192" t="n">
        <v>0</v>
      </c>
      <c r="Q192" t="n">
        <v>0</v>
      </c>
      <c r="R192" s="2" t="inlineStr"/>
    </row>
    <row r="193" ht="15" customHeight="1">
      <c r="A193" t="inlineStr">
        <is>
          <t>A 12246-2023</t>
        </is>
      </c>
      <c r="B193" s="1" t="n">
        <v>44995</v>
      </c>
      <c r="C193" s="1" t="n">
        <v>46161</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46161</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48910-2025</t>
        </is>
      </c>
      <c r="B195" s="1" t="n">
        <v>45937.48649305556</v>
      </c>
      <c r="C195" s="1" t="n">
        <v>46161</v>
      </c>
      <c r="D195" t="inlineStr">
        <is>
          <t>VÄSTMANLANDS LÄN</t>
        </is>
      </c>
      <c r="E195" t="inlineStr">
        <is>
          <t>SALA</t>
        </is>
      </c>
      <c r="G195" t="n">
        <v>7.8</v>
      </c>
      <c r="H195" t="n">
        <v>0</v>
      </c>
      <c r="I195" t="n">
        <v>0</v>
      </c>
      <c r="J195" t="n">
        <v>0</v>
      </c>
      <c r="K195" t="n">
        <v>0</v>
      </c>
      <c r="L195" t="n">
        <v>0</v>
      </c>
      <c r="M195" t="n">
        <v>0</v>
      </c>
      <c r="N195" t="n">
        <v>0</v>
      </c>
      <c r="O195" t="n">
        <v>0</v>
      </c>
      <c r="P195" t="n">
        <v>0</v>
      </c>
      <c r="Q195" t="n">
        <v>0</v>
      </c>
      <c r="R195" s="2" t="inlineStr"/>
    </row>
    <row r="196" ht="15" customHeight="1">
      <c r="A196" t="inlineStr">
        <is>
          <t>A 23431-2024</t>
        </is>
      </c>
      <c r="B196" s="1" t="n">
        <v>45453</v>
      </c>
      <c r="C196" s="1" t="n">
        <v>46161</v>
      </c>
      <c r="D196" t="inlineStr">
        <is>
          <t>VÄSTMANLANDS LÄN</t>
        </is>
      </c>
      <c r="E196" t="inlineStr">
        <is>
          <t>SALA</t>
        </is>
      </c>
      <c r="G196" t="n">
        <v>1.6</v>
      </c>
      <c r="H196" t="n">
        <v>0</v>
      </c>
      <c r="I196" t="n">
        <v>0</v>
      </c>
      <c r="J196" t="n">
        <v>0</v>
      </c>
      <c r="K196" t="n">
        <v>0</v>
      </c>
      <c r="L196" t="n">
        <v>0</v>
      </c>
      <c r="M196" t="n">
        <v>0</v>
      </c>
      <c r="N196" t="n">
        <v>0</v>
      </c>
      <c r="O196" t="n">
        <v>0</v>
      </c>
      <c r="P196" t="n">
        <v>0</v>
      </c>
      <c r="Q196" t="n">
        <v>0</v>
      </c>
      <c r="R196" s="2" t="inlineStr"/>
    </row>
    <row r="197" ht="15" customHeight="1">
      <c r="A197" t="inlineStr">
        <is>
          <t>A 49585-2025</t>
        </is>
      </c>
      <c r="B197" s="1" t="n">
        <v>45939.5043287037</v>
      </c>
      <c r="C197" s="1" t="n">
        <v>46161</v>
      </c>
      <c r="D197" t="inlineStr">
        <is>
          <t>VÄSTMANLANDS LÄN</t>
        </is>
      </c>
      <c r="E197" t="inlineStr">
        <is>
          <t>SALA</t>
        </is>
      </c>
      <c r="G197" t="n">
        <v>2.2</v>
      </c>
      <c r="H197" t="n">
        <v>0</v>
      </c>
      <c r="I197" t="n">
        <v>0</v>
      </c>
      <c r="J197" t="n">
        <v>0</v>
      </c>
      <c r="K197" t="n">
        <v>0</v>
      </c>
      <c r="L197" t="n">
        <v>0</v>
      </c>
      <c r="M197" t="n">
        <v>0</v>
      </c>
      <c r="N197" t="n">
        <v>0</v>
      </c>
      <c r="O197" t="n">
        <v>0</v>
      </c>
      <c r="P197" t="n">
        <v>0</v>
      </c>
      <c r="Q197" t="n">
        <v>0</v>
      </c>
      <c r="R197" s="2" t="inlineStr"/>
    </row>
    <row r="198" ht="15" customHeight="1">
      <c r="A198" t="inlineStr">
        <is>
          <t>A 33732-2023</t>
        </is>
      </c>
      <c r="B198" s="1" t="n">
        <v>45133.32409722222</v>
      </c>
      <c r="C198" s="1" t="n">
        <v>46161</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21168-2025</t>
        </is>
      </c>
      <c r="B199" s="1" t="n">
        <v>45777</v>
      </c>
      <c r="C199" s="1" t="n">
        <v>46161</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59909-2024</t>
        </is>
      </c>
      <c r="B200" s="1" t="n">
        <v>45641</v>
      </c>
      <c r="C200" s="1" t="n">
        <v>46161</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41292-2021</t>
        </is>
      </c>
      <c r="B201" s="1" t="n">
        <v>44424</v>
      </c>
      <c r="C201" s="1" t="n">
        <v>46161</v>
      </c>
      <c r="D201" t="inlineStr">
        <is>
          <t>VÄSTMANLANDS LÄN</t>
        </is>
      </c>
      <c r="E201" t="inlineStr">
        <is>
          <t>SALA</t>
        </is>
      </c>
      <c r="G201" t="n">
        <v>0.3</v>
      </c>
      <c r="H201" t="n">
        <v>0</v>
      </c>
      <c r="I201" t="n">
        <v>0</v>
      </c>
      <c r="J201" t="n">
        <v>0</v>
      </c>
      <c r="K201" t="n">
        <v>0</v>
      </c>
      <c r="L201" t="n">
        <v>0</v>
      </c>
      <c r="M201" t="n">
        <v>0</v>
      </c>
      <c r="N201" t="n">
        <v>0</v>
      </c>
      <c r="O201" t="n">
        <v>0</v>
      </c>
      <c r="P201" t="n">
        <v>0</v>
      </c>
      <c r="Q201" t="n">
        <v>0</v>
      </c>
      <c r="R201" s="2" t="inlineStr"/>
    </row>
    <row r="202" ht="15" customHeight="1">
      <c r="A202" t="inlineStr">
        <is>
          <t>A 38574-2025</t>
        </is>
      </c>
      <c r="B202" s="1" t="n">
        <v>45884.46390046296</v>
      </c>
      <c r="C202" s="1" t="n">
        <v>46161</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51464-2024</t>
        </is>
      </c>
      <c r="B203" s="1" t="n">
        <v>45604.49768518518</v>
      </c>
      <c r="C203" s="1" t="n">
        <v>46161</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21754-2025</t>
        </is>
      </c>
      <c r="B204" s="1" t="n">
        <v>45783.61837962963</v>
      </c>
      <c r="C204" s="1" t="n">
        <v>46161</v>
      </c>
      <c r="D204" t="inlineStr">
        <is>
          <t>VÄSTMANLANDS LÄN</t>
        </is>
      </c>
      <c r="E204" t="inlineStr">
        <is>
          <t>SALA</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21751-2025</t>
        </is>
      </c>
      <c r="B205" s="1" t="n">
        <v>45783.61372685185</v>
      </c>
      <c r="C205" s="1" t="n">
        <v>46161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54603-2024</t>
        </is>
      </c>
      <c r="B206" s="1" t="n">
        <v>45617.68224537037</v>
      </c>
      <c r="C206" s="1" t="n">
        <v>46161</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69232-2021</t>
        </is>
      </c>
      <c r="B207" s="1" t="n">
        <v>44531.39696759259</v>
      </c>
      <c r="C207" s="1" t="n">
        <v>46161</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19398-2025</t>
        </is>
      </c>
      <c r="B208" s="1" t="n">
        <v>45769</v>
      </c>
      <c r="C208" s="1" t="n">
        <v>46161</v>
      </c>
      <c r="D208" t="inlineStr">
        <is>
          <t>VÄSTMANLANDS LÄN</t>
        </is>
      </c>
      <c r="E208" t="inlineStr">
        <is>
          <t>SALA</t>
        </is>
      </c>
      <c r="G208" t="n">
        <v>0.4</v>
      </c>
      <c r="H208" t="n">
        <v>0</v>
      </c>
      <c r="I208" t="n">
        <v>0</v>
      </c>
      <c r="J208" t="n">
        <v>0</v>
      </c>
      <c r="K208" t="n">
        <v>0</v>
      </c>
      <c r="L208" t="n">
        <v>0</v>
      </c>
      <c r="M208" t="n">
        <v>0</v>
      </c>
      <c r="N208" t="n">
        <v>0</v>
      </c>
      <c r="O208" t="n">
        <v>0</v>
      </c>
      <c r="P208" t="n">
        <v>0</v>
      </c>
      <c r="Q208" t="n">
        <v>0</v>
      </c>
      <c r="R208" s="2" t="inlineStr"/>
    </row>
    <row r="209" ht="15" customHeight="1">
      <c r="A209" t="inlineStr">
        <is>
          <t>A 37587-2024</t>
        </is>
      </c>
      <c r="B209" s="1" t="n">
        <v>45541</v>
      </c>
      <c r="C209" s="1" t="n">
        <v>46161</v>
      </c>
      <c r="D209" t="inlineStr">
        <is>
          <t>VÄSTMANLANDS LÄN</t>
        </is>
      </c>
      <c r="E209" t="inlineStr">
        <is>
          <t>SALA</t>
        </is>
      </c>
      <c r="G209" t="n">
        <v>1.2</v>
      </c>
      <c r="H209" t="n">
        <v>0</v>
      </c>
      <c r="I209" t="n">
        <v>0</v>
      </c>
      <c r="J209" t="n">
        <v>0</v>
      </c>
      <c r="K209" t="n">
        <v>0</v>
      </c>
      <c r="L209" t="n">
        <v>0</v>
      </c>
      <c r="M209" t="n">
        <v>0</v>
      </c>
      <c r="N209" t="n">
        <v>0</v>
      </c>
      <c r="O209" t="n">
        <v>0</v>
      </c>
      <c r="P209" t="n">
        <v>0</v>
      </c>
      <c r="Q209" t="n">
        <v>0</v>
      </c>
      <c r="R209" s="2" t="inlineStr"/>
    </row>
    <row r="210" ht="15" customHeight="1">
      <c r="A210" t="inlineStr">
        <is>
          <t>A 4797-2023</t>
        </is>
      </c>
      <c r="B210" s="1" t="n">
        <v>44957</v>
      </c>
      <c r="C210" s="1" t="n">
        <v>46161</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49640-2025</t>
        </is>
      </c>
      <c r="B211" s="1" t="n">
        <v>45939.61459490741</v>
      </c>
      <c r="C211" s="1" t="n">
        <v>46161</v>
      </c>
      <c r="D211" t="inlineStr">
        <is>
          <t>VÄSTMANLANDS LÄN</t>
        </is>
      </c>
      <c r="E211" t="inlineStr">
        <is>
          <t>SALA</t>
        </is>
      </c>
      <c r="F211" t="inlineStr">
        <is>
          <t>Kommuner</t>
        </is>
      </c>
      <c r="G211" t="n">
        <v>18.8</v>
      </c>
      <c r="H211" t="n">
        <v>0</v>
      </c>
      <c r="I211" t="n">
        <v>0</v>
      </c>
      <c r="J211" t="n">
        <v>0</v>
      </c>
      <c r="K211" t="n">
        <v>0</v>
      </c>
      <c r="L211" t="n">
        <v>0</v>
      </c>
      <c r="M211" t="n">
        <v>0</v>
      </c>
      <c r="N211" t="n">
        <v>0</v>
      </c>
      <c r="O211" t="n">
        <v>0</v>
      </c>
      <c r="P211" t="n">
        <v>0</v>
      </c>
      <c r="Q211" t="n">
        <v>0</v>
      </c>
      <c r="R211" s="2" t="inlineStr"/>
    </row>
    <row r="212" ht="15" customHeight="1">
      <c r="A212" t="inlineStr">
        <is>
          <t>A 61517-2024</t>
        </is>
      </c>
      <c r="B212" s="1" t="n">
        <v>45645</v>
      </c>
      <c r="C212" s="1" t="n">
        <v>46161</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31864-2025</t>
        </is>
      </c>
      <c r="B213" s="1" t="n">
        <v>45834.63819444444</v>
      </c>
      <c r="C213" s="1" t="n">
        <v>46161</v>
      </c>
      <c r="D213" t="inlineStr">
        <is>
          <t>VÄSTMANLANDS LÄN</t>
        </is>
      </c>
      <c r="E213" t="inlineStr">
        <is>
          <t>SALA</t>
        </is>
      </c>
      <c r="G213" t="n">
        <v>6.3</v>
      </c>
      <c r="H213" t="n">
        <v>0</v>
      </c>
      <c r="I213" t="n">
        <v>0</v>
      </c>
      <c r="J213" t="n">
        <v>0</v>
      </c>
      <c r="K213" t="n">
        <v>0</v>
      </c>
      <c r="L213" t="n">
        <v>0</v>
      </c>
      <c r="M213" t="n">
        <v>0</v>
      </c>
      <c r="N213" t="n">
        <v>0</v>
      </c>
      <c r="O213" t="n">
        <v>0</v>
      </c>
      <c r="P213" t="n">
        <v>0</v>
      </c>
      <c r="Q213" t="n">
        <v>0</v>
      </c>
      <c r="R213" s="2" t="inlineStr"/>
    </row>
    <row r="214" ht="15" customHeight="1">
      <c r="A214" t="inlineStr">
        <is>
          <t>A 1638-2023</t>
        </is>
      </c>
      <c r="B214" s="1" t="n">
        <v>44937</v>
      </c>
      <c r="C214" s="1" t="n">
        <v>46161</v>
      </c>
      <c r="D214" t="inlineStr">
        <is>
          <t>VÄSTMANLANDS LÄN</t>
        </is>
      </c>
      <c r="E214" t="inlineStr">
        <is>
          <t>SALA</t>
        </is>
      </c>
      <c r="G214" t="n">
        <v>3.1</v>
      </c>
      <c r="H214" t="n">
        <v>0</v>
      </c>
      <c r="I214" t="n">
        <v>0</v>
      </c>
      <c r="J214" t="n">
        <v>0</v>
      </c>
      <c r="K214" t="n">
        <v>0</v>
      </c>
      <c r="L214" t="n">
        <v>0</v>
      </c>
      <c r="M214" t="n">
        <v>0</v>
      </c>
      <c r="N214" t="n">
        <v>0</v>
      </c>
      <c r="O214" t="n">
        <v>0</v>
      </c>
      <c r="P214" t="n">
        <v>0</v>
      </c>
      <c r="Q214" t="n">
        <v>0</v>
      </c>
      <c r="R214" s="2" t="inlineStr"/>
    </row>
    <row r="215" ht="15" customHeight="1">
      <c r="A215" t="inlineStr">
        <is>
          <t>A 64724-2023</t>
        </is>
      </c>
      <c r="B215" s="1" t="n">
        <v>45281.7602662037</v>
      </c>
      <c r="C215" s="1" t="n">
        <v>46161</v>
      </c>
      <c r="D215" t="inlineStr">
        <is>
          <t>VÄSTMANLANDS LÄN</t>
        </is>
      </c>
      <c r="E215" t="inlineStr">
        <is>
          <t>SALA</t>
        </is>
      </c>
      <c r="G215" t="n">
        <v>2.3</v>
      </c>
      <c r="H215" t="n">
        <v>0</v>
      </c>
      <c r="I215" t="n">
        <v>0</v>
      </c>
      <c r="J215" t="n">
        <v>0</v>
      </c>
      <c r="K215" t="n">
        <v>0</v>
      </c>
      <c r="L215" t="n">
        <v>0</v>
      </c>
      <c r="M215" t="n">
        <v>0</v>
      </c>
      <c r="N215" t="n">
        <v>0</v>
      </c>
      <c r="O215" t="n">
        <v>0</v>
      </c>
      <c r="P215" t="n">
        <v>0</v>
      </c>
      <c r="Q215" t="n">
        <v>0</v>
      </c>
      <c r="R215" s="2" t="inlineStr"/>
    </row>
    <row r="216" ht="15" customHeight="1">
      <c r="A216" t="inlineStr">
        <is>
          <t>A 15972-2024</t>
        </is>
      </c>
      <c r="B216" s="1" t="n">
        <v>45405.56498842593</v>
      </c>
      <c r="C216" s="1" t="n">
        <v>46161</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7176-2023</t>
        </is>
      </c>
      <c r="B217" s="1" t="n">
        <v>44970</v>
      </c>
      <c r="C217" s="1" t="n">
        <v>46161</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37958-2024</t>
        </is>
      </c>
      <c r="B218" s="1" t="n">
        <v>45544</v>
      </c>
      <c r="C218" s="1" t="n">
        <v>46161</v>
      </c>
      <c r="D218" t="inlineStr">
        <is>
          <t>VÄSTMANLANDS LÄN</t>
        </is>
      </c>
      <c r="E218" t="inlineStr">
        <is>
          <t>SALA</t>
        </is>
      </c>
      <c r="G218" t="n">
        <v>5.6</v>
      </c>
      <c r="H218" t="n">
        <v>0</v>
      </c>
      <c r="I218" t="n">
        <v>0</v>
      </c>
      <c r="J218" t="n">
        <v>0</v>
      </c>
      <c r="K218" t="n">
        <v>0</v>
      </c>
      <c r="L218" t="n">
        <v>0</v>
      </c>
      <c r="M218" t="n">
        <v>0</v>
      </c>
      <c r="N218" t="n">
        <v>0</v>
      </c>
      <c r="O218" t="n">
        <v>0</v>
      </c>
      <c r="P218" t="n">
        <v>0</v>
      </c>
      <c r="Q218" t="n">
        <v>0</v>
      </c>
      <c r="R218" s="2" t="inlineStr"/>
    </row>
    <row r="219" ht="15" customHeight="1">
      <c r="A219" t="inlineStr">
        <is>
          <t>A 43600-2024</t>
        </is>
      </c>
      <c r="B219" s="1" t="n">
        <v>45569</v>
      </c>
      <c r="C219" s="1" t="n">
        <v>46161</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39167-2025</t>
        </is>
      </c>
      <c r="B220" s="1" t="n">
        <v>45888</v>
      </c>
      <c r="C220" s="1" t="n">
        <v>46161</v>
      </c>
      <c r="D220" t="inlineStr">
        <is>
          <t>VÄSTMANLANDS LÄN</t>
        </is>
      </c>
      <c r="E220" t="inlineStr">
        <is>
          <t>SALA</t>
        </is>
      </c>
      <c r="G220" t="n">
        <v>5.5</v>
      </c>
      <c r="H220" t="n">
        <v>0</v>
      </c>
      <c r="I220" t="n">
        <v>0</v>
      </c>
      <c r="J220" t="n">
        <v>0</v>
      </c>
      <c r="K220" t="n">
        <v>0</v>
      </c>
      <c r="L220" t="n">
        <v>0</v>
      </c>
      <c r="M220" t="n">
        <v>0</v>
      </c>
      <c r="N220" t="n">
        <v>0</v>
      </c>
      <c r="O220" t="n">
        <v>0</v>
      </c>
      <c r="P220" t="n">
        <v>0</v>
      </c>
      <c r="Q220" t="n">
        <v>0</v>
      </c>
      <c r="R220" s="2" t="inlineStr"/>
    </row>
    <row r="221" ht="15" customHeight="1">
      <c r="A221" t="inlineStr">
        <is>
          <t>A 39182-2025</t>
        </is>
      </c>
      <c r="B221" s="1" t="n">
        <v>45888.66204861111</v>
      </c>
      <c r="C221" s="1" t="n">
        <v>46161</v>
      </c>
      <c r="D221" t="inlineStr">
        <is>
          <t>VÄSTMANLANDS LÄN</t>
        </is>
      </c>
      <c r="E221" t="inlineStr">
        <is>
          <t>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31405-2024</t>
        </is>
      </c>
      <c r="B222" s="1" t="n">
        <v>45505.5490625</v>
      </c>
      <c r="C222" s="1" t="n">
        <v>46161</v>
      </c>
      <c r="D222" t="inlineStr">
        <is>
          <t>VÄSTMANLANDS LÄN</t>
        </is>
      </c>
      <c r="E222" t="inlineStr">
        <is>
          <t>SALA</t>
        </is>
      </c>
      <c r="G222" t="n">
        <v>5.2</v>
      </c>
      <c r="H222" t="n">
        <v>0</v>
      </c>
      <c r="I222" t="n">
        <v>0</v>
      </c>
      <c r="J222" t="n">
        <v>0</v>
      </c>
      <c r="K222" t="n">
        <v>0</v>
      </c>
      <c r="L222" t="n">
        <v>0</v>
      </c>
      <c r="M222" t="n">
        <v>0</v>
      </c>
      <c r="N222" t="n">
        <v>0</v>
      </c>
      <c r="O222" t="n">
        <v>0</v>
      </c>
      <c r="P222" t="n">
        <v>0</v>
      </c>
      <c r="Q222" t="n">
        <v>0</v>
      </c>
      <c r="R222" s="2" t="inlineStr"/>
    </row>
    <row r="223" ht="15" customHeight="1">
      <c r="A223" t="inlineStr">
        <is>
          <t>A 22616-2025</t>
        </is>
      </c>
      <c r="B223" s="1" t="n">
        <v>45789.42752314815</v>
      </c>
      <c r="C223" s="1" t="n">
        <v>46161</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22353-2025</t>
        </is>
      </c>
      <c r="B224" s="1" t="n">
        <v>45786</v>
      </c>
      <c r="C224" s="1" t="n">
        <v>46161</v>
      </c>
      <c r="D224" t="inlineStr">
        <is>
          <t>VÄSTMANLANDS LÄN</t>
        </is>
      </c>
      <c r="E224" t="inlineStr">
        <is>
          <t>SALA</t>
        </is>
      </c>
      <c r="G224" t="n">
        <v>2.5</v>
      </c>
      <c r="H224" t="n">
        <v>0</v>
      </c>
      <c r="I224" t="n">
        <v>0</v>
      </c>
      <c r="J224" t="n">
        <v>0</v>
      </c>
      <c r="K224" t="n">
        <v>0</v>
      </c>
      <c r="L224" t="n">
        <v>0</v>
      </c>
      <c r="M224" t="n">
        <v>0</v>
      </c>
      <c r="N224" t="n">
        <v>0</v>
      </c>
      <c r="O224" t="n">
        <v>0</v>
      </c>
      <c r="P224" t="n">
        <v>0</v>
      </c>
      <c r="Q224" t="n">
        <v>0</v>
      </c>
      <c r="R224" s="2" t="inlineStr"/>
    </row>
    <row r="225" ht="15" customHeight="1">
      <c r="A225" t="inlineStr">
        <is>
          <t>A 22383-2025</t>
        </is>
      </c>
      <c r="B225" s="1" t="n">
        <v>45786</v>
      </c>
      <c r="C225" s="1" t="n">
        <v>46161</v>
      </c>
      <c r="D225" t="inlineStr">
        <is>
          <t>VÄSTMANLANDS LÄN</t>
        </is>
      </c>
      <c r="E225" t="inlineStr">
        <is>
          <t>SALA</t>
        </is>
      </c>
      <c r="G225" t="n">
        <v>2.2</v>
      </c>
      <c r="H225" t="n">
        <v>0</v>
      </c>
      <c r="I225" t="n">
        <v>0</v>
      </c>
      <c r="J225" t="n">
        <v>0</v>
      </c>
      <c r="K225" t="n">
        <v>0</v>
      </c>
      <c r="L225" t="n">
        <v>0</v>
      </c>
      <c r="M225" t="n">
        <v>0</v>
      </c>
      <c r="N225" t="n">
        <v>0</v>
      </c>
      <c r="O225" t="n">
        <v>0</v>
      </c>
      <c r="P225" t="n">
        <v>0</v>
      </c>
      <c r="Q225" t="n">
        <v>0</v>
      </c>
      <c r="R225" s="2" t="inlineStr"/>
    </row>
    <row r="226" ht="15" customHeight="1">
      <c r="A226" t="inlineStr">
        <is>
          <t>A 1555-2024</t>
        </is>
      </c>
      <c r="B226" s="1" t="n">
        <v>45306</v>
      </c>
      <c r="C226" s="1" t="n">
        <v>46161</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22624-2025</t>
        </is>
      </c>
      <c r="B227" s="1" t="n">
        <v>45789.43327546296</v>
      </c>
      <c r="C227" s="1" t="n">
        <v>46161</v>
      </c>
      <c r="D227" t="inlineStr">
        <is>
          <t>VÄSTMANLANDS LÄN</t>
        </is>
      </c>
      <c r="E227" t="inlineStr">
        <is>
          <t>SALA</t>
        </is>
      </c>
      <c r="G227" t="n">
        <v>1.5</v>
      </c>
      <c r="H227" t="n">
        <v>0</v>
      </c>
      <c r="I227" t="n">
        <v>0</v>
      </c>
      <c r="J227" t="n">
        <v>0</v>
      </c>
      <c r="K227" t="n">
        <v>0</v>
      </c>
      <c r="L227" t="n">
        <v>0</v>
      </c>
      <c r="M227" t="n">
        <v>0</v>
      </c>
      <c r="N227" t="n">
        <v>0</v>
      </c>
      <c r="O227" t="n">
        <v>0</v>
      </c>
      <c r="P227" t="n">
        <v>0</v>
      </c>
      <c r="Q227" t="n">
        <v>0</v>
      </c>
      <c r="R227" s="2" t="inlineStr"/>
    </row>
    <row r="228" ht="15" customHeight="1">
      <c r="A228" t="inlineStr">
        <is>
          <t>A 50128-2025</t>
        </is>
      </c>
      <c r="B228" s="1" t="n">
        <v>45943.55318287037</v>
      </c>
      <c r="C228" s="1" t="n">
        <v>46161</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50119-2025</t>
        </is>
      </c>
      <c r="B229" s="1" t="n">
        <v>45943.54883101852</v>
      </c>
      <c r="C229" s="1" t="n">
        <v>46161</v>
      </c>
      <c r="D229" t="inlineStr">
        <is>
          <t>VÄSTMANLANDS LÄN</t>
        </is>
      </c>
      <c r="E229" t="inlineStr">
        <is>
          <t>SALA</t>
        </is>
      </c>
      <c r="G229" t="n">
        <v>3.3</v>
      </c>
      <c r="H229" t="n">
        <v>0</v>
      </c>
      <c r="I229" t="n">
        <v>0</v>
      </c>
      <c r="J229" t="n">
        <v>0</v>
      </c>
      <c r="K229" t="n">
        <v>0</v>
      </c>
      <c r="L229" t="n">
        <v>0</v>
      </c>
      <c r="M229" t="n">
        <v>0</v>
      </c>
      <c r="N229" t="n">
        <v>0</v>
      </c>
      <c r="O229" t="n">
        <v>0</v>
      </c>
      <c r="P229" t="n">
        <v>0</v>
      </c>
      <c r="Q229" t="n">
        <v>0</v>
      </c>
      <c r="R229" s="2" t="inlineStr"/>
    </row>
    <row r="230" ht="15" customHeight="1">
      <c r="A230" t="inlineStr">
        <is>
          <t>A 50059-2025</t>
        </is>
      </c>
      <c r="B230" s="1" t="n">
        <v>45943.44125</v>
      </c>
      <c r="C230" s="1" t="n">
        <v>46161</v>
      </c>
      <c r="D230" t="inlineStr">
        <is>
          <t>VÄSTMANLANDS LÄN</t>
        </is>
      </c>
      <c r="E230" t="inlineStr">
        <is>
          <t>SALA</t>
        </is>
      </c>
      <c r="G230" t="n">
        <v>4.4</v>
      </c>
      <c r="H230" t="n">
        <v>0</v>
      </c>
      <c r="I230" t="n">
        <v>0</v>
      </c>
      <c r="J230" t="n">
        <v>0</v>
      </c>
      <c r="K230" t="n">
        <v>0</v>
      </c>
      <c r="L230" t="n">
        <v>0</v>
      </c>
      <c r="M230" t="n">
        <v>0</v>
      </c>
      <c r="N230" t="n">
        <v>0</v>
      </c>
      <c r="O230" t="n">
        <v>0</v>
      </c>
      <c r="P230" t="n">
        <v>0</v>
      </c>
      <c r="Q230" t="n">
        <v>0</v>
      </c>
      <c r="R230" s="2" t="inlineStr"/>
    </row>
    <row r="231" ht="15" customHeight="1">
      <c r="A231" t="inlineStr">
        <is>
          <t>A 22370-2025</t>
        </is>
      </c>
      <c r="B231" s="1" t="n">
        <v>45786</v>
      </c>
      <c r="C231" s="1" t="n">
        <v>46161</v>
      </c>
      <c r="D231" t="inlineStr">
        <is>
          <t>VÄSTMANLANDS LÄN</t>
        </is>
      </c>
      <c r="E231" t="inlineStr">
        <is>
          <t>SALA</t>
        </is>
      </c>
      <c r="G231" t="n">
        <v>3.2</v>
      </c>
      <c r="H231" t="n">
        <v>0</v>
      </c>
      <c r="I231" t="n">
        <v>0</v>
      </c>
      <c r="J231" t="n">
        <v>0</v>
      </c>
      <c r="K231" t="n">
        <v>0</v>
      </c>
      <c r="L231" t="n">
        <v>0</v>
      </c>
      <c r="M231" t="n">
        <v>0</v>
      </c>
      <c r="N231" t="n">
        <v>0</v>
      </c>
      <c r="O231" t="n">
        <v>0</v>
      </c>
      <c r="P231" t="n">
        <v>0</v>
      </c>
      <c r="Q231" t="n">
        <v>0</v>
      </c>
      <c r="R231" s="2" t="inlineStr"/>
    </row>
    <row r="232" ht="15" customHeight="1">
      <c r="A232" t="inlineStr">
        <is>
          <t>A 50249-2025</t>
        </is>
      </c>
      <c r="B232" s="1" t="n">
        <v>45944.31508101852</v>
      </c>
      <c r="C232" s="1" t="n">
        <v>46161</v>
      </c>
      <c r="D232" t="inlineStr">
        <is>
          <t>VÄSTMANLANDS LÄN</t>
        </is>
      </c>
      <c r="E232" t="inlineStr">
        <is>
          <t>SALA</t>
        </is>
      </c>
      <c r="G232" t="n">
        <v>2.3</v>
      </c>
      <c r="H232" t="n">
        <v>0</v>
      </c>
      <c r="I232" t="n">
        <v>0</v>
      </c>
      <c r="J232" t="n">
        <v>0</v>
      </c>
      <c r="K232" t="n">
        <v>0</v>
      </c>
      <c r="L232" t="n">
        <v>0</v>
      </c>
      <c r="M232" t="n">
        <v>0</v>
      </c>
      <c r="N232" t="n">
        <v>0</v>
      </c>
      <c r="O232" t="n">
        <v>0</v>
      </c>
      <c r="P232" t="n">
        <v>0</v>
      </c>
      <c r="Q232" t="n">
        <v>0</v>
      </c>
      <c r="R232" s="2" t="inlineStr"/>
    </row>
    <row r="233" ht="15" customHeight="1">
      <c r="A233" t="inlineStr">
        <is>
          <t>A 52498-2022</t>
        </is>
      </c>
      <c r="B233" s="1" t="n">
        <v>44874.50152777778</v>
      </c>
      <c r="C233" s="1" t="n">
        <v>46161</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13130-2025</t>
        </is>
      </c>
      <c r="B234" s="1" t="n">
        <v>45734</v>
      </c>
      <c r="C234" s="1" t="n">
        <v>46161</v>
      </c>
      <c r="D234" t="inlineStr">
        <is>
          <t>VÄSTMANLANDS LÄN</t>
        </is>
      </c>
      <c r="E234" t="inlineStr">
        <is>
          <t>SALA</t>
        </is>
      </c>
      <c r="G234" t="n">
        <v>1.5</v>
      </c>
      <c r="H234" t="n">
        <v>0</v>
      </c>
      <c r="I234" t="n">
        <v>0</v>
      </c>
      <c r="J234" t="n">
        <v>0</v>
      </c>
      <c r="K234" t="n">
        <v>0</v>
      </c>
      <c r="L234" t="n">
        <v>0</v>
      </c>
      <c r="M234" t="n">
        <v>0</v>
      </c>
      <c r="N234" t="n">
        <v>0</v>
      </c>
      <c r="O234" t="n">
        <v>0</v>
      </c>
      <c r="P234" t="n">
        <v>0</v>
      </c>
      <c r="Q234" t="n">
        <v>0</v>
      </c>
      <c r="R234" s="2" t="inlineStr"/>
    </row>
    <row r="235" ht="15" customHeight="1">
      <c r="A235" t="inlineStr">
        <is>
          <t>A 15756-2025</t>
        </is>
      </c>
      <c r="B235" s="1" t="n">
        <v>45748.56810185185</v>
      </c>
      <c r="C235" s="1" t="n">
        <v>46161</v>
      </c>
      <c r="D235" t="inlineStr">
        <is>
          <t>VÄSTMANLANDS LÄN</t>
        </is>
      </c>
      <c r="E235" t="inlineStr">
        <is>
          <t>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31000-2022</t>
        </is>
      </c>
      <c r="B236" s="1" t="n">
        <v>44768</v>
      </c>
      <c r="C236" s="1" t="n">
        <v>46161</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37183-2024</t>
        </is>
      </c>
      <c r="B237" s="1" t="n">
        <v>45539</v>
      </c>
      <c r="C237" s="1" t="n">
        <v>46161</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23804-2025</t>
        </is>
      </c>
      <c r="B238" s="1" t="n">
        <v>45793.55995370371</v>
      </c>
      <c r="C238" s="1" t="n">
        <v>46161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22126-2025</t>
        </is>
      </c>
      <c r="B239" s="1" t="n">
        <v>45785</v>
      </c>
      <c r="C239" s="1" t="n">
        <v>46161</v>
      </c>
      <c r="D239" t="inlineStr">
        <is>
          <t>VÄSTMANLANDS LÄN</t>
        </is>
      </c>
      <c r="E239" t="inlineStr">
        <is>
          <t>SALA</t>
        </is>
      </c>
      <c r="G239" t="n">
        <v>10.6</v>
      </c>
      <c r="H239" t="n">
        <v>0</v>
      </c>
      <c r="I239" t="n">
        <v>0</v>
      </c>
      <c r="J239" t="n">
        <v>0</v>
      </c>
      <c r="K239" t="n">
        <v>0</v>
      </c>
      <c r="L239" t="n">
        <v>0</v>
      </c>
      <c r="M239" t="n">
        <v>0</v>
      </c>
      <c r="N239" t="n">
        <v>0</v>
      </c>
      <c r="O239" t="n">
        <v>0</v>
      </c>
      <c r="P239" t="n">
        <v>0</v>
      </c>
      <c r="Q239" t="n">
        <v>0</v>
      </c>
      <c r="R239" s="2" t="inlineStr"/>
    </row>
    <row r="240" ht="15" customHeight="1">
      <c r="A240" t="inlineStr">
        <is>
          <t>A 19297-2025</t>
        </is>
      </c>
      <c r="B240" s="1" t="n">
        <v>45769.56261574074</v>
      </c>
      <c r="C240" s="1" t="n">
        <v>46161</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23810-2025</t>
        </is>
      </c>
      <c r="B241" s="1" t="n">
        <v>45793.56989583333</v>
      </c>
      <c r="C241" s="1" t="n">
        <v>46161</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27229-2022</t>
        </is>
      </c>
      <c r="B242" s="1" t="n">
        <v>44741</v>
      </c>
      <c r="C242" s="1" t="n">
        <v>46161</v>
      </c>
      <c r="D242" t="inlineStr">
        <is>
          <t>VÄSTMANLANDS LÄN</t>
        </is>
      </c>
      <c r="E242" t="inlineStr">
        <is>
          <t>SALA</t>
        </is>
      </c>
      <c r="F242" t="inlineStr">
        <is>
          <t>Kommuner</t>
        </is>
      </c>
      <c r="G242" t="n">
        <v>1.4</v>
      </c>
      <c r="H242" t="n">
        <v>0</v>
      </c>
      <c r="I242" t="n">
        <v>0</v>
      </c>
      <c r="J242" t="n">
        <v>0</v>
      </c>
      <c r="K242" t="n">
        <v>0</v>
      </c>
      <c r="L242" t="n">
        <v>0</v>
      </c>
      <c r="M242" t="n">
        <v>0</v>
      </c>
      <c r="N242" t="n">
        <v>0</v>
      </c>
      <c r="O242" t="n">
        <v>0</v>
      </c>
      <c r="P242" t="n">
        <v>0</v>
      </c>
      <c r="Q242" t="n">
        <v>0</v>
      </c>
      <c r="R242" s="2" t="inlineStr"/>
    </row>
    <row r="243" ht="15" customHeight="1">
      <c r="A243" t="inlineStr">
        <is>
          <t>A 1793-2023</t>
        </is>
      </c>
      <c r="B243" s="1" t="n">
        <v>44937</v>
      </c>
      <c r="C243" s="1" t="n">
        <v>46161</v>
      </c>
      <c r="D243" t="inlineStr">
        <is>
          <t>VÄSTMANLANDS LÄN</t>
        </is>
      </c>
      <c r="E243" t="inlineStr">
        <is>
          <t>SALA</t>
        </is>
      </c>
      <c r="G243" t="n">
        <v>2.6</v>
      </c>
      <c r="H243" t="n">
        <v>0</v>
      </c>
      <c r="I243" t="n">
        <v>0</v>
      </c>
      <c r="J243" t="n">
        <v>0</v>
      </c>
      <c r="K243" t="n">
        <v>0</v>
      </c>
      <c r="L243" t="n">
        <v>0</v>
      </c>
      <c r="M243" t="n">
        <v>0</v>
      </c>
      <c r="N243" t="n">
        <v>0</v>
      </c>
      <c r="O243" t="n">
        <v>0</v>
      </c>
      <c r="P243" t="n">
        <v>0</v>
      </c>
      <c r="Q243" t="n">
        <v>0</v>
      </c>
      <c r="R243" s="2" t="inlineStr"/>
    </row>
    <row r="244" ht="15" customHeight="1">
      <c r="A244" t="inlineStr">
        <is>
          <t>A 29248-2022</t>
        </is>
      </c>
      <c r="B244" s="1" t="n">
        <v>44750</v>
      </c>
      <c r="C244" s="1" t="n">
        <v>46161</v>
      </c>
      <c r="D244" t="inlineStr">
        <is>
          <t>VÄSTMANLANDS LÄN</t>
        </is>
      </c>
      <c r="E244" t="inlineStr">
        <is>
          <t>SALA</t>
        </is>
      </c>
      <c r="G244" t="n">
        <v>1.6</v>
      </c>
      <c r="H244" t="n">
        <v>0</v>
      </c>
      <c r="I244" t="n">
        <v>0</v>
      </c>
      <c r="J244" t="n">
        <v>0</v>
      </c>
      <c r="K244" t="n">
        <v>0</v>
      </c>
      <c r="L244" t="n">
        <v>0</v>
      </c>
      <c r="M244" t="n">
        <v>0</v>
      </c>
      <c r="N244" t="n">
        <v>0</v>
      </c>
      <c r="O244" t="n">
        <v>0</v>
      </c>
      <c r="P244" t="n">
        <v>0</v>
      </c>
      <c r="Q244" t="n">
        <v>0</v>
      </c>
      <c r="R244" s="2" t="inlineStr"/>
    </row>
    <row r="245" ht="15" customHeight="1">
      <c r="A245" t="inlineStr">
        <is>
          <t>A 24169-2025</t>
        </is>
      </c>
      <c r="B245" s="1" t="n">
        <v>45796</v>
      </c>
      <c r="C245" s="1" t="n">
        <v>46161</v>
      </c>
      <c r="D245" t="inlineStr">
        <is>
          <t>VÄSTMANLANDS LÄN</t>
        </is>
      </c>
      <c r="E245" t="inlineStr">
        <is>
          <t>SALA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11210-2025</t>
        </is>
      </c>
      <c r="B246" s="1" t="n">
        <v>45726</v>
      </c>
      <c r="C246" s="1" t="n">
        <v>46161</v>
      </c>
      <c r="D246" t="inlineStr">
        <is>
          <t>VÄSTMANLANDS LÄN</t>
        </is>
      </c>
      <c r="E246" t="inlineStr">
        <is>
          <t>SALA</t>
        </is>
      </c>
      <c r="G246" t="n">
        <v>4.1</v>
      </c>
      <c r="H246" t="n">
        <v>0</v>
      </c>
      <c r="I246" t="n">
        <v>0</v>
      </c>
      <c r="J246" t="n">
        <v>0</v>
      </c>
      <c r="K246" t="n">
        <v>0</v>
      </c>
      <c r="L246" t="n">
        <v>0</v>
      </c>
      <c r="M246" t="n">
        <v>0</v>
      </c>
      <c r="N246" t="n">
        <v>0</v>
      </c>
      <c r="O246" t="n">
        <v>0</v>
      </c>
      <c r="P246" t="n">
        <v>0</v>
      </c>
      <c r="Q246" t="n">
        <v>0</v>
      </c>
      <c r="R246" s="2" t="inlineStr"/>
    </row>
    <row r="247" ht="15" customHeight="1">
      <c r="A247" t="inlineStr">
        <is>
          <t>A 24944-2023</t>
        </is>
      </c>
      <c r="B247" s="1" t="n">
        <v>45085</v>
      </c>
      <c r="C247" s="1" t="n">
        <v>46161</v>
      </c>
      <c r="D247" t="inlineStr">
        <is>
          <t>VÄSTMANLANDS LÄN</t>
        </is>
      </c>
      <c r="E247" t="inlineStr">
        <is>
          <t>SALA</t>
        </is>
      </c>
      <c r="G247" t="n">
        <v>3.8</v>
      </c>
      <c r="H247" t="n">
        <v>0</v>
      </c>
      <c r="I247" t="n">
        <v>0</v>
      </c>
      <c r="J247" t="n">
        <v>0</v>
      </c>
      <c r="K247" t="n">
        <v>0</v>
      </c>
      <c r="L247" t="n">
        <v>0</v>
      </c>
      <c r="M247" t="n">
        <v>0</v>
      </c>
      <c r="N247" t="n">
        <v>0</v>
      </c>
      <c r="O247" t="n">
        <v>0</v>
      </c>
      <c r="P247" t="n">
        <v>0</v>
      </c>
      <c r="Q247" t="n">
        <v>0</v>
      </c>
      <c r="R247" s="2" t="inlineStr"/>
    </row>
    <row r="248" ht="15" customHeight="1">
      <c r="A248" t="inlineStr">
        <is>
          <t>A 22397-2022</t>
        </is>
      </c>
      <c r="B248" s="1" t="n">
        <v>44713</v>
      </c>
      <c r="C248" s="1" t="n">
        <v>46161</v>
      </c>
      <c r="D248" t="inlineStr">
        <is>
          <t>VÄSTMANLANDS LÄN</t>
        </is>
      </c>
      <c r="E248" t="inlineStr">
        <is>
          <t>SALA</t>
        </is>
      </c>
      <c r="G248" t="n">
        <v>2.1</v>
      </c>
      <c r="H248" t="n">
        <v>0</v>
      </c>
      <c r="I248" t="n">
        <v>0</v>
      </c>
      <c r="J248" t="n">
        <v>0</v>
      </c>
      <c r="K248" t="n">
        <v>0</v>
      </c>
      <c r="L248" t="n">
        <v>0</v>
      </c>
      <c r="M248" t="n">
        <v>0</v>
      </c>
      <c r="N248" t="n">
        <v>0</v>
      </c>
      <c r="O248" t="n">
        <v>0</v>
      </c>
      <c r="P248" t="n">
        <v>0</v>
      </c>
      <c r="Q248" t="n">
        <v>0</v>
      </c>
      <c r="R248" s="2" t="inlineStr"/>
    </row>
    <row r="249" ht="15" customHeight="1">
      <c r="A249" t="inlineStr">
        <is>
          <t>A 28863-2022</t>
        </is>
      </c>
      <c r="B249" s="1" t="n">
        <v>44749.50649305555</v>
      </c>
      <c r="C249" s="1" t="n">
        <v>46161</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46161</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40556-2025</t>
        </is>
      </c>
      <c r="B251" s="1" t="n">
        <v>45896.44944444444</v>
      </c>
      <c r="C251" s="1" t="n">
        <v>46161</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40620-2025</t>
        </is>
      </c>
      <c r="B252" s="1" t="n">
        <v>45896.58609953704</v>
      </c>
      <c r="C252" s="1" t="n">
        <v>46161</v>
      </c>
      <c r="D252" t="inlineStr">
        <is>
          <t>VÄSTMANLANDS LÄN</t>
        </is>
      </c>
      <c r="E252" t="inlineStr">
        <is>
          <t>SALA</t>
        </is>
      </c>
      <c r="G252" t="n">
        <v>6.7</v>
      </c>
      <c r="H252" t="n">
        <v>0</v>
      </c>
      <c r="I252" t="n">
        <v>0</v>
      </c>
      <c r="J252" t="n">
        <v>0</v>
      </c>
      <c r="K252" t="n">
        <v>0</v>
      </c>
      <c r="L252" t="n">
        <v>0</v>
      </c>
      <c r="M252" t="n">
        <v>0</v>
      </c>
      <c r="N252" t="n">
        <v>0</v>
      </c>
      <c r="O252" t="n">
        <v>0</v>
      </c>
      <c r="P252" t="n">
        <v>0</v>
      </c>
      <c r="Q252" t="n">
        <v>0</v>
      </c>
      <c r="R252" s="2" t="inlineStr"/>
    </row>
    <row r="253" ht="15" customHeight="1">
      <c r="A253" t="inlineStr">
        <is>
          <t>A 14919-2025</t>
        </is>
      </c>
      <c r="B253" s="1" t="n">
        <v>45743.54256944444</v>
      </c>
      <c r="C253" s="1" t="n">
        <v>46161</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14920-2025</t>
        </is>
      </c>
      <c r="B254" s="1" t="n">
        <v>45743</v>
      </c>
      <c r="C254" s="1" t="n">
        <v>46161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40398-2021</t>
        </is>
      </c>
      <c r="B255" s="1" t="n">
        <v>44419</v>
      </c>
      <c r="C255" s="1" t="n">
        <v>46161</v>
      </c>
      <c r="D255" t="inlineStr">
        <is>
          <t>VÄSTMANLANDS LÄN</t>
        </is>
      </c>
      <c r="E255" t="inlineStr">
        <is>
          <t>SALA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24460-2025</t>
        </is>
      </c>
      <c r="B256" s="1" t="n">
        <v>45798</v>
      </c>
      <c r="C256" s="1" t="n">
        <v>46161</v>
      </c>
      <c r="D256" t="inlineStr">
        <is>
          <t>VÄSTMANLANDS LÄN</t>
        </is>
      </c>
      <c r="E256" t="inlineStr">
        <is>
          <t>SALA</t>
        </is>
      </c>
      <c r="F256" t="inlineStr">
        <is>
          <t>Bergvik skog öst AB</t>
        </is>
      </c>
      <c r="G256" t="n">
        <v>2.6</v>
      </c>
      <c r="H256" t="n">
        <v>0</v>
      </c>
      <c r="I256" t="n">
        <v>0</v>
      </c>
      <c r="J256" t="n">
        <v>0</v>
      </c>
      <c r="K256" t="n">
        <v>0</v>
      </c>
      <c r="L256" t="n">
        <v>0</v>
      </c>
      <c r="M256" t="n">
        <v>0</v>
      </c>
      <c r="N256" t="n">
        <v>0</v>
      </c>
      <c r="O256" t="n">
        <v>0</v>
      </c>
      <c r="P256" t="n">
        <v>0</v>
      </c>
      <c r="Q256" t="n">
        <v>0</v>
      </c>
      <c r="R256" s="2" t="inlineStr"/>
    </row>
    <row r="257" ht="15" customHeight="1">
      <c r="A257" t="inlineStr">
        <is>
          <t>A 24463-2025</t>
        </is>
      </c>
      <c r="B257" s="1" t="n">
        <v>45798</v>
      </c>
      <c r="C257" s="1" t="n">
        <v>46161</v>
      </c>
      <c r="D257" t="inlineStr">
        <is>
          <t>VÄSTMANLANDS LÄN</t>
        </is>
      </c>
      <c r="E257" t="inlineStr">
        <is>
          <t>SALA</t>
        </is>
      </c>
      <c r="F257" t="inlineStr">
        <is>
          <t>Bergvik skog öst AB</t>
        </is>
      </c>
      <c r="G257" t="n">
        <v>1.5</v>
      </c>
      <c r="H257" t="n">
        <v>0</v>
      </c>
      <c r="I257" t="n">
        <v>0</v>
      </c>
      <c r="J257" t="n">
        <v>0</v>
      </c>
      <c r="K257" t="n">
        <v>0</v>
      </c>
      <c r="L257" t="n">
        <v>0</v>
      </c>
      <c r="M257" t="n">
        <v>0</v>
      </c>
      <c r="N257" t="n">
        <v>0</v>
      </c>
      <c r="O257" t="n">
        <v>0</v>
      </c>
      <c r="P257" t="n">
        <v>0</v>
      </c>
      <c r="Q257" t="n">
        <v>0</v>
      </c>
      <c r="R257" s="2" t="inlineStr"/>
    </row>
    <row r="258" ht="15" customHeight="1">
      <c r="A258" t="inlineStr">
        <is>
          <t>A 43362-2023</t>
        </is>
      </c>
      <c r="B258" s="1" t="n">
        <v>45183</v>
      </c>
      <c r="C258" s="1" t="n">
        <v>46161</v>
      </c>
      <c r="D258" t="inlineStr">
        <is>
          <t>VÄSTMANLANDS LÄN</t>
        </is>
      </c>
      <c r="E258" t="inlineStr">
        <is>
          <t>SALA</t>
        </is>
      </c>
      <c r="G258" t="n">
        <v>2</v>
      </c>
      <c r="H258" t="n">
        <v>0</v>
      </c>
      <c r="I258" t="n">
        <v>0</v>
      </c>
      <c r="J258" t="n">
        <v>0</v>
      </c>
      <c r="K258" t="n">
        <v>0</v>
      </c>
      <c r="L258" t="n">
        <v>0</v>
      </c>
      <c r="M258" t="n">
        <v>0</v>
      </c>
      <c r="N258" t="n">
        <v>0</v>
      </c>
      <c r="O258" t="n">
        <v>0</v>
      </c>
      <c r="P258" t="n">
        <v>0</v>
      </c>
      <c r="Q258" t="n">
        <v>0</v>
      </c>
      <c r="R258" s="2" t="inlineStr"/>
    </row>
    <row r="259" ht="15" customHeight="1">
      <c r="A259" t="inlineStr">
        <is>
          <t>A 41230-2025</t>
        </is>
      </c>
      <c r="B259" s="1" t="n">
        <v>45898</v>
      </c>
      <c r="C259" s="1" t="n">
        <v>46161</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46161</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6030-2024</t>
        </is>
      </c>
      <c r="B261" s="1" t="n">
        <v>45336.62782407407</v>
      </c>
      <c r="C261" s="1" t="n">
        <v>46161</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52630-2022</t>
        </is>
      </c>
      <c r="B262" s="1" t="n">
        <v>44874</v>
      </c>
      <c r="C262" s="1" t="n">
        <v>46161</v>
      </c>
      <c r="D262" t="inlineStr">
        <is>
          <t>VÄSTMANLANDS LÄN</t>
        </is>
      </c>
      <c r="E262" t="inlineStr">
        <is>
          <t>SALA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51764-2025</t>
        </is>
      </c>
      <c r="B263" s="1" t="n">
        <v>45951.63636574074</v>
      </c>
      <c r="C263" s="1" t="n">
        <v>46161</v>
      </c>
      <c r="D263" t="inlineStr">
        <is>
          <t>VÄSTMANLANDS LÄN</t>
        </is>
      </c>
      <c r="E263" t="inlineStr">
        <is>
          <t>SALA</t>
        </is>
      </c>
      <c r="G263" t="n">
        <v>1.5</v>
      </c>
      <c r="H263" t="n">
        <v>0</v>
      </c>
      <c r="I263" t="n">
        <v>0</v>
      </c>
      <c r="J263" t="n">
        <v>0</v>
      </c>
      <c r="K263" t="n">
        <v>0</v>
      </c>
      <c r="L263" t="n">
        <v>0</v>
      </c>
      <c r="M263" t="n">
        <v>0</v>
      </c>
      <c r="N263" t="n">
        <v>0</v>
      </c>
      <c r="O263" t="n">
        <v>0</v>
      </c>
      <c r="P263" t="n">
        <v>0</v>
      </c>
      <c r="Q263" t="n">
        <v>0</v>
      </c>
      <c r="R263" s="2" t="inlineStr"/>
    </row>
    <row r="264" ht="15" customHeight="1">
      <c r="A264" t="inlineStr">
        <is>
          <t>A 41414-2025</t>
        </is>
      </c>
      <c r="B264" s="1" t="n">
        <v>45901.360625</v>
      </c>
      <c r="C264" s="1" t="n">
        <v>46161</v>
      </c>
      <c r="D264" t="inlineStr">
        <is>
          <t>VÄSTMANLANDS LÄN</t>
        </is>
      </c>
      <c r="E264" t="inlineStr">
        <is>
          <t>SALA</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55065-2024</t>
        </is>
      </c>
      <c r="B265" s="1" t="n">
        <v>45618</v>
      </c>
      <c r="C265" s="1" t="n">
        <v>46161</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24907-2025</t>
        </is>
      </c>
      <c r="B266" s="1" t="n">
        <v>45799</v>
      </c>
      <c r="C266" s="1" t="n">
        <v>46161</v>
      </c>
      <c r="D266" t="inlineStr">
        <is>
          <t>VÄSTMANLANDS LÄN</t>
        </is>
      </c>
      <c r="E266" t="inlineStr">
        <is>
          <t>SALA</t>
        </is>
      </c>
      <c r="G266" t="n">
        <v>3.5</v>
      </c>
      <c r="H266" t="n">
        <v>0</v>
      </c>
      <c r="I266" t="n">
        <v>0</v>
      </c>
      <c r="J266" t="n">
        <v>0</v>
      </c>
      <c r="K266" t="n">
        <v>0</v>
      </c>
      <c r="L266" t="n">
        <v>0</v>
      </c>
      <c r="M266" t="n">
        <v>0</v>
      </c>
      <c r="N266" t="n">
        <v>0</v>
      </c>
      <c r="O266" t="n">
        <v>0</v>
      </c>
      <c r="P266" t="n">
        <v>0</v>
      </c>
      <c r="Q266" t="n">
        <v>0</v>
      </c>
      <c r="R266" s="2" t="inlineStr"/>
    </row>
    <row r="267" ht="15" customHeight="1">
      <c r="A267" t="inlineStr">
        <is>
          <t>A 24910-2025</t>
        </is>
      </c>
      <c r="B267" s="1" t="n">
        <v>45799.53775462963</v>
      </c>
      <c r="C267" s="1" t="n">
        <v>46161</v>
      </c>
      <c r="D267" t="inlineStr">
        <is>
          <t>VÄSTMANLANDS LÄN</t>
        </is>
      </c>
      <c r="E267" t="inlineStr">
        <is>
          <t>SALA</t>
        </is>
      </c>
      <c r="G267" t="n">
        <v>3.5</v>
      </c>
      <c r="H267" t="n">
        <v>0</v>
      </c>
      <c r="I267" t="n">
        <v>0</v>
      </c>
      <c r="J267" t="n">
        <v>0</v>
      </c>
      <c r="K267" t="n">
        <v>0</v>
      </c>
      <c r="L267" t="n">
        <v>0</v>
      </c>
      <c r="M267" t="n">
        <v>0</v>
      </c>
      <c r="N267" t="n">
        <v>0</v>
      </c>
      <c r="O267" t="n">
        <v>0</v>
      </c>
      <c r="P267" t="n">
        <v>0</v>
      </c>
      <c r="Q267" t="n">
        <v>0</v>
      </c>
      <c r="R267" s="2" t="inlineStr"/>
    </row>
    <row r="268" ht="15" customHeight="1">
      <c r="A268" t="inlineStr">
        <is>
          <t>A 61717-2024</t>
        </is>
      </c>
      <c r="B268" s="1" t="n">
        <v>45648</v>
      </c>
      <c r="C268" s="1" t="n">
        <v>46161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53164-2024</t>
        </is>
      </c>
      <c r="B269" s="1" t="n">
        <v>45611.64887731482</v>
      </c>
      <c r="C269" s="1" t="n">
        <v>46161</v>
      </c>
      <c r="D269" t="inlineStr">
        <is>
          <t>VÄSTMANLANDS LÄN</t>
        </is>
      </c>
      <c r="E269" t="inlineStr">
        <is>
          <t>SALA</t>
        </is>
      </c>
      <c r="G269" t="n">
        <v>2.6</v>
      </c>
      <c r="H269" t="n">
        <v>0</v>
      </c>
      <c r="I269" t="n">
        <v>0</v>
      </c>
      <c r="J269" t="n">
        <v>0</v>
      </c>
      <c r="K269" t="n">
        <v>0</v>
      </c>
      <c r="L269" t="n">
        <v>0</v>
      </c>
      <c r="M269" t="n">
        <v>0</v>
      </c>
      <c r="N269" t="n">
        <v>0</v>
      </c>
      <c r="O269" t="n">
        <v>0</v>
      </c>
      <c r="P269" t="n">
        <v>0</v>
      </c>
      <c r="Q269" t="n">
        <v>0</v>
      </c>
      <c r="R269" s="2" t="inlineStr"/>
    </row>
    <row r="270" ht="15" customHeight="1">
      <c r="A270" t="inlineStr">
        <is>
          <t>A 14690-2025</t>
        </is>
      </c>
      <c r="B270" s="1" t="n">
        <v>45742.58212962963</v>
      </c>
      <c r="C270" s="1" t="n">
        <v>46161</v>
      </c>
      <c r="D270" t="inlineStr">
        <is>
          <t>VÄSTMANLANDS LÄN</t>
        </is>
      </c>
      <c r="E270" t="inlineStr">
        <is>
          <t>SALA</t>
        </is>
      </c>
      <c r="G270" t="n">
        <v>3.4</v>
      </c>
      <c r="H270" t="n">
        <v>0</v>
      </c>
      <c r="I270" t="n">
        <v>0</v>
      </c>
      <c r="J270" t="n">
        <v>0</v>
      </c>
      <c r="K270" t="n">
        <v>0</v>
      </c>
      <c r="L270" t="n">
        <v>0</v>
      </c>
      <c r="M270" t="n">
        <v>0</v>
      </c>
      <c r="N270" t="n">
        <v>0</v>
      </c>
      <c r="O270" t="n">
        <v>0</v>
      </c>
      <c r="P270" t="n">
        <v>0</v>
      </c>
      <c r="Q270" t="n">
        <v>0</v>
      </c>
      <c r="R270" s="2" t="inlineStr"/>
    </row>
    <row r="271" ht="15" customHeight="1">
      <c r="A271" t="inlineStr">
        <is>
          <t>A 41431-2025</t>
        </is>
      </c>
      <c r="B271" s="1" t="n">
        <v>45901.39347222223</v>
      </c>
      <c r="C271" s="1" t="n">
        <v>46161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51626-2025</t>
        </is>
      </c>
      <c r="B272" s="1" t="n">
        <v>45951.41769675926</v>
      </c>
      <c r="C272" s="1" t="n">
        <v>46161</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2521-2025</t>
        </is>
      </c>
      <c r="B273" s="1" t="n">
        <v>45674</v>
      </c>
      <c r="C273" s="1" t="n">
        <v>46161</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60548-2024</t>
        </is>
      </c>
      <c r="B274" s="1" t="n">
        <v>45643.80978009259</v>
      </c>
      <c r="C274" s="1" t="n">
        <v>46161</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26761-2023</t>
        </is>
      </c>
      <c r="B275" s="1" t="n">
        <v>45093</v>
      </c>
      <c r="C275" s="1" t="n">
        <v>46161</v>
      </c>
      <c r="D275" t="inlineStr">
        <is>
          <t>VÄSTMANLANDS LÄN</t>
        </is>
      </c>
      <c r="E275" t="inlineStr">
        <is>
          <t>SALA</t>
        </is>
      </c>
      <c r="G275" t="n">
        <v>4.3</v>
      </c>
      <c r="H275" t="n">
        <v>0</v>
      </c>
      <c r="I275" t="n">
        <v>0</v>
      </c>
      <c r="J275" t="n">
        <v>0</v>
      </c>
      <c r="K275" t="n">
        <v>0</v>
      </c>
      <c r="L275" t="n">
        <v>0</v>
      </c>
      <c r="M275" t="n">
        <v>0</v>
      </c>
      <c r="N275" t="n">
        <v>0</v>
      </c>
      <c r="O275" t="n">
        <v>0</v>
      </c>
      <c r="P275" t="n">
        <v>0</v>
      </c>
      <c r="Q275" t="n">
        <v>0</v>
      </c>
      <c r="R275" s="2" t="inlineStr"/>
    </row>
    <row r="276" ht="15" customHeight="1">
      <c r="A276" t="inlineStr">
        <is>
          <t>A 21968-2024</t>
        </is>
      </c>
      <c r="B276" s="1" t="n">
        <v>45443</v>
      </c>
      <c r="C276" s="1" t="n">
        <v>46161</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55035-2023</t>
        </is>
      </c>
      <c r="B277" s="1" t="n">
        <v>45229</v>
      </c>
      <c r="C277" s="1" t="n">
        <v>46161</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10909-2024</t>
        </is>
      </c>
      <c r="B278" s="1" t="n">
        <v>45370</v>
      </c>
      <c r="C278" s="1" t="n">
        <v>46161</v>
      </c>
      <c r="D278" t="inlineStr">
        <is>
          <t>VÄSTMANLANDS LÄN</t>
        </is>
      </c>
      <c r="E278" t="inlineStr">
        <is>
          <t>SALA</t>
        </is>
      </c>
      <c r="G278" t="n">
        <v>3.3</v>
      </c>
      <c r="H278" t="n">
        <v>0</v>
      </c>
      <c r="I278" t="n">
        <v>0</v>
      </c>
      <c r="J278" t="n">
        <v>0</v>
      </c>
      <c r="K278" t="n">
        <v>0</v>
      </c>
      <c r="L278" t="n">
        <v>0</v>
      </c>
      <c r="M278" t="n">
        <v>0</v>
      </c>
      <c r="N278" t="n">
        <v>0</v>
      </c>
      <c r="O278" t="n">
        <v>0</v>
      </c>
      <c r="P278" t="n">
        <v>0</v>
      </c>
      <c r="Q278" t="n">
        <v>0</v>
      </c>
      <c r="R278" s="2" t="inlineStr"/>
    </row>
    <row r="279" ht="15" customHeight="1">
      <c r="A279" t="inlineStr">
        <is>
          <t>A 42421-2025</t>
        </is>
      </c>
      <c r="B279" s="1" t="n">
        <v>45905.40067129629</v>
      </c>
      <c r="C279" s="1" t="n">
        <v>46161</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51690-2025</t>
        </is>
      </c>
      <c r="B280" s="1" t="n">
        <v>45951.53462962963</v>
      </c>
      <c r="C280" s="1" t="n">
        <v>46161</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60249-2023</t>
        </is>
      </c>
      <c r="B281" s="1" t="n">
        <v>45258</v>
      </c>
      <c r="C281" s="1" t="n">
        <v>46161</v>
      </c>
      <c r="D281" t="inlineStr">
        <is>
          <t>VÄSTMANLANDS LÄN</t>
        </is>
      </c>
      <c r="E281" t="inlineStr">
        <is>
          <t>SALA</t>
        </is>
      </c>
      <c r="G281" t="n">
        <v>2</v>
      </c>
      <c r="H281" t="n">
        <v>0</v>
      </c>
      <c r="I281" t="n">
        <v>0</v>
      </c>
      <c r="J281" t="n">
        <v>0</v>
      </c>
      <c r="K281" t="n">
        <v>0</v>
      </c>
      <c r="L281" t="n">
        <v>0</v>
      </c>
      <c r="M281" t="n">
        <v>0</v>
      </c>
      <c r="N281" t="n">
        <v>0</v>
      </c>
      <c r="O281" t="n">
        <v>0</v>
      </c>
      <c r="P281" t="n">
        <v>0</v>
      </c>
      <c r="Q281" t="n">
        <v>0</v>
      </c>
      <c r="R281" s="2" t="inlineStr"/>
    </row>
    <row r="282" ht="15" customHeight="1">
      <c r="A282" t="inlineStr">
        <is>
          <t>A 17495-2024</t>
        </is>
      </c>
      <c r="B282" s="1" t="n">
        <v>45415</v>
      </c>
      <c r="C282" s="1" t="n">
        <v>46161</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37263-2025</t>
        </is>
      </c>
      <c r="B283" s="1" t="n">
        <v>45876.4584837963</v>
      </c>
      <c r="C283" s="1" t="n">
        <v>46161</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43127-2025</t>
        </is>
      </c>
      <c r="B284" s="1" t="n">
        <v>45909</v>
      </c>
      <c r="C284" s="1" t="n">
        <v>46161</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43128-2025</t>
        </is>
      </c>
      <c r="B285" s="1" t="n">
        <v>45909</v>
      </c>
      <c r="C285" s="1" t="n">
        <v>46161</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40554-2025</t>
        </is>
      </c>
      <c r="B286" s="1" t="n">
        <v>45896.44506944445</v>
      </c>
      <c r="C286" s="1" t="n">
        <v>46161</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43129-2025</t>
        </is>
      </c>
      <c r="B287" s="1" t="n">
        <v>45909</v>
      </c>
      <c r="C287" s="1" t="n">
        <v>46161</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43130-2025</t>
        </is>
      </c>
      <c r="B288" s="1" t="n">
        <v>45909</v>
      </c>
      <c r="C288" s="1" t="n">
        <v>46161</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31597-2024</t>
        </is>
      </c>
      <c r="B289" s="1" t="n">
        <v>45506</v>
      </c>
      <c r="C289" s="1" t="n">
        <v>46161</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31599-2024</t>
        </is>
      </c>
      <c r="B290" s="1" t="n">
        <v>45506</v>
      </c>
      <c r="C290" s="1" t="n">
        <v>46161</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31601-2024</t>
        </is>
      </c>
      <c r="B291" s="1" t="n">
        <v>45506</v>
      </c>
      <c r="C291" s="1" t="n">
        <v>46161</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31608-2024</t>
        </is>
      </c>
      <c r="B292" s="1" t="n">
        <v>45506</v>
      </c>
      <c r="C292" s="1" t="n">
        <v>46161</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31612-2024</t>
        </is>
      </c>
      <c r="B293" s="1" t="n">
        <v>45506</v>
      </c>
      <c r="C293" s="1" t="n">
        <v>46161</v>
      </c>
      <c r="D293" t="inlineStr">
        <is>
          <t>VÄSTMANLANDS LÄN</t>
        </is>
      </c>
      <c r="E293" t="inlineStr">
        <is>
          <t>SALA</t>
        </is>
      </c>
      <c r="G293" t="n">
        <v>3.2</v>
      </c>
      <c r="H293" t="n">
        <v>0</v>
      </c>
      <c r="I293" t="n">
        <v>0</v>
      </c>
      <c r="J293" t="n">
        <v>0</v>
      </c>
      <c r="K293" t="n">
        <v>0</v>
      </c>
      <c r="L293" t="n">
        <v>0</v>
      </c>
      <c r="M293" t="n">
        <v>0</v>
      </c>
      <c r="N293" t="n">
        <v>0</v>
      </c>
      <c r="O293" t="n">
        <v>0</v>
      </c>
      <c r="P293" t="n">
        <v>0</v>
      </c>
      <c r="Q293" t="n">
        <v>0</v>
      </c>
      <c r="R293" s="2" t="inlineStr"/>
    </row>
    <row r="294" ht="15" customHeight="1">
      <c r="A294" t="inlineStr">
        <is>
          <t>A 52500-2024</t>
        </is>
      </c>
      <c r="B294" s="1" t="n">
        <v>45609</v>
      </c>
      <c r="C294" s="1" t="n">
        <v>46161</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43028-2025</t>
        </is>
      </c>
      <c r="B295" s="1" t="n">
        <v>45909.53472222222</v>
      </c>
      <c r="C295" s="1" t="n">
        <v>46161</v>
      </c>
      <c r="D295" t="inlineStr">
        <is>
          <t>VÄSTMANLANDS LÄN</t>
        </is>
      </c>
      <c r="E295" t="inlineStr">
        <is>
          <t>SALA</t>
        </is>
      </c>
      <c r="G295" t="n">
        <v>3.8</v>
      </c>
      <c r="H295" t="n">
        <v>0</v>
      </c>
      <c r="I295" t="n">
        <v>0</v>
      </c>
      <c r="J295" t="n">
        <v>0</v>
      </c>
      <c r="K295" t="n">
        <v>0</v>
      </c>
      <c r="L295" t="n">
        <v>0</v>
      </c>
      <c r="M295" t="n">
        <v>0</v>
      </c>
      <c r="N295" t="n">
        <v>0</v>
      </c>
      <c r="O295" t="n">
        <v>0</v>
      </c>
      <c r="P295" t="n">
        <v>0</v>
      </c>
      <c r="Q295" t="n">
        <v>0</v>
      </c>
      <c r="R295" s="2" t="inlineStr"/>
    </row>
    <row r="296" ht="15" customHeight="1">
      <c r="A296" t="inlineStr">
        <is>
          <t>A 43031-2025</t>
        </is>
      </c>
      <c r="B296" s="1" t="n">
        <v>45909.53856481481</v>
      </c>
      <c r="C296" s="1" t="n">
        <v>46161</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26661-2025</t>
        </is>
      </c>
      <c r="B297" s="1" t="n">
        <v>45810</v>
      </c>
      <c r="C297" s="1" t="n">
        <v>46161</v>
      </c>
      <c r="D297" t="inlineStr">
        <is>
          <t>VÄSTMANLANDS LÄN</t>
        </is>
      </c>
      <c r="E297" t="inlineStr">
        <is>
          <t>SALA</t>
        </is>
      </c>
      <c r="G297" t="n">
        <v>3.5</v>
      </c>
      <c r="H297" t="n">
        <v>0</v>
      </c>
      <c r="I297" t="n">
        <v>0</v>
      </c>
      <c r="J297" t="n">
        <v>0</v>
      </c>
      <c r="K297" t="n">
        <v>0</v>
      </c>
      <c r="L297" t="n">
        <v>0</v>
      </c>
      <c r="M297" t="n">
        <v>0</v>
      </c>
      <c r="N297" t="n">
        <v>0</v>
      </c>
      <c r="O297" t="n">
        <v>0</v>
      </c>
      <c r="P297" t="n">
        <v>0</v>
      </c>
      <c r="Q297" t="n">
        <v>0</v>
      </c>
      <c r="R297" s="2" t="inlineStr"/>
    </row>
    <row r="298" ht="15" customHeight="1">
      <c r="A298" t="inlineStr">
        <is>
          <t>A 51804-2025</t>
        </is>
      </c>
      <c r="B298" s="1" t="n">
        <v>45951.77697916667</v>
      </c>
      <c r="C298" s="1" t="n">
        <v>46161</v>
      </c>
      <c r="D298" t="inlineStr">
        <is>
          <t>VÄSTMANLANDS LÄN</t>
        </is>
      </c>
      <c r="E298" t="inlineStr">
        <is>
          <t>SALA</t>
        </is>
      </c>
      <c r="F298" t="inlineStr">
        <is>
          <t>Kommuner</t>
        </is>
      </c>
      <c r="G298" t="n">
        <v>2</v>
      </c>
      <c r="H298" t="n">
        <v>0</v>
      </c>
      <c r="I298" t="n">
        <v>0</v>
      </c>
      <c r="J298" t="n">
        <v>0</v>
      </c>
      <c r="K298" t="n">
        <v>0</v>
      </c>
      <c r="L298" t="n">
        <v>0</v>
      </c>
      <c r="M298" t="n">
        <v>0</v>
      </c>
      <c r="N298" t="n">
        <v>0</v>
      </c>
      <c r="O298" t="n">
        <v>0</v>
      </c>
      <c r="P298" t="n">
        <v>0</v>
      </c>
      <c r="Q298" t="n">
        <v>0</v>
      </c>
      <c r="R298" s="2" t="inlineStr"/>
    </row>
    <row r="299" ht="15" customHeight="1">
      <c r="A299" t="inlineStr">
        <is>
          <t>A 51808-2025</t>
        </is>
      </c>
      <c r="B299" s="1" t="n">
        <v>45951.79302083333</v>
      </c>
      <c r="C299" s="1" t="n">
        <v>46161</v>
      </c>
      <c r="D299" t="inlineStr">
        <is>
          <t>VÄSTMANLANDS LÄN</t>
        </is>
      </c>
      <c r="E299" t="inlineStr">
        <is>
          <t>SALA</t>
        </is>
      </c>
      <c r="F299" t="inlineStr">
        <is>
          <t>Kommuner</t>
        </is>
      </c>
      <c r="G299" t="n">
        <v>3</v>
      </c>
      <c r="H299" t="n">
        <v>0</v>
      </c>
      <c r="I299" t="n">
        <v>0</v>
      </c>
      <c r="J299" t="n">
        <v>0</v>
      </c>
      <c r="K299" t="n">
        <v>0</v>
      </c>
      <c r="L299" t="n">
        <v>0</v>
      </c>
      <c r="M299" t="n">
        <v>0</v>
      </c>
      <c r="N299" t="n">
        <v>0</v>
      </c>
      <c r="O299" t="n">
        <v>0</v>
      </c>
      <c r="P299" t="n">
        <v>0</v>
      </c>
      <c r="Q299" t="n">
        <v>0</v>
      </c>
      <c r="R299" s="2" t="inlineStr"/>
    </row>
    <row r="300" ht="15" customHeight="1">
      <c r="A300" t="inlineStr">
        <is>
          <t>A 43328-2025</t>
        </is>
      </c>
      <c r="B300" s="1" t="n">
        <v>45910</v>
      </c>
      <c r="C300" s="1" t="n">
        <v>46161</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56949-2023</t>
        </is>
      </c>
      <c r="B301" s="1" t="n">
        <v>45244.61589120371</v>
      </c>
      <c r="C301" s="1" t="n">
        <v>46161</v>
      </c>
      <c r="D301" t="inlineStr">
        <is>
          <t>VÄSTMANLANDS LÄN</t>
        </is>
      </c>
      <c r="E301" t="inlineStr">
        <is>
          <t>SALA</t>
        </is>
      </c>
      <c r="G301" t="n">
        <v>4.7</v>
      </c>
      <c r="H301" t="n">
        <v>0</v>
      </c>
      <c r="I301" t="n">
        <v>0</v>
      </c>
      <c r="J301" t="n">
        <v>0</v>
      </c>
      <c r="K301" t="n">
        <v>0</v>
      </c>
      <c r="L301" t="n">
        <v>0</v>
      </c>
      <c r="M301" t="n">
        <v>0</v>
      </c>
      <c r="N301" t="n">
        <v>0</v>
      </c>
      <c r="O301" t="n">
        <v>0</v>
      </c>
      <c r="P301" t="n">
        <v>0</v>
      </c>
      <c r="Q301" t="n">
        <v>0</v>
      </c>
      <c r="R301" s="2" t="inlineStr"/>
    </row>
    <row r="302" ht="15" customHeight="1">
      <c r="A302" t="inlineStr">
        <is>
          <t>A 51803-2025</t>
        </is>
      </c>
      <c r="B302" s="1" t="n">
        <v>45951.76818287037</v>
      </c>
      <c r="C302" s="1" t="n">
        <v>46161</v>
      </c>
      <c r="D302" t="inlineStr">
        <is>
          <t>VÄSTMANLANDS LÄN</t>
        </is>
      </c>
      <c r="E302" t="inlineStr">
        <is>
          <t>SALA</t>
        </is>
      </c>
      <c r="F302" t="inlineStr">
        <is>
          <t>Kommuner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51805-2025</t>
        </is>
      </c>
      <c r="B303" s="1" t="n">
        <v>45951.78359953704</v>
      </c>
      <c r="C303" s="1" t="n">
        <v>46161</v>
      </c>
      <c r="D303" t="inlineStr">
        <is>
          <t>VÄSTMANLANDS LÄN</t>
        </is>
      </c>
      <c r="E303" t="inlineStr">
        <is>
          <t>SALA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51809-2025</t>
        </is>
      </c>
      <c r="B304" s="1" t="n">
        <v>45951.80116898148</v>
      </c>
      <c r="C304" s="1" t="n">
        <v>46161</v>
      </c>
      <c r="D304" t="inlineStr">
        <is>
          <t>VÄSTMANLANDS LÄN</t>
        </is>
      </c>
      <c r="E304" t="inlineStr">
        <is>
          <t>SALA</t>
        </is>
      </c>
      <c r="F304" t="inlineStr">
        <is>
          <t>Kommuner</t>
        </is>
      </c>
      <c r="G304" t="n">
        <v>3.5</v>
      </c>
      <c r="H304" t="n">
        <v>0</v>
      </c>
      <c r="I304" t="n">
        <v>0</v>
      </c>
      <c r="J304" t="n">
        <v>0</v>
      </c>
      <c r="K304" t="n">
        <v>0</v>
      </c>
      <c r="L304" t="n">
        <v>0</v>
      </c>
      <c r="M304" t="n">
        <v>0</v>
      </c>
      <c r="N304" t="n">
        <v>0</v>
      </c>
      <c r="O304" t="n">
        <v>0</v>
      </c>
      <c r="P304" t="n">
        <v>0</v>
      </c>
      <c r="Q304" t="n">
        <v>0</v>
      </c>
      <c r="R304" s="2" t="inlineStr"/>
    </row>
    <row r="305" ht="15" customHeight="1">
      <c r="A305" t="inlineStr">
        <is>
          <t>A 96-2024</t>
        </is>
      </c>
      <c r="B305" s="1" t="n">
        <v>45293.85872685185</v>
      </c>
      <c r="C305" s="1" t="n">
        <v>46161</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54118-2023</t>
        </is>
      </c>
      <c r="B306" s="1" t="n">
        <v>45232</v>
      </c>
      <c r="C306" s="1" t="n">
        <v>46161</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46161</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44100-2025</t>
        </is>
      </c>
      <c r="B308" s="1" t="n">
        <v>45915.56707175926</v>
      </c>
      <c r="C308" s="1" t="n">
        <v>46161</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25748-2022</t>
        </is>
      </c>
      <c r="B309" s="1" t="n">
        <v>44732</v>
      </c>
      <c r="C309" s="1" t="n">
        <v>46161</v>
      </c>
      <c r="D309" t="inlineStr">
        <is>
          <t>VÄSTMANLANDS LÄN</t>
        </is>
      </c>
      <c r="E309" t="inlineStr">
        <is>
          <t>SALA</t>
        </is>
      </c>
      <c r="G309" t="n">
        <v>7.7</v>
      </c>
      <c r="H309" t="n">
        <v>0</v>
      </c>
      <c r="I309" t="n">
        <v>0</v>
      </c>
      <c r="J309" t="n">
        <v>0</v>
      </c>
      <c r="K309" t="n">
        <v>0</v>
      </c>
      <c r="L309" t="n">
        <v>0</v>
      </c>
      <c r="M309" t="n">
        <v>0</v>
      </c>
      <c r="N309" t="n">
        <v>0</v>
      </c>
      <c r="O309" t="n">
        <v>0</v>
      </c>
      <c r="P309" t="n">
        <v>0</v>
      </c>
      <c r="Q309" t="n">
        <v>0</v>
      </c>
      <c r="R309" s="2" t="inlineStr"/>
    </row>
    <row r="310" ht="15" customHeight="1">
      <c r="A310" t="inlineStr">
        <is>
          <t>A 3733-2023</t>
        </is>
      </c>
      <c r="B310" s="1" t="n">
        <v>44951.42501157407</v>
      </c>
      <c r="C310" s="1" t="n">
        <v>46161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6136-2025</t>
        </is>
      </c>
      <c r="B311" s="1" t="n">
        <v>45698.37601851852</v>
      </c>
      <c r="C311" s="1" t="n">
        <v>46161</v>
      </c>
      <c r="D311" t="inlineStr">
        <is>
          <t>VÄSTMANLANDS LÄN</t>
        </is>
      </c>
      <c r="E311" t="inlineStr">
        <is>
          <t>SALA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6190-2025</t>
        </is>
      </c>
      <c r="B312" s="1" t="n">
        <v>45698</v>
      </c>
      <c r="C312" s="1" t="n">
        <v>46161</v>
      </c>
      <c r="D312" t="inlineStr">
        <is>
          <t>VÄSTMANLANDS LÄN</t>
        </is>
      </c>
      <c r="E312" t="inlineStr">
        <is>
          <t>SALA</t>
        </is>
      </c>
      <c r="F312" t="inlineStr">
        <is>
          <t>Bergvik skog öst AB</t>
        </is>
      </c>
      <c r="G312" t="n">
        <v>4.6</v>
      </c>
      <c r="H312" t="n">
        <v>0</v>
      </c>
      <c r="I312" t="n">
        <v>0</v>
      </c>
      <c r="J312" t="n">
        <v>0</v>
      </c>
      <c r="K312" t="n">
        <v>0</v>
      </c>
      <c r="L312" t="n">
        <v>0</v>
      </c>
      <c r="M312" t="n">
        <v>0</v>
      </c>
      <c r="N312" t="n">
        <v>0</v>
      </c>
      <c r="O312" t="n">
        <v>0</v>
      </c>
      <c r="P312" t="n">
        <v>0</v>
      </c>
      <c r="Q312" t="n">
        <v>0</v>
      </c>
      <c r="R312" s="2" t="inlineStr"/>
    </row>
    <row r="313" ht="15" customHeight="1">
      <c r="A313" t="inlineStr">
        <is>
          <t>A 27989-2025</t>
        </is>
      </c>
      <c r="B313" s="1" t="n">
        <v>45817.58716435185</v>
      </c>
      <c r="C313" s="1" t="n">
        <v>46161</v>
      </c>
      <c r="D313" t="inlineStr">
        <is>
          <t>VÄSTMANLANDS LÄN</t>
        </is>
      </c>
      <c r="E313" t="inlineStr">
        <is>
          <t>SALA</t>
        </is>
      </c>
      <c r="G313" t="n">
        <v>1.9</v>
      </c>
      <c r="H313" t="n">
        <v>0</v>
      </c>
      <c r="I313" t="n">
        <v>0</v>
      </c>
      <c r="J313" t="n">
        <v>0</v>
      </c>
      <c r="K313" t="n">
        <v>0</v>
      </c>
      <c r="L313" t="n">
        <v>0</v>
      </c>
      <c r="M313" t="n">
        <v>0</v>
      </c>
      <c r="N313" t="n">
        <v>0</v>
      </c>
      <c r="O313" t="n">
        <v>0</v>
      </c>
      <c r="P313" t="n">
        <v>0</v>
      </c>
      <c r="Q313" t="n">
        <v>0</v>
      </c>
      <c r="R313" s="2" t="inlineStr"/>
    </row>
    <row r="314" ht="15" customHeight="1">
      <c r="A314" t="inlineStr">
        <is>
          <t>A 27981-2025</t>
        </is>
      </c>
      <c r="B314" s="1" t="n">
        <v>45817.57471064815</v>
      </c>
      <c r="C314" s="1" t="n">
        <v>46161</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28193-2025</t>
        </is>
      </c>
      <c r="B315" s="1" t="n">
        <v>45818.425625</v>
      </c>
      <c r="C315" s="1" t="n">
        <v>46161</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16760-2024</t>
        </is>
      </c>
      <c r="B316" s="1" t="n">
        <v>45411</v>
      </c>
      <c r="C316" s="1" t="n">
        <v>46161</v>
      </c>
      <c r="D316" t="inlineStr">
        <is>
          <t>VÄSTMANLANDS LÄN</t>
        </is>
      </c>
      <c r="E316" t="inlineStr">
        <is>
          <t>SALA</t>
        </is>
      </c>
      <c r="G316" t="n">
        <v>2.6</v>
      </c>
      <c r="H316" t="n">
        <v>0</v>
      </c>
      <c r="I316" t="n">
        <v>0</v>
      </c>
      <c r="J316" t="n">
        <v>0</v>
      </c>
      <c r="K316" t="n">
        <v>0</v>
      </c>
      <c r="L316" t="n">
        <v>0</v>
      </c>
      <c r="M316" t="n">
        <v>0</v>
      </c>
      <c r="N316" t="n">
        <v>0</v>
      </c>
      <c r="O316" t="n">
        <v>0</v>
      </c>
      <c r="P316" t="n">
        <v>0</v>
      </c>
      <c r="Q316" t="n">
        <v>0</v>
      </c>
      <c r="R316" s="2" t="inlineStr"/>
    </row>
    <row r="317" ht="15" customHeight="1">
      <c r="A317" t="inlineStr">
        <is>
          <t>A 28284-2025</t>
        </is>
      </c>
      <c r="B317" s="1" t="n">
        <v>45818.58893518519</v>
      </c>
      <c r="C317" s="1" t="n">
        <v>46161</v>
      </c>
      <c r="D317" t="inlineStr">
        <is>
          <t>VÄSTMANLANDS LÄN</t>
        </is>
      </c>
      <c r="E317" t="inlineStr">
        <is>
          <t>SALA</t>
        </is>
      </c>
      <c r="G317" t="n">
        <v>2.4</v>
      </c>
      <c r="H317" t="n">
        <v>0</v>
      </c>
      <c r="I317" t="n">
        <v>0</v>
      </c>
      <c r="J317" t="n">
        <v>0</v>
      </c>
      <c r="K317" t="n">
        <v>0</v>
      </c>
      <c r="L317" t="n">
        <v>0</v>
      </c>
      <c r="M317" t="n">
        <v>0</v>
      </c>
      <c r="N317" t="n">
        <v>0</v>
      </c>
      <c r="O317" t="n">
        <v>0</v>
      </c>
      <c r="P317" t="n">
        <v>0</v>
      </c>
      <c r="Q317" t="n">
        <v>0</v>
      </c>
      <c r="R317" s="2" t="inlineStr"/>
    </row>
    <row r="318" ht="15" customHeight="1">
      <c r="A318" t="inlineStr">
        <is>
          <t>A 28278-2025</t>
        </is>
      </c>
      <c r="B318" s="1" t="n">
        <v>45818.58454861111</v>
      </c>
      <c r="C318" s="1" t="n">
        <v>46161</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44524-2025</t>
        </is>
      </c>
      <c r="B319" s="1" t="n">
        <v>45916.72920138889</v>
      </c>
      <c r="C319" s="1" t="n">
        <v>46161</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28628-2025</t>
        </is>
      </c>
      <c r="B320" s="1" t="n">
        <v>45819.62158564815</v>
      </c>
      <c r="C320" s="1" t="n">
        <v>46161</v>
      </c>
      <c r="D320" t="inlineStr">
        <is>
          <t>VÄSTMANLANDS LÄN</t>
        </is>
      </c>
      <c r="E320" t="inlineStr">
        <is>
          <t>SALA</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28632-2025</t>
        </is>
      </c>
      <c r="B321" s="1" t="n">
        <v>45819.62344907408</v>
      </c>
      <c r="C321" s="1" t="n">
        <v>46161</v>
      </c>
      <c r="D321" t="inlineStr">
        <is>
          <t>VÄSTMANLANDS LÄN</t>
        </is>
      </c>
      <c r="E321" t="inlineStr">
        <is>
          <t>SALA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44486-2025</t>
        </is>
      </c>
      <c r="B322" s="1" t="n">
        <v>45916.65517361111</v>
      </c>
      <c r="C322" s="1" t="n">
        <v>46161</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28630-2025</t>
        </is>
      </c>
      <c r="B323" s="1" t="n">
        <v>45819.62274305556</v>
      </c>
      <c r="C323" s="1" t="n">
        <v>46161</v>
      </c>
      <c r="D323" t="inlineStr">
        <is>
          <t>VÄSTMANLANDS LÄN</t>
        </is>
      </c>
      <c r="E323" t="inlineStr">
        <is>
          <t>SALA</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6127-2025</t>
        </is>
      </c>
      <c r="B324" s="1" t="n">
        <v>45698</v>
      </c>
      <c r="C324" s="1" t="n">
        <v>46161</v>
      </c>
      <c r="D324" t="inlineStr">
        <is>
          <t>VÄSTMANLANDS LÄN</t>
        </is>
      </c>
      <c r="E324" t="inlineStr">
        <is>
          <t>SALA</t>
        </is>
      </c>
      <c r="F324" t="inlineStr">
        <is>
          <t>Bergvik skog öst AB</t>
        </is>
      </c>
      <c r="G324" t="n">
        <v>4.3</v>
      </c>
      <c r="H324" t="n">
        <v>0</v>
      </c>
      <c r="I324" t="n">
        <v>0</v>
      </c>
      <c r="J324" t="n">
        <v>0</v>
      </c>
      <c r="K324" t="n">
        <v>0</v>
      </c>
      <c r="L324" t="n">
        <v>0</v>
      </c>
      <c r="M324" t="n">
        <v>0</v>
      </c>
      <c r="N324" t="n">
        <v>0</v>
      </c>
      <c r="O324" t="n">
        <v>0</v>
      </c>
      <c r="P324" t="n">
        <v>0</v>
      </c>
      <c r="Q324" t="n">
        <v>0</v>
      </c>
      <c r="R324" s="2" t="inlineStr"/>
    </row>
    <row r="325" ht="15" customHeight="1">
      <c r="A325" t="inlineStr">
        <is>
          <t>A 45177-2025</t>
        </is>
      </c>
      <c r="B325" s="1" t="n">
        <v>45919.52444444445</v>
      </c>
      <c r="C325" s="1" t="n">
        <v>46161</v>
      </c>
      <c r="D325" t="inlineStr">
        <is>
          <t>VÄSTMANLANDS LÄN</t>
        </is>
      </c>
      <c r="E325" t="inlineStr">
        <is>
          <t>SALA</t>
        </is>
      </c>
      <c r="G325" t="n">
        <v>2.4</v>
      </c>
      <c r="H325" t="n">
        <v>0</v>
      </c>
      <c r="I325" t="n">
        <v>0</v>
      </c>
      <c r="J325" t="n">
        <v>0</v>
      </c>
      <c r="K325" t="n">
        <v>0</v>
      </c>
      <c r="L325" t="n">
        <v>0</v>
      </c>
      <c r="M325" t="n">
        <v>0</v>
      </c>
      <c r="N325" t="n">
        <v>0</v>
      </c>
      <c r="O325" t="n">
        <v>0</v>
      </c>
      <c r="P325" t="n">
        <v>0</v>
      </c>
      <c r="Q325" t="n">
        <v>0</v>
      </c>
      <c r="R325" s="2" t="inlineStr"/>
    </row>
    <row r="326" ht="15" customHeight="1">
      <c r="A326" t="inlineStr">
        <is>
          <t>A 988-2025</t>
        </is>
      </c>
      <c r="B326" s="1" t="n">
        <v>45666.44038194444</v>
      </c>
      <c r="C326" s="1" t="n">
        <v>46161</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28837-2025</t>
        </is>
      </c>
      <c r="B327" s="1" t="n">
        <v>45820.56243055555</v>
      </c>
      <c r="C327" s="1" t="n">
        <v>46161</v>
      </c>
      <c r="D327" t="inlineStr">
        <is>
          <t>VÄSTMANLANDS LÄN</t>
        </is>
      </c>
      <c r="E327" t="inlineStr">
        <is>
          <t>SALA</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28849-2025</t>
        </is>
      </c>
      <c r="B328" s="1" t="n">
        <v>45820</v>
      </c>
      <c r="C328" s="1" t="n">
        <v>46161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60328-2024</t>
        </is>
      </c>
      <c r="B329" s="1" t="n">
        <v>45643.38416666666</v>
      </c>
      <c r="C329" s="1" t="n">
        <v>46161</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35016-2024</t>
        </is>
      </c>
      <c r="B330" s="1" t="n">
        <v>45527.59115740741</v>
      </c>
      <c r="C330" s="1" t="n">
        <v>46161</v>
      </c>
      <c r="D330" t="inlineStr">
        <is>
          <t>VÄSTMANLANDS LÄN</t>
        </is>
      </c>
      <c r="E330" t="inlineStr">
        <is>
          <t>SALA</t>
        </is>
      </c>
      <c r="G330" t="n">
        <v>0.4</v>
      </c>
      <c r="H330" t="n">
        <v>0</v>
      </c>
      <c r="I330" t="n">
        <v>0</v>
      </c>
      <c r="J330" t="n">
        <v>0</v>
      </c>
      <c r="K330" t="n">
        <v>0</v>
      </c>
      <c r="L330" t="n">
        <v>0</v>
      </c>
      <c r="M330" t="n">
        <v>0</v>
      </c>
      <c r="N330" t="n">
        <v>0</v>
      </c>
      <c r="O330" t="n">
        <v>0</v>
      </c>
      <c r="P330" t="n">
        <v>0</v>
      </c>
      <c r="Q330" t="n">
        <v>0</v>
      </c>
      <c r="R330" s="2" t="inlineStr"/>
    </row>
    <row r="331" ht="15" customHeight="1">
      <c r="A331" t="inlineStr">
        <is>
          <t>A 25897-2024</t>
        </is>
      </c>
      <c r="B331" s="1" t="n">
        <v>45467.54435185185</v>
      </c>
      <c r="C331" s="1" t="n">
        <v>46161</v>
      </c>
      <c r="D331" t="inlineStr">
        <is>
          <t>VÄSTMANLANDS LÄN</t>
        </is>
      </c>
      <c r="E331" t="inlineStr">
        <is>
          <t>SALA</t>
        </is>
      </c>
      <c r="G331" t="n">
        <v>9.9</v>
      </c>
      <c r="H331" t="n">
        <v>0</v>
      </c>
      <c r="I331" t="n">
        <v>0</v>
      </c>
      <c r="J331" t="n">
        <v>0</v>
      </c>
      <c r="K331" t="n">
        <v>0</v>
      </c>
      <c r="L331" t="n">
        <v>0</v>
      </c>
      <c r="M331" t="n">
        <v>0</v>
      </c>
      <c r="N331" t="n">
        <v>0</v>
      </c>
      <c r="O331" t="n">
        <v>0</v>
      </c>
      <c r="P331" t="n">
        <v>0</v>
      </c>
      <c r="Q331" t="n">
        <v>0</v>
      </c>
      <c r="R331" s="2" t="inlineStr"/>
    </row>
    <row r="332" ht="15" customHeight="1">
      <c r="A332" t="inlineStr">
        <is>
          <t>A 29085-2025</t>
        </is>
      </c>
      <c r="B332" s="1" t="n">
        <v>45821</v>
      </c>
      <c r="C332" s="1" t="n">
        <v>46161</v>
      </c>
      <c r="D332" t="inlineStr">
        <is>
          <t>VÄSTMANLANDS LÄN</t>
        </is>
      </c>
      <c r="E332" t="inlineStr">
        <is>
          <t>SALA</t>
        </is>
      </c>
      <c r="G332" t="n">
        <v>3.5</v>
      </c>
      <c r="H332" t="n">
        <v>0</v>
      </c>
      <c r="I332" t="n">
        <v>0</v>
      </c>
      <c r="J332" t="n">
        <v>0</v>
      </c>
      <c r="K332" t="n">
        <v>0</v>
      </c>
      <c r="L332" t="n">
        <v>0</v>
      </c>
      <c r="M332" t="n">
        <v>0</v>
      </c>
      <c r="N332" t="n">
        <v>0</v>
      </c>
      <c r="O332" t="n">
        <v>0</v>
      </c>
      <c r="P332" t="n">
        <v>0</v>
      </c>
      <c r="Q332" t="n">
        <v>0</v>
      </c>
      <c r="R332" s="2" t="inlineStr"/>
    </row>
    <row r="333" ht="15" customHeight="1">
      <c r="A333" t="inlineStr">
        <is>
          <t>A 31072-2021</t>
        </is>
      </c>
      <c r="B333" s="1" t="n">
        <v>44368</v>
      </c>
      <c r="C333" s="1" t="n">
        <v>46161</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43122-2025</t>
        </is>
      </c>
      <c r="B334" s="1" t="n">
        <v>45909</v>
      </c>
      <c r="C334" s="1" t="n">
        <v>46161</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57371-2022</t>
        </is>
      </c>
      <c r="B335" s="1" t="n">
        <v>44896.43832175926</v>
      </c>
      <c r="C335" s="1" t="n">
        <v>46161</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55784-2024</t>
        </is>
      </c>
      <c r="B336" s="1" t="n">
        <v>45623</v>
      </c>
      <c r="C336" s="1" t="n">
        <v>46161</v>
      </c>
      <c r="D336" t="inlineStr">
        <is>
          <t>VÄSTMANLANDS LÄN</t>
        </is>
      </c>
      <c r="E336" t="inlineStr">
        <is>
          <t>SALA</t>
        </is>
      </c>
      <c r="F336" t="inlineStr">
        <is>
          <t>Bergvik skog öst AB</t>
        </is>
      </c>
      <c r="G336" t="n">
        <v>28.4</v>
      </c>
      <c r="H336" t="n">
        <v>0</v>
      </c>
      <c r="I336" t="n">
        <v>0</v>
      </c>
      <c r="J336" t="n">
        <v>0</v>
      </c>
      <c r="K336" t="n">
        <v>0</v>
      </c>
      <c r="L336" t="n">
        <v>0</v>
      </c>
      <c r="M336" t="n">
        <v>0</v>
      </c>
      <c r="N336" t="n">
        <v>0</v>
      </c>
      <c r="O336" t="n">
        <v>0</v>
      </c>
      <c r="P336" t="n">
        <v>0</v>
      </c>
      <c r="Q336" t="n">
        <v>0</v>
      </c>
      <c r="R336" s="2" t="inlineStr"/>
    </row>
    <row r="337" ht="15" customHeight="1">
      <c r="A337" t="inlineStr">
        <is>
          <t>A 29691-2025</t>
        </is>
      </c>
      <c r="B337" s="1" t="n">
        <v>45825.53645833334</v>
      </c>
      <c r="C337" s="1" t="n">
        <v>46161</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60541-2024</t>
        </is>
      </c>
      <c r="B338" s="1" t="n">
        <v>45643</v>
      </c>
      <c r="C338" s="1" t="n">
        <v>46161</v>
      </c>
      <c r="D338" t="inlineStr">
        <is>
          <t>VÄSTMANLANDS LÄN</t>
        </is>
      </c>
      <c r="E338" t="inlineStr">
        <is>
          <t>SALA</t>
        </is>
      </c>
      <c r="G338" t="n">
        <v>10.6</v>
      </c>
      <c r="H338" t="n">
        <v>0</v>
      </c>
      <c r="I338" t="n">
        <v>0</v>
      </c>
      <c r="J338" t="n">
        <v>0</v>
      </c>
      <c r="K338" t="n">
        <v>0</v>
      </c>
      <c r="L338" t="n">
        <v>0</v>
      </c>
      <c r="M338" t="n">
        <v>0</v>
      </c>
      <c r="N338" t="n">
        <v>0</v>
      </c>
      <c r="O338" t="n">
        <v>0</v>
      </c>
      <c r="P338" t="n">
        <v>0</v>
      </c>
      <c r="Q338" t="n">
        <v>0</v>
      </c>
      <c r="R338" s="2" t="inlineStr"/>
    </row>
    <row r="339" ht="15" customHeight="1">
      <c r="A339" t="inlineStr">
        <is>
          <t>A 45371-2025</t>
        </is>
      </c>
      <c r="B339" s="1" t="n">
        <v>45922.39001157408</v>
      </c>
      <c r="C339" s="1" t="n">
        <v>46161</v>
      </c>
      <c r="D339" t="inlineStr">
        <is>
          <t>VÄSTMANLANDS LÄN</t>
        </is>
      </c>
      <c r="E339" t="inlineStr">
        <is>
          <t>SALA</t>
        </is>
      </c>
      <c r="G339" t="n">
        <v>2.1</v>
      </c>
      <c r="H339" t="n">
        <v>0</v>
      </c>
      <c r="I339" t="n">
        <v>0</v>
      </c>
      <c r="J339" t="n">
        <v>0</v>
      </c>
      <c r="K339" t="n">
        <v>0</v>
      </c>
      <c r="L339" t="n">
        <v>0</v>
      </c>
      <c r="M339" t="n">
        <v>0</v>
      </c>
      <c r="N339" t="n">
        <v>0</v>
      </c>
      <c r="O339" t="n">
        <v>0</v>
      </c>
      <c r="P339" t="n">
        <v>0</v>
      </c>
      <c r="Q339" t="n">
        <v>0</v>
      </c>
      <c r="R339" s="2" t="inlineStr"/>
    </row>
    <row r="340" ht="15" customHeight="1">
      <c r="A340" t="inlineStr">
        <is>
          <t>A 19803-2024</t>
        </is>
      </c>
      <c r="B340" s="1" t="n">
        <v>45432</v>
      </c>
      <c r="C340" s="1" t="n">
        <v>46161</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29826-2025</t>
        </is>
      </c>
      <c r="B341" s="1" t="n">
        <v>45825.85761574074</v>
      </c>
      <c r="C341" s="1" t="n">
        <v>46161</v>
      </c>
      <c r="D341" t="inlineStr">
        <is>
          <t>VÄSTMANLANDS LÄN</t>
        </is>
      </c>
      <c r="E341" t="inlineStr">
        <is>
          <t>SALA</t>
        </is>
      </c>
      <c r="G341" t="n">
        <v>1.9</v>
      </c>
      <c r="H341" t="n">
        <v>0</v>
      </c>
      <c r="I341" t="n">
        <v>0</v>
      </c>
      <c r="J341" t="n">
        <v>0</v>
      </c>
      <c r="K341" t="n">
        <v>0</v>
      </c>
      <c r="L341" t="n">
        <v>0</v>
      </c>
      <c r="M341" t="n">
        <v>0</v>
      </c>
      <c r="N341" t="n">
        <v>0</v>
      </c>
      <c r="O341" t="n">
        <v>0</v>
      </c>
      <c r="P341" t="n">
        <v>0</v>
      </c>
      <c r="Q341" t="n">
        <v>0</v>
      </c>
      <c r="R341" s="2" t="inlineStr"/>
    </row>
    <row r="342" ht="15" customHeight="1">
      <c r="A342" t="inlineStr">
        <is>
          <t>A 7196-2025</t>
        </is>
      </c>
      <c r="B342" s="1" t="n">
        <v>45702</v>
      </c>
      <c r="C342" s="1" t="n">
        <v>46161</v>
      </c>
      <c r="D342" t="inlineStr">
        <is>
          <t>VÄSTMANLANDS LÄN</t>
        </is>
      </c>
      <c r="E342" t="inlineStr">
        <is>
          <t>SALA</t>
        </is>
      </c>
      <c r="G342" t="n">
        <v>1.3</v>
      </c>
      <c r="H342" t="n">
        <v>0</v>
      </c>
      <c r="I342" t="n">
        <v>0</v>
      </c>
      <c r="J342" t="n">
        <v>0</v>
      </c>
      <c r="K342" t="n">
        <v>0</v>
      </c>
      <c r="L342" t="n">
        <v>0</v>
      </c>
      <c r="M342" t="n">
        <v>0</v>
      </c>
      <c r="N342" t="n">
        <v>0</v>
      </c>
      <c r="O342" t="n">
        <v>0</v>
      </c>
      <c r="P342" t="n">
        <v>0</v>
      </c>
      <c r="Q342" t="n">
        <v>0</v>
      </c>
      <c r="R342" s="2" t="inlineStr"/>
    </row>
    <row r="343" ht="15" customHeight="1">
      <c r="A343" t="inlineStr">
        <is>
          <t>A 40597-2022</t>
        </is>
      </c>
      <c r="B343" s="1" t="n">
        <v>44823.84862268518</v>
      </c>
      <c r="C343" s="1" t="n">
        <v>46161</v>
      </c>
      <c r="D343" t="inlineStr">
        <is>
          <t>VÄSTMANLANDS LÄN</t>
        </is>
      </c>
      <c r="E343" t="inlineStr">
        <is>
          <t>SALA</t>
        </is>
      </c>
      <c r="G343" t="n">
        <v>3.5</v>
      </c>
      <c r="H343" t="n">
        <v>0</v>
      </c>
      <c r="I343" t="n">
        <v>0</v>
      </c>
      <c r="J343" t="n">
        <v>0</v>
      </c>
      <c r="K343" t="n">
        <v>0</v>
      </c>
      <c r="L343" t="n">
        <v>0</v>
      </c>
      <c r="M343" t="n">
        <v>0</v>
      </c>
      <c r="N343" t="n">
        <v>0</v>
      </c>
      <c r="O343" t="n">
        <v>0</v>
      </c>
      <c r="P343" t="n">
        <v>0</v>
      </c>
      <c r="Q343" t="n">
        <v>0</v>
      </c>
      <c r="R343" s="2" t="inlineStr"/>
    </row>
    <row r="344" ht="15" customHeight="1">
      <c r="A344" t="inlineStr">
        <is>
          <t>A 45914-2025</t>
        </is>
      </c>
      <c r="B344" s="1" t="n">
        <v>45923.82582175926</v>
      </c>
      <c r="C344" s="1" t="n">
        <v>46161</v>
      </c>
      <c r="D344" t="inlineStr">
        <is>
          <t>VÄSTMANLANDS LÄN</t>
        </is>
      </c>
      <c r="E344" t="inlineStr">
        <is>
          <t>SALA</t>
        </is>
      </c>
      <c r="F344" t="inlineStr">
        <is>
          <t>Kommuner</t>
        </is>
      </c>
      <c r="G344" t="n">
        <v>18.2</v>
      </c>
      <c r="H344" t="n">
        <v>0</v>
      </c>
      <c r="I344" t="n">
        <v>0</v>
      </c>
      <c r="J344" t="n">
        <v>0</v>
      </c>
      <c r="K344" t="n">
        <v>0</v>
      </c>
      <c r="L344" t="n">
        <v>0</v>
      </c>
      <c r="M344" t="n">
        <v>0</v>
      </c>
      <c r="N344" t="n">
        <v>0</v>
      </c>
      <c r="O344" t="n">
        <v>0</v>
      </c>
      <c r="P344" t="n">
        <v>0</v>
      </c>
      <c r="Q344" t="n">
        <v>0</v>
      </c>
      <c r="R344" s="2" t="inlineStr"/>
      <c r="U344">
        <f>HYPERLINK("https://klasma.github.io/Logging_1981/knärot/A 45914-2025 karta knärot.png", "A 45914-2025")</f>
        <v/>
      </c>
      <c r="V344">
        <f>HYPERLINK("https://klasma.github.io/Logging_1981/klagomål/A 45914-2025 FSC-klagomål.docx", "A 45914-2025")</f>
        <v/>
      </c>
      <c r="W344">
        <f>HYPERLINK("https://klasma.github.io/Logging_1981/klagomålsmail/A 45914-2025 FSC-klagomål mail.docx", "A 45914-2025")</f>
        <v/>
      </c>
      <c r="X344">
        <f>HYPERLINK("https://klasma.github.io/Logging_1981/tillsyn/A 45914-2025 tillsynsbegäran.docx", "A 45914-2025")</f>
        <v/>
      </c>
      <c r="Y344">
        <f>HYPERLINK("https://klasma.github.io/Logging_1981/tillsynsmail/A 45914-2025 tillsynsbegäran mail.docx", "A 45914-2025")</f>
        <v/>
      </c>
    </row>
    <row r="345" ht="15" customHeight="1">
      <c r="A345" t="inlineStr">
        <is>
          <t>A 45909-2025</t>
        </is>
      </c>
      <c r="B345" s="1" t="n">
        <v>45923.75078703704</v>
      </c>
      <c r="C345" s="1" t="n">
        <v>46161</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64925-2023</t>
        </is>
      </c>
      <c r="B346" s="1" t="n">
        <v>45282</v>
      </c>
      <c r="C346" s="1" t="n">
        <v>46161</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31608-2025</t>
        </is>
      </c>
      <c r="B347" s="1" t="n">
        <v>45833</v>
      </c>
      <c r="C347" s="1" t="n">
        <v>46161</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30866-2025</t>
        </is>
      </c>
      <c r="B348" s="1" t="n">
        <v>45832.3246875</v>
      </c>
      <c r="C348" s="1" t="n">
        <v>46161</v>
      </c>
      <c r="D348" t="inlineStr">
        <is>
          <t>VÄSTMANLANDS LÄN</t>
        </is>
      </c>
      <c r="E348" t="inlineStr">
        <is>
          <t>SALA</t>
        </is>
      </c>
      <c r="G348" t="n">
        <v>14.3</v>
      </c>
      <c r="H348" t="n">
        <v>0</v>
      </c>
      <c r="I348" t="n">
        <v>0</v>
      </c>
      <c r="J348" t="n">
        <v>0</v>
      </c>
      <c r="K348" t="n">
        <v>0</v>
      </c>
      <c r="L348" t="n">
        <v>0</v>
      </c>
      <c r="M348" t="n">
        <v>0</v>
      </c>
      <c r="N348" t="n">
        <v>0</v>
      </c>
      <c r="O348" t="n">
        <v>0</v>
      </c>
      <c r="P348" t="n">
        <v>0</v>
      </c>
      <c r="Q348" t="n">
        <v>0</v>
      </c>
      <c r="R348" s="2" t="inlineStr"/>
    </row>
    <row r="349" ht="15" customHeight="1">
      <c r="A349" t="inlineStr">
        <is>
          <t>A 30874-2025</t>
        </is>
      </c>
      <c r="B349" s="1" t="n">
        <v>45832.34430555555</v>
      </c>
      <c r="C349" s="1" t="n">
        <v>46161</v>
      </c>
      <c r="D349" t="inlineStr">
        <is>
          <t>VÄSTMANLANDS LÄN</t>
        </is>
      </c>
      <c r="E349" t="inlineStr">
        <is>
          <t>SALA</t>
        </is>
      </c>
      <c r="G349" t="n">
        <v>8.4</v>
      </c>
      <c r="H349" t="n">
        <v>0</v>
      </c>
      <c r="I349" t="n">
        <v>0</v>
      </c>
      <c r="J349" t="n">
        <v>0</v>
      </c>
      <c r="K349" t="n">
        <v>0</v>
      </c>
      <c r="L349" t="n">
        <v>0</v>
      </c>
      <c r="M349" t="n">
        <v>0</v>
      </c>
      <c r="N349" t="n">
        <v>0</v>
      </c>
      <c r="O349" t="n">
        <v>0</v>
      </c>
      <c r="P349" t="n">
        <v>0</v>
      </c>
      <c r="Q349" t="n">
        <v>0</v>
      </c>
      <c r="R349" s="2" t="inlineStr"/>
    </row>
    <row r="350" ht="15" customHeight="1">
      <c r="A350" t="inlineStr">
        <is>
          <t>A 31573-2025</t>
        </is>
      </c>
      <c r="B350" s="1" t="n">
        <v>45833</v>
      </c>
      <c r="C350" s="1" t="n">
        <v>46161</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31288-2025</t>
        </is>
      </c>
      <c r="B351" s="1" t="n">
        <v>45833</v>
      </c>
      <c r="C351" s="1" t="n">
        <v>46161</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23406-2024</t>
        </is>
      </c>
      <c r="B352" s="1" t="n">
        <v>45453.58296296297</v>
      </c>
      <c r="C352" s="1" t="n">
        <v>46161</v>
      </c>
      <c r="D352" t="inlineStr">
        <is>
          <t>VÄSTMANLANDS LÄN</t>
        </is>
      </c>
      <c r="E352" t="inlineStr">
        <is>
          <t>SALA</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31554-2025</t>
        </is>
      </c>
      <c r="B353" s="1" t="n">
        <v>45833</v>
      </c>
      <c r="C353" s="1" t="n">
        <v>46161</v>
      </c>
      <c r="D353" t="inlineStr">
        <is>
          <t>VÄSTMANLANDS LÄN</t>
        </is>
      </c>
      <c r="E353" t="inlineStr">
        <is>
          <t>SALA</t>
        </is>
      </c>
      <c r="G353" t="n">
        <v>1.5</v>
      </c>
      <c r="H353" t="n">
        <v>0</v>
      </c>
      <c r="I353" t="n">
        <v>0</v>
      </c>
      <c r="J353" t="n">
        <v>0</v>
      </c>
      <c r="K353" t="n">
        <v>0</v>
      </c>
      <c r="L353" t="n">
        <v>0</v>
      </c>
      <c r="M353" t="n">
        <v>0</v>
      </c>
      <c r="N353" t="n">
        <v>0</v>
      </c>
      <c r="O353" t="n">
        <v>0</v>
      </c>
      <c r="P353" t="n">
        <v>0</v>
      </c>
      <c r="Q353" t="n">
        <v>0</v>
      </c>
      <c r="R353" s="2" t="inlineStr"/>
    </row>
    <row r="354" ht="15" customHeight="1">
      <c r="A354" t="inlineStr">
        <is>
          <t>A 46915-2025</t>
        </is>
      </c>
      <c r="B354" s="1" t="n">
        <v>45929.42114583333</v>
      </c>
      <c r="C354" s="1" t="n">
        <v>46161</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30899-2025</t>
        </is>
      </c>
      <c r="B355" s="1" t="n">
        <v>45832.35767361111</v>
      </c>
      <c r="C355" s="1" t="n">
        <v>46161</v>
      </c>
      <c r="D355" t="inlineStr">
        <is>
          <t>VÄSTMANLANDS LÄN</t>
        </is>
      </c>
      <c r="E355" t="inlineStr">
        <is>
          <t>SALA</t>
        </is>
      </c>
      <c r="G355" t="n">
        <v>3.1</v>
      </c>
      <c r="H355" t="n">
        <v>0</v>
      </c>
      <c r="I355" t="n">
        <v>0</v>
      </c>
      <c r="J355" t="n">
        <v>0</v>
      </c>
      <c r="K355" t="n">
        <v>0</v>
      </c>
      <c r="L355" t="n">
        <v>0</v>
      </c>
      <c r="M355" t="n">
        <v>0</v>
      </c>
      <c r="N355" t="n">
        <v>0</v>
      </c>
      <c r="O355" t="n">
        <v>0</v>
      </c>
      <c r="P355" t="n">
        <v>0</v>
      </c>
      <c r="Q355" t="n">
        <v>0</v>
      </c>
      <c r="R355" s="2" t="inlineStr"/>
    </row>
    <row r="356" ht="15" customHeight="1">
      <c r="A356" t="inlineStr">
        <is>
          <t>A 16133-2025</t>
        </is>
      </c>
      <c r="B356" s="1" t="n">
        <v>45750</v>
      </c>
      <c r="C356" s="1" t="n">
        <v>46161</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15099-2025</t>
        </is>
      </c>
      <c r="B357" s="1" t="n">
        <v>45744.3434837963</v>
      </c>
      <c r="C357" s="1" t="n">
        <v>46161</v>
      </c>
      <c r="D357" t="inlineStr">
        <is>
          <t>VÄSTMANLANDS LÄN</t>
        </is>
      </c>
      <c r="E357" t="inlineStr">
        <is>
          <t>SALA</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31065-2025</t>
        </is>
      </c>
      <c r="B358" s="1" t="n">
        <v>45832.57571759259</v>
      </c>
      <c r="C358" s="1" t="n">
        <v>46161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60036-2024</t>
        </is>
      </c>
      <c r="B359" s="1" t="n">
        <v>45642.46434027778</v>
      </c>
      <c r="C359" s="1" t="n">
        <v>46161</v>
      </c>
      <c r="D359" t="inlineStr">
        <is>
          <t>VÄSTMANLANDS LÄN</t>
        </is>
      </c>
      <c r="E359" t="inlineStr">
        <is>
          <t>SALA</t>
        </is>
      </c>
      <c r="G359" t="n">
        <v>2.5</v>
      </c>
      <c r="H359" t="n">
        <v>0</v>
      </c>
      <c r="I359" t="n">
        <v>0</v>
      </c>
      <c r="J359" t="n">
        <v>0</v>
      </c>
      <c r="K359" t="n">
        <v>0</v>
      </c>
      <c r="L359" t="n">
        <v>0</v>
      </c>
      <c r="M359" t="n">
        <v>0</v>
      </c>
      <c r="N359" t="n">
        <v>0</v>
      </c>
      <c r="O359" t="n">
        <v>0</v>
      </c>
      <c r="P359" t="n">
        <v>0</v>
      </c>
      <c r="Q359" t="n">
        <v>0</v>
      </c>
      <c r="R359" s="2" t="inlineStr"/>
    </row>
    <row r="360" ht="15" customHeight="1">
      <c r="A360" t="inlineStr">
        <is>
          <t>A 52827-2024</t>
        </is>
      </c>
      <c r="B360" s="1" t="n">
        <v>45610</v>
      </c>
      <c r="C360" s="1" t="n">
        <v>46161</v>
      </c>
      <c r="D360" t="inlineStr">
        <is>
          <t>VÄSTMANLANDS LÄN</t>
        </is>
      </c>
      <c r="E360" t="inlineStr">
        <is>
          <t>SALA</t>
        </is>
      </c>
      <c r="G360" t="n">
        <v>0.2</v>
      </c>
      <c r="H360" t="n">
        <v>0</v>
      </c>
      <c r="I360" t="n">
        <v>0</v>
      </c>
      <c r="J360" t="n">
        <v>0</v>
      </c>
      <c r="K360" t="n">
        <v>0</v>
      </c>
      <c r="L360" t="n">
        <v>0</v>
      </c>
      <c r="M360" t="n">
        <v>0</v>
      </c>
      <c r="N360" t="n">
        <v>0</v>
      </c>
      <c r="O360" t="n">
        <v>0</v>
      </c>
      <c r="P360" t="n">
        <v>0</v>
      </c>
      <c r="Q360" t="n">
        <v>0</v>
      </c>
      <c r="R360" s="2" t="inlineStr"/>
    </row>
    <row r="361" ht="15" customHeight="1">
      <c r="A361" t="inlineStr">
        <is>
          <t>A 53725-2025</t>
        </is>
      </c>
      <c r="B361" s="1" t="n">
        <v>45960.63394675926</v>
      </c>
      <c r="C361" s="1" t="n">
        <v>46161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46597-2025</t>
        </is>
      </c>
      <c r="B362" s="1" t="n">
        <v>45926.40113425926</v>
      </c>
      <c r="C362" s="1" t="n">
        <v>46161</v>
      </c>
      <c r="D362" t="inlineStr">
        <is>
          <t>VÄSTMANLANDS LÄN</t>
        </is>
      </c>
      <c r="E362" t="inlineStr">
        <is>
          <t>SALA</t>
        </is>
      </c>
      <c r="G362" t="n">
        <v>3.4</v>
      </c>
      <c r="H362" t="n">
        <v>0</v>
      </c>
      <c r="I362" t="n">
        <v>0</v>
      </c>
      <c r="J362" t="n">
        <v>0</v>
      </c>
      <c r="K362" t="n">
        <v>0</v>
      </c>
      <c r="L362" t="n">
        <v>0</v>
      </c>
      <c r="M362" t="n">
        <v>0</v>
      </c>
      <c r="N362" t="n">
        <v>0</v>
      </c>
      <c r="O362" t="n">
        <v>0</v>
      </c>
      <c r="P362" t="n">
        <v>0</v>
      </c>
      <c r="Q362" t="n">
        <v>0</v>
      </c>
      <c r="R362" s="2" t="inlineStr"/>
    </row>
    <row r="363" ht="15" customHeight="1">
      <c r="A363" t="inlineStr">
        <is>
          <t>A 31296-2025</t>
        </is>
      </c>
      <c r="B363" s="1" t="n">
        <v>45833.36765046296</v>
      </c>
      <c r="C363" s="1" t="n">
        <v>46161</v>
      </c>
      <c r="D363" t="inlineStr">
        <is>
          <t>VÄSTMANLANDS LÄN</t>
        </is>
      </c>
      <c r="E363" t="inlineStr">
        <is>
          <t>SALA</t>
        </is>
      </c>
      <c r="G363" t="n">
        <v>3.7</v>
      </c>
      <c r="H363" t="n">
        <v>0</v>
      </c>
      <c r="I363" t="n">
        <v>0</v>
      </c>
      <c r="J363" t="n">
        <v>0</v>
      </c>
      <c r="K363" t="n">
        <v>0</v>
      </c>
      <c r="L363" t="n">
        <v>0</v>
      </c>
      <c r="M363" t="n">
        <v>0</v>
      </c>
      <c r="N363" t="n">
        <v>0</v>
      </c>
      <c r="O363" t="n">
        <v>0</v>
      </c>
      <c r="P363" t="n">
        <v>0</v>
      </c>
      <c r="Q363" t="n">
        <v>0</v>
      </c>
      <c r="R363" s="2" t="inlineStr"/>
    </row>
    <row r="364" ht="15" customHeight="1">
      <c r="A364" t="inlineStr">
        <is>
          <t>A 31748-2025</t>
        </is>
      </c>
      <c r="B364" s="1" t="n">
        <v>45834</v>
      </c>
      <c r="C364" s="1" t="n">
        <v>46161</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16328-2025</t>
        </is>
      </c>
      <c r="B365" s="1" t="n">
        <v>45751</v>
      </c>
      <c r="C365" s="1" t="n">
        <v>46161</v>
      </c>
      <c r="D365" t="inlineStr">
        <is>
          <t>VÄSTMANLANDS LÄN</t>
        </is>
      </c>
      <c r="E365" t="inlineStr">
        <is>
          <t>SALA</t>
        </is>
      </c>
      <c r="G365" t="n">
        <v>2.9</v>
      </c>
      <c r="H365" t="n">
        <v>0</v>
      </c>
      <c r="I365" t="n">
        <v>0</v>
      </c>
      <c r="J365" t="n">
        <v>0</v>
      </c>
      <c r="K365" t="n">
        <v>0</v>
      </c>
      <c r="L365" t="n">
        <v>0</v>
      </c>
      <c r="M365" t="n">
        <v>0</v>
      </c>
      <c r="N365" t="n">
        <v>0</v>
      </c>
      <c r="O365" t="n">
        <v>0</v>
      </c>
      <c r="P365" t="n">
        <v>0</v>
      </c>
      <c r="Q365" t="n">
        <v>0</v>
      </c>
      <c r="R365" s="2" t="inlineStr"/>
    </row>
    <row r="366" ht="15" customHeight="1">
      <c r="A366" t="inlineStr">
        <is>
          <t>A 32210-2025</t>
        </is>
      </c>
      <c r="B366" s="1" t="n">
        <v>45835</v>
      </c>
      <c r="C366" s="1" t="n">
        <v>46161</v>
      </c>
      <c r="D366" t="inlineStr">
        <is>
          <t>VÄSTMANLANDS LÄN</t>
        </is>
      </c>
      <c r="E366" t="inlineStr">
        <is>
          <t>SALA</t>
        </is>
      </c>
      <c r="F366" t="inlineStr">
        <is>
          <t>Bergvik skog öst AB</t>
        </is>
      </c>
      <c r="G366" t="n">
        <v>1.5</v>
      </c>
      <c r="H366" t="n">
        <v>0</v>
      </c>
      <c r="I366" t="n">
        <v>0</v>
      </c>
      <c r="J366" t="n">
        <v>0</v>
      </c>
      <c r="K366" t="n">
        <v>0</v>
      </c>
      <c r="L366" t="n">
        <v>0</v>
      </c>
      <c r="M366" t="n">
        <v>0</v>
      </c>
      <c r="N366" t="n">
        <v>0</v>
      </c>
      <c r="O366" t="n">
        <v>0</v>
      </c>
      <c r="P366" t="n">
        <v>0</v>
      </c>
      <c r="Q366" t="n">
        <v>0</v>
      </c>
      <c r="R366" s="2" t="inlineStr"/>
    </row>
    <row r="367" ht="15" customHeight="1">
      <c r="A367" t="inlineStr">
        <is>
          <t>A 38636-2024</t>
        </is>
      </c>
      <c r="B367" s="1" t="n">
        <v>45546</v>
      </c>
      <c r="C367" s="1" t="n">
        <v>46161</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31610-2025</t>
        </is>
      </c>
      <c r="B368" s="1" t="n">
        <v>45833.78650462963</v>
      </c>
      <c r="C368" s="1" t="n">
        <v>46161</v>
      </c>
      <c r="D368" t="inlineStr">
        <is>
          <t>VÄSTMANLANDS LÄN</t>
        </is>
      </c>
      <c r="E368" t="inlineStr">
        <is>
          <t>SALA</t>
        </is>
      </c>
      <c r="G368" t="n">
        <v>8</v>
      </c>
      <c r="H368" t="n">
        <v>0</v>
      </c>
      <c r="I368" t="n">
        <v>0</v>
      </c>
      <c r="J368" t="n">
        <v>0</v>
      </c>
      <c r="K368" t="n">
        <v>0</v>
      </c>
      <c r="L368" t="n">
        <v>0</v>
      </c>
      <c r="M368" t="n">
        <v>0</v>
      </c>
      <c r="N368" t="n">
        <v>0</v>
      </c>
      <c r="O368" t="n">
        <v>0</v>
      </c>
      <c r="P368" t="n">
        <v>0</v>
      </c>
      <c r="Q368" t="n">
        <v>0</v>
      </c>
      <c r="R368" s="2" t="inlineStr"/>
    </row>
    <row r="369" ht="15" customHeight="1">
      <c r="A369" t="inlineStr">
        <is>
          <t>A 32201-2025</t>
        </is>
      </c>
      <c r="B369" s="1" t="n">
        <v>45835</v>
      </c>
      <c r="C369" s="1" t="n">
        <v>46161</v>
      </c>
      <c r="D369" t="inlineStr">
        <is>
          <t>VÄSTMANLANDS LÄN</t>
        </is>
      </c>
      <c r="E369" t="inlineStr">
        <is>
          <t>SALA</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31612-2025</t>
        </is>
      </c>
      <c r="B370" s="1" t="n">
        <v>45833.80056712963</v>
      </c>
      <c r="C370" s="1" t="n">
        <v>46161</v>
      </c>
      <c r="D370" t="inlineStr">
        <is>
          <t>VÄSTMANLANDS LÄN</t>
        </is>
      </c>
      <c r="E370" t="inlineStr">
        <is>
          <t>SALA</t>
        </is>
      </c>
      <c r="G370" t="n">
        <v>6.3</v>
      </c>
      <c r="H370" t="n">
        <v>0</v>
      </c>
      <c r="I370" t="n">
        <v>0</v>
      </c>
      <c r="J370" t="n">
        <v>0</v>
      </c>
      <c r="K370" t="n">
        <v>0</v>
      </c>
      <c r="L370" t="n">
        <v>0</v>
      </c>
      <c r="M370" t="n">
        <v>0</v>
      </c>
      <c r="N370" t="n">
        <v>0</v>
      </c>
      <c r="O370" t="n">
        <v>0</v>
      </c>
      <c r="P370" t="n">
        <v>0</v>
      </c>
      <c r="Q370" t="n">
        <v>0</v>
      </c>
      <c r="R370" s="2" t="inlineStr"/>
    </row>
    <row r="371" ht="15" customHeight="1">
      <c r="A371" t="inlineStr">
        <is>
          <t>A 32207-2025</t>
        </is>
      </c>
      <c r="B371" s="1" t="n">
        <v>45835</v>
      </c>
      <c r="C371" s="1" t="n">
        <v>46161</v>
      </c>
      <c r="D371" t="inlineStr">
        <is>
          <t>VÄSTMANLANDS LÄN</t>
        </is>
      </c>
      <c r="E371" t="inlineStr">
        <is>
          <t>SALA</t>
        </is>
      </c>
      <c r="F371" t="inlineStr">
        <is>
          <t>Bergvik skog öst AB</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47577-2025</t>
        </is>
      </c>
      <c r="B372" s="1" t="n">
        <v>45931.4047337963</v>
      </c>
      <c r="C372" s="1" t="n">
        <v>46161</v>
      </c>
      <c r="D372" t="inlineStr">
        <is>
          <t>VÄSTMANLANDS LÄN</t>
        </is>
      </c>
      <c r="E372" t="inlineStr">
        <is>
          <t>SALA</t>
        </is>
      </c>
      <c r="G372" t="n">
        <v>3.7</v>
      </c>
      <c r="H372" t="n">
        <v>0</v>
      </c>
      <c r="I372" t="n">
        <v>0</v>
      </c>
      <c r="J372" t="n">
        <v>0</v>
      </c>
      <c r="K372" t="n">
        <v>0</v>
      </c>
      <c r="L372" t="n">
        <v>0</v>
      </c>
      <c r="M372" t="n">
        <v>0</v>
      </c>
      <c r="N372" t="n">
        <v>0</v>
      </c>
      <c r="O372" t="n">
        <v>0</v>
      </c>
      <c r="P372" t="n">
        <v>0</v>
      </c>
      <c r="Q372" t="n">
        <v>0</v>
      </c>
      <c r="R372" s="2" t="inlineStr"/>
    </row>
    <row r="373" ht="15" customHeight="1">
      <c r="A373" t="inlineStr">
        <is>
          <t>A 31762-2025</t>
        </is>
      </c>
      <c r="B373" s="1" t="n">
        <v>45834.49288194445</v>
      </c>
      <c r="C373" s="1" t="n">
        <v>46161</v>
      </c>
      <c r="D373" t="inlineStr">
        <is>
          <t>VÄSTMANLANDS LÄN</t>
        </is>
      </c>
      <c r="E373" t="inlineStr">
        <is>
          <t>SALA</t>
        </is>
      </c>
      <c r="G373" t="n">
        <v>5.9</v>
      </c>
      <c r="H373" t="n">
        <v>0</v>
      </c>
      <c r="I373" t="n">
        <v>0</v>
      </c>
      <c r="J373" t="n">
        <v>0</v>
      </c>
      <c r="K373" t="n">
        <v>0</v>
      </c>
      <c r="L373" t="n">
        <v>0</v>
      </c>
      <c r="M373" t="n">
        <v>0</v>
      </c>
      <c r="N373" t="n">
        <v>0</v>
      </c>
      <c r="O373" t="n">
        <v>0</v>
      </c>
      <c r="P373" t="n">
        <v>0</v>
      </c>
      <c r="Q373" t="n">
        <v>0</v>
      </c>
      <c r="R373" s="2" t="inlineStr"/>
    </row>
    <row r="374" ht="15" customHeight="1">
      <c r="A374" t="inlineStr">
        <is>
          <t>A 31771-2025</t>
        </is>
      </c>
      <c r="B374" s="1" t="n">
        <v>45834.50910879629</v>
      </c>
      <c r="C374" s="1" t="n">
        <v>46161</v>
      </c>
      <c r="D374" t="inlineStr">
        <is>
          <t>VÄSTMANLANDS LÄN</t>
        </is>
      </c>
      <c r="E374" t="inlineStr">
        <is>
          <t>SALA</t>
        </is>
      </c>
      <c r="G374" t="n">
        <v>5.1</v>
      </c>
      <c r="H374" t="n">
        <v>0</v>
      </c>
      <c r="I374" t="n">
        <v>0</v>
      </c>
      <c r="J374" t="n">
        <v>0</v>
      </c>
      <c r="K374" t="n">
        <v>0</v>
      </c>
      <c r="L374" t="n">
        <v>0</v>
      </c>
      <c r="M374" t="n">
        <v>0</v>
      </c>
      <c r="N374" t="n">
        <v>0</v>
      </c>
      <c r="O374" t="n">
        <v>0</v>
      </c>
      <c r="P374" t="n">
        <v>0</v>
      </c>
      <c r="Q374" t="n">
        <v>0</v>
      </c>
      <c r="R374" s="2" t="inlineStr"/>
    </row>
    <row r="375" ht="15" customHeight="1">
      <c r="A375" t="inlineStr">
        <is>
          <t>A 32205-2025</t>
        </is>
      </c>
      <c r="B375" s="1" t="n">
        <v>45835</v>
      </c>
      <c r="C375" s="1" t="n">
        <v>46161</v>
      </c>
      <c r="D375" t="inlineStr">
        <is>
          <t>VÄSTMANLANDS LÄN</t>
        </is>
      </c>
      <c r="E375" t="inlineStr">
        <is>
          <t>SALA</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66908-2021</t>
        </is>
      </c>
      <c r="B376" s="1" t="n">
        <v>44522</v>
      </c>
      <c r="C376" s="1" t="n">
        <v>46161</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32286-2025</t>
        </is>
      </c>
      <c r="B377" s="1" t="n">
        <v>45835</v>
      </c>
      <c r="C377" s="1" t="n">
        <v>46161</v>
      </c>
      <c r="D377" t="inlineStr">
        <is>
          <t>VÄSTMANLANDS LÄN</t>
        </is>
      </c>
      <c r="E377" t="inlineStr">
        <is>
          <t>SALA</t>
        </is>
      </c>
      <c r="G377" t="n">
        <v>6.4</v>
      </c>
      <c r="H377" t="n">
        <v>0</v>
      </c>
      <c r="I377" t="n">
        <v>0</v>
      </c>
      <c r="J377" t="n">
        <v>0</v>
      </c>
      <c r="K377" t="n">
        <v>0</v>
      </c>
      <c r="L377" t="n">
        <v>0</v>
      </c>
      <c r="M377" t="n">
        <v>0</v>
      </c>
      <c r="N377" t="n">
        <v>0</v>
      </c>
      <c r="O377" t="n">
        <v>0</v>
      </c>
      <c r="P377" t="n">
        <v>0</v>
      </c>
      <c r="Q377" t="n">
        <v>0</v>
      </c>
      <c r="R377" s="2" t="inlineStr"/>
    </row>
    <row r="378" ht="15" customHeight="1">
      <c r="A378" t="inlineStr">
        <is>
          <t>A 53744-2025</t>
        </is>
      </c>
      <c r="B378" s="1" t="n">
        <v>45960.64863425926</v>
      </c>
      <c r="C378" s="1" t="n">
        <v>46161</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73835-2021</t>
        </is>
      </c>
      <c r="B379" s="1" t="n">
        <v>44552.92112268518</v>
      </c>
      <c r="C379" s="1" t="n">
        <v>46161</v>
      </c>
      <c r="D379" t="inlineStr">
        <is>
          <t>VÄSTMANLANDS LÄN</t>
        </is>
      </c>
      <c r="E379" t="inlineStr">
        <is>
          <t>SALA</t>
        </is>
      </c>
      <c r="G379" t="n">
        <v>2</v>
      </c>
      <c r="H379" t="n">
        <v>0</v>
      </c>
      <c r="I379" t="n">
        <v>0</v>
      </c>
      <c r="J379" t="n">
        <v>0</v>
      </c>
      <c r="K379" t="n">
        <v>0</v>
      </c>
      <c r="L379" t="n">
        <v>0</v>
      </c>
      <c r="M379" t="n">
        <v>0</v>
      </c>
      <c r="N379" t="n">
        <v>0</v>
      </c>
      <c r="O379" t="n">
        <v>0</v>
      </c>
      <c r="P379" t="n">
        <v>0</v>
      </c>
      <c r="Q379" t="n">
        <v>0</v>
      </c>
      <c r="R379" s="2" t="inlineStr"/>
    </row>
    <row r="380" ht="15" customHeight="1">
      <c r="A380" t="inlineStr">
        <is>
          <t>A 46661-2025</t>
        </is>
      </c>
      <c r="B380" s="1" t="n">
        <v>45926</v>
      </c>
      <c r="C380" s="1" t="n">
        <v>46161</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3810-2023</t>
        </is>
      </c>
      <c r="B381" s="1" t="n">
        <v>44951.60454861111</v>
      </c>
      <c r="C381" s="1" t="n">
        <v>46161</v>
      </c>
      <c r="D381" t="inlineStr">
        <is>
          <t>VÄSTMANLANDS LÄN</t>
        </is>
      </c>
      <c r="E381" t="inlineStr">
        <is>
          <t>SALA</t>
        </is>
      </c>
      <c r="G381" t="n">
        <v>4.2</v>
      </c>
      <c r="H381" t="n">
        <v>0</v>
      </c>
      <c r="I381" t="n">
        <v>0</v>
      </c>
      <c r="J381" t="n">
        <v>0</v>
      </c>
      <c r="K381" t="n">
        <v>0</v>
      </c>
      <c r="L381" t="n">
        <v>0</v>
      </c>
      <c r="M381" t="n">
        <v>0</v>
      </c>
      <c r="N381" t="n">
        <v>0</v>
      </c>
      <c r="O381" t="n">
        <v>0</v>
      </c>
      <c r="P381" t="n">
        <v>0</v>
      </c>
      <c r="Q381" t="n">
        <v>0</v>
      </c>
      <c r="R381" s="2" t="inlineStr"/>
    </row>
    <row r="382" ht="15" customHeight="1">
      <c r="A382" t="inlineStr">
        <is>
          <t>A 32902-2025</t>
        </is>
      </c>
      <c r="B382" s="1" t="n">
        <v>45839</v>
      </c>
      <c r="C382" s="1" t="n">
        <v>46161</v>
      </c>
      <c r="D382" t="inlineStr">
        <is>
          <t>VÄSTMANLANDS LÄN</t>
        </is>
      </c>
      <c r="E382" t="inlineStr">
        <is>
          <t>SALA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53724-2025</t>
        </is>
      </c>
      <c r="B383" s="1" t="n">
        <v>45960.63174768518</v>
      </c>
      <c r="C383" s="1" t="n">
        <v>46161</v>
      </c>
      <c r="D383" t="inlineStr">
        <is>
          <t>VÄSTMANLANDS LÄN</t>
        </is>
      </c>
      <c r="E383" t="inlineStr">
        <is>
          <t>SALA</t>
        </is>
      </c>
      <c r="G383" t="n">
        <v>2.8</v>
      </c>
      <c r="H383" t="n">
        <v>0</v>
      </c>
      <c r="I383" t="n">
        <v>0</v>
      </c>
      <c r="J383" t="n">
        <v>0</v>
      </c>
      <c r="K383" t="n">
        <v>0</v>
      </c>
      <c r="L383" t="n">
        <v>0</v>
      </c>
      <c r="M383" t="n">
        <v>0</v>
      </c>
      <c r="N383" t="n">
        <v>0</v>
      </c>
      <c r="O383" t="n">
        <v>0</v>
      </c>
      <c r="P383" t="n">
        <v>0</v>
      </c>
      <c r="Q383" t="n">
        <v>0</v>
      </c>
      <c r="R383" s="2" t="inlineStr"/>
    </row>
    <row r="384" ht="15" customHeight="1">
      <c r="A384" t="inlineStr">
        <is>
          <t>A 12252-2023</t>
        </is>
      </c>
      <c r="B384" s="1" t="n">
        <v>44995</v>
      </c>
      <c r="C384" s="1" t="n">
        <v>46161</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54344-2025</t>
        </is>
      </c>
      <c r="B385" s="1" t="n">
        <v>45965.36462962963</v>
      </c>
      <c r="C385" s="1" t="n">
        <v>46161</v>
      </c>
      <c r="D385" t="inlineStr">
        <is>
          <t>VÄSTMANLANDS LÄN</t>
        </is>
      </c>
      <c r="E385" t="inlineStr">
        <is>
          <t>SALA</t>
        </is>
      </c>
      <c r="G385" t="n">
        <v>2</v>
      </c>
      <c r="H385" t="n">
        <v>0</v>
      </c>
      <c r="I385" t="n">
        <v>0</v>
      </c>
      <c r="J385" t="n">
        <v>0</v>
      </c>
      <c r="K385" t="n">
        <v>0</v>
      </c>
      <c r="L385" t="n">
        <v>0</v>
      </c>
      <c r="M385" t="n">
        <v>0</v>
      </c>
      <c r="N385" t="n">
        <v>0</v>
      </c>
      <c r="O385" t="n">
        <v>0</v>
      </c>
      <c r="P385" t="n">
        <v>0</v>
      </c>
      <c r="Q385" t="n">
        <v>0</v>
      </c>
      <c r="R385" s="2" t="inlineStr"/>
    </row>
    <row r="386" ht="15" customHeight="1">
      <c r="A386" t="inlineStr">
        <is>
          <t>A 25260-2023</t>
        </is>
      </c>
      <c r="B386" s="1" t="n">
        <v>45086</v>
      </c>
      <c r="C386" s="1" t="n">
        <v>46161</v>
      </c>
      <c r="D386" t="inlineStr">
        <is>
          <t>VÄSTMANLANDS LÄN</t>
        </is>
      </c>
      <c r="E386" t="inlineStr">
        <is>
          <t>SALA</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54590-2025</t>
        </is>
      </c>
      <c r="B387" s="1" t="n">
        <v>45965.74199074074</v>
      </c>
      <c r="C387" s="1" t="n">
        <v>46161</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57404-2024</t>
        </is>
      </c>
      <c r="B388" s="1" t="n">
        <v>45629.71967592592</v>
      </c>
      <c r="C388" s="1" t="n">
        <v>46161</v>
      </c>
      <c r="D388" t="inlineStr">
        <is>
          <t>VÄSTMANLANDS LÄN</t>
        </is>
      </c>
      <c r="E388" t="inlineStr">
        <is>
          <t>SALA</t>
        </is>
      </c>
      <c r="G388" t="n">
        <v>0.3</v>
      </c>
      <c r="H388" t="n">
        <v>0</v>
      </c>
      <c r="I388" t="n">
        <v>0</v>
      </c>
      <c r="J388" t="n">
        <v>0</v>
      </c>
      <c r="K388" t="n">
        <v>0</v>
      </c>
      <c r="L388" t="n">
        <v>0</v>
      </c>
      <c r="M388" t="n">
        <v>0</v>
      </c>
      <c r="N388" t="n">
        <v>0</v>
      </c>
      <c r="O388" t="n">
        <v>0</v>
      </c>
      <c r="P388" t="n">
        <v>0</v>
      </c>
      <c r="Q388" t="n">
        <v>0</v>
      </c>
      <c r="R388" s="2" t="inlineStr"/>
    </row>
    <row r="389" ht="15" customHeight="1">
      <c r="A389" t="inlineStr">
        <is>
          <t>A 54201-2025</t>
        </is>
      </c>
      <c r="B389" s="1" t="n">
        <v>45964.58055555556</v>
      </c>
      <c r="C389" s="1" t="n">
        <v>46161</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13128-2023</t>
        </is>
      </c>
      <c r="B390" s="1" t="n">
        <v>45002</v>
      </c>
      <c r="C390" s="1" t="n">
        <v>46161</v>
      </c>
      <c r="D390" t="inlineStr">
        <is>
          <t>VÄSTMANLANDS LÄN</t>
        </is>
      </c>
      <c r="E390" t="inlineStr">
        <is>
          <t>SALA</t>
        </is>
      </c>
      <c r="G390" t="n">
        <v>7.9</v>
      </c>
      <c r="H390" t="n">
        <v>0</v>
      </c>
      <c r="I390" t="n">
        <v>0</v>
      </c>
      <c r="J390" t="n">
        <v>0</v>
      </c>
      <c r="K390" t="n">
        <v>0</v>
      </c>
      <c r="L390" t="n">
        <v>0</v>
      </c>
      <c r="M390" t="n">
        <v>0</v>
      </c>
      <c r="N390" t="n">
        <v>0</v>
      </c>
      <c r="O390" t="n">
        <v>0</v>
      </c>
      <c r="P390" t="n">
        <v>0</v>
      </c>
      <c r="Q390" t="n">
        <v>0</v>
      </c>
      <c r="R390" s="2" t="inlineStr"/>
    </row>
    <row r="391" ht="15" customHeight="1">
      <c r="A391" t="inlineStr">
        <is>
          <t>A 34069-2025</t>
        </is>
      </c>
      <c r="B391" s="1" t="n">
        <v>45845.43560185185</v>
      </c>
      <c r="C391" s="1" t="n">
        <v>46161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c r="U391">
        <f>HYPERLINK("https://klasma.github.io/Logging_1981/knärot/A 34069-2025 karta knärot.png", "A 34069-2025")</f>
        <v/>
      </c>
      <c r="V391">
        <f>HYPERLINK("https://klasma.github.io/Logging_1981/klagomål/A 34069-2025 FSC-klagomål.docx", "A 34069-2025")</f>
        <v/>
      </c>
      <c r="W391">
        <f>HYPERLINK("https://klasma.github.io/Logging_1981/klagomålsmail/A 34069-2025 FSC-klagomål mail.docx", "A 34069-2025")</f>
        <v/>
      </c>
      <c r="X391">
        <f>HYPERLINK("https://klasma.github.io/Logging_1981/tillsyn/A 34069-2025 tillsynsbegäran.docx", "A 34069-2025")</f>
        <v/>
      </c>
      <c r="Y391">
        <f>HYPERLINK("https://klasma.github.io/Logging_1981/tillsynsmail/A 34069-2025 tillsynsbegäran mail.docx", "A 34069-2025")</f>
        <v/>
      </c>
    </row>
    <row r="392" ht="15" customHeight="1">
      <c r="A392" t="inlineStr">
        <is>
          <t>A 24864-2024</t>
        </is>
      </c>
      <c r="B392" s="1" t="n">
        <v>45461.48888888889</v>
      </c>
      <c r="C392" s="1" t="n">
        <v>46161</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15744-2025</t>
        </is>
      </c>
      <c r="B393" s="1" t="n">
        <v>45748</v>
      </c>
      <c r="C393" s="1" t="n">
        <v>46161</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54893-2025</t>
        </is>
      </c>
      <c r="B394" s="1" t="n">
        <v>45967.36383101852</v>
      </c>
      <c r="C394" s="1" t="n">
        <v>46161</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24755-2021</t>
        </is>
      </c>
      <c r="B395" s="1" t="n">
        <v>44340</v>
      </c>
      <c r="C395" s="1" t="n">
        <v>46161</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35775-2025</t>
        </is>
      </c>
      <c r="B396" s="1" t="n">
        <v>45860</v>
      </c>
      <c r="C396" s="1" t="n">
        <v>46161</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35779-2025</t>
        </is>
      </c>
      <c r="B397" s="1" t="n">
        <v>45860.69495370371</v>
      </c>
      <c r="C397" s="1" t="n">
        <v>46161</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35776-2025</t>
        </is>
      </c>
      <c r="B398" s="1" t="n">
        <v>45860.69211805556</v>
      </c>
      <c r="C398" s="1" t="n">
        <v>46161</v>
      </c>
      <c r="D398" t="inlineStr">
        <is>
          <t>VÄSTMANLANDS LÄN</t>
        </is>
      </c>
      <c r="E398" t="inlineStr">
        <is>
          <t>SALA</t>
        </is>
      </c>
      <c r="G398" t="n">
        <v>14.2</v>
      </c>
      <c r="H398" t="n">
        <v>0</v>
      </c>
      <c r="I398" t="n">
        <v>0</v>
      </c>
      <c r="J398" t="n">
        <v>0</v>
      </c>
      <c r="K398" t="n">
        <v>0</v>
      </c>
      <c r="L398" t="n">
        <v>0</v>
      </c>
      <c r="M398" t="n">
        <v>0</v>
      </c>
      <c r="N398" t="n">
        <v>0</v>
      </c>
      <c r="O398" t="n">
        <v>0</v>
      </c>
      <c r="P398" t="n">
        <v>0</v>
      </c>
      <c r="Q398" t="n">
        <v>0</v>
      </c>
      <c r="R398" s="2" t="inlineStr"/>
    </row>
    <row r="399" ht="15" customHeight="1">
      <c r="A399" t="inlineStr">
        <is>
          <t>A 35715-2025</t>
        </is>
      </c>
      <c r="B399" s="1" t="n">
        <v>45860.42148148148</v>
      </c>
      <c r="C399" s="1" t="n">
        <v>46161</v>
      </c>
      <c r="D399" t="inlineStr">
        <is>
          <t>VÄSTMANLANDS LÄN</t>
        </is>
      </c>
      <c r="E399" t="inlineStr">
        <is>
          <t>SALA</t>
        </is>
      </c>
      <c r="G399" t="n">
        <v>3.8</v>
      </c>
      <c r="H399" t="n">
        <v>0</v>
      </c>
      <c r="I399" t="n">
        <v>0</v>
      </c>
      <c r="J399" t="n">
        <v>0</v>
      </c>
      <c r="K399" t="n">
        <v>0</v>
      </c>
      <c r="L399" t="n">
        <v>0</v>
      </c>
      <c r="M399" t="n">
        <v>0</v>
      </c>
      <c r="N399" t="n">
        <v>0</v>
      </c>
      <c r="O399" t="n">
        <v>0</v>
      </c>
      <c r="P399" t="n">
        <v>0</v>
      </c>
      <c r="Q399" t="n">
        <v>0</v>
      </c>
      <c r="R399" s="2" t="inlineStr"/>
    </row>
    <row r="400" ht="15" customHeight="1">
      <c r="A400" t="inlineStr">
        <is>
          <t>A 19033-2025</t>
        </is>
      </c>
      <c r="B400" s="1" t="n">
        <v>45764.65796296296</v>
      </c>
      <c r="C400" s="1" t="n">
        <v>46161</v>
      </c>
      <c r="D400" t="inlineStr">
        <is>
          <t>VÄSTMANLANDS LÄN</t>
        </is>
      </c>
      <c r="E400" t="inlineStr">
        <is>
          <t>SALA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28696-2023</t>
        </is>
      </c>
      <c r="B401" s="1" t="n">
        <v>45103.71759259259</v>
      </c>
      <c r="C401" s="1" t="n">
        <v>46161</v>
      </c>
      <c r="D401" t="inlineStr">
        <is>
          <t>VÄSTMANLANDS LÄN</t>
        </is>
      </c>
      <c r="E401" t="inlineStr">
        <is>
          <t>SALA</t>
        </is>
      </c>
      <c r="F401" t="inlineStr">
        <is>
          <t>Kommuner</t>
        </is>
      </c>
      <c r="G401" t="n">
        <v>5.9</v>
      </c>
      <c r="H401" t="n">
        <v>0</v>
      </c>
      <c r="I401" t="n">
        <v>0</v>
      </c>
      <c r="J401" t="n">
        <v>0</v>
      </c>
      <c r="K401" t="n">
        <v>0</v>
      </c>
      <c r="L401" t="n">
        <v>0</v>
      </c>
      <c r="M401" t="n">
        <v>0</v>
      </c>
      <c r="N401" t="n">
        <v>0</v>
      </c>
      <c r="O401" t="n">
        <v>0</v>
      </c>
      <c r="P401" t="n">
        <v>0</v>
      </c>
      <c r="Q401" t="n">
        <v>0</v>
      </c>
      <c r="R401" s="2" t="inlineStr"/>
    </row>
    <row r="402" ht="15" customHeight="1">
      <c r="A402" t="inlineStr">
        <is>
          <t>A 35651-2025</t>
        </is>
      </c>
      <c r="B402" s="1" t="n">
        <v>45859.52435185185</v>
      </c>
      <c r="C402" s="1" t="n">
        <v>46161</v>
      </c>
      <c r="D402" t="inlineStr">
        <is>
          <t>VÄSTMANLANDS LÄN</t>
        </is>
      </c>
      <c r="E402" t="inlineStr">
        <is>
          <t>SALA</t>
        </is>
      </c>
      <c r="G402" t="n">
        <v>6.3</v>
      </c>
      <c r="H402" t="n">
        <v>0</v>
      </c>
      <c r="I402" t="n">
        <v>0</v>
      </c>
      <c r="J402" t="n">
        <v>0</v>
      </c>
      <c r="K402" t="n">
        <v>0</v>
      </c>
      <c r="L402" t="n">
        <v>0</v>
      </c>
      <c r="M402" t="n">
        <v>0</v>
      </c>
      <c r="N402" t="n">
        <v>0</v>
      </c>
      <c r="O402" t="n">
        <v>0</v>
      </c>
      <c r="P402" t="n">
        <v>0</v>
      </c>
      <c r="Q402" t="n">
        <v>0</v>
      </c>
      <c r="R402" s="2" t="inlineStr"/>
    </row>
    <row r="403" ht="15" customHeight="1">
      <c r="A403" t="inlineStr">
        <is>
          <t>A 35774-2025</t>
        </is>
      </c>
      <c r="B403" s="1" t="n">
        <v>45860.68780092592</v>
      </c>
      <c r="C403" s="1" t="n">
        <v>46161</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6691-2025</t>
        </is>
      </c>
      <c r="B404" s="1" t="n">
        <v>45700.50625</v>
      </c>
      <c r="C404" s="1" t="n">
        <v>46161</v>
      </c>
      <c r="D404" t="inlineStr">
        <is>
          <t>VÄSTMANLANDS LÄN</t>
        </is>
      </c>
      <c r="E404" t="inlineStr">
        <is>
          <t>SALA</t>
        </is>
      </c>
      <c r="G404" t="n">
        <v>2.1</v>
      </c>
      <c r="H404" t="n">
        <v>0</v>
      </c>
      <c r="I404" t="n">
        <v>0</v>
      </c>
      <c r="J404" t="n">
        <v>0</v>
      </c>
      <c r="K404" t="n">
        <v>0</v>
      </c>
      <c r="L404" t="n">
        <v>0</v>
      </c>
      <c r="M404" t="n">
        <v>0</v>
      </c>
      <c r="N404" t="n">
        <v>0</v>
      </c>
      <c r="O404" t="n">
        <v>0</v>
      </c>
      <c r="P404" t="n">
        <v>0</v>
      </c>
      <c r="Q404" t="n">
        <v>0</v>
      </c>
      <c r="R404" s="2" t="inlineStr"/>
    </row>
    <row r="405" ht="15" customHeight="1">
      <c r="A405" t="inlineStr">
        <is>
          <t>A 1934-2023</t>
        </is>
      </c>
      <c r="B405" s="1" t="n">
        <v>44939.43024305555</v>
      </c>
      <c r="C405" s="1" t="n">
        <v>46161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35519-2024</t>
        </is>
      </c>
      <c r="B406" s="1" t="n">
        <v>45531</v>
      </c>
      <c r="C406" s="1" t="n">
        <v>46161</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36060-2025</t>
        </is>
      </c>
      <c r="B407" s="1" t="n">
        <v>45866.39469907407</v>
      </c>
      <c r="C407" s="1" t="n">
        <v>46161</v>
      </c>
      <c r="D407" t="inlineStr">
        <is>
          <t>VÄSTMANLANDS LÄN</t>
        </is>
      </c>
      <c r="E407" t="inlineStr">
        <is>
          <t>SALA</t>
        </is>
      </c>
      <c r="F407" t="inlineStr">
        <is>
          <t>Kommuner</t>
        </is>
      </c>
      <c r="G407" t="n">
        <v>4.3</v>
      </c>
      <c r="H407" t="n">
        <v>0</v>
      </c>
      <c r="I407" t="n">
        <v>0</v>
      </c>
      <c r="J407" t="n">
        <v>0</v>
      </c>
      <c r="K407" t="n">
        <v>0</v>
      </c>
      <c r="L407" t="n">
        <v>0</v>
      </c>
      <c r="M407" t="n">
        <v>0</v>
      </c>
      <c r="N407" t="n">
        <v>0</v>
      </c>
      <c r="O407" t="n">
        <v>0</v>
      </c>
      <c r="P407" t="n">
        <v>0</v>
      </c>
      <c r="Q407" t="n">
        <v>0</v>
      </c>
      <c r="R407" s="2" t="inlineStr"/>
    </row>
    <row r="408" ht="15" customHeight="1">
      <c r="A408" t="inlineStr">
        <is>
          <t>A 36031-2025</t>
        </is>
      </c>
      <c r="B408" s="1" t="n">
        <v>45865.46111111111</v>
      </c>
      <c r="C408" s="1" t="n">
        <v>46161</v>
      </c>
      <c r="D408" t="inlineStr">
        <is>
          <t>VÄSTMANLANDS LÄN</t>
        </is>
      </c>
      <c r="E408" t="inlineStr">
        <is>
          <t>SALA</t>
        </is>
      </c>
      <c r="G408" t="n">
        <v>7.2</v>
      </c>
      <c r="H408" t="n">
        <v>0</v>
      </c>
      <c r="I408" t="n">
        <v>0</v>
      </c>
      <c r="J408" t="n">
        <v>0</v>
      </c>
      <c r="K408" t="n">
        <v>0</v>
      </c>
      <c r="L408" t="n">
        <v>0</v>
      </c>
      <c r="M408" t="n">
        <v>0</v>
      </c>
      <c r="N408" t="n">
        <v>0</v>
      </c>
      <c r="O408" t="n">
        <v>0</v>
      </c>
      <c r="P408" t="n">
        <v>0</v>
      </c>
      <c r="Q408" t="n">
        <v>0</v>
      </c>
      <c r="R408" s="2" t="inlineStr"/>
    </row>
    <row r="409" ht="15" customHeight="1">
      <c r="A409" t="inlineStr">
        <is>
          <t>A 36043-2025</t>
        </is>
      </c>
      <c r="B409" s="1" t="n">
        <v>45866.35333333333</v>
      </c>
      <c r="C409" s="1" t="n">
        <v>46161</v>
      </c>
      <c r="D409" t="inlineStr">
        <is>
          <t>VÄSTMANLANDS LÄN</t>
        </is>
      </c>
      <c r="E409" t="inlineStr">
        <is>
          <t>SALA</t>
        </is>
      </c>
      <c r="F409" t="inlineStr">
        <is>
          <t>Kommuner</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36032-2025</t>
        </is>
      </c>
      <c r="B410" s="1" t="n">
        <v>45865.48740740741</v>
      </c>
      <c r="C410" s="1" t="n">
        <v>46161</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36049-2025</t>
        </is>
      </c>
      <c r="B411" s="1" t="n">
        <v>45866.37065972222</v>
      </c>
      <c r="C411" s="1" t="n">
        <v>46161</v>
      </c>
      <c r="D411" t="inlineStr">
        <is>
          <t>VÄSTMANLANDS LÄN</t>
        </is>
      </c>
      <c r="E411" t="inlineStr">
        <is>
          <t>SALA</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50241-2023</t>
        </is>
      </c>
      <c r="B412" s="1" t="n">
        <v>45216</v>
      </c>
      <c r="C412" s="1" t="n">
        <v>46161</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55997-2025</t>
        </is>
      </c>
      <c r="B413" s="1" t="n">
        <v>45973.56833333334</v>
      </c>
      <c r="C413" s="1" t="n">
        <v>46161</v>
      </c>
      <c r="D413" t="inlineStr">
        <is>
          <t>VÄSTMANLANDS LÄN</t>
        </is>
      </c>
      <c r="E413" t="inlineStr">
        <is>
          <t>SALA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36045-2025</t>
        </is>
      </c>
      <c r="B414" s="1" t="n">
        <v>45866.36200231482</v>
      </c>
      <c r="C414" s="1" t="n">
        <v>46161</v>
      </c>
      <c r="D414" t="inlineStr">
        <is>
          <t>VÄSTMANLANDS LÄN</t>
        </is>
      </c>
      <c r="E414" t="inlineStr">
        <is>
          <t>SALA</t>
        </is>
      </c>
      <c r="F414" t="inlineStr">
        <is>
          <t>Kommuner</t>
        </is>
      </c>
      <c r="G414" t="n">
        <v>1.7</v>
      </c>
      <c r="H414" t="n">
        <v>0</v>
      </c>
      <c r="I414" t="n">
        <v>0</v>
      </c>
      <c r="J414" t="n">
        <v>0</v>
      </c>
      <c r="K414" t="n">
        <v>0</v>
      </c>
      <c r="L414" t="n">
        <v>0</v>
      </c>
      <c r="M414" t="n">
        <v>0</v>
      </c>
      <c r="N414" t="n">
        <v>0</v>
      </c>
      <c r="O414" t="n">
        <v>0</v>
      </c>
      <c r="P414" t="n">
        <v>0</v>
      </c>
      <c r="Q414" t="n">
        <v>0</v>
      </c>
      <c r="R414" s="2" t="inlineStr"/>
    </row>
    <row r="415" ht="15" customHeight="1">
      <c r="A415" t="inlineStr">
        <is>
          <t>A 30971-2022</t>
        </is>
      </c>
      <c r="B415" s="1" t="n">
        <v>44768.46725694444</v>
      </c>
      <c r="C415" s="1" t="n">
        <v>46161</v>
      </c>
      <c r="D415" t="inlineStr">
        <is>
          <t>VÄSTMANLANDS LÄN</t>
        </is>
      </c>
      <c r="E415" t="inlineStr">
        <is>
          <t>SALA</t>
        </is>
      </c>
      <c r="G415" t="n">
        <v>2.4</v>
      </c>
      <c r="H415" t="n">
        <v>0</v>
      </c>
      <c r="I415" t="n">
        <v>0</v>
      </c>
      <c r="J415" t="n">
        <v>0</v>
      </c>
      <c r="K415" t="n">
        <v>0</v>
      </c>
      <c r="L415" t="n">
        <v>0</v>
      </c>
      <c r="M415" t="n">
        <v>0</v>
      </c>
      <c r="N415" t="n">
        <v>0</v>
      </c>
      <c r="O415" t="n">
        <v>0</v>
      </c>
      <c r="P415" t="n">
        <v>0</v>
      </c>
      <c r="Q415" t="n">
        <v>0</v>
      </c>
      <c r="R415" s="2" t="inlineStr"/>
    </row>
    <row r="416" ht="15" customHeight="1">
      <c r="A416" t="inlineStr">
        <is>
          <t>A 35637-2022</t>
        </is>
      </c>
      <c r="B416" s="1" t="n">
        <v>44799.55194444444</v>
      </c>
      <c r="C416" s="1" t="n">
        <v>46161</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19304-2025</t>
        </is>
      </c>
      <c r="B417" s="1" t="n">
        <v>45769</v>
      </c>
      <c r="C417" s="1" t="n">
        <v>46161</v>
      </c>
      <c r="D417" t="inlineStr">
        <is>
          <t>VÄSTMANLANDS LÄN</t>
        </is>
      </c>
      <c r="E417" t="inlineStr">
        <is>
          <t>SALA</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27038-2023</t>
        </is>
      </c>
      <c r="B418" s="1" t="n">
        <v>45095</v>
      </c>
      <c r="C418" s="1" t="n">
        <v>46161</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17766-2025</t>
        </is>
      </c>
      <c r="B419" s="1" t="n">
        <v>45758</v>
      </c>
      <c r="C419" s="1" t="n">
        <v>46161</v>
      </c>
      <c r="D419" t="inlineStr">
        <is>
          <t>VÄSTMANLANDS LÄN</t>
        </is>
      </c>
      <c r="E419" t="inlineStr">
        <is>
          <t>SALA</t>
        </is>
      </c>
      <c r="G419" t="n">
        <v>16.5</v>
      </c>
      <c r="H419" t="n">
        <v>0</v>
      </c>
      <c r="I419" t="n">
        <v>0</v>
      </c>
      <c r="J419" t="n">
        <v>0</v>
      </c>
      <c r="K419" t="n">
        <v>0</v>
      </c>
      <c r="L419" t="n">
        <v>0</v>
      </c>
      <c r="M419" t="n">
        <v>0</v>
      </c>
      <c r="N419" t="n">
        <v>0</v>
      </c>
      <c r="O419" t="n">
        <v>0</v>
      </c>
      <c r="P419" t="n">
        <v>0</v>
      </c>
      <c r="Q419" t="n">
        <v>0</v>
      </c>
      <c r="R419" s="2" t="inlineStr"/>
    </row>
    <row r="420" ht="15" customHeight="1">
      <c r="A420" t="inlineStr">
        <is>
          <t>A 55714-2025</t>
        </is>
      </c>
      <c r="B420" s="1" t="n">
        <v>45972.49131944445</v>
      </c>
      <c r="C420" s="1" t="n">
        <v>46161</v>
      </c>
      <c r="D420" t="inlineStr">
        <is>
          <t>VÄSTMANLANDS LÄN</t>
        </is>
      </c>
      <c r="E420" t="inlineStr">
        <is>
          <t>SALA</t>
        </is>
      </c>
      <c r="G420" t="n">
        <v>6.6</v>
      </c>
      <c r="H420" t="n">
        <v>0</v>
      </c>
      <c r="I420" t="n">
        <v>0</v>
      </c>
      <c r="J420" t="n">
        <v>0</v>
      </c>
      <c r="K420" t="n">
        <v>0</v>
      </c>
      <c r="L420" t="n">
        <v>0</v>
      </c>
      <c r="M420" t="n">
        <v>0</v>
      </c>
      <c r="N420" t="n">
        <v>0</v>
      </c>
      <c r="O420" t="n">
        <v>0</v>
      </c>
      <c r="P420" t="n">
        <v>0</v>
      </c>
      <c r="Q420" t="n">
        <v>0</v>
      </c>
      <c r="R420" s="2" t="inlineStr"/>
    </row>
    <row r="421" ht="15" customHeight="1">
      <c r="A421" t="inlineStr">
        <is>
          <t>A 31863-2025</t>
        </is>
      </c>
      <c r="B421" s="1" t="n">
        <v>45834.63303240741</v>
      </c>
      <c r="C421" s="1" t="n">
        <v>46161</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23182-2022</t>
        </is>
      </c>
      <c r="B422" s="1" t="n">
        <v>44719.79707175926</v>
      </c>
      <c r="C422" s="1" t="n">
        <v>46161</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3546-2025</t>
        </is>
      </c>
      <c r="B423" s="1" t="n">
        <v>45680</v>
      </c>
      <c r="C423" s="1" t="n">
        <v>46161</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31869-2025</t>
        </is>
      </c>
      <c r="B424" s="1" t="n">
        <v>45834.64555555556</v>
      </c>
      <c r="C424" s="1" t="n">
        <v>46161</v>
      </c>
      <c r="D424" t="inlineStr">
        <is>
          <t>VÄSTMANLANDS LÄN</t>
        </is>
      </c>
      <c r="E424" t="inlineStr">
        <is>
          <t>SALA</t>
        </is>
      </c>
      <c r="G424" t="n">
        <v>17.5</v>
      </c>
      <c r="H424" t="n">
        <v>0</v>
      </c>
      <c r="I424" t="n">
        <v>0</v>
      </c>
      <c r="J424" t="n">
        <v>0</v>
      </c>
      <c r="K424" t="n">
        <v>0</v>
      </c>
      <c r="L424" t="n">
        <v>0</v>
      </c>
      <c r="M424" t="n">
        <v>0</v>
      </c>
      <c r="N424" t="n">
        <v>0</v>
      </c>
      <c r="O424" t="n">
        <v>0</v>
      </c>
      <c r="P424" t="n">
        <v>0</v>
      </c>
      <c r="Q424" t="n">
        <v>0</v>
      </c>
      <c r="R424" s="2" t="inlineStr"/>
    </row>
    <row r="425" ht="15" customHeight="1">
      <c r="A425" t="inlineStr">
        <is>
          <t>A 7664-2023</t>
        </is>
      </c>
      <c r="B425" s="1" t="n">
        <v>44972</v>
      </c>
      <c r="C425" s="1" t="n">
        <v>46161</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31859-2023</t>
        </is>
      </c>
      <c r="B426" s="1" t="n">
        <v>45118</v>
      </c>
      <c r="C426" s="1" t="n">
        <v>46161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c r="U426">
        <f>HYPERLINK("https://klasma.github.io/Logging_1981/knärot/A 31859-2023 karta knärot.png", "A 31859-2023")</f>
        <v/>
      </c>
      <c r="V426">
        <f>HYPERLINK("https://klasma.github.io/Logging_1981/klagomål/A 31859-2023 FSC-klagomål.docx", "A 31859-2023")</f>
        <v/>
      </c>
      <c r="W426">
        <f>HYPERLINK("https://klasma.github.io/Logging_1981/klagomålsmail/A 31859-2023 FSC-klagomål mail.docx", "A 31859-2023")</f>
        <v/>
      </c>
      <c r="X426">
        <f>HYPERLINK("https://klasma.github.io/Logging_1981/tillsyn/A 31859-2023 tillsynsbegäran.docx", "A 31859-2023")</f>
        <v/>
      </c>
      <c r="Y426">
        <f>HYPERLINK("https://klasma.github.io/Logging_1981/tillsynsmail/A 31859-2023 tillsynsbegäran mail.docx", "A 31859-2023")</f>
        <v/>
      </c>
    </row>
    <row r="427" ht="15" customHeight="1">
      <c r="A427" t="inlineStr">
        <is>
          <t>A 7469-2025</t>
        </is>
      </c>
      <c r="B427" s="1" t="n">
        <v>45705</v>
      </c>
      <c r="C427" s="1" t="n">
        <v>46161</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17985-2025</t>
        </is>
      </c>
      <c r="B428" s="1" t="n">
        <v>45761</v>
      </c>
      <c r="C428" s="1" t="n">
        <v>46161</v>
      </c>
      <c r="D428" t="inlineStr">
        <is>
          <t>VÄSTMANLANDS LÄN</t>
        </is>
      </c>
      <c r="E428" t="inlineStr">
        <is>
          <t>SALA</t>
        </is>
      </c>
      <c r="G428" t="n">
        <v>12.5</v>
      </c>
      <c r="H428" t="n">
        <v>0</v>
      </c>
      <c r="I428" t="n">
        <v>0</v>
      </c>
      <c r="J428" t="n">
        <v>0</v>
      </c>
      <c r="K428" t="n">
        <v>0</v>
      </c>
      <c r="L428" t="n">
        <v>0</v>
      </c>
      <c r="M428" t="n">
        <v>0</v>
      </c>
      <c r="N428" t="n">
        <v>0</v>
      </c>
      <c r="O428" t="n">
        <v>0</v>
      </c>
      <c r="P428" t="n">
        <v>0</v>
      </c>
      <c r="Q428" t="n">
        <v>0</v>
      </c>
      <c r="R428" s="2" t="inlineStr"/>
    </row>
    <row r="429" ht="15" customHeight="1">
      <c r="A429" t="inlineStr">
        <is>
          <t>A 56593-2025</t>
        </is>
      </c>
      <c r="B429" s="1" t="n">
        <v>45975</v>
      </c>
      <c r="C429" s="1" t="n">
        <v>46161</v>
      </c>
      <c r="D429" t="inlineStr">
        <is>
          <t>VÄSTMANLANDS LÄN</t>
        </is>
      </c>
      <c r="E429" t="inlineStr">
        <is>
          <t>SALA</t>
        </is>
      </c>
      <c r="F429" t="inlineStr">
        <is>
          <t>Kyrkan</t>
        </is>
      </c>
      <c r="G429" t="n">
        <v>0.1</v>
      </c>
      <c r="H429" t="n">
        <v>0</v>
      </c>
      <c r="I429" t="n">
        <v>0</v>
      </c>
      <c r="J429" t="n">
        <v>0</v>
      </c>
      <c r="K429" t="n">
        <v>0</v>
      </c>
      <c r="L429" t="n">
        <v>0</v>
      </c>
      <c r="M429" t="n">
        <v>0</v>
      </c>
      <c r="N429" t="n">
        <v>0</v>
      </c>
      <c r="O429" t="n">
        <v>0</v>
      </c>
      <c r="P429" t="n">
        <v>0</v>
      </c>
      <c r="Q429" t="n">
        <v>0</v>
      </c>
      <c r="R429" s="2" t="inlineStr"/>
    </row>
    <row r="430" ht="15" customHeight="1">
      <c r="A430" t="inlineStr">
        <is>
          <t>A 60034-2024</t>
        </is>
      </c>
      <c r="B430" s="1" t="n">
        <v>45642.46261574074</v>
      </c>
      <c r="C430" s="1" t="n">
        <v>46161</v>
      </c>
      <c r="D430" t="inlineStr">
        <is>
          <t>VÄSTMANLANDS LÄN</t>
        </is>
      </c>
      <c r="E430" t="inlineStr">
        <is>
          <t>SALA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37103-2025</t>
        </is>
      </c>
      <c r="B431" s="1" t="n">
        <v>45875.47743055555</v>
      </c>
      <c r="C431" s="1" t="n">
        <v>46161</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56645-2025</t>
        </is>
      </c>
      <c r="B432" s="1" t="n">
        <v>45975.63063657407</v>
      </c>
      <c r="C432" s="1" t="n">
        <v>46161</v>
      </c>
      <c r="D432" t="inlineStr">
        <is>
          <t>VÄSTMANLANDS LÄN</t>
        </is>
      </c>
      <c r="E432" t="inlineStr">
        <is>
          <t>SALA</t>
        </is>
      </c>
      <c r="F432" t="inlineStr">
        <is>
          <t>Bergvik skog öst AB</t>
        </is>
      </c>
      <c r="G432" t="n">
        <v>5.3</v>
      </c>
      <c r="H432" t="n">
        <v>0</v>
      </c>
      <c r="I432" t="n">
        <v>0</v>
      </c>
      <c r="J432" t="n">
        <v>0</v>
      </c>
      <c r="K432" t="n">
        <v>0</v>
      </c>
      <c r="L432" t="n">
        <v>0</v>
      </c>
      <c r="M432" t="n">
        <v>0</v>
      </c>
      <c r="N432" t="n">
        <v>0</v>
      </c>
      <c r="O432" t="n">
        <v>0</v>
      </c>
      <c r="P432" t="n">
        <v>0</v>
      </c>
      <c r="Q432" t="n">
        <v>0</v>
      </c>
      <c r="R432" s="2" t="inlineStr"/>
    </row>
    <row r="433" ht="15" customHeight="1">
      <c r="A433" t="inlineStr">
        <is>
          <t>A 37017-2025</t>
        </is>
      </c>
      <c r="B433" s="1" t="n">
        <v>45874</v>
      </c>
      <c r="C433" s="1" t="n">
        <v>46161</v>
      </c>
      <c r="D433" t="inlineStr">
        <is>
          <t>VÄSTMANLANDS LÄN</t>
        </is>
      </c>
      <c r="E433" t="inlineStr">
        <is>
          <t>SALA</t>
        </is>
      </c>
      <c r="G433" t="n">
        <v>11.1</v>
      </c>
      <c r="H433" t="n">
        <v>0</v>
      </c>
      <c r="I433" t="n">
        <v>0</v>
      </c>
      <c r="J433" t="n">
        <v>0</v>
      </c>
      <c r="K433" t="n">
        <v>0</v>
      </c>
      <c r="L433" t="n">
        <v>0</v>
      </c>
      <c r="M433" t="n">
        <v>0</v>
      </c>
      <c r="N433" t="n">
        <v>0</v>
      </c>
      <c r="O433" t="n">
        <v>0</v>
      </c>
      <c r="P433" t="n">
        <v>0</v>
      </c>
      <c r="Q433" t="n">
        <v>0</v>
      </c>
      <c r="R433" s="2" t="inlineStr"/>
    </row>
    <row r="434" ht="15" customHeight="1">
      <c r="A434" t="inlineStr">
        <is>
          <t>A 56502-2025</t>
        </is>
      </c>
      <c r="B434" s="1" t="n">
        <v>45975</v>
      </c>
      <c r="C434" s="1" t="n">
        <v>46161</v>
      </c>
      <c r="D434" t="inlineStr">
        <is>
          <t>VÄSTMANLANDS LÄN</t>
        </is>
      </c>
      <c r="E434" t="inlineStr">
        <is>
          <t>SALA</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56614-2025</t>
        </is>
      </c>
      <c r="B435" s="1" t="n">
        <v>45975.59288194445</v>
      </c>
      <c r="C435" s="1" t="n">
        <v>46161</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37246-2025</t>
        </is>
      </c>
      <c r="B436" s="1" t="n">
        <v>45876.39435185185</v>
      </c>
      <c r="C436" s="1" t="n">
        <v>46161</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56611-2025</t>
        </is>
      </c>
      <c r="B437" s="1" t="n">
        <v>45975</v>
      </c>
      <c r="C437" s="1" t="n">
        <v>46161</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34867-2023</t>
        </is>
      </c>
      <c r="B438" s="1" t="n">
        <v>45142.33481481481</v>
      </c>
      <c r="C438" s="1" t="n">
        <v>46161</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37590-2025</t>
        </is>
      </c>
      <c r="B439" s="1" t="n">
        <v>45880.41138888889</v>
      </c>
      <c r="C439" s="1" t="n">
        <v>46161</v>
      </c>
      <c r="D439" t="inlineStr">
        <is>
          <t>VÄSTMANLANDS LÄN</t>
        </is>
      </c>
      <c r="E439" t="inlineStr">
        <is>
          <t>SALA</t>
        </is>
      </c>
      <c r="G439" t="n">
        <v>2.2</v>
      </c>
      <c r="H439" t="n">
        <v>0</v>
      </c>
      <c r="I439" t="n">
        <v>0</v>
      </c>
      <c r="J439" t="n">
        <v>0</v>
      </c>
      <c r="K439" t="n">
        <v>0</v>
      </c>
      <c r="L439" t="n">
        <v>0</v>
      </c>
      <c r="M439" t="n">
        <v>0</v>
      </c>
      <c r="N439" t="n">
        <v>0</v>
      </c>
      <c r="O439" t="n">
        <v>0</v>
      </c>
      <c r="P439" t="n">
        <v>0</v>
      </c>
      <c r="Q439" t="n">
        <v>0</v>
      </c>
      <c r="R439" s="2" t="inlineStr"/>
    </row>
    <row r="440" ht="15" customHeight="1">
      <c r="A440" t="inlineStr">
        <is>
          <t>A 37593-2025</t>
        </is>
      </c>
      <c r="B440" s="1" t="n">
        <v>45880.41325231481</v>
      </c>
      <c r="C440" s="1" t="n">
        <v>46161</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11631-2023</t>
        </is>
      </c>
      <c r="B441" s="1" t="n">
        <v>44994.44001157407</v>
      </c>
      <c r="C441" s="1" t="n">
        <v>46161</v>
      </c>
      <c r="D441" t="inlineStr">
        <is>
          <t>VÄSTMANLANDS LÄN</t>
        </is>
      </c>
      <c r="E441" t="inlineStr">
        <is>
          <t>SALA</t>
        </is>
      </c>
      <c r="F441" t="inlineStr">
        <is>
          <t>Kommuner</t>
        </is>
      </c>
      <c r="G441" t="n">
        <v>1.9</v>
      </c>
      <c r="H441" t="n">
        <v>0</v>
      </c>
      <c r="I441" t="n">
        <v>0</v>
      </c>
      <c r="J441" t="n">
        <v>0</v>
      </c>
      <c r="K441" t="n">
        <v>0</v>
      </c>
      <c r="L441" t="n">
        <v>0</v>
      </c>
      <c r="M441" t="n">
        <v>0</v>
      </c>
      <c r="N441" t="n">
        <v>0</v>
      </c>
      <c r="O441" t="n">
        <v>0</v>
      </c>
      <c r="P441" t="n">
        <v>0</v>
      </c>
      <c r="Q441" t="n">
        <v>0</v>
      </c>
      <c r="R441" s="2" t="inlineStr"/>
    </row>
    <row r="442" ht="15" customHeight="1">
      <c r="A442" t="inlineStr">
        <is>
          <t>A 8775-2024</t>
        </is>
      </c>
      <c r="B442" s="1" t="n">
        <v>45356</v>
      </c>
      <c r="C442" s="1" t="n">
        <v>46161</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38294-2025</t>
        </is>
      </c>
      <c r="B443" s="1" t="n">
        <v>45883.44854166666</v>
      </c>
      <c r="C443" s="1" t="n">
        <v>46161</v>
      </c>
      <c r="D443" t="inlineStr">
        <is>
          <t>VÄSTMANLANDS LÄN</t>
        </is>
      </c>
      <c r="E443" t="inlineStr">
        <is>
          <t>SALA</t>
        </is>
      </c>
      <c r="G443" t="n">
        <v>1.5</v>
      </c>
      <c r="H443" t="n">
        <v>0</v>
      </c>
      <c r="I443" t="n">
        <v>0</v>
      </c>
      <c r="J443" t="n">
        <v>0</v>
      </c>
      <c r="K443" t="n">
        <v>0</v>
      </c>
      <c r="L443" t="n">
        <v>0</v>
      </c>
      <c r="M443" t="n">
        <v>0</v>
      </c>
      <c r="N443" t="n">
        <v>0</v>
      </c>
      <c r="O443" t="n">
        <v>0</v>
      </c>
      <c r="P443" t="n">
        <v>0</v>
      </c>
      <c r="Q443" t="n">
        <v>0</v>
      </c>
      <c r="R443" s="2" t="inlineStr"/>
    </row>
    <row r="444" ht="15" customHeight="1">
      <c r="A444" t="inlineStr">
        <is>
          <t>A 48710-2024</t>
        </is>
      </c>
      <c r="B444" s="1" t="n">
        <v>45593.53636574074</v>
      </c>
      <c r="C444" s="1" t="n">
        <v>46161</v>
      </c>
      <c r="D444" t="inlineStr">
        <is>
          <t>VÄSTMANLANDS LÄN</t>
        </is>
      </c>
      <c r="E444" t="inlineStr">
        <is>
          <t>SALA</t>
        </is>
      </c>
      <c r="G444" t="n">
        <v>6.5</v>
      </c>
      <c r="H444" t="n">
        <v>0</v>
      </c>
      <c r="I444" t="n">
        <v>0</v>
      </c>
      <c r="J444" t="n">
        <v>0</v>
      </c>
      <c r="K444" t="n">
        <v>0</v>
      </c>
      <c r="L444" t="n">
        <v>0</v>
      </c>
      <c r="M444" t="n">
        <v>0</v>
      </c>
      <c r="N444" t="n">
        <v>0</v>
      </c>
      <c r="O444" t="n">
        <v>0</v>
      </c>
      <c r="P444" t="n">
        <v>0</v>
      </c>
      <c r="Q444" t="n">
        <v>0</v>
      </c>
      <c r="R444" s="2" t="inlineStr"/>
    </row>
    <row r="445" ht="15" customHeight="1">
      <c r="A445" t="inlineStr">
        <is>
          <t>A 16404-2022</t>
        </is>
      </c>
      <c r="B445" s="1" t="n">
        <v>44671</v>
      </c>
      <c r="C445" s="1" t="n">
        <v>46161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43359-2024</t>
        </is>
      </c>
      <c r="B446" s="1" t="n">
        <v>45568.57724537037</v>
      </c>
      <c r="C446" s="1" t="n">
        <v>46161</v>
      </c>
      <c r="D446" t="inlineStr">
        <is>
          <t>VÄSTMANLANDS LÄN</t>
        </is>
      </c>
      <c r="E446" t="inlineStr">
        <is>
          <t>SALA</t>
        </is>
      </c>
      <c r="G446" t="n">
        <v>1.6</v>
      </c>
      <c r="H446" t="n">
        <v>0</v>
      </c>
      <c r="I446" t="n">
        <v>0</v>
      </c>
      <c r="J446" t="n">
        <v>0</v>
      </c>
      <c r="K446" t="n">
        <v>0</v>
      </c>
      <c r="L446" t="n">
        <v>0</v>
      </c>
      <c r="M446" t="n">
        <v>0</v>
      </c>
      <c r="N446" t="n">
        <v>0</v>
      </c>
      <c r="O446" t="n">
        <v>0</v>
      </c>
      <c r="P446" t="n">
        <v>0</v>
      </c>
      <c r="Q446" t="n">
        <v>0</v>
      </c>
      <c r="R446" s="2" t="inlineStr"/>
    </row>
    <row r="447" ht="15" customHeight="1">
      <c r="A447" t="inlineStr">
        <is>
          <t>A 29972-2025</t>
        </is>
      </c>
      <c r="B447" s="1" t="n">
        <v>45826</v>
      </c>
      <c r="C447" s="1" t="n">
        <v>46161</v>
      </c>
      <c r="D447" t="inlineStr">
        <is>
          <t>VÄSTMANLANDS LÄN</t>
        </is>
      </c>
      <c r="E447" t="inlineStr">
        <is>
          <t>SALA</t>
        </is>
      </c>
      <c r="G447" t="n">
        <v>2.7</v>
      </c>
      <c r="H447" t="n">
        <v>0</v>
      </c>
      <c r="I447" t="n">
        <v>0</v>
      </c>
      <c r="J447" t="n">
        <v>0</v>
      </c>
      <c r="K447" t="n">
        <v>0</v>
      </c>
      <c r="L447" t="n">
        <v>0</v>
      </c>
      <c r="M447" t="n">
        <v>0</v>
      </c>
      <c r="N447" t="n">
        <v>0</v>
      </c>
      <c r="O447" t="n">
        <v>0</v>
      </c>
      <c r="P447" t="n">
        <v>0</v>
      </c>
      <c r="Q447" t="n">
        <v>0</v>
      </c>
      <c r="R447" s="2" t="inlineStr"/>
    </row>
    <row r="448" ht="15" customHeight="1">
      <c r="A448" t="inlineStr">
        <is>
          <t>A 57014-2025</t>
        </is>
      </c>
      <c r="B448" s="1" t="n">
        <v>45978</v>
      </c>
      <c r="C448" s="1" t="n">
        <v>46161</v>
      </c>
      <c r="D448" t="inlineStr">
        <is>
          <t>VÄSTMANLANDS LÄN</t>
        </is>
      </c>
      <c r="E448" t="inlineStr">
        <is>
          <t>SALA</t>
        </is>
      </c>
      <c r="G448" t="n">
        <v>2.2</v>
      </c>
      <c r="H448" t="n">
        <v>0</v>
      </c>
      <c r="I448" t="n">
        <v>0</v>
      </c>
      <c r="J448" t="n">
        <v>0</v>
      </c>
      <c r="K448" t="n">
        <v>0</v>
      </c>
      <c r="L448" t="n">
        <v>0</v>
      </c>
      <c r="M448" t="n">
        <v>0</v>
      </c>
      <c r="N448" t="n">
        <v>0</v>
      </c>
      <c r="O448" t="n">
        <v>0</v>
      </c>
      <c r="P448" t="n">
        <v>0</v>
      </c>
      <c r="Q448" t="n">
        <v>0</v>
      </c>
      <c r="R448" s="2" t="inlineStr"/>
    </row>
    <row r="449" ht="15" customHeight="1">
      <c r="A449" t="inlineStr">
        <is>
          <t>A 24248-2023</t>
        </is>
      </c>
      <c r="B449" s="1" t="n">
        <v>45079</v>
      </c>
      <c r="C449" s="1" t="n">
        <v>46161</v>
      </c>
      <c r="D449" t="inlineStr">
        <is>
          <t>VÄSTMANLANDS LÄN</t>
        </is>
      </c>
      <c r="E449" t="inlineStr">
        <is>
          <t>SALA</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46279-2021</t>
        </is>
      </c>
      <c r="B450" s="1" t="n">
        <v>44442.57797453704</v>
      </c>
      <c r="C450" s="1" t="n">
        <v>46161</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57414-2025</t>
        </is>
      </c>
      <c r="B451" s="1" t="n">
        <v>45980.45003472222</v>
      </c>
      <c r="C451" s="1" t="n">
        <v>46161</v>
      </c>
      <c r="D451" t="inlineStr">
        <is>
          <t>VÄSTMANLANDS LÄN</t>
        </is>
      </c>
      <c r="E451" t="inlineStr">
        <is>
          <t>SALA</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57415-2025</t>
        </is>
      </c>
      <c r="B452" s="1" t="n">
        <v>45980.45099537037</v>
      </c>
      <c r="C452" s="1" t="n">
        <v>46161</v>
      </c>
      <c r="D452" t="inlineStr">
        <is>
          <t>VÄSTMANLANDS LÄN</t>
        </is>
      </c>
      <c r="E452" t="inlineStr">
        <is>
          <t>SALA</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57412-2025</t>
        </is>
      </c>
      <c r="B453" s="1" t="n">
        <v>45980.44883101852</v>
      </c>
      <c r="C453" s="1" t="n">
        <v>46161</v>
      </c>
      <c r="D453" t="inlineStr">
        <is>
          <t>VÄSTMANLANDS LÄN</t>
        </is>
      </c>
      <c r="E453" t="inlineStr">
        <is>
          <t>SALA</t>
        </is>
      </c>
      <c r="F453" t="inlineStr">
        <is>
          <t>Bergvik skog öst AB</t>
        </is>
      </c>
      <c r="G453" t="n">
        <v>4.5</v>
      </c>
      <c r="H453" t="n">
        <v>0</v>
      </c>
      <c r="I453" t="n">
        <v>0</v>
      </c>
      <c r="J453" t="n">
        <v>0</v>
      </c>
      <c r="K453" t="n">
        <v>0</v>
      </c>
      <c r="L453" t="n">
        <v>0</v>
      </c>
      <c r="M453" t="n">
        <v>0</v>
      </c>
      <c r="N453" t="n">
        <v>0</v>
      </c>
      <c r="O453" t="n">
        <v>0</v>
      </c>
      <c r="P453" t="n">
        <v>0</v>
      </c>
      <c r="Q453" t="n">
        <v>0</v>
      </c>
      <c r="R453" s="2" t="inlineStr"/>
    </row>
    <row r="454" ht="15" customHeight="1">
      <c r="A454" t="inlineStr">
        <is>
          <t>A 10559-2024</t>
        </is>
      </c>
      <c r="B454" s="1" t="n">
        <v>45366</v>
      </c>
      <c r="C454" s="1" t="n">
        <v>46161</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40214-2023</t>
        </is>
      </c>
      <c r="B455" s="1" t="n">
        <v>45169.45173611111</v>
      </c>
      <c r="C455" s="1" t="n">
        <v>46161</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46161</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18100-2023</t>
        </is>
      </c>
      <c r="B457" s="1" t="n">
        <v>45040</v>
      </c>
      <c r="C457" s="1" t="n">
        <v>46161</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58359-2025</t>
        </is>
      </c>
      <c r="B458" s="1" t="n">
        <v>45985.51594907408</v>
      </c>
      <c r="C458" s="1" t="n">
        <v>46161</v>
      </c>
      <c r="D458" t="inlineStr">
        <is>
          <t>VÄSTMANLANDS LÄN</t>
        </is>
      </c>
      <c r="E458" t="inlineStr">
        <is>
          <t>SALA</t>
        </is>
      </c>
      <c r="G458" t="n">
        <v>3.7</v>
      </c>
      <c r="H458" t="n">
        <v>0</v>
      </c>
      <c r="I458" t="n">
        <v>0</v>
      </c>
      <c r="J458" t="n">
        <v>0</v>
      </c>
      <c r="K458" t="n">
        <v>0</v>
      </c>
      <c r="L458" t="n">
        <v>0</v>
      </c>
      <c r="M458" t="n">
        <v>0</v>
      </c>
      <c r="N458" t="n">
        <v>0</v>
      </c>
      <c r="O458" t="n">
        <v>0</v>
      </c>
      <c r="P458" t="n">
        <v>0</v>
      </c>
      <c r="Q458" t="n">
        <v>0</v>
      </c>
      <c r="R458" s="2" t="inlineStr"/>
    </row>
    <row r="459" ht="15" customHeight="1">
      <c r="A459" t="inlineStr">
        <is>
          <t>A 58364-2025</t>
        </is>
      </c>
      <c r="B459" s="1" t="n">
        <v>45985.5228125</v>
      </c>
      <c r="C459" s="1" t="n">
        <v>46161</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58282-2025</t>
        </is>
      </c>
      <c r="B460" s="1" t="n">
        <v>45985.44309027777</v>
      </c>
      <c r="C460" s="1" t="n">
        <v>46161</v>
      </c>
      <c r="D460" t="inlineStr">
        <is>
          <t>VÄSTMANLANDS LÄN</t>
        </is>
      </c>
      <c r="E460" t="inlineStr">
        <is>
          <t>SALA</t>
        </is>
      </c>
      <c r="G460" t="n">
        <v>8.9</v>
      </c>
      <c r="H460" t="n">
        <v>0</v>
      </c>
      <c r="I460" t="n">
        <v>0</v>
      </c>
      <c r="J460" t="n">
        <v>0</v>
      </c>
      <c r="K460" t="n">
        <v>0</v>
      </c>
      <c r="L460" t="n">
        <v>0</v>
      </c>
      <c r="M460" t="n">
        <v>0</v>
      </c>
      <c r="N460" t="n">
        <v>0</v>
      </c>
      <c r="O460" t="n">
        <v>0</v>
      </c>
      <c r="P460" t="n">
        <v>0</v>
      </c>
      <c r="Q460" t="n">
        <v>0</v>
      </c>
      <c r="R460" s="2" t="inlineStr"/>
    </row>
    <row r="461" ht="15" customHeight="1">
      <c r="A461" t="inlineStr">
        <is>
          <t>A 55760-2025</t>
        </is>
      </c>
      <c r="B461" s="1" t="n">
        <v>45972</v>
      </c>
      <c r="C461" s="1" t="n">
        <v>46161</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58357-2025</t>
        </is>
      </c>
      <c r="B462" s="1" t="n">
        <v>45985.51518518518</v>
      </c>
      <c r="C462" s="1" t="n">
        <v>46161</v>
      </c>
      <c r="D462" t="inlineStr">
        <is>
          <t>VÄSTMANLANDS LÄN</t>
        </is>
      </c>
      <c r="E462" t="inlineStr">
        <is>
          <t>SALA</t>
        </is>
      </c>
      <c r="G462" t="n">
        <v>3</v>
      </c>
      <c r="H462" t="n">
        <v>0</v>
      </c>
      <c r="I462" t="n">
        <v>0</v>
      </c>
      <c r="J462" t="n">
        <v>0</v>
      </c>
      <c r="K462" t="n">
        <v>0</v>
      </c>
      <c r="L462" t="n">
        <v>0</v>
      </c>
      <c r="M462" t="n">
        <v>0</v>
      </c>
      <c r="N462" t="n">
        <v>0</v>
      </c>
      <c r="O462" t="n">
        <v>0</v>
      </c>
      <c r="P462" t="n">
        <v>0</v>
      </c>
      <c r="Q462" t="n">
        <v>0</v>
      </c>
      <c r="R462" s="2" t="inlineStr"/>
    </row>
    <row r="463" ht="15" customHeight="1">
      <c r="A463" t="inlineStr">
        <is>
          <t>A 58365-2025</t>
        </is>
      </c>
      <c r="B463" s="1" t="n">
        <v>45985.52288194445</v>
      </c>
      <c r="C463" s="1" t="n">
        <v>46161</v>
      </c>
      <c r="D463" t="inlineStr">
        <is>
          <t>VÄSTMANLANDS LÄN</t>
        </is>
      </c>
      <c r="E463" t="inlineStr">
        <is>
          <t>SALA</t>
        </is>
      </c>
      <c r="G463" t="n">
        <v>3.9</v>
      </c>
      <c r="H463" t="n">
        <v>0</v>
      </c>
      <c r="I463" t="n">
        <v>0</v>
      </c>
      <c r="J463" t="n">
        <v>0</v>
      </c>
      <c r="K463" t="n">
        <v>0</v>
      </c>
      <c r="L463" t="n">
        <v>0</v>
      </c>
      <c r="M463" t="n">
        <v>0</v>
      </c>
      <c r="N463" t="n">
        <v>0</v>
      </c>
      <c r="O463" t="n">
        <v>0</v>
      </c>
      <c r="P463" t="n">
        <v>0</v>
      </c>
      <c r="Q463" t="n">
        <v>0</v>
      </c>
      <c r="R463" s="2" t="inlineStr"/>
    </row>
    <row r="464" ht="15" customHeight="1">
      <c r="A464" t="inlineStr">
        <is>
          <t>A 23374-2023</t>
        </is>
      </c>
      <c r="B464" s="1" t="n">
        <v>45076.4399537037</v>
      </c>
      <c r="C464" s="1" t="n">
        <v>46161</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6134-2024</t>
        </is>
      </c>
      <c r="B465" s="1" t="n">
        <v>45337</v>
      </c>
      <c r="C465" s="1" t="n">
        <v>46161</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48117-2024</t>
        </is>
      </c>
      <c r="B466" s="1" t="n">
        <v>45589</v>
      </c>
      <c r="C466" s="1" t="n">
        <v>46161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73673-2021</t>
        </is>
      </c>
      <c r="B467" s="1" t="n">
        <v>44552.46501157407</v>
      </c>
      <c r="C467" s="1" t="n">
        <v>46161</v>
      </c>
      <c r="D467" t="inlineStr">
        <is>
          <t>VÄSTMANLANDS LÄN</t>
        </is>
      </c>
      <c r="E467" t="inlineStr">
        <is>
          <t>SALA</t>
        </is>
      </c>
      <c r="G467" t="n">
        <v>11.4</v>
      </c>
      <c r="H467" t="n">
        <v>0</v>
      </c>
      <c r="I467" t="n">
        <v>0</v>
      </c>
      <c r="J467" t="n">
        <v>0</v>
      </c>
      <c r="K467" t="n">
        <v>0</v>
      </c>
      <c r="L467" t="n">
        <v>0</v>
      </c>
      <c r="M467" t="n">
        <v>0</v>
      </c>
      <c r="N467" t="n">
        <v>0</v>
      </c>
      <c r="O467" t="n">
        <v>0</v>
      </c>
      <c r="P467" t="n">
        <v>0</v>
      </c>
      <c r="Q467" t="n">
        <v>0</v>
      </c>
      <c r="R467" s="2" t="inlineStr"/>
    </row>
    <row r="468" ht="15" customHeight="1">
      <c r="A468" t="inlineStr">
        <is>
          <t>A 31082-2021</t>
        </is>
      </c>
      <c r="B468" s="1" t="n">
        <v>44368</v>
      </c>
      <c r="C468" s="1" t="n">
        <v>46161</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31470-2021</t>
        </is>
      </c>
      <c r="B469" s="1" t="n">
        <v>44369</v>
      </c>
      <c r="C469" s="1" t="n">
        <v>46161</v>
      </c>
      <c r="D469" t="inlineStr">
        <is>
          <t>VÄSTMANLANDS LÄN</t>
        </is>
      </c>
      <c r="E469" t="inlineStr">
        <is>
          <t>SALA</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59385-2025</t>
        </is>
      </c>
      <c r="B470" s="1" t="n">
        <v>45989.45746527778</v>
      </c>
      <c r="C470" s="1" t="n">
        <v>46161</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24175-2024</t>
        </is>
      </c>
      <c r="B471" s="1" t="n">
        <v>45456</v>
      </c>
      <c r="C471" s="1" t="n">
        <v>46161</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59390-2025</t>
        </is>
      </c>
      <c r="B472" s="1" t="n">
        <v>45989.4640162037</v>
      </c>
      <c r="C472" s="1" t="n">
        <v>46161</v>
      </c>
      <c r="D472" t="inlineStr">
        <is>
          <t>VÄSTMANLANDS LÄN</t>
        </is>
      </c>
      <c r="E472" t="inlineStr">
        <is>
          <t>SALA</t>
        </is>
      </c>
      <c r="G472" t="n">
        <v>1.8</v>
      </c>
      <c r="H472" t="n">
        <v>0</v>
      </c>
      <c r="I472" t="n">
        <v>0</v>
      </c>
      <c r="J472" t="n">
        <v>0</v>
      </c>
      <c r="K472" t="n">
        <v>0</v>
      </c>
      <c r="L472" t="n">
        <v>0</v>
      </c>
      <c r="M472" t="n">
        <v>0</v>
      </c>
      <c r="N472" t="n">
        <v>0</v>
      </c>
      <c r="O472" t="n">
        <v>0</v>
      </c>
      <c r="P472" t="n">
        <v>0</v>
      </c>
      <c r="Q472" t="n">
        <v>0</v>
      </c>
      <c r="R472" s="2" t="inlineStr"/>
    </row>
    <row r="473" ht="15" customHeight="1">
      <c r="A473" t="inlineStr">
        <is>
          <t>A 51247-2025</t>
        </is>
      </c>
      <c r="B473" s="1" t="n">
        <v>45947.86487268518</v>
      </c>
      <c r="C473" s="1" t="n">
        <v>46161</v>
      </c>
      <c r="D473" t="inlineStr">
        <is>
          <t>VÄSTMANLANDS LÄN</t>
        </is>
      </c>
      <c r="E473" t="inlineStr">
        <is>
          <t>SALA</t>
        </is>
      </c>
      <c r="G473" t="n">
        <v>10.4</v>
      </c>
      <c r="H473" t="n">
        <v>0</v>
      </c>
      <c r="I473" t="n">
        <v>0</v>
      </c>
      <c r="J473" t="n">
        <v>0</v>
      </c>
      <c r="K473" t="n">
        <v>0</v>
      </c>
      <c r="L473" t="n">
        <v>0</v>
      </c>
      <c r="M473" t="n">
        <v>0</v>
      </c>
      <c r="N473" t="n">
        <v>0</v>
      </c>
      <c r="O473" t="n">
        <v>0</v>
      </c>
      <c r="P473" t="n">
        <v>0</v>
      </c>
      <c r="Q473" t="n">
        <v>0</v>
      </c>
      <c r="R473" s="2" t="inlineStr"/>
    </row>
    <row r="474" ht="15" customHeight="1">
      <c r="A474" t="inlineStr">
        <is>
          <t>A 28328-2023</t>
        </is>
      </c>
      <c r="B474" s="1" t="n">
        <v>45099.71063657408</v>
      </c>
      <c r="C474" s="1" t="n">
        <v>46161</v>
      </c>
      <c r="D474" t="inlineStr">
        <is>
          <t>VÄSTMANLANDS LÄN</t>
        </is>
      </c>
      <c r="E474" t="inlineStr">
        <is>
          <t>SALA</t>
        </is>
      </c>
      <c r="G474" t="n">
        <v>1.8</v>
      </c>
      <c r="H474" t="n">
        <v>0</v>
      </c>
      <c r="I474" t="n">
        <v>0</v>
      </c>
      <c r="J474" t="n">
        <v>0</v>
      </c>
      <c r="K474" t="n">
        <v>0</v>
      </c>
      <c r="L474" t="n">
        <v>0</v>
      </c>
      <c r="M474" t="n">
        <v>0</v>
      </c>
      <c r="N474" t="n">
        <v>0</v>
      </c>
      <c r="O474" t="n">
        <v>0</v>
      </c>
      <c r="P474" t="n">
        <v>0</v>
      </c>
      <c r="Q474" t="n">
        <v>0</v>
      </c>
      <c r="R474" s="2" t="inlineStr"/>
    </row>
    <row r="475" ht="15" customHeight="1">
      <c r="A475" t="inlineStr">
        <is>
          <t>A 61715-2024</t>
        </is>
      </c>
      <c r="B475" s="1" t="n">
        <v>45648.89519675926</v>
      </c>
      <c r="C475" s="1" t="n">
        <v>46161</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59817-2025</t>
        </is>
      </c>
      <c r="B476" s="1" t="n">
        <v>45992.63711805556</v>
      </c>
      <c r="C476" s="1" t="n">
        <v>46161</v>
      </c>
      <c r="D476" t="inlineStr">
        <is>
          <t>VÄSTMANLANDS LÄN</t>
        </is>
      </c>
      <c r="E476" t="inlineStr">
        <is>
          <t>SALA</t>
        </is>
      </c>
      <c r="G476" t="n">
        <v>6.9</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46161</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59870-2025</t>
        </is>
      </c>
      <c r="B478" s="1" t="n">
        <v>45992.92226851852</v>
      </c>
      <c r="C478" s="1" t="n">
        <v>46161</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59926-2025</t>
        </is>
      </c>
      <c r="B479" s="1" t="n">
        <v>45993.39221064815</v>
      </c>
      <c r="C479" s="1" t="n">
        <v>46161</v>
      </c>
      <c r="D479" t="inlineStr">
        <is>
          <t>VÄSTMANLANDS LÄN</t>
        </is>
      </c>
      <c r="E479" t="inlineStr">
        <is>
          <t>SALA</t>
        </is>
      </c>
      <c r="G479" t="n">
        <v>7.1</v>
      </c>
      <c r="H479" t="n">
        <v>0</v>
      </c>
      <c r="I479" t="n">
        <v>0</v>
      </c>
      <c r="J479" t="n">
        <v>0</v>
      </c>
      <c r="K479" t="n">
        <v>0</v>
      </c>
      <c r="L479" t="n">
        <v>0</v>
      </c>
      <c r="M479" t="n">
        <v>0</v>
      </c>
      <c r="N479" t="n">
        <v>0</v>
      </c>
      <c r="O479" t="n">
        <v>0</v>
      </c>
      <c r="P479" t="n">
        <v>0</v>
      </c>
      <c r="Q479" t="n">
        <v>0</v>
      </c>
      <c r="R479" s="2" t="inlineStr"/>
    </row>
    <row r="480" ht="15" customHeight="1">
      <c r="A480" t="inlineStr">
        <is>
          <t>A 6132-2025</t>
        </is>
      </c>
      <c r="B480" s="1" t="n">
        <v>45698</v>
      </c>
      <c r="C480" s="1" t="n">
        <v>46161</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44708.48194444444</v>
      </c>
      <c r="C481" s="1" t="n">
        <v>46161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60017-2025</t>
        </is>
      </c>
      <c r="B482" s="1" t="n">
        <v>45993.59998842593</v>
      </c>
      <c r="C482" s="1" t="n">
        <v>46161</v>
      </c>
      <c r="D482" t="inlineStr">
        <is>
          <t>VÄSTMANLANDS LÄN</t>
        </is>
      </c>
      <c r="E482" t="inlineStr">
        <is>
          <t>SALA</t>
        </is>
      </c>
      <c r="G482" t="n">
        <v>4.4</v>
      </c>
      <c r="H482" t="n">
        <v>0</v>
      </c>
      <c r="I482" t="n">
        <v>0</v>
      </c>
      <c r="J482" t="n">
        <v>0</v>
      </c>
      <c r="K482" t="n">
        <v>0</v>
      </c>
      <c r="L482" t="n">
        <v>0</v>
      </c>
      <c r="M482" t="n">
        <v>0</v>
      </c>
      <c r="N482" t="n">
        <v>0</v>
      </c>
      <c r="O482" t="n">
        <v>0</v>
      </c>
      <c r="P482" t="n">
        <v>0</v>
      </c>
      <c r="Q482" t="n">
        <v>0</v>
      </c>
      <c r="R482" s="2" t="inlineStr"/>
    </row>
    <row r="483" ht="15" customHeight="1">
      <c r="A483" t="inlineStr">
        <is>
          <t>A 11389-2024</t>
        </is>
      </c>
      <c r="B483" s="1" t="n">
        <v>45372.45016203704</v>
      </c>
      <c r="C483" s="1" t="n">
        <v>46161</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60254-2025</t>
        </is>
      </c>
      <c r="B484" s="1" t="n">
        <v>45994.60146990741</v>
      </c>
      <c r="C484" s="1" t="n">
        <v>46161</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60259-2025</t>
        </is>
      </c>
      <c r="B485" s="1" t="n">
        <v>45994.60913194445</v>
      </c>
      <c r="C485" s="1" t="n">
        <v>46161</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60241-2025</t>
        </is>
      </c>
      <c r="B486" s="1" t="n">
        <v>45994.58454861111</v>
      </c>
      <c r="C486" s="1" t="n">
        <v>46161</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2925-2024</t>
        </is>
      </c>
      <c r="B487" s="1" t="n">
        <v>45315.58909722222</v>
      </c>
      <c r="C487" s="1" t="n">
        <v>46161</v>
      </c>
      <c r="D487" t="inlineStr">
        <is>
          <t>VÄSTMANLANDS LÄN</t>
        </is>
      </c>
      <c r="E487" t="inlineStr">
        <is>
          <t>SALA</t>
        </is>
      </c>
      <c r="G487" t="n">
        <v>1.3</v>
      </c>
      <c r="H487" t="n">
        <v>0</v>
      </c>
      <c r="I487" t="n">
        <v>0</v>
      </c>
      <c r="J487" t="n">
        <v>0</v>
      </c>
      <c r="K487" t="n">
        <v>0</v>
      </c>
      <c r="L487" t="n">
        <v>0</v>
      </c>
      <c r="M487" t="n">
        <v>0</v>
      </c>
      <c r="N487" t="n">
        <v>0</v>
      </c>
      <c r="O487" t="n">
        <v>0</v>
      </c>
      <c r="P487" t="n">
        <v>0</v>
      </c>
      <c r="Q487" t="n">
        <v>0</v>
      </c>
      <c r="R487" s="2" t="inlineStr"/>
    </row>
    <row r="488" ht="15" customHeight="1">
      <c r="A488" t="inlineStr">
        <is>
          <t>A 39439-2021</t>
        </is>
      </c>
      <c r="B488" s="1" t="n">
        <v>44414</v>
      </c>
      <c r="C488" s="1" t="n">
        <v>46161</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60258-2025</t>
        </is>
      </c>
      <c r="B489" s="1" t="n">
        <v>45994.6064699074</v>
      </c>
      <c r="C489" s="1" t="n">
        <v>46161</v>
      </c>
      <c r="D489" t="inlineStr">
        <is>
          <t>VÄSTMANLANDS LÄN</t>
        </is>
      </c>
      <c r="E489" t="inlineStr">
        <is>
          <t>SALA</t>
        </is>
      </c>
      <c r="G489" t="n">
        <v>2.2</v>
      </c>
      <c r="H489" t="n">
        <v>0</v>
      </c>
      <c r="I489" t="n">
        <v>0</v>
      </c>
      <c r="J489" t="n">
        <v>0</v>
      </c>
      <c r="K489" t="n">
        <v>0</v>
      </c>
      <c r="L489" t="n">
        <v>0</v>
      </c>
      <c r="M489" t="n">
        <v>0</v>
      </c>
      <c r="N489" t="n">
        <v>0</v>
      </c>
      <c r="O489" t="n">
        <v>0</v>
      </c>
      <c r="P489" t="n">
        <v>0</v>
      </c>
      <c r="Q489" t="n">
        <v>0</v>
      </c>
      <c r="R489" s="2" t="inlineStr"/>
    </row>
    <row r="490" ht="15" customHeight="1">
      <c r="A490" t="inlineStr">
        <is>
          <t>A 60246-2025</t>
        </is>
      </c>
      <c r="B490" s="1" t="n">
        <v>45994.58931712963</v>
      </c>
      <c r="C490" s="1" t="n">
        <v>46161</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60629-2025</t>
        </is>
      </c>
      <c r="B491" s="1" t="n">
        <v>45996.41972222222</v>
      </c>
      <c r="C491" s="1" t="n">
        <v>46161</v>
      </c>
      <c r="D491" t="inlineStr">
        <is>
          <t>VÄSTMANLANDS LÄN</t>
        </is>
      </c>
      <c r="E491" t="inlineStr">
        <is>
          <t>SALA</t>
        </is>
      </c>
      <c r="G491" t="n">
        <v>4.3</v>
      </c>
      <c r="H491" t="n">
        <v>0</v>
      </c>
      <c r="I491" t="n">
        <v>0</v>
      </c>
      <c r="J491" t="n">
        <v>0</v>
      </c>
      <c r="K491" t="n">
        <v>0</v>
      </c>
      <c r="L491" t="n">
        <v>0</v>
      </c>
      <c r="M491" t="n">
        <v>0</v>
      </c>
      <c r="N491" t="n">
        <v>0</v>
      </c>
      <c r="O491" t="n">
        <v>0</v>
      </c>
      <c r="P491" t="n">
        <v>0</v>
      </c>
      <c r="Q491" t="n">
        <v>0</v>
      </c>
      <c r="R491" s="2" t="inlineStr"/>
    </row>
    <row r="492" ht="15" customHeight="1">
      <c r="A492" t="inlineStr">
        <is>
          <t>A 3332-2024</t>
        </is>
      </c>
      <c r="B492" s="1" t="n">
        <v>45317</v>
      </c>
      <c r="C492" s="1" t="n">
        <v>46161</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2529-2022</t>
        </is>
      </c>
      <c r="B493" s="1" t="n">
        <v>44579.86452546297</v>
      </c>
      <c r="C493" s="1" t="n">
        <v>46161</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13471-2025</t>
        </is>
      </c>
      <c r="B494" s="1" t="n">
        <v>45736.40579861111</v>
      </c>
      <c r="C494" s="1" t="n">
        <v>46161</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15681-2025</t>
        </is>
      </c>
      <c r="B495" s="1" t="n">
        <v>45748.45454861111</v>
      </c>
      <c r="C495" s="1" t="n">
        <v>46161</v>
      </c>
      <c r="D495" t="inlineStr">
        <is>
          <t>VÄSTMANLANDS LÄN</t>
        </is>
      </c>
      <c r="E495" t="inlineStr">
        <is>
          <t>SALA</t>
        </is>
      </c>
      <c r="F495" t="inlineStr">
        <is>
          <t>Bergvik skog öst AB</t>
        </is>
      </c>
      <c r="G495" t="n">
        <v>4.3</v>
      </c>
      <c r="H495" t="n">
        <v>0</v>
      </c>
      <c r="I495" t="n">
        <v>0</v>
      </c>
      <c r="J495" t="n">
        <v>0</v>
      </c>
      <c r="K495" t="n">
        <v>0</v>
      </c>
      <c r="L495" t="n">
        <v>0</v>
      </c>
      <c r="M495" t="n">
        <v>0</v>
      </c>
      <c r="N495" t="n">
        <v>0</v>
      </c>
      <c r="O495" t="n">
        <v>0</v>
      </c>
      <c r="P495" t="n">
        <v>0</v>
      </c>
      <c r="Q495" t="n">
        <v>0</v>
      </c>
      <c r="R495" s="2" t="inlineStr"/>
    </row>
    <row r="496" ht="15" customHeight="1">
      <c r="A496" t="inlineStr">
        <is>
          <t>A 18431-2023</t>
        </is>
      </c>
      <c r="B496" s="1" t="n">
        <v>45042</v>
      </c>
      <c r="C496" s="1" t="n">
        <v>46161</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27424-2023</t>
        </is>
      </c>
      <c r="B497" s="1" t="n">
        <v>45097.37690972222</v>
      </c>
      <c r="C497" s="1" t="n">
        <v>46161</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58701-2021</t>
        </is>
      </c>
      <c r="B498" s="1" t="n">
        <v>44489.46454861111</v>
      </c>
      <c r="C498" s="1" t="n">
        <v>46161</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11244-2024</t>
        </is>
      </c>
      <c r="B499" s="1" t="n">
        <v>45371</v>
      </c>
      <c r="C499" s="1" t="n">
        <v>46161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12225-2023</t>
        </is>
      </c>
      <c r="B500" s="1" t="n">
        <v>44995</v>
      </c>
      <c r="C500" s="1" t="n">
        <v>46161</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61522-2025</t>
        </is>
      </c>
      <c r="B501" s="1" t="n">
        <v>46001.68684027778</v>
      </c>
      <c r="C501" s="1" t="n">
        <v>46161</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61874-2021</t>
        </is>
      </c>
      <c r="B502" s="1" t="n">
        <v>44502</v>
      </c>
      <c r="C502" s="1" t="n">
        <v>46161</v>
      </c>
      <c r="D502" t="inlineStr">
        <is>
          <t>VÄSTMANLANDS LÄN</t>
        </is>
      </c>
      <c r="E502" t="inlineStr">
        <is>
          <t>SALA</t>
        </is>
      </c>
      <c r="F502" t="inlineStr">
        <is>
          <t>Kyrkan</t>
        </is>
      </c>
      <c r="G502" t="n">
        <v>1.3</v>
      </c>
      <c r="H502" t="n">
        <v>0</v>
      </c>
      <c r="I502" t="n">
        <v>0</v>
      </c>
      <c r="J502" t="n">
        <v>0</v>
      </c>
      <c r="K502" t="n">
        <v>0</v>
      </c>
      <c r="L502" t="n">
        <v>0</v>
      </c>
      <c r="M502" t="n">
        <v>0</v>
      </c>
      <c r="N502" t="n">
        <v>0</v>
      </c>
      <c r="O502" t="n">
        <v>0</v>
      </c>
      <c r="P502" t="n">
        <v>0</v>
      </c>
      <c r="Q502" t="n">
        <v>0</v>
      </c>
      <c r="R502" s="2" t="inlineStr"/>
    </row>
    <row r="503" ht="15" customHeight="1">
      <c r="A503" t="inlineStr">
        <is>
          <t>A 62651-2022</t>
        </is>
      </c>
      <c r="B503" s="1" t="n">
        <v>44917</v>
      </c>
      <c r="C503" s="1" t="n">
        <v>46161</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46161</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60730-2023</t>
        </is>
      </c>
      <c r="B505" s="1" t="n">
        <v>45260</v>
      </c>
      <c r="C505" s="1" t="n">
        <v>46161</v>
      </c>
      <c r="D505" t="inlineStr">
        <is>
          <t>VÄSTMANLANDS LÄN</t>
        </is>
      </c>
      <c r="E505" t="inlineStr">
        <is>
          <t>SALA</t>
        </is>
      </c>
      <c r="G505" t="n">
        <v>1.3</v>
      </c>
      <c r="H505" t="n">
        <v>0</v>
      </c>
      <c r="I505" t="n">
        <v>0</v>
      </c>
      <c r="J505" t="n">
        <v>0</v>
      </c>
      <c r="K505" t="n">
        <v>0</v>
      </c>
      <c r="L505" t="n">
        <v>0</v>
      </c>
      <c r="M505" t="n">
        <v>0</v>
      </c>
      <c r="N505" t="n">
        <v>0</v>
      </c>
      <c r="O505" t="n">
        <v>0</v>
      </c>
      <c r="P505" t="n">
        <v>0</v>
      </c>
      <c r="Q505" t="n">
        <v>0</v>
      </c>
      <c r="R505" s="2" t="inlineStr"/>
    </row>
    <row r="506" ht="15" customHeight="1">
      <c r="A506" t="inlineStr">
        <is>
          <t>A 60731-2023</t>
        </is>
      </c>
      <c r="B506" s="1" t="n">
        <v>45260</v>
      </c>
      <c r="C506" s="1" t="n">
        <v>46161</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18461-2024</t>
        </is>
      </c>
      <c r="B507" s="1" t="n">
        <v>45425.47435185185</v>
      </c>
      <c r="C507" s="1" t="n">
        <v>46161</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4663-2022</t>
        </is>
      </c>
      <c r="B508" s="1" t="n">
        <v>44592.45429398148</v>
      </c>
      <c r="C508" s="1" t="n">
        <v>46161</v>
      </c>
      <c r="D508" t="inlineStr">
        <is>
          <t>VÄSTMANLANDS LÄN</t>
        </is>
      </c>
      <c r="E508" t="inlineStr">
        <is>
          <t>SALA</t>
        </is>
      </c>
      <c r="G508" t="n">
        <v>2.5</v>
      </c>
      <c r="H508" t="n">
        <v>0</v>
      </c>
      <c r="I508" t="n">
        <v>0</v>
      </c>
      <c r="J508" t="n">
        <v>0</v>
      </c>
      <c r="K508" t="n">
        <v>0</v>
      </c>
      <c r="L508" t="n">
        <v>0</v>
      </c>
      <c r="M508" t="n">
        <v>0</v>
      </c>
      <c r="N508" t="n">
        <v>0</v>
      </c>
      <c r="O508" t="n">
        <v>0</v>
      </c>
      <c r="P508" t="n">
        <v>0</v>
      </c>
      <c r="Q508" t="n">
        <v>0</v>
      </c>
      <c r="R508" s="2" t="inlineStr"/>
    </row>
    <row r="509" ht="15" customHeight="1">
      <c r="A509" t="inlineStr">
        <is>
          <t>A 62523-2025</t>
        </is>
      </c>
      <c r="B509" s="1" t="n">
        <v>46007.61512731481</v>
      </c>
      <c r="C509" s="1" t="n">
        <v>46161</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46161</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63055-2025</t>
        </is>
      </c>
      <c r="B511" s="1" t="n">
        <v>46009.63619212963</v>
      </c>
      <c r="C511" s="1" t="n">
        <v>46161</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63051-2025</t>
        </is>
      </c>
      <c r="B512" s="1" t="n">
        <v>46009.63134259259</v>
      </c>
      <c r="C512" s="1" t="n">
        <v>46161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2766-2024</t>
        </is>
      </c>
      <c r="B513" s="1" t="n">
        <v>45314.60950231482</v>
      </c>
      <c r="C513" s="1" t="n">
        <v>46161</v>
      </c>
      <c r="D513" t="inlineStr">
        <is>
          <t>VÄSTMANLANDS LÄN</t>
        </is>
      </c>
      <c r="E513" t="inlineStr">
        <is>
          <t>SALA</t>
        </is>
      </c>
      <c r="G513" t="n">
        <v>2.8</v>
      </c>
      <c r="H513" t="n">
        <v>0</v>
      </c>
      <c r="I513" t="n">
        <v>0</v>
      </c>
      <c r="J513" t="n">
        <v>0</v>
      </c>
      <c r="K513" t="n">
        <v>0</v>
      </c>
      <c r="L513" t="n">
        <v>0</v>
      </c>
      <c r="M513" t="n">
        <v>0</v>
      </c>
      <c r="N513" t="n">
        <v>0</v>
      </c>
      <c r="O513" t="n">
        <v>0</v>
      </c>
      <c r="P513" t="n">
        <v>0</v>
      </c>
      <c r="Q513" t="n">
        <v>0</v>
      </c>
      <c r="R513" s="2" t="inlineStr"/>
    </row>
    <row r="514" ht="15" customHeight="1">
      <c r="A514" t="inlineStr">
        <is>
          <t>A 63046-2025</t>
        </is>
      </c>
      <c r="B514" s="1" t="n">
        <v>46009.62373842593</v>
      </c>
      <c r="C514" s="1" t="n">
        <v>46161</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6351-2023</t>
        </is>
      </c>
      <c r="B515" s="1" t="n">
        <v>44965</v>
      </c>
      <c r="C515" s="1" t="n">
        <v>46161</v>
      </c>
      <c r="D515" t="inlineStr">
        <is>
          <t>VÄSTMANLANDS LÄN</t>
        </is>
      </c>
      <c r="E515" t="inlineStr">
        <is>
          <t>SALA</t>
        </is>
      </c>
      <c r="F515" t="inlineStr">
        <is>
          <t>Kommuner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45187-2024</t>
        </is>
      </c>
      <c r="B516" s="1" t="n">
        <v>45575</v>
      </c>
      <c r="C516" s="1" t="n">
        <v>46161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63353-2025</t>
        </is>
      </c>
      <c r="B517" s="1" t="n">
        <v>46010.66670138889</v>
      </c>
      <c r="C517" s="1" t="n">
        <v>46161</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33527-2023</t>
        </is>
      </c>
      <c r="B518" s="1" t="n">
        <v>45131</v>
      </c>
      <c r="C518" s="1" t="n">
        <v>46161</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63269-2025</t>
        </is>
      </c>
      <c r="B519" s="1" t="n">
        <v>46010</v>
      </c>
      <c r="C519" s="1" t="n">
        <v>46161</v>
      </c>
      <c r="D519" t="inlineStr">
        <is>
          <t>VÄSTMANLANDS LÄN</t>
        </is>
      </c>
      <c r="E519" t="inlineStr">
        <is>
          <t>SALA</t>
        </is>
      </c>
      <c r="G519" t="n">
        <v>6.4</v>
      </c>
      <c r="H519" t="n">
        <v>0</v>
      </c>
      <c r="I519" t="n">
        <v>0</v>
      </c>
      <c r="J519" t="n">
        <v>0</v>
      </c>
      <c r="K519" t="n">
        <v>0</v>
      </c>
      <c r="L519" t="n">
        <v>0</v>
      </c>
      <c r="M519" t="n">
        <v>0</v>
      </c>
      <c r="N519" t="n">
        <v>0</v>
      </c>
      <c r="O519" t="n">
        <v>0</v>
      </c>
      <c r="P519" t="n">
        <v>0</v>
      </c>
      <c r="Q519" t="n">
        <v>0</v>
      </c>
      <c r="R519" s="2" t="inlineStr"/>
    </row>
    <row r="520" ht="15" customHeight="1">
      <c r="A520" t="inlineStr">
        <is>
          <t>A 7377-2023</t>
        </is>
      </c>
      <c r="B520" s="1" t="n">
        <v>44971</v>
      </c>
      <c r="C520" s="1" t="n">
        <v>46161</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21159-2022</t>
        </is>
      </c>
      <c r="B521" s="1" t="n">
        <v>44704</v>
      </c>
      <c r="C521" s="1" t="n">
        <v>46161</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17722-2025</t>
        </is>
      </c>
      <c r="B522" s="1" t="n">
        <v>45758</v>
      </c>
      <c r="C522" s="1" t="n">
        <v>46161</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63749-2025</t>
        </is>
      </c>
      <c r="B523" s="1" t="n">
        <v>46017.75243055556</v>
      </c>
      <c r="C523" s="1" t="n">
        <v>46161</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56688-2024</t>
        </is>
      </c>
      <c r="B524" s="1" t="n">
        <v>45627.66478009259</v>
      </c>
      <c r="C524" s="1" t="n">
        <v>46161</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63748-2025</t>
        </is>
      </c>
      <c r="B525" s="1" t="n">
        <v>46017.71640046296</v>
      </c>
      <c r="C525" s="1" t="n">
        <v>46161</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16159-2024</t>
        </is>
      </c>
      <c r="B526" s="1" t="n">
        <v>45406</v>
      </c>
      <c r="C526" s="1" t="n">
        <v>46161</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66307-2021</t>
        </is>
      </c>
      <c r="B527" s="1" t="n">
        <v>44518.48670138889</v>
      </c>
      <c r="C527" s="1" t="n">
        <v>46161</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27262-2024</t>
        </is>
      </c>
      <c r="B528" s="1" t="n">
        <v>45471</v>
      </c>
      <c r="C528" s="1" t="n">
        <v>46161</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10913-2025</t>
        </is>
      </c>
      <c r="B529" s="1" t="n">
        <v>45722.73423611111</v>
      </c>
      <c r="C529" s="1" t="n">
        <v>46161</v>
      </c>
      <c r="D529" t="inlineStr">
        <is>
          <t>VÄSTMANLANDS LÄN</t>
        </is>
      </c>
      <c r="E529" t="inlineStr">
        <is>
          <t>SALA</t>
        </is>
      </c>
      <c r="G529" t="n">
        <v>7.6</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44798.62576388889</v>
      </c>
      <c r="C530" s="1" t="n">
        <v>46161</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1118-2024</t>
        </is>
      </c>
      <c r="B531" s="1" t="n">
        <v>45302</v>
      </c>
      <c r="C531" s="1" t="n">
        <v>46161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53864-2022</t>
        </is>
      </c>
      <c r="B532" s="1" t="n">
        <v>44880.64016203704</v>
      </c>
      <c r="C532" s="1" t="n">
        <v>46161</v>
      </c>
      <c r="D532" t="inlineStr">
        <is>
          <t>VÄSTMANLANDS LÄN</t>
        </is>
      </c>
      <c r="E532" t="inlineStr">
        <is>
          <t>SALA</t>
        </is>
      </c>
      <c r="G532" t="n">
        <v>5.9</v>
      </c>
      <c r="H532" t="n">
        <v>0</v>
      </c>
      <c r="I532" t="n">
        <v>0</v>
      </c>
      <c r="J532" t="n">
        <v>0</v>
      </c>
      <c r="K532" t="n">
        <v>0</v>
      </c>
      <c r="L532" t="n">
        <v>0</v>
      </c>
      <c r="M532" t="n">
        <v>0</v>
      </c>
      <c r="N532" t="n">
        <v>0</v>
      </c>
      <c r="O532" t="n">
        <v>0</v>
      </c>
      <c r="P532" t="n">
        <v>0</v>
      </c>
      <c r="Q532" t="n">
        <v>0</v>
      </c>
      <c r="R532" s="2" t="inlineStr"/>
    </row>
    <row r="533" ht="15" customHeight="1">
      <c r="A533" t="inlineStr">
        <is>
          <t>A 40085-2024</t>
        </is>
      </c>
      <c r="B533" s="1" t="n">
        <v>45554</v>
      </c>
      <c r="C533" s="1" t="n">
        <v>46161</v>
      </c>
      <c r="D533" t="inlineStr">
        <is>
          <t>VÄSTMANLANDS LÄN</t>
        </is>
      </c>
      <c r="E533" t="inlineStr">
        <is>
          <t>SALA</t>
        </is>
      </c>
      <c r="G533" t="n">
        <v>2.8</v>
      </c>
      <c r="H533" t="n">
        <v>0</v>
      </c>
      <c r="I533" t="n">
        <v>0</v>
      </c>
      <c r="J533" t="n">
        <v>0</v>
      </c>
      <c r="K533" t="n">
        <v>0</v>
      </c>
      <c r="L533" t="n">
        <v>0</v>
      </c>
      <c r="M533" t="n">
        <v>0</v>
      </c>
      <c r="N533" t="n">
        <v>0</v>
      </c>
      <c r="O533" t="n">
        <v>0</v>
      </c>
      <c r="P533" t="n">
        <v>0</v>
      </c>
      <c r="Q533" t="n">
        <v>0</v>
      </c>
      <c r="R533" s="2" t="inlineStr"/>
    </row>
    <row r="534" ht="15" customHeight="1">
      <c r="A534" t="inlineStr">
        <is>
          <t>A 3551-2024</t>
        </is>
      </c>
      <c r="B534" s="1" t="n">
        <v>45320.61099537037</v>
      </c>
      <c r="C534" s="1" t="n">
        <v>46161</v>
      </c>
      <c r="D534" t="inlineStr">
        <is>
          <t>VÄSTMANLANDS LÄN</t>
        </is>
      </c>
      <c r="E534" t="inlineStr">
        <is>
          <t>SALA</t>
        </is>
      </c>
      <c r="F534" t="inlineStr">
        <is>
          <t>Kommuner</t>
        </is>
      </c>
      <c r="G534" t="n">
        <v>6</v>
      </c>
      <c r="H534" t="n">
        <v>0</v>
      </c>
      <c r="I534" t="n">
        <v>0</v>
      </c>
      <c r="J534" t="n">
        <v>0</v>
      </c>
      <c r="K534" t="n">
        <v>0</v>
      </c>
      <c r="L534" t="n">
        <v>0</v>
      </c>
      <c r="M534" t="n">
        <v>0</v>
      </c>
      <c r="N534" t="n">
        <v>0</v>
      </c>
      <c r="O534" t="n">
        <v>0</v>
      </c>
      <c r="P534" t="n">
        <v>0</v>
      </c>
      <c r="Q534" t="n">
        <v>0</v>
      </c>
      <c r="R534" s="2" t="inlineStr"/>
    </row>
    <row r="535" ht="15" customHeight="1">
      <c r="A535" t="inlineStr">
        <is>
          <t>A 910-2026</t>
        </is>
      </c>
      <c r="B535" s="1" t="n">
        <v>46030.4771412037</v>
      </c>
      <c r="C535" s="1" t="n">
        <v>46161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914-2026</t>
        </is>
      </c>
      <c r="B536" s="1" t="n">
        <v>46030.47952546296</v>
      </c>
      <c r="C536" s="1" t="n">
        <v>46161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948-2026</t>
        </is>
      </c>
      <c r="B537" s="1" t="n">
        <v>46030.53986111111</v>
      </c>
      <c r="C537" s="1" t="n">
        <v>46161</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22961-2023</t>
        </is>
      </c>
      <c r="B538" s="1" t="n">
        <v>45072</v>
      </c>
      <c r="C538" s="1" t="n">
        <v>46161</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22963-2023</t>
        </is>
      </c>
      <c r="B539" s="1" t="n">
        <v>45072</v>
      </c>
      <c r="C539" s="1" t="n">
        <v>46161</v>
      </c>
      <c r="D539" t="inlineStr">
        <is>
          <t>VÄSTMANLANDS LÄN</t>
        </is>
      </c>
      <c r="E539" t="inlineStr">
        <is>
          <t>SALA</t>
        </is>
      </c>
      <c r="G539" t="n">
        <v>1.2</v>
      </c>
      <c r="H539" t="n">
        <v>0</v>
      </c>
      <c r="I539" t="n">
        <v>0</v>
      </c>
      <c r="J539" t="n">
        <v>0</v>
      </c>
      <c r="K539" t="n">
        <v>0</v>
      </c>
      <c r="L539" t="n">
        <v>0</v>
      </c>
      <c r="M539" t="n">
        <v>0</v>
      </c>
      <c r="N539" t="n">
        <v>0</v>
      </c>
      <c r="O539" t="n">
        <v>0</v>
      </c>
      <c r="P539" t="n">
        <v>0</v>
      </c>
      <c r="Q539" t="n">
        <v>0</v>
      </c>
      <c r="R539" s="2" t="inlineStr"/>
    </row>
    <row r="540" ht="15" customHeight="1">
      <c r="A540" t="inlineStr">
        <is>
          <t>A 54960-2024</t>
        </is>
      </c>
      <c r="B540" s="1" t="n">
        <v>45619.85208333333</v>
      </c>
      <c r="C540" s="1" t="n">
        <v>46161</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1705-2026</t>
        </is>
      </c>
      <c r="B541" s="1" t="n">
        <v>46034.59930555556</v>
      </c>
      <c r="C541" s="1" t="n">
        <v>46161</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27228-2023</t>
        </is>
      </c>
      <c r="B542" s="1" t="n">
        <v>45096.59189814814</v>
      </c>
      <c r="C542" s="1" t="n">
        <v>46161</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26507-2023</t>
        </is>
      </c>
      <c r="B543" s="1" t="n">
        <v>45092</v>
      </c>
      <c r="C543" s="1" t="n">
        <v>46161</v>
      </c>
      <c r="D543" t="inlineStr">
        <is>
          <t>VÄSTMANLANDS LÄN</t>
        </is>
      </c>
      <c r="E543" t="inlineStr">
        <is>
          <t>SALA</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6183-2025</t>
        </is>
      </c>
      <c r="B544" s="1" t="n">
        <v>45698</v>
      </c>
      <c r="C544" s="1" t="n">
        <v>46161</v>
      </c>
      <c r="D544" t="inlineStr">
        <is>
          <t>VÄSTMANLANDS LÄN</t>
        </is>
      </c>
      <c r="E544" t="inlineStr">
        <is>
          <t>SALA</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16543-2023</t>
        </is>
      </c>
      <c r="B545" s="1" t="n">
        <v>45029</v>
      </c>
      <c r="C545" s="1" t="n">
        <v>46161</v>
      </c>
      <c r="D545" t="inlineStr">
        <is>
          <t>VÄSTMANLANDS LÄN</t>
        </is>
      </c>
      <c r="E545" t="inlineStr">
        <is>
          <t>SALA</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43176-2023</t>
        </is>
      </c>
      <c r="B546" s="1" t="n">
        <v>45183</v>
      </c>
      <c r="C546" s="1" t="n">
        <v>46161</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37624-2024</t>
        </is>
      </c>
      <c r="B547" s="1" t="n">
        <v>45541</v>
      </c>
      <c r="C547" s="1" t="n">
        <v>46161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57895-2024</t>
        </is>
      </c>
      <c r="B548" s="1" t="n">
        <v>45631</v>
      </c>
      <c r="C548" s="1" t="n">
        <v>46161</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47086-2022</t>
        </is>
      </c>
      <c r="B549" s="1" t="n">
        <v>44852</v>
      </c>
      <c r="C549" s="1" t="n">
        <v>46161</v>
      </c>
      <c r="D549" t="inlineStr">
        <is>
          <t>VÄSTMANLANDS LÄN</t>
        </is>
      </c>
      <c r="E549" t="inlineStr">
        <is>
          <t>SALA</t>
        </is>
      </c>
      <c r="G549" t="n">
        <v>12.5</v>
      </c>
      <c r="H549" t="n">
        <v>0</v>
      </c>
      <c r="I549" t="n">
        <v>0</v>
      </c>
      <c r="J549" t="n">
        <v>0</v>
      </c>
      <c r="K549" t="n">
        <v>0</v>
      </c>
      <c r="L549" t="n">
        <v>0</v>
      </c>
      <c r="M549" t="n">
        <v>0</v>
      </c>
      <c r="N549" t="n">
        <v>0</v>
      </c>
      <c r="O549" t="n">
        <v>0</v>
      </c>
      <c r="P549" t="n">
        <v>0</v>
      </c>
      <c r="Q549" t="n">
        <v>0</v>
      </c>
      <c r="R549" s="2" t="inlineStr"/>
    </row>
    <row r="550" ht="15" customHeight="1">
      <c r="A550" t="inlineStr">
        <is>
          <t>A 56687-2024</t>
        </is>
      </c>
      <c r="B550" s="1" t="n">
        <v>45627.63271990741</v>
      </c>
      <c r="C550" s="1" t="n">
        <v>46161</v>
      </c>
      <c r="D550" t="inlineStr">
        <is>
          <t>VÄSTMANLANDS LÄN</t>
        </is>
      </c>
      <c r="E550" t="inlineStr">
        <is>
          <t>SALA</t>
        </is>
      </c>
      <c r="G550" t="n">
        <v>1.2</v>
      </c>
      <c r="H550" t="n">
        <v>0</v>
      </c>
      <c r="I550" t="n">
        <v>0</v>
      </c>
      <c r="J550" t="n">
        <v>0</v>
      </c>
      <c r="K550" t="n">
        <v>0</v>
      </c>
      <c r="L550" t="n">
        <v>0</v>
      </c>
      <c r="M550" t="n">
        <v>0</v>
      </c>
      <c r="N550" t="n">
        <v>0</v>
      </c>
      <c r="O550" t="n">
        <v>0</v>
      </c>
      <c r="P550" t="n">
        <v>0</v>
      </c>
      <c r="Q550" t="n">
        <v>0</v>
      </c>
      <c r="R550" s="2" t="inlineStr"/>
    </row>
    <row r="551" ht="15" customHeight="1">
      <c r="A551" t="inlineStr">
        <is>
          <t>A 54347-2024</t>
        </is>
      </c>
      <c r="B551" s="1" t="n">
        <v>45617.39325231482</v>
      </c>
      <c r="C551" s="1" t="n">
        <v>46161</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64693-2023</t>
        </is>
      </c>
      <c r="B552" s="1" t="n">
        <v>45281.63850694444</v>
      </c>
      <c r="C552" s="1" t="n">
        <v>46161</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64695-2023</t>
        </is>
      </c>
      <c r="B553" s="1" t="n">
        <v>45281.64099537037</v>
      </c>
      <c r="C553" s="1" t="n">
        <v>46161</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27486-2022</t>
        </is>
      </c>
      <c r="B554" s="1" t="n">
        <v>44742.60846064815</v>
      </c>
      <c r="C554" s="1" t="n">
        <v>46161</v>
      </c>
      <c r="D554" t="inlineStr">
        <is>
          <t>VÄSTMANLANDS LÄN</t>
        </is>
      </c>
      <c r="E554" t="inlineStr">
        <is>
          <t>SALA</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35003-2024</t>
        </is>
      </c>
      <c r="B555" s="1" t="n">
        <v>45527.56790509259</v>
      </c>
      <c r="C555" s="1" t="n">
        <v>46161</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48688-2024</t>
        </is>
      </c>
      <c r="B556" s="1" t="n">
        <v>45593.50541666667</v>
      </c>
      <c r="C556" s="1" t="n">
        <v>46161</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63933-2023</t>
        </is>
      </c>
      <c r="B557" s="1" t="n">
        <v>45278</v>
      </c>
      <c r="C557" s="1" t="n">
        <v>46161</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44746-2024</t>
        </is>
      </c>
      <c r="B558" s="1" t="n">
        <v>45574.59813657407</v>
      </c>
      <c r="C558" s="1" t="n">
        <v>46161</v>
      </c>
      <c r="D558" t="inlineStr">
        <is>
          <t>VÄSTMANLANDS LÄN</t>
        </is>
      </c>
      <c r="E558" t="inlineStr">
        <is>
          <t>SALA</t>
        </is>
      </c>
      <c r="G558" t="n">
        <v>6.7</v>
      </c>
      <c r="H558" t="n">
        <v>0</v>
      </c>
      <c r="I558" t="n">
        <v>0</v>
      </c>
      <c r="J558" t="n">
        <v>0</v>
      </c>
      <c r="K558" t="n">
        <v>0</v>
      </c>
      <c r="L558" t="n">
        <v>0</v>
      </c>
      <c r="M558" t="n">
        <v>0</v>
      </c>
      <c r="N558" t="n">
        <v>0</v>
      </c>
      <c r="O558" t="n">
        <v>0</v>
      </c>
      <c r="P558" t="n">
        <v>0</v>
      </c>
      <c r="Q558" t="n">
        <v>0</v>
      </c>
      <c r="R558" s="2" t="inlineStr"/>
    </row>
    <row r="559" ht="15" customHeight="1">
      <c r="A559" t="inlineStr">
        <is>
          <t>A 33273-2023</t>
        </is>
      </c>
      <c r="B559" s="1" t="n">
        <v>45127</v>
      </c>
      <c r="C559" s="1" t="n">
        <v>46161</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11696-2025</t>
        </is>
      </c>
      <c r="B560" s="1" t="n">
        <v>45727</v>
      </c>
      <c r="C560" s="1" t="n">
        <v>46161</v>
      </c>
      <c r="D560" t="inlineStr">
        <is>
          <t>VÄSTMANLANDS LÄN</t>
        </is>
      </c>
      <c r="E560" t="inlineStr">
        <is>
          <t>SALA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4214-2026</t>
        </is>
      </c>
      <c r="B561" s="1" t="n">
        <v>46044.76459490741</v>
      </c>
      <c r="C561" s="1" t="n">
        <v>46161</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4712-2026</t>
        </is>
      </c>
      <c r="B562" s="1" t="n">
        <v>46048.46082175926</v>
      </c>
      <c r="C562" s="1" t="n">
        <v>46161</v>
      </c>
      <c r="D562" t="inlineStr">
        <is>
          <t>VÄSTMANLANDS LÄN</t>
        </is>
      </c>
      <c r="E562" t="inlineStr">
        <is>
          <t>SALA</t>
        </is>
      </c>
      <c r="G562" t="n">
        <v>4.1</v>
      </c>
      <c r="H562" t="n">
        <v>0</v>
      </c>
      <c r="I562" t="n">
        <v>0</v>
      </c>
      <c r="J562" t="n">
        <v>0</v>
      </c>
      <c r="K562" t="n">
        <v>0</v>
      </c>
      <c r="L562" t="n">
        <v>0</v>
      </c>
      <c r="M562" t="n">
        <v>0</v>
      </c>
      <c r="N562" t="n">
        <v>0</v>
      </c>
      <c r="O562" t="n">
        <v>0</v>
      </c>
      <c r="P562" t="n">
        <v>0</v>
      </c>
      <c r="Q562" t="n">
        <v>0</v>
      </c>
      <c r="R562" s="2" t="inlineStr"/>
    </row>
    <row r="563" ht="15" customHeight="1">
      <c r="A563" t="inlineStr">
        <is>
          <t>A 4664-2026</t>
        </is>
      </c>
      <c r="B563" s="1" t="n">
        <v>46048.41061342593</v>
      </c>
      <c r="C563" s="1" t="n">
        <v>46161</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4683-2026</t>
        </is>
      </c>
      <c r="B564" s="1" t="n">
        <v>46048.43489583334</v>
      </c>
      <c r="C564" s="1" t="n">
        <v>46161</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4681-2026</t>
        </is>
      </c>
      <c r="B565" s="1" t="n">
        <v>46048.43016203704</v>
      </c>
      <c r="C565" s="1" t="n">
        <v>46161</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60545-2024</t>
        </is>
      </c>
      <c r="B566" s="1" t="n">
        <v>45643</v>
      </c>
      <c r="C566" s="1" t="n">
        <v>46161</v>
      </c>
      <c r="D566" t="inlineStr">
        <is>
          <t>VÄSTMANLANDS LÄN</t>
        </is>
      </c>
      <c r="E566" t="inlineStr">
        <is>
          <t>SALA</t>
        </is>
      </c>
      <c r="G566" t="n">
        <v>3.3</v>
      </c>
      <c r="H566" t="n">
        <v>0</v>
      </c>
      <c r="I566" t="n">
        <v>0</v>
      </c>
      <c r="J566" t="n">
        <v>0</v>
      </c>
      <c r="K566" t="n">
        <v>0</v>
      </c>
      <c r="L566" t="n">
        <v>0</v>
      </c>
      <c r="M566" t="n">
        <v>0</v>
      </c>
      <c r="N566" t="n">
        <v>0</v>
      </c>
      <c r="O566" t="n">
        <v>0</v>
      </c>
      <c r="P566" t="n">
        <v>0</v>
      </c>
      <c r="Q566" t="n">
        <v>0</v>
      </c>
      <c r="R566" s="2" t="inlineStr"/>
    </row>
    <row r="567" ht="15" customHeight="1">
      <c r="A567" t="inlineStr">
        <is>
          <t>A 60547-2024</t>
        </is>
      </c>
      <c r="B567" s="1" t="n">
        <v>45643</v>
      </c>
      <c r="C567" s="1" t="n">
        <v>46161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4624-2026</t>
        </is>
      </c>
      <c r="B568" s="1" t="n">
        <v>46048.38107638889</v>
      </c>
      <c r="C568" s="1" t="n">
        <v>46161</v>
      </c>
      <c r="D568" t="inlineStr">
        <is>
          <t>VÄSTMANLANDS LÄN</t>
        </is>
      </c>
      <c r="E568" t="inlineStr">
        <is>
          <t>SALA</t>
        </is>
      </c>
      <c r="G568" t="n">
        <v>12.3</v>
      </c>
      <c r="H568" t="n">
        <v>0</v>
      </c>
      <c r="I568" t="n">
        <v>0</v>
      </c>
      <c r="J568" t="n">
        <v>0</v>
      </c>
      <c r="K568" t="n">
        <v>0</v>
      </c>
      <c r="L568" t="n">
        <v>0</v>
      </c>
      <c r="M568" t="n">
        <v>0</v>
      </c>
      <c r="N568" t="n">
        <v>0</v>
      </c>
      <c r="O568" t="n">
        <v>0</v>
      </c>
      <c r="P568" t="n">
        <v>0</v>
      </c>
      <c r="Q568" t="n">
        <v>0</v>
      </c>
      <c r="R568" s="2" t="inlineStr"/>
    </row>
    <row r="569" ht="15" customHeight="1">
      <c r="A569" t="inlineStr">
        <is>
          <t>A 1985-2022</t>
        </is>
      </c>
      <c r="B569" s="1" t="n">
        <v>44575</v>
      </c>
      <c r="C569" s="1" t="n">
        <v>46161</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27261-2024</t>
        </is>
      </c>
      <c r="B570" s="1" t="n">
        <v>45471</v>
      </c>
      <c r="C570" s="1" t="n">
        <v>46161</v>
      </c>
      <c r="D570" t="inlineStr">
        <is>
          <t>VÄSTMANLANDS LÄN</t>
        </is>
      </c>
      <c r="E570" t="inlineStr">
        <is>
          <t>SALA</t>
        </is>
      </c>
      <c r="G570" t="n">
        <v>6.1</v>
      </c>
      <c r="H570" t="n">
        <v>0</v>
      </c>
      <c r="I570" t="n">
        <v>0</v>
      </c>
      <c r="J570" t="n">
        <v>0</v>
      </c>
      <c r="K570" t="n">
        <v>0</v>
      </c>
      <c r="L570" t="n">
        <v>0</v>
      </c>
      <c r="M570" t="n">
        <v>0</v>
      </c>
      <c r="N570" t="n">
        <v>0</v>
      </c>
      <c r="O570" t="n">
        <v>0</v>
      </c>
      <c r="P570" t="n">
        <v>0</v>
      </c>
      <c r="Q570" t="n">
        <v>0</v>
      </c>
      <c r="R570" s="2" t="inlineStr"/>
    </row>
    <row r="571" ht="15" customHeight="1">
      <c r="A571" t="inlineStr">
        <is>
          <t>A 5525-2026</t>
        </is>
      </c>
      <c r="B571" s="1" t="n">
        <v>46050.65055555556</v>
      </c>
      <c r="C571" s="1" t="n">
        <v>46161</v>
      </c>
      <c r="D571" t="inlineStr">
        <is>
          <t>VÄSTMANLANDS LÄN</t>
        </is>
      </c>
      <c r="E571" t="inlineStr">
        <is>
          <t>SALA</t>
        </is>
      </c>
      <c r="G571" t="n">
        <v>13.1</v>
      </c>
      <c r="H571" t="n">
        <v>0</v>
      </c>
      <c r="I571" t="n">
        <v>0</v>
      </c>
      <c r="J571" t="n">
        <v>0</v>
      </c>
      <c r="K571" t="n">
        <v>0</v>
      </c>
      <c r="L571" t="n">
        <v>0</v>
      </c>
      <c r="M571" t="n">
        <v>0</v>
      </c>
      <c r="N571" t="n">
        <v>0</v>
      </c>
      <c r="O571" t="n">
        <v>0</v>
      </c>
      <c r="P571" t="n">
        <v>0</v>
      </c>
      <c r="Q571" t="n">
        <v>0</v>
      </c>
      <c r="R571" s="2" t="inlineStr"/>
    </row>
    <row r="572" ht="15" customHeight="1">
      <c r="A572" t="inlineStr">
        <is>
          <t>A 35976-2024</t>
        </is>
      </c>
      <c r="B572" s="1" t="n">
        <v>45533.49555555556</v>
      </c>
      <c r="C572" s="1" t="n">
        <v>46161</v>
      </c>
      <c r="D572" t="inlineStr">
        <is>
          <t>VÄSTMANLANDS LÄN</t>
        </is>
      </c>
      <c r="E572" t="inlineStr">
        <is>
          <t>SALA</t>
        </is>
      </c>
      <c r="G572" t="n">
        <v>2.3</v>
      </c>
      <c r="H572" t="n">
        <v>0</v>
      </c>
      <c r="I572" t="n">
        <v>0</v>
      </c>
      <c r="J572" t="n">
        <v>0</v>
      </c>
      <c r="K572" t="n">
        <v>0</v>
      </c>
      <c r="L572" t="n">
        <v>0</v>
      </c>
      <c r="M572" t="n">
        <v>0</v>
      </c>
      <c r="N572" t="n">
        <v>0</v>
      </c>
      <c r="O572" t="n">
        <v>0</v>
      </c>
      <c r="P572" t="n">
        <v>0</v>
      </c>
      <c r="Q572" t="n">
        <v>0</v>
      </c>
      <c r="R572" s="2" t="inlineStr"/>
    </row>
    <row r="573" ht="15" customHeight="1">
      <c r="A573" t="inlineStr">
        <is>
          <t>A 5219-2026</t>
        </is>
      </c>
      <c r="B573" s="1" t="n">
        <v>46049.76225694444</v>
      </c>
      <c r="C573" s="1" t="n">
        <v>46161</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5418-2026</t>
        </is>
      </c>
      <c r="B574" s="1" t="n">
        <v>46050.53740740741</v>
      </c>
      <c r="C574" s="1" t="n">
        <v>46161</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55556-2023</t>
        </is>
      </c>
      <c r="B575" s="1" t="n">
        <v>45232</v>
      </c>
      <c r="C575" s="1" t="n">
        <v>46161</v>
      </c>
      <c r="D575" t="inlineStr">
        <is>
          <t>VÄSTMANLANDS LÄN</t>
        </is>
      </c>
      <c r="E575" t="inlineStr">
        <is>
          <t>SALA</t>
        </is>
      </c>
      <c r="G575" t="n">
        <v>1.3</v>
      </c>
      <c r="H575" t="n">
        <v>0</v>
      </c>
      <c r="I575" t="n">
        <v>0</v>
      </c>
      <c r="J575" t="n">
        <v>0</v>
      </c>
      <c r="K575" t="n">
        <v>0</v>
      </c>
      <c r="L575" t="n">
        <v>0</v>
      </c>
      <c r="M575" t="n">
        <v>0</v>
      </c>
      <c r="N575" t="n">
        <v>0</v>
      </c>
      <c r="O575" t="n">
        <v>0</v>
      </c>
      <c r="P575" t="n">
        <v>0</v>
      </c>
      <c r="Q575" t="n">
        <v>0</v>
      </c>
      <c r="R575" s="2" t="inlineStr"/>
    </row>
    <row r="576" ht="15" customHeight="1">
      <c r="A576" t="inlineStr">
        <is>
          <t>A 57650-2024</t>
        </is>
      </c>
      <c r="B576" s="1" t="n">
        <v>45630</v>
      </c>
      <c r="C576" s="1" t="n">
        <v>46161</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50479-2022</t>
        </is>
      </c>
      <c r="B577" s="1" t="n">
        <v>44861</v>
      </c>
      <c r="C577" s="1" t="n">
        <v>46161</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45790-2023</t>
        </is>
      </c>
      <c r="B578" s="1" t="n">
        <v>45195.45958333334</v>
      </c>
      <c r="C578" s="1" t="n">
        <v>46161</v>
      </c>
      <c r="D578" t="inlineStr">
        <is>
          <t>VÄSTMANLANDS LÄN</t>
        </is>
      </c>
      <c r="E578" t="inlineStr">
        <is>
          <t>SALA</t>
        </is>
      </c>
      <c r="G578" t="n">
        <v>5.7</v>
      </c>
      <c r="H578" t="n">
        <v>0</v>
      </c>
      <c r="I578" t="n">
        <v>0</v>
      </c>
      <c r="J578" t="n">
        <v>0</v>
      </c>
      <c r="K578" t="n">
        <v>0</v>
      </c>
      <c r="L578" t="n">
        <v>0</v>
      </c>
      <c r="M578" t="n">
        <v>0</v>
      </c>
      <c r="N578" t="n">
        <v>0</v>
      </c>
      <c r="O578" t="n">
        <v>0</v>
      </c>
      <c r="P578" t="n">
        <v>0</v>
      </c>
      <c r="Q578" t="n">
        <v>0</v>
      </c>
      <c r="R578" s="2" t="inlineStr"/>
    </row>
    <row r="579" ht="15" customHeight="1">
      <c r="A579" t="inlineStr">
        <is>
          <t>A 2928-2024</t>
        </is>
      </c>
      <c r="B579" s="1" t="n">
        <v>45315.59041666667</v>
      </c>
      <c r="C579" s="1" t="n">
        <v>46161</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73673-2021</t>
        </is>
      </c>
      <c r="B580" s="1" t="n">
        <v>44552.46501157407</v>
      </c>
      <c r="C580" s="1" t="n">
        <v>46161</v>
      </c>
      <c r="D580" t="inlineStr">
        <is>
          <t>VÄSTMANLANDS LÄN</t>
        </is>
      </c>
      <c r="E580" t="inlineStr">
        <is>
          <t>SALA</t>
        </is>
      </c>
      <c r="G580" t="n">
        <v>11.4</v>
      </c>
      <c r="H580" t="n">
        <v>0</v>
      </c>
      <c r="I580" t="n">
        <v>0</v>
      </c>
      <c r="J580" t="n">
        <v>0</v>
      </c>
      <c r="K580" t="n">
        <v>0</v>
      </c>
      <c r="L580" t="n">
        <v>0</v>
      </c>
      <c r="M580" t="n">
        <v>0</v>
      </c>
      <c r="N580" t="n">
        <v>0</v>
      </c>
      <c r="O580" t="n">
        <v>0</v>
      </c>
      <c r="P580" t="n">
        <v>0</v>
      </c>
      <c r="Q580" t="n">
        <v>0</v>
      </c>
      <c r="R580" s="2" t="inlineStr"/>
    </row>
    <row r="581" ht="15" customHeight="1">
      <c r="A581" t="inlineStr">
        <is>
          <t>A 40871-2021</t>
        </is>
      </c>
      <c r="B581" s="1" t="n">
        <v>44421</v>
      </c>
      <c r="C581" s="1" t="n">
        <v>46161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5894-2026</t>
        </is>
      </c>
      <c r="B582" s="1" t="n">
        <v>46052.42412037037</v>
      </c>
      <c r="C582" s="1" t="n">
        <v>46161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14271-2025</t>
        </is>
      </c>
      <c r="B583" s="1" t="n">
        <v>45740.64129629629</v>
      </c>
      <c r="C583" s="1" t="n">
        <v>46161</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6021-2026</t>
        </is>
      </c>
      <c r="B584" s="1" t="n">
        <v>46050</v>
      </c>
      <c r="C584" s="1" t="n">
        <v>46161</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54199-2024</t>
        </is>
      </c>
      <c r="B585" s="1" t="n">
        <v>45616.64703703704</v>
      </c>
      <c r="C585" s="1" t="n">
        <v>46161</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6312-2025</t>
        </is>
      </c>
      <c r="B586" s="1" t="n">
        <v>45698</v>
      </c>
      <c r="C586" s="1" t="n">
        <v>46161</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7327-2026</t>
        </is>
      </c>
      <c r="B587" s="1" t="n">
        <v>46058.68371527778</v>
      </c>
      <c r="C587" s="1" t="n">
        <v>46161</v>
      </c>
      <c r="D587" t="inlineStr">
        <is>
          <t>VÄSTMANLANDS LÄN</t>
        </is>
      </c>
      <c r="E587" t="inlineStr">
        <is>
          <t>SALA</t>
        </is>
      </c>
      <c r="G587" t="n">
        <v>5.8</v>
      </c>
      <c r="H587" t="n">
        <v>0</v>
      </c>
      <c r="I587" t="n">
        <v>0</v>
      </c>
      <c r="J587" t="n">
        <v>0</v>
      </c>
      <c r="K587" t="n">
        <v>0</v>
      </c>
      <c r="L587" t="n">
        <v>0</v>
      </c>
      <c r="M587" t="n">
        <v>0</v>
      </c>
      <c r="N587" t="n">
        <v>0</v>
      </c>
      <c r="O587" t="n">
        <v>0</v>
      </c>
      <c r="P587" t="n">
        <v>0</v>
      </c>
      <c r="Q587" t="n">
        <v>0</v>
      </c>
      <c r="R587" s="2" t="inlineStr"/>
    </row>
    <row r="588" ht="15" customHeight="1">
      <c r="A588" t="inlineStr">
        <is>
          <t>A 7332-2026</t>
        </is>
      </c>
      <c r="B588" s="1" t="n">
        <v>46058.68884259259</v>
      </c>
      <c r="C588" s="1" t="n">
        <v>46161</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44857-2023</t>
        </is>
      </c>
      <c r="B589" s="1" t="n">
        <v>45190.58479166667</v>
      </c>
      <c r="C589" s="1" t="n">
        <v>46161</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7324-2026</t>
        </is>
      </c>
      <c r="B590" s="1" t="n">
        <v>46058.68023148148</v>
      </c>
      <c r="C590" s="1" t="n">
        <v>46161</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7329-2026</t>
        </is>
      </c>
      <c r="B591" s="1" t="n">
        <v>46058.68678240741</v>
      </c>
      <c r="C591" s="1" t="n">
        <v>46161</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7654-2026</t>
        </is>
      </c>
      <c r="B592" s="1" t="n">
        <v>46062.38828703704</v>
      </c>
      <c r="C592" s="1" t="n">
        <v>46161</v>
      </c>
      <c r="D592" t="inlineStr">
        <is>
          <t>VÄSTMANLANDS LÄN</t>
        </is>
      </c>
      <c r="E592" t="inlineStr">
        <is>
          <t>SALA</t>
        </is>
      </c>
      <c r="G592" t="n">
        <v>4.5</v>
      </c>
      <c r="H592" t="n">
        <v>0</v>
      </c>
      <c r="I592" t="n">
        <v>0</v>
      </c>
      <c r="J592" t="n">
        <v>0</v>
      </c>
      <c r="K592" t="n">
        <v>0</v>
      </c>
      <c r="L592" t="n">
        <v>0</v>
      </c>
      <c r="M592" t="n">
        <v>0</v>
      </c>
      <c r="N592" t="n">
        <v>0</v>
      </c>
      <c r="O592" t="n">
        <v>0</v>
      </c>
      <c r="P592" t="n">
        <v>0</v>
      </c>
      <c r="Q592" t="n">
        <v>0</v>
      </c>
      <c r="R592" s="2" t="inlineStr"/>
    </row>
    <row r="593" ht="15" customHeight="1">
      <c r="A593" t="inlineStr">
        <is>
          <t>A 7588-2026</t>
        </is>
      </c>
      <c r="B593" s="1" t="n">
        <v>46061.83528935185</v>
      </c>
      <c r="C593" s="1" t="n">
        <v>46161</v>
      </c>
      <c r="D593" t="inlineStr">
        <is>
          <t>VÄSTMANLANDS LÄN</t>
        </is>
      </c>
      <c r="E593" t="inlineStr">
        <is>
          <t>SALA</t>
        </is>
      </c>
      <c r="G593" t="n">
        <v>2.8</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46161</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43188-2023</t>
        </is>
      </c>
      <c r="B595" s="1" t="n">
        <v>45183</v>
      </c>
      <c r="C595" s="1" t="n">
        <v>46161</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43205-2023</t>
        </is>
      </c>
      <c r="B596" s="1" t="n">
        <v>45183</v>
      </c>
      <c r="C596" s="1" t="n">
        <v>46161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61892-2021</t>
        </is>
      </c>
      <c r="B597" s="1" t="n">
        <v>44502</v>
      </c>
      <c r="C597" s="1" t="n">
        <v>46161</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7611-2026</t>
        </is>
      </c>
      <c r="B598" s="1" t="n">
        <v>46062.32387731481</v>
      </c>
      <c r="C598" s="1" t="n">
        <v>46161</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7676-2026</t>
        </is>
      </c>
      <c r="B599" s="1" t="n">
        <v>46062.42498842593</v>
      </c>
      <c r="C599" s="1" t="n">
        <v>46161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29213-2022</t>
        </is>
      </c>
      <c r="B600" s="1" t="n">
        <v>44750.57474537037</v>
      </c>
      <c r="C600" s="1" t="n">
        <v>46161</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7593-2026</t>
        </is>
      </c>
      <c r="B601" s="1" t="n">
        <v>46061.88057870371</v>
      </c>
      <c r="C601" s="1" t="n">
        <v>46161</v>
      </c>
      <c r="D601" t="inlineStr">
        <is>
          <t>VÄSTMANLANDS LÄN</t>
        </is>
      </c>
      <c r="E601" t="inlineStr">
        <is>
          <t>SALA</t>
        </is>
      </c>
      <c r="G601" t="n">
        <v>7.5</v>
      </c>
      <c r="H601" t="n">
        <v>0</v>
      </c>
      <c r="I601" t="n">
        <v>0</v>
      </c>
      <c r="J601" t="n">
        <v>0</v>
      </c>
      <c r="K601" t="n">
        <v>0</v>
      </c>
      <c r="L601" t="n">
        <v>0</v>
      </c>
      <c r="M601" t="n">
        <v>0</v>
      </c>
      <c r="N601" t="n">
        <v>0</v>
      </c>
      <c r="O601" t="n">
        <v>0</v>
      </c>
      <c r="P601" t="n">
        <v>0</v>
      </c>
      <c r="Q601" t="n">
        <v>0</v>
      </c>
      <c r="R601" s="2" t="inlineStr"/>
    </row>
    <row r="602" ht="15" customHeight="1">
      <c r="A602" t="inlineStr">
        <is>
          <t>A 7597-2026</t>
        </is>
      </c>
      <c r="B602" s="1" t="n">
        <v>46061.91765046296</v>
      </c>
      <c r="C602" s="1" t="n">
        <v>46161</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44907.45679398148</v>
      </c>
      <c r="C603" s="1" t="n">
        <v>46161</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7661-2026</t>
        </is>
      </c>
      <c r="B604" s="1" t="n">
        <v>46062.39614583334</v>
      </c>
      <c r="C604" s="1" t="n">
        <v>46161</v>
      </c>
      <c r="D604" t="inlineStr">
        <is>
          <t>VÄSTMANLANDS LÄN</t>
        </is>
      </c>
      <c r="E604" t="inlineStr">
        <is>
          <t>SALA</t>
        </is>
      </c>
      <c r="G604" t="n">
        <v>1.3</v>
      </c>
      <c r="H604" t="n">
        <v>0</v>
      </c>
      <c r="I604" t="n">
        <v>0</v>
      </c>
      <c r="J604" t="n">
        <v>0</v>
      </c>
      <c r="K604" t="n">
        <v>0</v>
      </c>
      <c r="L604" t="n">
        <v>0</v>
      </c>
      <c r="M604" t="n">
        <v>0</v>
      </c>
      <c r="N604" t="n">
        <v>0</v>
      </c>
      <c r="O604" t="n">
        <v>0</v>
      </c>
      <c r="P604" t="n">
        <v>0</v>
      </c>
      <c r="Q604" t="n">
        <v>0</v>
      </c>
      <c r="R604" s="2" t="inlineStr"/>
    </row>
    <row r="605" ht="15" customHeight="1">
      <c r="A605" t="inlineStr">
        <is>
          <t>A 7584-2026</t>
        </is>
      </c>
      <c r="B605" s="1" t="n">
        <v>46061.81653935185</v>
      </c>
      <c r="C605" s="1" t="n">
        <v>46161</v>
      </c>
      <c r="D605" t="inlineStr">
        <is>
          <t>VÄSTMANLANDS LÄN</t>
        </is>
      </c>
      <c r="E605" t="inlineStr">
        <is>
          <t>SALA</t>
        </is>
      </c>
      <c r="G605" t="n">
        <v>16.7</v>
      </c>
      <c r="H605" t="n">
        <v>0</v>
      </c>
      <c r="I605" t="n">
        <v>0</v>
      </c>
      <c r="J605" t="n">
        <v>0</v>
      </c>
      <c r="K605" t="n">
        <v>0</v>
      </c>
      <c r="L605" t="n">
        <v>0</v>
      </c>
      <c r="M605" t="n">
        <v>0</v>
      </c>
      <c r="N605" t="n">
        <v>0</v>
      </c>
      <c r="O605" t="n">
        <v>0</v>
      </c>
      <c r="P605" t="n">
        <v>0</v>
      </c>
      <c r="Q605" t="n">
        <v>0</v>
      </c>
      <c r="R605" s="2" t="inlineStr"/>
    </row>
    <row r="606" ht="15" customHeight="1">
      <c r="A606" t="inlineStr">
        <is>
          <t>A 7590-2026</t>
        </is>
      </c>
      <c r="B606" s="1" t="n">
        <v>46061.85252314815</v>
      </c>
      <c r="C606" s="1" t="n">
        <v>46161</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7596-2026</t>
        </is>
      </c>
      <c r="B607" s="1" t="n">
        <v>46061.90922453703</v>
      </c>
      <c r="C607" s="1" t="n">
        <v>46161</v>
      </c>
      <c r="D607" t="inlineStr">
        <is>
          <t>VÄSTMANLANDS LÄN</t>
        </is>
      </c>
      <c r="E607" t="inlineStr">
        <is>
          <t>SALA</t>
        </is>
      </c>
      <c r="G607" t="n">
        <v>3.1</v>
      </c>
      <c r="H607" t="n">
        <v>0</v>
      </c>
      <c r="I607" t="n">
        <v>0</v>
      </c>
      <c r="J607" t="n">
        <v>0</v>
      </c>
      <c r="K607" t="n">
        <v>0</v>
      </c>
      <c r="L607" t="n">
        <v>0</v>
      </c>
      <c r="M607" t="n">
        <v>0</v>
      </c>
      <c r="N607" t="n">
        <v>0</v>
      </c>
      <c r="O607" t="n">
        <v>0</v>
      </c>
      <c r="P607" t="n">
        <v>0</v>
      </c>
      <c r="Q607" t="n">
        <v>0</v>
      </c>
      <c r="R607" s="2" t="inlineStr"/>
    </row>
    <row r="608" ht="15" customHeight="1">
      <c r="A608" t="inlineStr">
        <is>
          <t>A 16160-2024</t>
        </is>
      </c>
      <c r="B608" s="1" t="n">
        <v>45406</v>
      </c>
      <c r="C608" s="1" t="n">
        <v>46161</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7850-2026</t>
        </is>
      </c>
      <c r="B609" s="1" t="n">
        <v>46062.66236111111</v>
      </c>
      <c r="C609" s="1" t="n">
        <v>46161</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7595-2026</t>
        </is>
      </c>
      <c r="B610" s="1" t="n">
        <v>46061.90009259259</v>
      </c>
      <c r="C610" s="1" t="n">
        <v>46161</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7680-2026</t>
        </is>
      </c>
      <c r="B611" s="1" t="n">
        <v>46062.43087962963</v>
      </c>
      <c r="C611" s="1" t="n">
        <v>46161</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39597-2022</t>
        </is>
      </c>
      <c r="B612" s="1" t="n">
        <v>44818</v>
      </c>
      <c r="C612" s="1" t="n">
        <v>46161</v>
      </c>
      <c r="D612" t="inlineStr">
        <is>
          <t>VÄSTMANLANDS LÄN</t>
        </is>
      </c>
      <c r="E612" t="inlineStr">
        <is>
          <t>SALA</t>
        </is>
      </c>
      <c r="G612" t="n">
        <v>2.3</v>
      </c>
      <c r="H612" t="n">
        <v>0</v>
      </c>
      <c r="I612" t="n">
        <v>0</v>
      </c>
      <c r="J612" t="n">
        <v>0</v>
      </c>
      <c r="K612" t="n">
        <v>0</v>
      </c>
      <c r="L612" t="n">
        <v>0</v>
      </c>
      <c r="M612" t="n">
        <v>0</v>
      </c>
      <c r="N612" t="n">
        <v>0</v>
      </c>
      <c r="O612" t="n">
        <v>0</v>
      </c>
      <c r="P612" t="n">
        <v>0</v>
      </c>
      <c r="Q612" t="n">
        <v>0</v>
      </c>
      <c r="R612" s="2" t="inlineStr"/>
    </row>
    <row r="613" ht="15" customHeight="1">
      <c r="A613" t="inlineStr">
        <is>
          <t>A 22921-2023</t>
        </is>
      </c>
      <c r="B613" s="1" t="n">
        <v>45070</v>
      </c>
      <c r="C613" s="1" t="n">
        <v>46161</v>
      </c>
      <c r="D613" t="inlineStr">
        <is>
          <t>VÄSTMANLANDS LÄN</t>
        </is>
      </c>
      <c r="E613" t="inlineStr">
        <is>
          <t>SALA</t>
        </is>
      </c>
      <c r="G613" t="n">
        <v>1.3</v>
      </c>
      <c r="H613" t="n">
        <v>0</v>
      </c>
      <c r="I613" t="n">
        <v>0</v>
      </c>
      <c r="J613" t="n">
        <v>0</v>
      </c>
      <c r="K613" t="n">
        <v>0</v>
      </c>
      <c r="L613" t="n">
        <v>0</v>
      </c>
      <c r="M613" t="n">
        <v>0</v>
      </c>
      <c r="N613" t="n">
        <v>0</v>
      </c>
      <c r="O613" t="n">
        <v>0</v>
      </c>
      <c r="P613" t="n">
        <v>0</v>
      </c>
      <c r="Q613" t="n">
        <v>0</v>
      </c>
      <c r="R613" s="2" t="inlineStr"/>
    </row>
    <row r="614" ht="15" customHeight="1">
      <c r="A614" t="inlineStr">
        <is>
          <t>A 36858-2023</t>
        </is>
      </c>
      <c r="B614" s="1" t="n">
        <v>45154.55184027777</v>
      </c>
      <c r="C614" s="1" t="n">
        <v>46161</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55024-2023</t>
        </is>
      </c>
      <c r="B615" s="1" t="n">
        <v>45229</v>
      </c>
      <c r="C615" s="1" t="n">
        <v>46161</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55032-2023</t>
        </is>
      </c>
      <c r="B616" s="1" t="n">
        <v>45229</v>
      </c>
      <c r="C616" s="1" t="n">
        <v>46161</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20352-2022</t>
        </is>
      </c>
      <c r="B617" s="1" t="n">
        <v>44699.37318287037</v>
      </c>
      <c r="C617" s="1" t="n">
        <v>46161</v>
      </c>
      <c r="D617" t="inlineStr">
        <is>
          <t>VÄSTMANLANDS LÄN</t>
        </is>
      </c>
      <c r="E617" t="inlineStr">
        <is>
          <t>SALA</t>
        </is>
      </c>
      <c r="G617" t="n">
        <v>1.3</v>
      </c>
      <c r="H617" t="n">
        <v>0</v>
      </c>
      <c r="I617" t="n">
        <v>0</v>
      </c>
      <c r="J617" t="n">
        <v>0</v>
      </c>
      <c r="K617" t="n">
        <v>0</v>
      </c>
      <c r="L617" t="n">
        <v>0</v>
      </c>
      <c r="M617" t="n">
        <v>0</v>
      </c>
      <c r="N617" t="n">
        <v>0</v>
      </c>
      <c r="O617" t="n">
        <v>0</v>
      </c>
      <c r="P617" t="n">
        <v>0</v>
      </c>
      <c r="Q617" t="n">
        <v>0</v>
      </c>
      <c r="R617" s="2" t="inlineStr"/>
    </row>
    <row r="618" ht="15" customHeight="1">
      <c r="A618" t="inlineStr">
        <is>
          <t>A 5032-2025</t>
        </is>
      </c>
      <c r="B618" s="1" t="n">
        <v>45691</v>
      </c>
      <c r="C618" s="1" t="n">
        <v>46161</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17117-2023</t>
        </is>
      </c>
      <c r="B619" s="1" t="n">
        <v>45034</v>
      </c>
      <c r="C619" s="1" t="n">
        <v>46161</v>
      </c>
      <c r="D619" t="inlineStr">
        <is>
          <t>VÄSTMANLANDS LÄN</t>
        </is>
      </c>
      <c r="E619" t="inlineStr">
        <is>
          <t>SALA</t>
        </is>
      </c>
      <c r="G619" t="n">
        <v>0.4</v>
      </c>
      <c r="H619" t="n">
        <v>0</v>
      </c>
      <c r="I619" t="n">
        <v>0</v>
      </c>
      <c r="J619" t="n">
        <v>0</v>
      </c>
      <c r="K619" t="n">
        <v>0</v>
      </c>
      <c r="L619" t="n">
        <v>0</v>
      </c>
      <c r="M619" t="n">
        <v>0</v>
      </c>
      <c r="N619" t="n">
        <v>0</v>
      </c>
      <c r="O619" t="n">
        <v>0</v>
      </c>
      <c r="P619" t="n">
        <v>0</v>
      </c>
      <c r="Q619" t="n">
        <v>0</v>
      </c>
      <c r="R619" s="2" t="inlineStr"/>
    </row>
    <row r="620" ht="15" customHeight="1">
      <c r="A620" t="inlineStr">
        <is>
          <t>A 19243-2025</t>
        </is>
      </c>
      <c r="B620" s="1" t="n">
        <v>45769</v>
      </c>
      <c r="C620" s="1" t="n">
        <v>46161</v>
      </c>
      <c r="D620" t="inlineStr">
        <is>
          <t>VÄSTMANLANDS LÄN</t>
        </is>
      </c>
      <c r="E620" t="inlineStr">
        <is>
          <t>SALA</t>
        </is>
      </c>
      <c r="F620" t="inlineStr">
        <is>
          <t>Bergvik skog öst AB</t>
        </is>
      </c>
      <c r="G620" t="n">
        <v>1.5</v>
      </c>
      <c r="H620" t="n">
        <v>0</v>
      </c>
      <c r="I620" t="n">
        <v>0</v>
      </c>
      <c r="J620" t="n">
        <v>0</v>
      </c>
      <c r="K620" t="n">
        <v>0</v>
      </c>
      <c r="L620" t="n">
        <v>0</v>
      </c>
      <c r="M620" t="n">
        <v>0</v>
      </c>
      <c r="N620" t="n">
        <v>0</v>
      </c>
      <c r="O620" t="n">
        <v>0</v>
      </c>
      <c r="P620" t="n">
        <v>0</v>
      </c>
      <c r="Q620" t="n">
        <v>0</v>
      </c>
      <c r="R620" s="2" t="inlineStr"/>
    </row>
    <row r="621" ht="15" customHeight="1">
      <c r="A621" t="inlineStr">
        <is>
          <t>A 7166-2025</t>
        </is>
      </c>
      <c r="B621" s="1" t="n">
        <v>45702</v>
      </c>
      <c r="C621" s="1" t="n">
        <v>46161</v>
      </c>
      <c r="D621" t="inlineStr">
        <is>
          <t>VÄSTMANLANDS LÄN</t>
        </is>
      </c>
      <c r="E621" t="inlineStr">
        <is>
          <t>SALA</t>
        </is>
      </c>
      <c r="G621" t="n">
        <v>6.1</v>
      </c>
      <c r="H621" t="n">
        <v>0</v>
      </c>
      <c r="I621" t="n">
        <v>0</v>
      </c>
      <c r="J621" t="n">
        <v>0</v>
      </c>
      <c r="K621" t="n">
        <v>0</v>
      </c>
      <c r="L621" t="n">
        <v>0</v>
      </c>
      <c r="M621" t="n">
        <v>0</v>
      </c>
      <c r="N621" t="n">
        <v>0</v>
      </c>
      <c r="O621" t="n">
        <v>0</v>
      </c>
      <c r="P621" t="n">
        <v>0</v>
      </c>
      <c r="Q621" t="n">
        <v>0</v>
      </c>
      <c r="R621" s="2" t="inlineStr"/>
    </row>
    <row r="622" ht="15" customHeight="1">
      <c r="A622" t="inlineStr">
        <is>
          <t>A 36393-2023</t>
        </is>
      </c>
      <c r="B622" s="1" t="n">
        <v>45152</v>
      </c>
      <c r="C622" s="1" t="n">
        <v>46161</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26416-2023</t>
        </is>
      </c>
      <c r="B623" s="1" t="n">
        <v>45092.38087962963</v>
      </c>
      <c r="C623" s="1" t="n">
        <v>46161</v>
      </c>
      <c r="D623" t="inlineStr">
        <is>
          <t>VÄSTMANLANDS LÄN</t>
        </is>
      </c>
      <c r="E623" t="inlineStr">
        <is>
          <t>SALA</t>
        </is>
      </c>
      <c r="G623" t="n">
        <v>2.9</v>
      </c>
      <c r="H623" t="n">
        <v>0</v>
      </c>
      <c r="I623" t="n">
        <v>0</v>
      </c>
      <c r="J623" t="n">
        <v>0</v>
      </c>
      <c r="K623" t="n">
        <v>0</v>
      </c>
      <c r="L623" t="n">
        <v>0</v>
      </c>
      <c r="M623" t="n">
        <v>0</v>
      </c>
      <c r="N623" t="n">
        <v>0</v>
      </c>
      <c r="O623" t="n">
        <v>0</v>
      </c>
      <c r="P623" t="n">
        <v>0</v>
      </c>
      <c r="Q623" t="n">
        <v>0</v>
      </c>
      <c r="R623" s="2" t="inlineStr"/>
    </row>
    <row r="624" ht="15" customHeight="1">
      <c r="A624" t="inlineStr">
        <is>
          <t>A 10239-2026</t>
        </is>
      </c>
      <c r="B624" s="1" t="n">
        <v>46076.54824074074</v>
      </c>
      <c r="C624" s="1" t="n">
        <v>46161</v>
      </c>
      <c r="D624" t="inlineStr">
        <is>
          <t>VÄSTMANLANDS LÄN</t>
        </is>
      </c>
      <c r="E624" t="inlineStr">
        <is>
          <t>SALA</t>
        </is>
      </c>
      <c r="G624" t="n">
        <v>1.1</v>
      </c>
      <c r="H624" t="n">
        <v>0</v>
      </c>
      <c r="I624" t="n">
        <v>0</v>
      </c>
      <c r="J624" t="n">
        <v>0</v>
      </c>
      <c r="K624" t="n">
        <v>0</v>
      </c>
      <c r="L624" t="n">
        <v>0</v>
      </c>
      <c r="M624" t="n">
        <v>0</v>
      </c>
      <c r="N624" t="n">
        <v>0</v>
      </c>
      <c r="O624" t="n">
        <v>0</v>
      </c>
      <c r="P624" t="n">
        <v>0</v>
      </c>
      <c r="Q624" t="n">
        <v>0</v>
      </c>
      <c r="R624" s="2" t="inlineStr"/>
    </row>
    <row r="625" ht="15" customHeight="1">
      <c r="A625" t="inlineStr">
        <is>
          <t>A 28661-2024</t>
        </is>
      </c>
      <c r="B625" s="1" t="n">
        <v>45478</v>
      </c>
      <c r="C625" s="1" t="n">
        <v>46161</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27255-2023</t>
        </is>
      </c>
      <c r="B626" s="1" t="n">
        <v>45096</v>
      </c>
      <c r="C626" s="1" t="n">
        <v>46161</v>
      </c>
      <c r="D626" t="inlineStr">
        <is>
          <t>VÄSTMANLANDS LÄN</t>
        </is>
      </c>
      <c r="E626" t="inlineStr">
        <is>
          <t>SALA</t>
        </is>
      </c>
      <c r="F626" t="inlineStr">
        <is>
          <t>Sveaskog</t>
        </is>
      </c>
      <c r="G626" t="n">
        <v>2.3</v>
      </c>
      <c r="H626" t="n">
        <v>0</v>
      </c>
      <c r="I626" t="n">
        <v>0</v>
      </c>
      <c r="J626" t="n">
        <v>0</v>
      </c>
      <c r="K626" t="n">
        <v>0</v>
      </c>
      <c r="L626" t="n">
        <v>0</v>
      </c>
      <c r="M626" t="n">
        <v>0</v>
      </c>
      <c r="N626" t="n">
        <v>0</v>
      </c>
      <c r="O626" t="n">
        <v>0</v>
      </c>
      <c r="P626" t="n">
        <v>0</v>
      </c>
      <c r="Q626" t="n">
        <v>0</v>
      </c>
      <c r="R626" s="2" t="inlineStr"/>
    </row>
    <row r="627" ht="15" customHeight="1">
      <c r="A627" t="inlineStr">
        <is>
          <t>A 10245-2026</t>
        </is>
      </c>
      <c r="B627" s="1" t="n">
        <v>46076.55144675926</v>
      </c>
      <c r="C627" s="1" t="n">
        <v>46161</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10252-2026</t>
        </is>
      </c>
      <c r="B628" s="1" t="n">
        <v>46076.55700231482</v>
      </c>
      <c r="C628" s="1" t="n">
        <v>46161</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7197-2025</t>
        </is>
      </c>
      <c r="B629" s="1" t="n">
        <v>45702</v>
      </c>
      <c r="C629" s="1" t="n">
        <v>46161</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13752-2025</t>
        </is>
      </c>
      <c r="B630" s="1" t="n">
        <v>45737.41416666667</v>
      </c>
      <c r="C630" s="1" t="n">
        <v>46161</v>
      </c>
      <c r="D630" t="inlineStr">
        <is>
          <t>VÄSTMANLANDS LÄN</t>
        </is>
      </c>
      <c r="E630" t="inlineStr">
        <is>
          <t>SALA</t>
        </is>
      </c>
      <c r="G630" t="n">
        <v>0.4</v>
      </c>
      <c r="H630" t="n">
        <v>0</v>
      </c>
      <c r="I630" t="n">
        <v>0</v>
      </c>
      <c r="J630" t="n">
        <v>0</v>
      </c>
      <c r="K630" t="n">
        <v>0</v>
      </c>
      <c r="L630" t="n">
        <v>0</v>
      </c>
      <c r="M630" t="n">
        <v>0</v>
      </c>
      <c r="N630" t="n">
        <v>0</v>
      </c>
      <c r="O630" t="n">
        <v>0</v>
      </c>
      <c r="P630" t="n">
        <v>0</v>
      </c>
      <c r="Q630" t="n">
        <v>0</v>
      </c>
      <c r="R630" s="2" t="inlineStr"/>
    </row>
    <row r="631" ht="15" customHeight="1">
      <c r="A631" t="inlineStr">
        <is>
          <t>A 2927-2024</t>
        </is>
      </c>
      <c r="B631" s="1" t="n">
        <v>45315.58989583333</v>
      </c>
      <c r="C631" s="1" t="n">
        <v>46161</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26854-2024</t>
        </is>
      </c>
      <c r="B632" s="1" t="n">
        <v>45470</v>
      </c>
      <c r="C632" s="1" t="n">
        <v>46161</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48570-2024</t>
        </is>
      </c>
      <c r="B633" s="1" t="n">
        <v>45591</v>
      </c>
      <c r="C633" s="1" t="n">
        <v>46161</v>
      </c>
      <c r="D633" t="inlineStr">
        <is>
          <t>VÄSTMANLANDS LÄN</t>
        </is>
      </c>
      <c r="E633" t="inlineStr">
        <is>
          <t>SALA</t>
        </is>
      </c>
      <c r="G633" t="n">
        <v>3</v>
      </c>
      <c r="H633" t="n">
        <v>0</v>
      </c>
      <c r="I633" t="n">
        <v>0</v>
      </c>
      <c r="J633" t="n">
        <v>0</v>
      </c>
      <c r="K633" t="n">
        <v>0</v>
      </c>
      <c r="L633" t="n">
        <v>0</v>
      </c>
      <c r="M633" t="n">
        <v>0</v>
      </c>
      <c r="N633" t="n">
        <v>0</v>
      </c>
      <c r="O633" t="n">
        <v>0</v>
      </c>
      <c r="P633" t="n">
        <v>0</v>
      </c>
      <c r="Q633" t="n">
        <v>0</v>
      </c>
      <c r="R633" s="2" t="inlineStr"/>
    </row>
    <row r="634" ht="15" customHeight="1">
      <c r="A634" t="inlineStr">
        <is>
          <t>A 57883-2024</t>
        </is>
      </c>
      <c r="B634" s="1" t="n">
        <v>45630</v>
      </c>
      <c r="C634" s="1" t="n">
        <v>46161</v>
      </c>
      <c r="D634" t="inlineStr">
        <is>
          <t>VÄSTMANLANDS LÄN</t>
        </is>
      </c>
      <c r="E634" t="inlineStr">
        <is>
          <t>SALA</t>
        </is>
      </c>
      <c r="G634" t="n">
        <v>5.4</v>
      </c>
      <c r="H634" t="n">
        <v>0</v>
      </c>
      <c r="I634" t="n">
        <v>0</v>
      </c>
      <c r="J634" t="n">
        <v>0</v>
      </c>
      <c r="K634" t="n">
        <v>0</v>
      </c>
      <c r="L634" t="n">
        <v>0</v>
      </c>
      <c r="M634" t="n">
        <v>0</v>
      </c>
      <c r="N634" t="n">
        <v>0</v>
      </c>
      <c r="O634" t="n">
        <v>0</v>
      </c>
      <c r="P634" t="n">
        <v>0</v>
      </c>
      <c r="Q634" t="n">
        <v>0</v>
      </c>
      <c r="R634" s="2" t="inlineStr"/>
    </row>
    <row r="635" ht="15" customHeight="1">
      <c r="A635" t="inlineStr">
        <is>
          <t>A 16769-2024</t>
        </is>
      </c>
      <c r="B635" s="1" t="n">
        <v>45411.38738425926</v>
      </c>
      <c r="C635" s="1" t="n">
        <v>46161</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18877-2023</t>
        </is>
      </c>
      <c r="B636" s="1" t="n">
        <v>45044</v>
      </c>
      <c r="C636" s="1" t="n">
        <v>46161</v>
      </c>
      <c r="D636" t="inlineStr">
        <is>
          <t>VÄSTMANLANDS LÄN</t>
        </is>
      </c>
      <c r="E636" t="inlineStr">
        <is>
          <t>SALA</t>
        </is>
      </c>
      <c r="F636" t="inlineStr">
        <is>
          <t>Kommuner</t>
        </is>
      </c>
      <c r="G636" t="n">
        <v>4.4</v>
      </c>
      <c r="H636" t="n">
        <v>0</v>
      </c>
      <c r="I636" t="n">
        <v>0</v>
      </c>
      <c r="J636" t="n">
        <v>0</v>
      </c>
      <c r="K636" t="n">
        <v>0</v>
      </c>
      <c r="L636" t="n">
        <v>0</v>
      </c>
      <c r="M636" t="n">
        <v>0</v>
      </c>
      <c r="N636" t="n">
        <v>0</v>
      </c>
      <c r="O636" t="n">
        <v>0</v>
      </c>
      <c r="P636" t="n">
        <v>0</v>
      </c>
      <c r="Q636" t="n">
        <v>0</v>
      </c>
      <c r="R636" s="2" t="inlineStr"/>
    </row>
    <row r="637" ht="15" customHeight="1">
      <c r="A637" t="inlineStr">
        <is>
          <t>A 44544-2024</t>
        </is>
      </c>
      <c r="B637" s="1" t="n">
        <v>45574.46119212963</v>
      </c>
      <c r="C637" s="1" t="n">
        <v>46161</v>
      </c>
      <c r="D637" t="inlineStr">
        <is>
          <t>VÄSTMANLANDS LÄN</t>
        </is>
      </c>
      <c r="E637" t="inlineStr">
        <is>
          <t>SALA</t>
        </is>
      </c>
      <c r="G637" t="n">
        <v>3.3</v>
      </c>
      <c r="H637" t="n">
        <v>0</v>
      </c>
      <c r="I637" t="n">
        <v>0</v>
      </c>
      <c r="J637" t="n">
        <v>0</v>
      </c>
      <c r="K637" t="n">
        <v>0</v>
      </c>
      <c r="L637" t="n">
        <v>0</v>
      </c>
      <c r="M637" t="n">
        <v>0</v>
      </c>
      <c r="N637" t="n">
        <v>0</v>
      </c>
      <c r="O637" t="n">
        <v>0</v>
      </c>
      <c r="P637" t="n">
        <v>0</v>
      </c>
      <c r="Q637" t="n">
        <v>0</v>
      </c>
      <c r="R637" s="2" t="inlineStr"/>
    </row>
    <row r="638" ht="15" customHeight="1">
      <c r="A638" t="inlineStr">
        <is>
          <t>A 60379-2022</t>
        </is>
      </c>
      <c r="B638" s="1" t="n">
        <v>44910</v>
      </c>
      <c r="C638" s="1" t="n">
        <v>46161</v>
      </c>
      <c r="D638" t="inlineStr">
        <is>
          <t>VÄSTMANLANDS LÄN</t>
        </is>
      </c>
      <c r="E638" t="inlineStr">
        <is>
          <t>SALA</t>
        </is>
      </c>
      <c r="F638" t="inlineStr">
        <is>
          <t>Kyrkan</t>
        </is>
      </c>
      <c r="G638" t="n">
        <v>2.5</v>
      </c>
      <c r="H638" t="n">
        <v>0</v>
      </c>
      <c r="I638" t="n">
        <v>0</v>
      </c>
      <c r="J638" t="n">
        <v>0</v>
      </c>
      <c r="K638" t="n">
        <v>0</v>
      </c>
      <c r="L638" t="n">
        <v>0</v>
      </c>
      <c r="M638" t="n">
        <v>0</v>
      </c>
      <c r="N638" t="n">
        <v>0</v>
      </c>
      <c r="O638" t="n">
        <v>0</v>
      </c>
      <c r="P638" t="n">
        <v>0</v>
      </c>
      <c r="Q638" t="n">
        <v>0</v>
      </c>
      <c r="R638" s="2" t="inlineStr"/>
    </row>
    <row r="639" ht="15" customHeight="1">
      <c r="A639" t="inlineStr">
        <is>
          <t>A 56547-2022</t>
        </is>
      </c>
      <c r="B639" s="1" t="n">
        <v>44893.48284722222</v>
      </c>
      <c r="C639" s="1" t="n">
        <v>46161</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18382-2026</t>
        </is>
      </c>
      <c r="B640" s="1" t="n">
        <v>46126.63601851852</v>
      </c>
      <c r="C640" s="1" t="n">
        <v>46161</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29542-2023</t>
        </is>
      </c>
      <c r="B641" s="1" t="n">
        <v>45098</v>
      </c>
      <c r="C641" s="1" t="n">
        <v>46161</v>
      </c>
      <c r="D641" t="inlineStr">
        <is>
          <t>VÄSTMANLANDS LÄN</t>
        </is>
      </c>
      <c r="E641" t="inlineStr">
        <is>
          <t>SALA</t>
        </is>
      </c>
      <c r="G641" t="n">
        <v>4.8</v>
      </c>
      <c r="H641" t="n">
        <v>0</v>
      </c>
      <c r="I641" t="n">
        <v>0</v>
      </c>
      <c r="J641" t="n">
        <v>0</v>
      </c>
      <c r="K641" t="n">
        <v>0</v>
      </c>
      <c r="L641" t="n">
        <v>0</v>
      </c>
      <c r="M641" t="n">
        <v>0</v>
      </c>
      <c r="N641" t="n">
        <v>0</v>
      </c>
      <c r="O641" t="n">
        <v>0</v>
      </c>
      <c r="P641" t="n">
        <v>0</v>
      </c>
      <c r="Q641" t="n">
        <v>0</v>
      </c>
      <c r="R641" s="2" t="inlineStr"/>
    </row>
    <row r="642" ht="15" customHeight="1">
      <c r="A642" t="inlineStr">
        <is>
          <t>A 16638-2023</t>
        </is>
      </c>
      <c r="B642" s="1" t="n">
        <v>45027</v>
      </c>
      <c r="C642" s="1" t="n">
        <v>46161</v>
      </c>
      <c r="D642" t="inlineStr">
        <is>
          <t>VÄSTMANLANDS LÄN</t>
        </is>
      </c>
      <c r="E642" t="inlineStr">
        <is>
          <t>SALA</t>
        </is>
      </c>
      <c r="G642" t="n">
        <v>14.8</v>
      </c>
      <c r="H642" t="n">
        <v>0</v>
      </c>
      <c r="I642" t="n">
        <v>0</v>
      </c>
      <c r="J642" t="n">
        <v>0</v>
      </c>
      <c r="K642" t="n">
        <v>0</v>
      </c>
      <c r="L642" t="n">
        <v>0</v>
      </c>
      <c r="M642" t="n">
        <v>0</v>
      </c>
      <c r="N642" t="n">
        <v>0</v>
      </c>
      <c r="O642" t="n">
        <v>0</v>
      </c>
      <c r="P642" t="n">
        <v>0</v>
      </c>
      <c r="Q642" t="n">
        <v>0</v>
      </c>
      <c r="R642" s="2" t="inlineStr"/>
    </row>
    <row r="643" ht="15" customHeight="1">
      <c r="A643" t="inlineStr">
        <is>
          <t>A 12144-2026</t>
        </is>
      </c>
      <c r="B643" s="1" t="n">
        <v>46086.58008101852</v>
      </c>
      <c r="C643" s="1" t="n">
        <v>46161</v>
      </c>
      <c r="D643" t="inlineStr">
        <is>
          <t>VÄSTMANLANDS LÄN</t>
        </is>
      </c>
      <c r="E643" t="inlineStr">
        <is>
          <t>SALA</t>
        </is>
      </c>
      <c r="G643" t="n">
        <v>1</v>
      </c>
      <c r="H643" t="n">
        <v>0</v>
      </c>
      <c r="I643" t="n">
        <v>0</v>
      </c>
      <c r="J643" t="n">
        <v>0</v>
      </c>
      <c r="K643" t="n">
        <v>0</v>
      </c>
      <c r="L643" t="n">
        <v>0</v>
      </c>
      <c r="M643" t="n">
        <v>0</v>
      </c>
      <c r="N643" t="n">
        <v>0</v>
      </c>
      <c r="O643" t="n">
        <v>0</v>
      </c>
      <c r="P643" t="n">
        <v>0</v>
      </c>
      <c r="Q643" t="n">
        <v>0</v>
      </c>
      <c r="R643" s="2" t="inlineStr"/>
    </row>
    <row r="644" ht="15" customHeight="1">
      <c r="A644" t="inlineStr">
        <is>
          <t>A 37190-2024</t>
        </is>
      </c>
      <c r="B644" s="1" t="n">
        <v>45539</v>
      </c>
      <c r="C644" s="1" t="n">
        <v>46161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23222-2023</t>
        </is>
      </c>
      <c r="B645" s="1" t="n">
        <v>45075</v>
      </c>
      <c r="C645" s="1" t="n">
        <v>46161</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23224-2023</t>
        </is>
      </c>
      <c r="B646" s="1" t="n">
        <v>45075.65040509259</v>
      </c>
      <c r="C646" s="1" t="n">
        <v>46161</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18592-2026</t>
        </is>
      </c>
      <c r="B647" s="1" t="n">
        <v>46127.64232638889</v>
      </c>
      <c r="C647" s="1" t="n">
        <v>46161</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68864-2021</t>
        </is>
      </c>
      <c r="B648" s="1" t="n">
        <v>44530</v>
      </c>
      <c r="C648" s="1" t="n">
        <v>46161</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12497-2026</t>
        </is>
      </c>
      <c r="B649" s="1" t="n">
        <v>46090.57240740741</v>
      </c>
      <c r="C649" s="1" t="n">
        <v>46161</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19065-2022</t>
        </is>
      </c>
      <c r="B650" s="1" t="n">
        <v>44691.44309027777</v>
      </c>
      <c r="C650" s="1" t="n">
        <v>46161</v>
      </c>
      <c r="D650" t="inlineStr">
        <is>
          <t>VÄSTMANLANDS LÄN</t>
        </is>
      </c>
      <c r="E650" t="inlineStr">
        <is>
          <t>SALA</t>
        </is>
      </c>
      <c r="G650" t="n">
        <v>3.4</v>
      </c>
      <c r="H650" t="n">
        <v>0</v>
      </c>
      <c r="I650" t="n">
        <v>0</v>
      </c>
      <c r="J650" t="n">
        <v>0</v>
      </c>
      <c r="K650" t="n">
        <v>0</v>
      </c>
      <c r="L650" t="n">
        <v>0</v>
      </c>
      <c r="M650" t="n">
        <v>0</v>
      </c>
      <c r="N650" t="n">
        <v>0</v>
      </c>
      <c r="O650" t="n">
        <v>0</v>
      </c>
      <c r="P650" t="n">
        <v>0</v>
      </c>
      <c r="Q650" t="n">
        <v>0</v>
      </c>
      <c r="R650" s="2" t="inlineStr"/>
    </row>
    <row r="651" ht="15" customHeight="1">
      <c r="A651" t="inlineStr">
        <is>
          <t>A 37612-2024</t>
        </is>
      </c>
      <c r="B651" s="1" t="n">
        <v>45541</v>
      </c>
      <c r="C651" s="1" t="n">
        <v>46161</v>
      </c>
      <c r="D651" t="inlineStr">
        <is>
          <t>VÄSTMANLANDS LÄN</t>
        </is>
      </c>
      <c r="E651" t="inlineStr">
        <is>
          <t>SALA</t>
        </is>
      </c>
      <c r="G651" t="n">
        <v>2.2</v>
      </c>
      <c r="H651" t="n">
        <v>0</v>
      </c>
      <c r="I651" t="n">
        <v>0</v>
      </c>
      <c r="J651" t="n">
        <v>0</v>
      </c>
      <c r="K651" t="n">
        <v>0</v>
      </c>
      <c r="L651" t="n">
        <v>0</v>
      </c>
      <c r="M651" t="n">
        <v>0</v>
      </c>
      <c r="N651" t="n">
        <v>0</v>
      </c>
      <c r="O651" t="n">
        <v>0</v>
      </c>
      <c r="P651" t="n">
        <v>0</v>
      </c>
      <c r="Q651" t="n">
        <v>0</v>
      </c>
      <c r="R651" s="2" t="inlineStr"/>
    </row>
    <row r="652" ht="15" customHeight="1">
      <c r="A652" t="inlineStr">
        <is>
          <t>A 37615-2024</t>
        </is>
      </c>
      <c r="B652" s="1" t="n">
        <v>45541.50673611111</v>
      </c>
      <c r="C652" s="1" t="n">
        <v>46161</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18158-2025</t>
        </is>
      </c>
      <c r="B653" s="1" t="n">
        <v>45761</v>
      </c>
      <c r="C653" s="1" t="n">
        <v>46161</v>
      </c>
      <c r="D653" t="inlineStr">
        <is>
          <t>VÄSTMANLANDS LÄN</t>
        </is>
      </c>
      <c r="E653" t="inlineStr">
        <is>
          <t>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9962-2025</t>
        </is>
      </c>
      <c r="B654" s="1" t="n">
        <v>45719.37072916667</v>
      </c>
      <c r="C654" s="1" t="n">
        <v>46161</v>
      </c>
      <c r="D654" t="inlineStr">
        <is>
          <t>VÄSTMANLANDS LÄN</t>
        </is>
      </c>
      <c r="E654" t="inlineStr">
        <is>
          <t>SALA</t>
        </is>
      </c>
      <c r="G654" t="n">
        <v>4.5</v>
      </c>
      <c r="H654" t="n">
        <v>0</v>
      </c>
      <c r="I654" t="n">
        <v>0</v>
      </c>
      <c r="J654" t="n">
        <v>0</v>
      </c>
      <c r="K654" t="n">
        <v>0</v>
      </c>
      <c r="L654" t="n">
        <v>0</v>
      </c>
      <c r="M654" t="n">
        <v>0</v>
      </c>
      <c r="N654" t="n">
        <v>0</v>
      </c>
      <c r="O654" t="n">
        <v>0</v>
      </c>
      <c r="P654" t="n">
        <v>0</v>
      </c>
      <c r="Q654" t="n">
        <v>0</v>
      </c>
      <c r="R654" s="2" t="inlineStr"/>
    </row>
    <row r="655" ht="15" customHeight="1">
      <c r="A655" t="inlineStr">
        <is>
          <t>A 19044-2026</t>
        </is>
      </c>
      <c r="B655" s="1" t="n">
        <v>46132.33789351852</v>
      </c>
      <c r="C655" s="1" t="n">
        <v>46161</v>
      </c>
      <c r="D655" t="inlineStr">
        <is>
          <t>VÄSTMANLANDS LÄN</t>
        </is>
      </c>
      <c r="E655" t="inlineStr">
        <is>
          <t>SALA</t>
        </is>
      </c>
      <c r="G655" t="n">
        <v>1.7</v>
      </c>
      <c r="H655" t="n">
        <v>0</v>
      </c>
      <c r="I655" t="n">
        <v>0</v>
      </c>
      <c r="J655" t="n">
        <v>0</v>
      </c>
      <c r="K655" t="n">
        <v>0</v>
      </c>
      <c r="L655" t="n">
        <v>0</v>
      </c>
      <c r="M655" t="n">
        <v>0</v>
      </c>
      <c r="N655" t="n">
        <v>0</v>
      </c>
      <c r="O655" t="n">
        <v>0</v>
      </c>
      <c r="P655" t="n">
        <v>0</v>
      </c>
      <c r="Q655" t="n">
        <v>0</v>
      </c>
      <c r="R655" s="2" t="inlineStr"/>
    </row>
    <row r="656" ht="15" customHeight="1">
      <c r="A656" t="inlineStr">
        <is>
          <t>A 37602-2024</t>
        </is>
      </c>
      <c r="B656" s="1" t="n">
        <v>45541</v>
      </c>
      <c r="C656" s="1" t="n">
        <v>46161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18762-2024</t>
        </is>
      </c>
      <c r="B657" s="1" t="n">
        <v>45426.55240740741</v>
      </c>
      <c r="C657" s="1" t="n">
        <v>46161</v>
      </c>
      <c r="D657" t="inlineStr">
        <is>
          <t>VÄSTMANLANDS LÄN</t>
        </is>
      </c>
      <c r="E657" t="inlineStr">
        <is>
          <t>SALA</t>
        </is>
      </c>
      <c r="G657" t="n">
        <v>6.2</v>
      </c>
      <c r="H657" t="n">
        <v>0</v>
      </c>
      <c r="I657" t="n">
        <v>0</v>
      </c>
      <c r="J657" t="n">
        <v>0</v>
      </c>
      <c r="K657" t="n">
        <v>0</v>
      </c>
      <c r="L657" t="n">
        <v>0</v>
      </c>
      <c r="M657" t="n">
        <v>0</v>
      </c>
      <c r="N657" t="n">
        <v>0</v>
      </c>
      <c r="O657" t="n">
        <v>0</v>
      </c>
      <c r="P657" t="n">
        <v>0</v>
      </c>
      <c r="Q657" t="n">
        <v>0</v>
      </c>
      <c r="R657" s="2" t="inlineStr"/>
    </row>
    <row r="658" ht="15" customHeight="1">
      <c r="A658" t="inlineStr">
        <is>
          <t>A 39011-2023</t>
        </is>
      </c>
      <c r="B658" s="1" t="n">
        <v>45162</v>
      </c>
      <c r="C658" s="1" t="n">
        <v>46161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46352-2023</t>
        </is>
      </c>
      <c r="B659" s="1" t="n">
        <v>45192</v>
      </c>
      <c r="C659" s="1" t="n">
        <v>46161</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43751-2021</t>
        </is>
      </c>
      <c r="B660" s="1" t="n">
        <v>44433</v>
      </c>
      <c r="C660" s="1" t="n">
        <v>46161</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1128-2025</t>
        </is>
      </c>
      <c r="B661" s="1" t="n">
        <v>45666.68469907407</v>
      </c>
      <c r="C661" s="1" t="n">
        <v>46161</v>
      </c>
      <c r="D661" t="inlineStr">
        <is>
          <t>VÄSTMANLANDS LÄN</t>
        </is>
      </c>
      <c r="E661" t="inlineStr">
        <is>
          <t>SALA</t>
        </is>
      </c>
      <c r="G661" t="n">
        <v>2.5</v>
      </c>
      <c r="H661" t="n">
        <v>0</v>
      </c>
      <c r="I661" t="n">
        <v>0</v>
      </c>
      <c r="J661" t="n">
        <v>0</v>
      </c>
      <c r="K661" t="n">
        <v>0</v>
      </c>
      <c r="L661" t="n">
        <v>0</v>
      </c>
      <c r="M661" t="n">
        <v>0</v>
      </c>
      <c r="N661" t="n">
        <v>0</v>
      </c>
      <c r="O661" t="n">
        <v>0</v>
      </c>
      <c r="P661" t="n">
        <v>0</v>
      </c>
      <c r="Q661" t="n">
        <v>0</v>
      </c>
      <c r="R661" s="2" t="inlineStr"/>
    </row>
    <row r="662" ht="15" customHeight="1">
      <c r="A662" t="inlineStr">
        <is>
          <t>A 19376-2026</t>
        </is>
      </c>
      <c r="B662" s="1" t="n">
        <v>46133.54998842593</v>
      </c>
      <c r="C662" s="1" t="n">
        <v>46161</v>
      </c>
      <c r="D662" t="inlineStr">
        <is>
          <t>VÄSTMANLANDS LÄN</t>
        </is>
      </c>
      <c r="E662" t="inlineStr">
        <is>
          <t>SALA</t>
        </is>
      </c>
      <c r="G662" t="n">
        <v>3.8</v>
      </c>
      <c r="H662" t="n">
        <v>0</v>
      </c>
      <c r="I662" t="n">
        <v>0</v>
      </c>
      <c r="J662" t="n">
        <v>0</v>
      </c>
      <c r="K662" t="n">
        <v>0</v>
      </c>
      <c r="L662" t="n">
        <v>0</v>
      </c>
      <c r="M662" t="n">
        <v>0</v>
      </c>
      <c r="N662" t="n">
        <v>0</v>
      </c>
      <c r="O662" t="n">
        <v>0</v>
      </c>
      <c r="P662" t="n">
        <v>0</v>
      </c>
      <c r="Q662" t="n">
        <v>0</v>
      </c>
      <c r="R662" s="2" t="inlineStr"/>
    </row>
    <row r="663" ht="15" customHeight="1">
      <c r="A663" t="inlineStr">
        <is>
          <t>A 31950-2023</t>
        </is>
      </c>
      <c r="B663" s="1" t="n">
        <v>45107</v>
      </c>
      <c r="C663" s="1" t="n">
        <v>46161</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56540-2024</t>
        </is>
      </c>
      <c r="B664" s="1" t="n">
        <v>45625</v>
      </c>
      <c r="C664" s="1" t="n">
        <v>46161</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6116-2023</t>
        </is>
      </c>
      <c r="B665" s="1" t="n">
        <v>44964</v>
      </c>
      <c r="C665" s="1" t="n">
        <v>46161</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25860-2024</t>
        </is>
      </c>
      <c r="B666" s="1" t="n">
        <v>45467.46278935186</v>
      </c>
      <c r="C666" s="1" t="n">
        <v>46161</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56916-2022</t>
        </is>
      </c>
      <c r="B667" s="1" t="n">
        <v>44888</v>
      </c>
      <c r="C667" s="1" t="n">
        <v>46161</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13032-2026</t>
        </is>
      </c>
      <c r="B668" s="1" t="n">
        <v>46092.90436342593</v>
      </c>
      <c r="C668" s="1" t="n">
        <v>46161</v>
      </c>
      <c r="D668" t="inlineStr">
        <is>
          <t>VÄSTMANLANDS LÄN</t>
        </is>
      </c>
      <c r="E668" t="inlineStr">
        <is>
          <t>SALA</t>
        </is>
      </c>
      <c r="G668" t="n">
        <v>3.4</v>
      </c>
      <c r="H668" t="n">
        <v>0</v>
      </c>
      <c r="I668" t="n">
        <v>0</v>
      </c>
      <c r="J668" t="n">
        <v>0</v>
      </c>
      <c r="K668" t="n">
        <v>0</v>
      </c>
      <c r="L668" t="n">
        <v>0</v>
      </c>
      <c r="M668" t="n">
        <v>0</v>
      </c>
      <c r="N668" t="n">
        <v>0</v>
      </c>
      <c r="O668" t="n">
        <v>0</v>
      </c>
      <c r="P668" t="n">
        <v>0</v>
      </c>
      <c r="Q668" t="n">
        <v>0</v>
      </c>
      <c r="R668" s="2" t="inlineStr"/>
    </row>
    <row r="669" ht="15" customHeight="1">
      <c r="A669" t="inlineStr">
        <is>
          <t>A 71471-2021</t>
        </is>
      </c>
      <c r="B669" s="1" t="n">
        <v>44540.53421296296</v>
      </c>
      <c r="C669" s="1" t="n">
        <v>46161</v>
      </c>
      <c r="D669" t="inlineStr">
        <is>
          <t>VÄSTMANLANDS LÄN</t>
        </is>
      </c>
      <c r="E669" t="inlineStr">
        <is>
          <t>SALA</t>
        </is>
      </c>
      <c r="G669" t="n">
        <v>13</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46161</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46161</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14000-2026</t>
        </is>
      </c>
      <c r="B672" s="1" t="n">
        <v>46098.64246527778</v>
      </c>
      <c r="C672" s="1" t="n">
        <v>46161</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1993-2022</t>
        </is>
      </c>
      <c r="B673" s="1" t="n">
        <v>44575</v>
      </c>
      <c r="C673" s="1" t="n">
        <v>46161</v>
      </c>
      <c r="D673" t="inlineStr">
        <is>
          <t>VÄSTMANLANDS LÄN</t>
        </is>
      </c>
      <c r="E673" t="inlineStr">
        <is>
          <t>SALA</t>
        </is>
      </c>
      <c r="G673" t="n">
        <v>1.6</v>
      </c>
      <c r="H673" t="n">
        <v>0</v>
      </c>
      <c r="I673" t="n">
        <v>0</v>
      </c>
      <c r="J673" t="n">
        <v>0</v>
      </c>
      <c r="K673" t="n">
        <v>0</v>
      </c>
      <c r="L673" t="n">
        <v>0</v>
      </c>
      <c r="M673" t="n">
        <v>0</v>
      </c>
      <c r="N673" t="n">
        <v>0</v>
      </c>
      <c r="O673" t="n">
        <v>0</v>
      </c>
      <c r="P673" t="n">
        <v>0</v>
      </c>
      <c r="Q673" t="n">
        <v>0</v>
      </c>
      <c r="R673" s="2" t="inlineStr"/>
    </row>
    <row r="674" ht="15" customHeight="1">
      <c r="A674" t="inlineStr">
        <is>
          <t>A 17051-2025</t>
        </is>
      </c>
      <c r="B674" s="1" t="n">
        <v>45755</v>
      </c>
      <c r="C674" s="1" t="n">
        <v>46161</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43509-2021</t>
        </is>
      </c>
      <c r="B675" s="1" t="n">
        <v>44433</v>
      </c>
      <c r="C675" s="1" t="n">
        <v>46161</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54959-2024</t>
        </is>
      </c>
      <c r="B676" s="1" t="n">
        <v>45619</v>
      </c>
      <c r="C676" s="1" t="n">
        <v>46161</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56964-2023</t>
        </is>
      </c>
      <c r="B677" s="1" t="n">
        <v>45244.63140046296</v>
      </c>
      <c r="C677" s="1" t="n">
        <v>46161</v>
      </c>
      <c r="D677" t="inlineStr">
        <is>
          <t>VÄSTMANLANDS LÄN</t>
        </is>
      </c>
      <c r="E677" t="inlineStr">
        <is>
          <t>SALA</t>
        </is>
      </c>
      <c r="G677" t="n">
        <v>4.6</v>
      </c>
      <c r="H677" t="n">
        <v>0</v>
      </c>
      <c r="I677" t="n">
        <v>0</v>
      </c>
      <c r="J677" t="n">
        <v>0</v>
      </c>
      <c r="K677" t="n">
        <v>0</v>
      </c>
      <c r="L677" t="n">
        <v>0</v>
      </c>
      <c r="M677" t="n">
        <v>0</v>
      </c>
      <c r="N677" t="n">
        <v>0</v>
      </c>
      <c r="O677" t="n">
        <v>0</v>
      </c>
      <c r="P677" t="n">
        <v>0</v>
      </c>
      <c r="Q677" t="n">
        <v>0</v>
      </c>
      <c r="R677" s="2" t="inlineStr"/>
    </row>
    <row r="678" ht="15" customHeight="1">
      <c r="A678" t="inlineStr">
        <is>
          <t>A 37337-2024</t>
        </is>
      </c>
      <c r="B678" s="1" t="n">
        <v>45540</v>
      </c>
      <c r="C678" s="1" t="n">
        <v>46161</v>
      </c>
      <c r="D678" t="inlineStr">
        <is>
          <t>VÄSTMANLANDS LÄN</t>
        </is>
      </c>
      <c r="E678" t="inlineStr">
        <is>
          <t>SALA</t>
        </is>
      </c>
      <c r="G678" t="n">
        <v>6.5</v>
      </c>
      <c r="H678" t="n">
        <v>0</v>
      </c>
      <c r="I678" t="n">
        <v>0</v>
      </c>
      <c r="J678" t="n">
        <v>0</v>
      </c>
      <c r="K678" t="n">
        <v>0</v>
      </c>
      <c r="L678" t="n">
        <v>0</v>
      </c>
      <c r="M678" t="n">
        <v>0</v>
      </c>
      <c r="N678" t="n">
        <v>0</v>
      </c>
      <c r="O678" t="n">
        <v>0</v>
      </c>
      <c r="P678" t="n">
        <v>0</v>
      </c>
      <c r="Q678" t="n">
        <v>0</v>
      </c>
      <c r="R678" s="2" t="inlineStr"/>
    </row>
    <row r="679" ht="15" customHeight="1">
      <c r="A679" t="inlineStr">
        <is>
          <t>A 13996-2026</t>
        </is>
      </c>
      <c r="B679" s="1" t="n">
        <v>46098.63159722222</v>
      </c>
      <c r="C679" s="1" t="n">
        <v>46161</v>
      </c>
      <c r="D679" t="inlineStr">
        <is>
          <t>VÄSTMANLANDS LÄN</t>
        </is>
      </c>
      <c r="E679" t="inlineStr">
        <is>
          <t>SALA</t>
        </is>
      </c>
      <c r="G679" t="n">
        <v>2.5</v>
      </c>
      <c r="H679" t="n">
        <v>0</v>
      </c>
      <c r="I679" t="n">
        <v>0</v>
      </c>
      <c r="J679" t="n">
        <v>0</v>
      </c>
      <c r="K679" t="n">
        <v>0</v>
      </c>
      <c r="L679" t="n">
        <v>0</v>
      </c>
      <c r="M679" t="n">
        <v>0</v>
      </c>
      <c r="N679" t="n">
        <v>0</v>
      </c>
      <c r="O679" t="n">
        <v>0</v>
      </c>
      <c r="P679" t="n">
        <v>0</v>
      </c>
      <c r="Q679" t="n">
        <v>0</v>
      </c>
      <c r="R679" s="2" t="inlineStr"/>
    </row>
    <row r="680" ht="15" customHeight="1">
      <c r="A680" t="inlineStr">
        <is>
          <t>A 17120-2023</t>
        </is>
      </c>
      <c r="B680" s="1" t="n">
        <v>45034</v>
      </c>
      <c r="C680" s="1" t="n">
        <v>46161</v>
      </c>
      <c r="D680" t="inlineStr">
        <is>
          <t>VÄSTMANLANDS LÄN</t>
        </is>
      </c>
      <c r="E680" t="inlineStr">
        <is>
          <t>SALA</t>
        </is>
      </c>
      <c r="G680" t="n">
        <v>0.1</v>
      </c>
      <c r="H680" t="n">
        <v>0</v>
      </c>
      <c r="I680" t="n">
        <v>0</v>
      </c>
      <c r="J680" t="n">
        <v>0</v>
      </c>
      <c r="K680" t="n">
        <v>0</v>
      </c>
      <c r="L680" t="n">
        <v>0</v>
      </c>
      <c r="M680" t="n">
        <v>0</v>
      </c>
      <c r="N680" t="n">
        <v>0</v>
      </c>
      <c r="O680" t="n">
        <v>0</v>
      </c>
      <c r="P680" t="n">
        <v>0</v>
      </c>
      <c r="Q680" t="n">
        <v>0</v>
      </c>
      <c r="R680" s="2" t="inlineStr"/>
    </row>
    <row r="681" ht="15" customHeight="1">
      <c r="A681" t="inlineStr">
        <is>
          <t>A 34494-2023</t>
        </is>
      </c>
      <c r="B681" s="1" t="n">
        <v>45133</v>
      </c>
      <c r="C681" s="1" t="n">
        <v>46161</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13639-2026</t>
        </is>
      </c>
      <c r="B682" s="1" t="n">
        <v>46097</v>
      </c>
      <c r="C682" s="1" t="n">
        <v>46161</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10579-2022</t>
        </is>
      </c>
      <c r="B683" s="1" t="n">
        <v>44624</v>
      </c>
      <c r="C683" s="1" t="n">
        <v>46161</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9335-2022</t>
        </is>
      </c>
      <c r="B684" s="1" t="n">
        <v>44616.56579861111</v>
      </c>
      <c r="C684" s="1" t="n">
        <v>46161</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45313-2024</t>
        </is>
      </c>
      <c r="B685" s="1" t="n">
        <v>45576</v>
      </c>
      <c r="C685" s="1" t="n">
        <v>46161</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23119-2022</t>
        </is>
      </c>
      <c r="B686" s="1" t="n">
        <v>44719.56697916667</v>
      </c>
      <c r="C686" s="1" t="n">
        <v>46161</v>
      </c>
      <c r="D686" t="inlineStr">
        <is>
          <t>VÄSTMANLANDS LÄN</t>
        </is>
      </c>
      <c r="E686" t="inlineStr">
        <is>
          <t>SALA</t>
        </is>
      </c>
      <c r="G686" t="n">
        <v>7</v>
      </c>
      <c r="H686" t="n">
        <v>0</v>
      </c>
      <c r="I686" t="n">
        <v>0</v>
      </c>
      <c r="J686" t="n">
        <v>0</v>
      </c>
      <c r="K686" t="n">
        <v>0</v>
      </c>
      <c r="L686" t="n">
        <v>0</v>
      </c>
      <c r="M686" t="n">
        <v>0</v>
      </c>
      <c r="N686" t="n">
        <v>0</v>
      </c>
      <c r="O686" t="n">
        <v>0</v>
      </c>
      <c r="P686" t="n">
        <v>0</v>
      </c>
      <c r="Q686" t="n">
        <v>0</v>
      </c>
      <c r="R686" s="2" t="inlineStr"/>
    </row>
    <row r="687" ht="15" customHeight="1">
      <c r="A687" t="inlineStr">
        <is>
          <t>A 1196-2023</t>
        </is>
      </c>
      <c r="B687" s="1" t="n">
        <v>44935.82290509259</v>
      </c>
      <c r="C687" s="1" t="n">
        <v>46161</v>
      </c>
      <c r="D687" t="inlineStr">
        <is>
          <t>VÄSTMANLANDS LÄN</t>
        </is>
      </c>
      <c r="E687" t="inlineStr">
        <is>
          <t>SALA</t>
        </is>
      </c>
      <c r="G687" t="n">
        <v>4.1</v>
      </c>
      <c r="H687" t="n">
        <v>0</v>
      </c>
      <c r="I687" t="n">
        <v>0</v>
      </c>
      <c r="J687" t="n">
        <v>0</v>
      </c>
      <c r="K687" t="n">
        <v>0</v>
      </c>
      <c r="L687" t="n">
        <v>0</v>
      </c>
      <c r="M687" t="n">
        <v>0</v>
      </c>
      <c r="N687" t="n">
        <v>0</v>
      </c>
      <c r="O687" t="n">
        <v>0</v>
      </c>
      <c r="P687" t="n">
        <v>0</v>
      </c>
      <c r="Q687" t="n">
        <v>0</v>
      </c>
      <c r="R687" s="2" t="inlineStr"/>
    </row>
    <row r="688" ht="15" customHeight="1">
      <c r="A688" t="inlineStr">
        <is>
          <t>A 14481-2026</t>
        </is>
      </c>
      <c r="B688" s="1" t="n">
        <v>46100.58707175926</v>
      </c>
      <c r="C688" s="1" t="n">
        <v>46161</v>
      </c>
      <c r="D688" t="inlineStr">
        <is>
          <t>VÄSTMANLANDS LÄN</t>
        </is>
      </c>
      <c r="E688" t="inlineStr">
        <is>
          <t>SALA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14482-2026</t>
        </is>
      </c>
      <c r="B689" s="1" t="n">
        <v>46100.588125</v>
      </c>
      <c r="C689" s="1" t="n">
        <v>46161</v>
      </c>
      <c r="D689" t="inlineStr">
        <is>
          <t>VÄSTMANLANDS LÄN</t>
        </is>
      </c>
      <c r="E689" t="inlineStr">
        <is>
          <t>SALA</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14484-2026</t>
        </is>
      </c>
      <c r="B690" s="1" t="n">
        <v>46100.5887962963</v>
      </c>
      <c r="C690" s="1" t="n">
        <v>46161</v>
      </c>
      <c r="D690" t="inlineStr">
        <is>
          <t>VÄSTMANLANDS LÄN</t>
        </is>
      </c>
      <c r="E690" t="inlineStr">
        <is>
          <t>SALA</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52503-2024</t>
        </is>
      </c>
      <c r="B691" s="1" t="n">
        <v>45609.58806712963</v>
      </c>
      <c r="C691" s="1" t="n">
        <v>46161</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14490-2026</t>
        </is>
      </c>
      <c r="B692" s="1" t="n">
        <v>46100.59277777778</v>
      </c>
      <c r="C692" s="1" t="n">
        <v>46161</v>
      </c>
      <c r="D692" t="inlineStr">
        <is>
          <t>VÄSTMANLANDS LÄN</t>
        </is>
      </c>
      <c r="E692" t="inlineStr">
        <is>
          <t>SALA</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7953-2024</t>
        </is>
      </c>
      <c r="B693" s="1" t="n">
        <v>45350</v>
      </c>
      <c r="C693" s="1" t="n">
        <v>46161</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30028-2024</t>
        </is>
      </c>
      <c r="B694" s="1" t="n">
        <v>45485</v>
      </c>
      <c r="C694" s="1" t="n">
        <v>46161</v>
      </c>
      <c r="D694" t="inlineStr">
        <is>
          <t>VÄSTMANLANDS LÄN</t>
        </is>
      </c>
      <c r="E694" t="inlineStr">
        <is>
          <t>SALA</t>
        </is>
      </c>
      <c r="G694" t="n">
        <v>2.6</v>
      </c>
      <c r="H694" t="n">
        <v>0</v>
      </c>
      <c r="I694" t="n">
        <v>0</v>
      </c>
      <c r="J694" t="n">
        <v>0</v>
      </c>
      <c r="K694" t="n">
        <v>0</v>
      </c>
      <c r="L694" t="n">
        <v>0</v>
      </c>
      <c r="M694" t="n">
        <v>0</v>
      </c>
      <c r="N694" t="n">
        <v>0</v>
      </c>
      <c r="O694" t="n">
        <v>0</v>
      </c>
      <c r="P694" t="n">
        <v>0</v>
      </c>
      <c r="Q694" t="n">
        <v>0</v>
      </c>
      <c r="R694" s="2" t="inlineStr"/>
    </row>
    <row r="695" ht="15" customHeight="1">
      <c r="A695" t="inlineStr">
        <is>
          <t>A 7950-2025</t>
        </is>
      </c>
      <c r="B695" s="1" t="n">
        <v>45707.41799768519</v>
      </c>
      <c r="C695" s="1" t="n">
        <v>46161</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21435-2026</t>
        </is>
      </c>
      <c r="B696" s="1" t="n">
        <v>46148.40625</v>
      </c>
      <c r="C696" s="1" t="n">
        <v>46161</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27657-2023</t>
        </is>
      </c>
      <c r="B697" s="1" t="n">
        <v>45097.76631944445</v>
      </c>
      <c r="C697" s="1" t="n">
        <v>46161</v>
      </c>
      <c r="D697" t="inlineStr">
        <is>
          <t>VÄSTMANLANDS LÄN</t>
        </is>
      </c>
      <c r="E697" t="inlineStr">
        <is>
          <t>SALA</t>
        </is>
      </c>
      <c r="G697" t="n">
        <v>0.1</v>
      </c>
      <c r="H697" t="n">
        <v>0</v>
      </c>
      <c r="I697" t="n">
        <v>0</v>
      </c>
      <c r="J697" t="n">
        <v>0</v>
      </c>
      <c r="K697" t="n">
        <v>0</v>
      </c>
      <c r="L697" t="n">
        <v>0</v>
      </c>
      <c r="M697" t="n">
        <v>0</v>
      </c>
      <c r="N697" t="n">
        <v>0</v>
      </c>
      <c r="O697" t="n">
        <v>0</v>
      </c>
      <c r="P697" t="n">
        <v>0</v>
      </c>
      <c r="Q697" t="n">
        <v>0</v>
      </c>
      <c r="R697" s="2" t="inlineStr"/>
    </row>
    <row r="698" ht="15" customHeight="1">
      <c r="A698" t="inlineStr">
        <is>
          <t>A 11617-2026</t>
        </is>
      </c>
      <c r="B698" s="1" t="n">
        <v>46084</v>
      </c>
      <c r="C698" s="1" t="n">
        <v>46161</v>
      </c>
      <c r="D698" t="inlineStr">
        <is>
          <t>VÄSTMANLANDS LÄN</t>
        </is>
      </c>
      <c r="E698" t="inlineStr">
        <is>
          <t>SALA</t>
        </is>
      </c>
      <c r="F698" t="inlineStr">
        <is>
          <t>Kyrkan</t>
        </is>
      </c>
      <c r="G698" t="n">
        <v>3.7</v>
      </c>
      <c r="H698" t="n">
        <v>0</v>
      </c>
      <c r="I698" t="n">
        <v>0</v>
      </c>
      <c r="J698" t="n">
        <v>0</v>
      </c>
      <c r="K698" t="n">
        <v>0</v>
      </c>
      <c r="L698" t="n">
        <v>0</v>
      </c>
      <c r="M698" t="n">
        <v>0</v>
      </c>
      <c r="N698" t="n">
        <v>0</v>
      </c>
      <c r="O698" t="n">
        <v>0</v>
      </c>
      <c r="P698" t="n">
        <v>0</v>
      </c>
      <c r="Q698" t="n">
        <v>0</v>
      </c>
      <c r="R698" s="2" t="inlineStr"/>
    </row>
    <row r="699" ht="15" customHeight="1">
      <c r="A699" t="inlineStr">
        <is>
          <t>A 15630-2026</t>
        </is>
      </c>
      <c r="B699" s="1" t="n">
        <v>46106.62283564815</v>
      </c>
      <c r="C699" s="1" t="n">
        <v>46161</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46161</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33309-2022</t>
        </is>
      </c>
      <c r="B701" s="1" t="n">
        <v>44788.40986111111</v>
      </c>
      <c r="C701" s="1" t="n">
        <v>46161</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47909-2022</t>
        </is>
      </c>
      <c r="B702" s="1" t="n">
        <v>44855</v>
      </c>
      <c r="C702" s="1" t="n">
        <v>46161</v>
      </c>
      <c r="D702" t="inlineStr">
        <is>
          <t>VÄSTMANLANDS LÄN</t>
        </is>
      </c>
      <c r="E702" t="inlineStr">
        <is>
          <t>SALA</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15272-2025</t>
        </is>
      </c>
      <c r="B703" s="1" t="n">
        <v>45744</v>
      </c>
      <c r="C703" s="1" t="n">
        <v>46161</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11183-2023</t>
        </is>
      </c>
      <c r="B704" s="1" t="n">
        <v>44992.57782407408</v>
      </c>
      <c r="C704" s="1" t="n">
        <v>46161</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11190-2023</t>
        </is>
      </c>
      <c r="B705" s="1" t="n">
        <v>44992</v>
      </c>
      <c r="C705" s="1" t="n">
        <v>46161</v>
      </c>
      <c r="D705" t="inlineStr">
        <is>
          <t>VÄSTMANLANDS LÄN</t>
        </is>
      </c>
      <c r="E705" t="inlineStr">
        <is>
          <t>SALA</t>
        </is>
      </c>
      <c r="G705" t="n">
        <v>1</v>
      </c>
      <c r="H705" t="n">
        <v>0</v>
      </c>
      <c r="I705" t="n">
        <v>0</v>
      </c>
      <c r="J705" t="n">
        <v>0</v>
      </c>
      <c r="K705" t="n">
        <v>0</v>
      </c>
      <c r="L705" t="n">
        <v>0</v>
      </c>
      <c r="M705" t="n">
        <v>0</v>
      </c>
      <c r="N705" t="n">
        <v>0</v>
      </c>
      <c r="O705" t="n">
        <v>0</v>
      </c>
      <c r="P705" t="n">
        <v>0</v>
      </c>
      <c r="Q705" t="n">
        <v>0</v>
      </c>
      <c r="R705" s="2" t="inlineStr"/>
    </row>
    <row r="706" ht="15" customHeight="1">
      <c r="A706" t="inlineStr">
        <is>
          <t>A 53838-2022</t>
        </is>
      </c>
      <c r="B706" s="1" t="n">
        <v>44880.59363425926</v>
      </c>
      <c r="C706" s="1" t="n">
        <v>46161</v>
      </c>
      <c r="D706" t="inlineStr">
        <is>
          <t>VÄSTMANLANDS LÄN</t>
        </is>
      </c>
      <c r="E706" t="inlineStr">
        <is>
          <t>SALA</t>
        </is>
      </c>
      <c r="G706" t="n">
        <v>3.9</v>
      </c>
      <c r="H706" t="n">
        <v>0</v>
      </c>
      <c r="I706" t="n">
        <v>0</v>
      </c>
      <c r="J706" t="n">
        <v>0</v>
      </c>
      <c r="K706" t="n">
        <v>0</v>
      </c>
      <c r="L706" t="n">
        <v>0</v>
      </c>
      <c r="M706" t="n">
        <v>0</v>
      </c>
      <c r="N706" t="n">
        <v>0</v>
      </c>
      <c r="O706" t="n">
        <v>0</v>
      </c>
      <c r="P706" t="n">
        <v>0</v>
      </c>
      <c r="Q706" t="n">
        <v>0</v>
      </c>
      <c r="R706" s="2" t="inlineStr"/>
    </row>
    <row r="707" ht="15" customHeight="1">
      <c r="A707" t="inlineStr">
        <is>
          <t>A 53166-2024</t>
        </is>
      </c>
      <c r="B707" s="1" t="n">
        <v>45611</v>
      </c>
      <c r="C707" s="1" t="n">
        <v>46161</v>
      </c>
      <c r="D707" t="inlineStr">
        <is>
          <t>VÄSTMANLANDS LÄN</t>
        </is>
      </c>
      <c r="E707" t="inlineStr">
        <is>
          <t>SALA</t>
        </is>
      </c>
      <c r="G707" t="n">
        <v>1.5</v>
      </c>
      <c r="H707" t="n">
        <v>0</v>
      </c>
      <c r="I707" t="n">
        <v>0</v>
      </c>
      <c r="J707" t="n">
        <v>0</v>
      </c>
      <c r="K707" t="n">
        <v>0</v>
      </c>
      <c r="L707" t="n">
        <v>0</v>
      </c>
      <c r="M707" t="n">
        <v>0</v>
      </c>
      <c r="N707" t="n">
        <v>0</v>
      </c>
      <c r="O707" t="n">
        <v>0</v>
      </c>
      <c r="P707" t="n">
        <v>0</v>
      </c>
      <c r="Q707" t="n">
        <v>0</v>
      </c>
      <c r="R707" s="2" t="inlineStr"/>
    </row>
    <row r="708" ht="15" customHeight="1">
      <c r="A708" t="inlineStr">
        <is>
          <t>A 15823-2026</t>
        </is>
      </c>
      <c r="B708" s="1" t="n">
        <v>46107.54096064815</v>
      </c>
      <c r="C708" s="1" t="n">
        <v>46161</v>
      </c>
      <c r="D708" t="inlineStr">
        <is>
          <t>VÄSTMANLANDS LÄN</t>
        </is>
      </c>
      <c r="E708" t="inlineStr">
        <is>
          <t>SALA</t>
        </is>
      </c>
      <c r="G708" t="n">
        <v>1</v>
      </c>
      <c r="H708" t="n">
        <v>0</v>
      </c>
      <c r="I708" t="n">
        <v>0</v>
      </c>
      <c r="J708" t="n">
        <v>0</v>
      </c>
      <c r="K708" t="n">
        <v>0</v>
      </c>
      <c r="L708" t="n">
        <v>0</v>
      </c>
      <c r="M708" t="n">
        <v>0</v>
      </c>
      <c r="N708" t="n">
        <v>0</v>
      </c>
      <c r="O708" t="n">
        <v>0</v>
      </c>
      <c r="P708" t="n">
        <v>0</v>
      </c>
      <c r="Q708" t="n">
        <v>0</v>
      </c>
      <c r="R708" s="2" t="inlineStr"/>
    </row>
    <row r="709" ht="15" customHeight="1">
      <c r="A709" t="inlineStr">
        <is>
          <t>A 28827-2022</t>
        </is>
      </c>
      <c r="B709" s="1" t="n">
        <v>44749.45561342593</v>
      </c>
      <c r="C709" s="1" t="n">
        <v>46161</v>
      </c>
      <c r="D709" t="inlineStr">
        <is>
          <t>VÄSTMANLANDS LÄN</t>
        </is>
      </c>
      <c r="E709" t="inlineStr">
        <is>
          <t>SALA</t>
        </is>
      </c>
      <c r="F709" t="inlineStr">
        <is>
          <t>Kommuner</t>
        </is>
      </c>
      <c r="G709" t="n">
        <v>11.9</v>
      </c>
      <c r="H709" t="n">
        <v>0</v>
      </c>
      <c r="I709" t="n">
        <v>0</v>
      </c>
      <c r="J709" t="n">
        <v>0</v>
      </c>
      <c r="K709" t="n">
        <v>0</v>
      </c>
      <c r="L709" t="n">
        <v>0</v>
      </c>
      <c r="M709" t="n">
        <v>0</v>
      </c>
      <c r="N709" t="n">
        <v>0</v>
      </c>
      <c r="O709" t="n">
        <v>0</v>
      </c>
      <c r="P709" t="n">
        <v>0</v>
      </c>
      <c r="Q709" t="n">
        <v>0</v>
      </c>
      <c r="R709" s="2" t="inlineStr"/>
    </row>
    <row r="710" ht="15" customHeight="1">
      <c r="A710" t="inlineStr">
        <is>
          <t>A 17866-2025</t>
        </is>
      </c>
      <c r="B710" s="1" t="n">
        <v>45758</v>
      </c>
      <c r="C710" s="1" t="n">
        <v>46161</v>
      </c>
      <c r="D710" t="inlineStr">
        <is>
          <t>VÄSTMANLANDS LÄN</t>
        </is>
      </c>
      <c r="E710" t="inlineStr">
        <is>
          <t>SALA</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54836-2024</t>
        </is>
      </c>
      <c r="B711" s="1" t="n">
        <v>45618</v>
      </c>
      <c r="C711" s="1" t="n">
        <v>46161</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64729-2023</t>
        </is>
      </c>
      <c r="B712" s="1" t="n">
        <v>45281</v>
      </c>
      <c r="C712" s="1" t="n">
        <v>46161</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10585-2022</t>
        </is>
      </c>
      <c r="B713" s="1" t="n">
        <v>44624</v>
      </c>
      <c r="C713" s="1" t="n">
        <v>46161</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46161</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31609-2024</t>
        </is>
      </c>
      <c r="B715" s="1" t="n">
        <v>45506</v>
      </c>
      <c r="C715" s="1" t="n">
        <v>46161</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56057-2023</t>
        </is>
      </c>
      <c r="B716" s="1" t="n">
        <v>45233</v>
      </c>
      <c r="C716" s="1" t="n">
        <v>46161</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16354-2026</t>
        </is>
      </c>
      <c r="B717" s="1" t="n">
        <v>46111.5968287037</v>
      </c>
      <c r="C717" s="1" t="n">
        <v>46161</v>
      </c>
      <c r="D717" t="inlineStr">
        <is>
          <t>VÄSTMANLANDS LÄN</t>
        </is>
      </c>
      <c r="E717" t="inlineStr">
        <is>
          <t>SALA</t>
        </is>
      </c>
      <c r="G717" t="n">
        <v>5.2</v>
      </c>
      <c r="H717" t="n">
        <v>0</v>
      </c>
      <c r="I717" t="n">
        <v>0</v>
      </c>
      <c r="J717" t="n">
        <v>0</v>
      </c>
      <c r="K717" t="n">
        <v>0</v>
      </c>
      <c r="L717" t="n">
        <v>0</v>
      </c>
      <c r="M717" t="n">
        <v>0</v>
      </c>
      <c r="N717" t="n">
        <v>0</v>
      </c>
      <c r="O717" t="n">
        <v>0</v>
      </c>
      <c r="P717" t="n">
        <v>0</v>
      </c>
      <c r="Q717" t="n">
        <v>0</v>
      </c>
      <c r="R717" s="2" t="inlineStr"/>
    </row>
    <row r="718" ht="15" customHeight="1">
      <c r="A718" t="inlineStr">
        <is>
          <t>A 16367-2026</t>
        </is>
      </c>
      <c r="B718" s="1" t="n">
        <v>46111.61380787037</v>
      </c>
      <c r="C718" s="1" t="n">
        <v>46161</v>
      </c>
      <c r="D718" t="inlineStr">
        <is>
          <t>VÄSTMANLANDS LÄN</t>
        </is>
      </c>
      <c r="E718" t="inlineStr">
        <is>
          <t>SALA</t>
        </is>
      </c>
      <c r="G718" t="n">
        <v>1</v>
      </c>
      <c r="H718" t="n">
        <v>0</v>
      </c>
      <c r="I718" t="n">
        <v>0</v>
      </c>
      <c r="J718" t="n">
        <v>0</v>
      </c>
      <c r="K718" t="n">
        <v>0</v>
      </c>
      <c r="L718" t="n">
        <v>0</v>
      </c>
      <c r="M718" t="n">
        <v>0</v>
      </c>
      <c r="N718" t="n">
        <v>0</v>
      </c>
      <c r="O718" t="n">
        <v>0</v>
      </c>
      <c r="P718" t="n">
        <v>0</v>
      </c>
      <c r="Q718" t="n">
        <v>0</v>
      </c>
      <c r="R718" s="2" t="inlineStr"/>
    </row>
    <row r="719" ht="15" customHeight="1">
      <c r="A719" t="inlineStr">
        <is>
          <t>A 62635-2022</t>
        </is>
      </c>
      <c r="B719" s="1" t="n">
        <v>44917</v>
      </c>
      <c r="C719" s="1" t="n">
        <v>46161</v>
      </c>
      <c r="D719" t="inlineStr">
        <is>
          <t>VÄSTMANLANDS LÄN</t>
        </is>
      </c>
      <c r="E719" t="inlineStr">
        <is>
          <t>SALA</t>
        </is>
      </c>
      <c r="G719" t="n">
        <v>0.4</v>
      </c>
      <c r="H719" t="n">
        <v>0</v>
      </c>
      <c r="I719" t="n">
        <v>0</v>
      </c>
      <c r="J719" t="n">
        <v>0</v>
      </c>
      <c r="K719" t="n">
        <v>0</v>
      </c>
      <c r="L719" t="n">
        <v>0</v>
      </c>
      <c r="M719" t="n">
        <v>0</v>
      </c>
      <c r="N719" t="n">
        <v>0</v>
      </c>
      <c r="O719" t="n">
        <v>0</v>
      </c>
      <c r="P719" t="n">
        <v>0</v>
      </c>
      <c r="Q719" t="n">
        <v>0</v>
      </c>
      <c r="R719" s="2" t="inlineStr"/>
    </row>
    <row r="720" ht="15" customHeight="1">
      <c r="A720" t="inlineStr">
        <is>
          <t>A 4852-2023</t>
        </is>
      </c>
      <c r="B720" s="1" t="n">
        <v>44957.72496527778</v>
      </c>
      <c r="C720" s="1" t="n">
        <v>46161</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39714-2023</t>
        </is>
      </c>
      <c r="B721" s="1" t="n">
        <v>45167.62133101852</v>
      </c>
      <c r="C721" s="1" t="n">
        <v>46161</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16369-2026</t>
        </is>
      </c>
      <c r="B722" s="1" t="n">
        <v>46111</v>
      </c>
      <c r="C722" s="1" t="n">
        <v>46161</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42984-2023</t>
        </is>
      </c>
      <c r="B723" s="1" t="n">
        <v>45179</v>
      </c>
      <c r="C723" s="1" t="n">
        <v>46161</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16598-2026</t>
        </is>
      </c>
      <c r="B724" s="1" t="n">
        <v>46112.59598379629</v>
      </c>
      <c r="C724" s="1" t="n">
        <v>46161</v>
      </c>
      <c r="D724" t="inlineStr">
        <is>
          <t>VÄSTMANLANDS LÄN</t>
        </is>
      </c>
      <c r="E724" t="inlineStr">
        <is>
          <t>SALA</t>
        </is>
      </c>
      <c r="G724" t="n">
        <v>1.5</v>
      </c>
      <c r="H724" t="n">
        <v>0</v>
      </c>
      <c r="I724" t="n">
        <v>0</v>
      </c>
      <c r="J724" t="n">
        <v>0</v>
      </c>
      <c r="K724" t="n">
        <v>0</v>
      </c>
      <c r="L724" t="n">
        <v>0</v>
      </c>
      <c r="M724" t="n">
        <v>0</v>
      </c>
      <c r="N724" t="n">
        <v>0</v>
      </c>
      <c r="O724" t="n">
        <v>0</v>
      </c>
      <c r="P724" t="n">
        <v>0</v>
      </c>
      <c r="Q724" t="n">
        <v>0</v>
      </c>
      <c r="R724" s="2" t="inlineStr"/>
    </row>
    <row r="725" ht="15" customHeight="1">
      <c r="A725" t="inlineStr">
        <is>
          <t>A 16364-2026</t>
        </is>
      </c>
      <c r="B725" s="1" t="n">
        <v>46111.6115625</v>
      </c>
      <c r="C725" s="1" t="n">
        <v>46161</v>
      </c>
      <c r="D725" t="inlineStr">
        <is>
          <t>VÄSTMANLANDS LÄN</t>
        </is>
      </c>
      <c r="E725" t="inlineStr">
        <is>
          <t>SALA</t>
        </is>
      </c>
      <c r="G725" t="n">
        <v>4.7</v>
      </c>
      <c r="H725" t="n">
        <v>0</v>
      </c>
      <c r="I725" t="n">
        <v>0</v>
      </c>
      <c r="J725" t="n">
        <v>0</v>
      </c>
      <c r="K725" t="n">
        <v>0</v>
      </c>
      <c r="L725" t="n">
        <v>0</v>
      </c>
      <c r="M725" t="n">
        <v>0</v>
      </c>
      <c r="N725" t="n">
        <v>0</v>
      </c>
      <c r="O725" t="n">
        <v>0</v>
      </c>
      <c r="P725" t="n">
        <v>0</v>
      </c>
      <c r="Q725" t="n">
        <v>0</v>
      </c>
      <c r="R725" s="2" t="inlineStr"/>
    </row>
    <row r="726" ht="15" customHeight="1">
      <c r="A726" t="inlineStr">
        <is>
          <t>A 56535-2022</t>
        </is>
      </c>
      <c r="B726" s="1" t="n">
        <v>44893.47173611111</v>
      </c>
      <c r="C726" s="1" t="n">
        <v>46161</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20838-2026</t>
        </is>
      </c>
      <c r="B727" s="1" t="n">
        <v>46142.34188657408</v>
      </c>
      <c r="C727" s="1" t="n">
        <v>46161</v>
      </c>
      <c r="D727" t="inlineStr">
        <is>
          <t>VÄSTMANLANDS LÄN</t>
        </is>
      </c>
      <c r="E727" t="inlineStr">
        <is>
          <t>SALA</t>
        </is>
      </c>
      <c r="G727" t="n">
        <v>1.7</v>
      </c>
      <c r="H727" t="n">
        <v>0</v>
      </c>
      <c r="I727" t="n">
        <v>0</v>
      </c>
      <c r="J727" t="n">
        <v>0</v>
      </c>
      <c r="K727" t="n">
        <v>0</v>
      </c>
      <c r="L727" t="n">
        <v>0</v>
      </c>
      <c r="M727" t="n">
        <v>0</v>
      </c>
      <c r="N727" t="n">
        <v>0</v>
      </c>
      <c r="O727" t="n">
        <v>0</v>
      </c>
      <c r="P727" t="n">
        <v>0</v>
      </c>
      <c r="Q727" t="n">
        <v>0</v>
      </c>
      <c r="R727" s="2" t="inlineStr"/>
    </row>
    <row r="728" ht="15" customHeight="1">
      <c r="A728" t="inlineStr">
        <is>
          <t>A 60550-2024</t>
        </is>
      </c>
      <c r="B728" s="1" t="n">
        <v>45643</v>
      </c>
      <c r="C728" s="1" t="n">
        <v>46161</v>
      </c>
      <c r="D728" t="inlineStr">
        <is>
          <t>VÄSTMANLANDS LÄN</t>
        </is>
      </c>
      <c r="E728" t="inlineStr">
        <is>
          <t>SALA</t>
        </is>
      </c>
      <c r="G728" t="n">
        <v>0.6</v>
      </c>
      <c r="H728" t="n">
        <v>0</v>
      </c>
      <c r="I728" t="n">
        <v>0</v>
      </c>
      <c r="J728" t="n">
        <v>0</v>
      </c>
      <c r="K728" t="n">
        <v>0</v>
      </c>
      <c r="L728" t="n">
        <v>0</v>
      </c>
      <c r="M728" t="n">
        <v>0</v>
      </c>
      <c r="N728" t="n">
        <v>0</v>
      </c>
      <c r="O728" t="n">
        <v>0</v>
      </c>
      <c r="P728" t="n">
        <v>0</v>
      </c>
      <c r="Q728" t="n">
        <v>0</v>
      </c>
      <c r="R728" s="2" t="inlineStr"/>
    </row>
    <row r="729" ht="15" customHeight="1">
      <c r="A729" t="inlineStr">
        <is>
          <t>A 13746-2025</t>
        </is>
      </c>
      <c r="B729" s="1" t="n">
        <v>45737.40944444444</v>
      </c>
      <c r="C729" s="1" t="n">
        <v>46161</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29230-2022</t>
        </is>
      </c>
      <c r="B730" s="1" t="n">
        <v>44750</v>
      </c>
      <c r="C730" s="1" t="n">
        <v>46161</v>
      </c>
      <c r="D730" t="inlineStr">
        <is>
          <t>VÄSTMANLANDS LÄN</t>
        </is>
      </c>
      <c r="E730" t="inlineStr">
        <is>
          <t>SALA</t>
        </is>
      </c>
      <c r="G730" t="n">
        <v>1.1</v>
      </c>
      <c r="H730" t="n">
        <v>0</v>
      </c>
      <c r="I730" t="n">
        <v>0</v>
      </c>
      <c r="J730" t="n">
        <v>0</v>
      </c>
      <c r="K730" t="n">
        <v>0</v>
      </c>
      <c r="L730" t="n">
        <v>0</v>
      </c>
      <c r="M730" t="n">
        <v>0</v>
      </c>
      <c r="N730" t="n">
        <v>0</v>
      </c>
      <c r="O730" t="n">
        <v>0</v>
      </c>
      <c r="P730" t="n">
        <v>0</v>
      </c>
      <c r="Q730" t="n">
        <v>0</v>
      </c>
      <c r="R730" s="2" t="inlineStr"/>
    </row>
    <row r="731" ht="15" customHeight="1">
      <c r="A731" t="inlineStr">
        <is>
          <t>A 59175-2022</t>
        </is>
      </c>
      <c r="B731" s="1" t="n">
        <v>44904.48502314815</v>
      </c>
      <c r="C731" s="1" t="n">
        <v>46161</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19381-2025</t>
        </is>
      </c>
      <c r="B732" s="1" t="n">
        <v>45769</v>
      </c>
      <c r="C732" s="1" t="n">
        <v>46161</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42938-2023</t>
        </is>
      </c>
      <c r="B733" s="1" t="n">
        <v>45179</v>
      </c>
      <c r="C733" s="1" t="n">
        <v>46161</v>
      </c>
      <c r="D733" t="inlineStr">
        <is>
          <t>VÄSTMANLANDS LÄN</t>
        </is>
      </c>
      <c r="E733" t="inlineStr">
        <is>
          <t>SALA</t>
        </is>
      </c>
      <c r="G733" t="n">
        <v>10.9</v>
      </c>
      <c r="H733" t="n">
        <v>0</v>
      </c>
      <c r="I733" t="n">
        <v>0</v>
      </c>
      <c r="J733" t="n">
        <v>0</v>
      </c>
      <c r="K733" t="n">
        <v>0</v>
      </c>
      <c r="L733" t="n">
        <v>0</v>
      </c>
      <c r="M733" t="n">
        <v>0</v>
      </c>
      <c r="N733" t="n">
        <v>0</v>
      </c>
      <c r="O733" t="n">
        <v>0</v>
      </c>
      <c r="P733" t="n">
        <v>0</v>
      </c>
      <c r="Q733" t="n">
        <v>0</v>
      </c>
      <c r="R733" s="2" t="inlineStr"/>
    </row>
    <row r="734" ht="15" customHeight="1">
      <c r="A734" t="inlineStr">
        <is>
          <t>A 19222-2025</t>
        </is>
      </c>
      <c r="B734" s="1" t="n">
        <v>45769</v>
      </c>
      <c r="C734" s="1" t="n">
        <v>46161</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19241-2025</t>
        </is>
      </c>
      <c r="B735" s="1" t="n">
        <v>45769</v>
      </c>
      <c r="C735" s="1" t="n">
        <v>46161</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22869-2026</t>
        </is>
      </c>
      <c r="B736" s="1" t="n">
        <v>46160.43599537037</v>
      </c>
      <c r="C736" s="1" t="n">
        <v>46161</v>
      </c>
      <c r="D736" t="inlineStr">
        <is>
          <t>VÄSTMANLANDS LÄN</t>
        </is>
      </c>
      <c r="E736" t="inlineStr">
        <is>
          <t>SALA</t>
        </is>
      </c>
      <c r="G736" t="n">
        <v>0.9</v>
      </c>
      <c r="H736" t="n">
        <v>0</v>
      </c>
      <c r="I736" t="n">
        <v>0</v>
      </c>
      <c r="J736" t="n">
        <v>0</v>
      </c>
      <c r="K736" t="n">
        <v>0</v>
      </c>
      <c r="L736" t="n">
        <v>0</v>
      </c>
      <c r="M736" t="n">
        <v>0</v>
      </c>
      <c r="N736" t="n">
        <v>0</v>
      </c>
      <c r="O736" t="n">
        <v>0</v>
      </c>
      <c r="P736" t="n">
        <v>0</v>
      </c>
      <c r="Q736" t="n">
        <v>0</v>
      </c>
      <c r="R736" s="2" t="inlineStr"/>
    </row>
    <row r="737" ht="15" customHeight="1">
      <c r="A737" t="inlineStr">
        <is>
          <t>A 60823-2024</t>
        </is>
      </c>
      <c r="B737" s="1" t="n">
        <v>45644</v>
      </c>
      <c r="C737" s="1" t="n">
        <v>46161</v>
      </c>
      <c r="D737" t="inlineStr">
        <is>
          <t>VÄSTMANLANDS LÄN</t>
        </is>
      </c>
      <c r="E737" t="inlineStr">
        <is>
          <t>SALA</t>
        </is>
      </c>
      <c r="G737" t="n">
        <v>0.6</v>
      </c>
      <c r="H737" t="n">
        <v>0</v>
      </c>
      <c r="I737" t="n">
        <v>0</v>
      </c>
      <c r="J737" t="n">
        <v>0</v>
      </c>
      <c r="K737" t="n">
        <v>0</v>
      </c>
      <c r="L737" t="n">
        <v>0</v>
      </c>
      <c r="M737" t="n">
        <v>0</v>
      </c>
      <c r="N737" t="n">
        <v>0</v>
      </c>
      <c r="O737" t="n">
        <v>0</v>
      </c>
      <c r="P737" t="n">
        <v>0</v>
      </c>
      <c r="Q737" t="n">
        <v>0</v>
      </c>
      <c r="R737" s="2" t="inlineStr"/>
    </row>
    <row r="738" ht="15" customHeight="1">
      <c r="A738" t="inlineStr">
        <is>
          <t>A 61681-2024</t>
        </is>
      </c>
      <c r="B738" s="1" t="n">
        <v>45647</v>
      </c>
      <c r="C738" s="1" t="n">
        <v>46161</v>
      </c>
      <c r="D738" t="inlineStr">
        <is>
          <t>VÄSTMANLANDS LÄN</t>
        </is>
      </c>
      <c r="E738" t="inlineStr">
        <is>
          <t>SALA</t>
        </is>
      </c>
      <c r="F738" t="inlineStr">
        <is>
          <t>Kommuner</t>
        </is>
      </c>
      <c r="G738" t="n">
        <v>1</v>
      </c>
      <c r="H738" t="n">
        <v>0</v>
      </c>
      <c r="I738" t="n">
        <v>0</v>
      </c>
      <c r="J738" t="n">
        <v>0</v>
      </c>
      <c r="K738" t="n">
        <v>0</v>
      </c>
      <c r="L738" t="n">
        <v>0</v>
      </c>
      <c r="M738" t="n">
        <v>0</v>
      </c>
      <c r="N738" t="n">
        <v>0</v>
      </c>
      <c r="O738" t="n">
        <v>0</v>
      </c>
      <c r="P738" t="n">
        <v>0</v>
      </c>
      <c r="Q738" t="n">
        <v>0</v>
      </c>
      <c r="R738" s="2" t="inlineStr"/>
    </row>
    <row r="739" ht="15" customHeight="1">
      <c r="A739" t="inlineStr">
        <is>
          <t>A 49661-2024</t>
        </is>
      </c>
      <c r="B739" s="1" t="n">
        <v>45596</v>
      </c>
      <c r="C739" s="1" t="n">
        <v>46161</v>
      </c>
      <c r="D739" t="inlineStr">
        <is>
          <t>VÄSTMANLANDS LÄN</t>
        </is>
      </c>
      <c r="E739" t="inlineStr">
        <is>
          <t>SALA</t>
        </is>
      </c>
      <c r="G739" t="n">
        <v>6.7</v>
      </c>
      <c r="H739" t="n">
        <v>0</v>
      </c>
      <c r="I739" t="n">
        <v>0</v>
      </c>
      <c r="J739" t="n">
        <v>0</v>
      </c>
      <c r="K739" t="n">
        <v>0</v>
      </c>
      <c r="L739" t="n">
        <v>0</v>
      </c>
      <c r="M739" t="n">
        <v>0</v>
      </c>
      <c r="N739" t="n">
        <v>0</v>
      </c>
      <c r="O739" t="n">
        <v>0</v>
      </c>
      <c r="P739" t="n">
        <v>0</v>
      </c>
      <c r="Q739" t="n">
        <v>0</v>
      </c>
      <c r="R739" s="2" t="inlineStr"/>
    </row>
    <row r="740" ht="15" customHeight="1">
      <c r="A740" t="inlineStr">
        <is>
          <t>A 59297-2023</t>
        </is>
      </c>
      <c r="B740" s="1" t="n">
        <v>45253</v>
      </c>
      <c r="C740" s="1" t="n">
        <v>46161</v>
      </c>
      <c r="D740" t="inlineStr">
        <is>
          <t>VÄSTMANLANDS LÄN</t>
        </is>
      </c>
      <c r="E740" t="inlineStr">
        <is>
          <t>SALA</t>
        </is>
      </c>
      <c r="G740" t="n">
        <v>2</v>
      </c>
      <c r="H740" t="n">
        <v>0</v>
      </c>
      <c r="I740" t="n">
        <v>0</v>
      </c>
      <c r="J740" t="n">
        <v>0</v>
      </c>
      <c r="K740" t="n">
        <v>0</v>
      </c>
      <c r="L740" t="n">
        <v>0</v>
      </c>
      <c r="M740" t="n">
        <v>0</v>
      </c>
      <c r="N740" t="n">
        <v>0</v>
      </c>
      <c r="O740" t="n">
        <v>0</v>
      </c>
      <c r="P740" t="n">
        <v>0</v>
      </c>
      <c r="Q740" t="n">
        <v>0</v>
      </c>
      <c r="R740" s="2" t="inlineStr"/>
    </row>
    <row r="741" ht="15" customHeight="1">
      <c r="A741" t="inlineStr">
        <is>
          <t>A 15965-2024</t>
        </is>
      </c>
      <c r="B741" s="1" t="n">
        <v>45405.55740740741</v>
      </c>
      <c r="C741" s="1" t="n">
        <v>46161</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23180-2022</t>
        </is>
      </c>
      <c r="B742" s="1" t="n">
        <v>44719.79344907407</v>
      </c>
      <c r="C742" s="1" t="n">
        <v>46161</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21455-2023</t>
        </is>
      </c>
      <c r="B743" s="1" t="n">
        <v>45058</v>
      </c>
      <c r="C743" s="1" t="n">
        <v>46161</v>
      </c>
      <c r="D743" t="inlineStr">
        <is>
          <t>VÄSTMANLANDS LÄN</t>
        </is>
      </c>
      <c r="E743" t="inlineStr">
        <is>
          <t>SALA</t>
        </is>
      </c>
      <c r="G743" t="n">
        <v>6.4</v>
      </c>
      <c r="H743" t="n">
        <v>0</v>
      </c>
      <c r="I743" t="n">
        <v>0</v>
      </c>
      <c r="J743" t="n">
        <v>0</v>
      </c>
      <c r="K743" t="n">
        <v>0</v>
      </c>
      <c r="L743" t="n">
        <v>0</v>
      </c>
      <c r="M743" t="n">
        <v>0</v>
      </c>
      <c r="N743" t="n">
        <v>0</v>
      </c>
      <c r="O743" t="n">
        <v>0</v>
      </c>
      <c r="P743" t="n">
        <v>0</v>
      </c>
      <c r="Q743" t="n">
        <v>0</v>
      </c>
      <c r="R743" s="2" t="inlineStr"/>
    </row>
    <row r="744" ht="15" customHeight="1">
      <c r="A744" t="inlineStr">
        <is>
          <t>A 21053-2022</t>
        </is>
      </c>
      <c r="B744" s="1" t="n">
        <v>44704</v>
      </c>
      <c r="C744" s="1" t="n">
        <v>46161</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11927-2025</t>
        </is>
      </c>
      <c r="B745" s="1" t="n">
        <v>45728.5137962963</v>
      </c>
      <c r="C745" s="1" t="n">
        <v>46161</v>
      </c>
      <c r="D745" t="inlineStr">
        <is>
          <t>VÄSTMANLANDS LÄN</t>
        </is>
      </c>
      <c r="E745" t="inlineStr">
        <is>
          <t>SALA</t>
        </is>
      </c>
      <c r="G745" t="n">
        <v>0.7</v>
      </c>
      <c r="H745" t="n">
        <v>0</v>
      </c>
      <c r="I745" t="n">
        <v>0</v>
      </c>
      <c r="J745" t="n">
        <v>0</v>
      </c>
      <c r="K745" t="n">
        <v>0</v>
      </c>
      <c r="L745" t="n">
        <v>0</v>
      </c>
      <c r="M745" t="n">
        <v>0</v>
      </c>
      <c r="N745" t="n">
        <v>0</v>
      </c>
      <c r="O745" t="n">
        <v>0</v>
      </c>
      <c r="P745" t="n">
        <v>0</v>
      </c>
      <c r="Q745" t="n">
        <v>0</v>
      </c>
      <c r="R745" s="2" t="inlineStr"/>
    </row>
    <row r="746" ht="15" customHeight="1">
      <c r="A746" t="inlineStr">
        <is>
          <t>A 50876-2023</t>
        </is>
      </c>
      <c r="B746" s="1" t="n">
        <v>45211</v>
      </c>
      <c r="C746" s="1" t="n">
        <v>46161</v>
      </c>
      <c r="D746" t="inlineStr">
        <is>
          <t>VÄSTMANLANDS LÄN</t>
        </is>
      </c>
      <c r="E746" t="inlineStr">
        <is>
          <t>SALA</t>
        </is>
      </c>
      <c r="G746" t="n">
        <v>1.9</v>
      </c>
      <c r="H746" t="n">
        <v>0</v>
      </c>
      <c r="I746" t="n">
        <v>0</v>
      </c>
      <c r="J746" t="n">
        <v>0</v>
      </c>
      <c r="K746" t="n">
        <v>0</v>
      </c>
      <c r="L746" t="n">
        <v>0</v>
      </c>
      <c r="M746" t="n">
        <v>0</v>
      </c>
      <c r="N746" t="n">
        <v>0</v>
      </c>
      <c r="O746" t="n">
        <v>0</v>
      </c>
      <c r="P746" t="n">
        <v>0</v>
      </c>
      <c r="Q746" t="n">
        <v>0</v>
      </c>
      <c r="R746" s="2" t="inlineStr"/>
    </row>
    <row r="747" ht="15" customHeight="1">
      <c r="A747" t="inlineStr">
        <is>
          <t>A 10255-2024</t>
        </is>
      </c>
      <c r="B747" s="1" t="n">
        <v>45365</v>
      </c>
      <c r="C747" s="1" t="n">
        <v>46161</v>
      </c>
      <c r="D747" t="inlineStr">
        <is>
          <t>VÄSTMANLANDS LÄN</t>
        </is>
      </c>
      <c r="E747" t="inlineStr">
        <is>
          <t>SALA</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62648-2022</t>
        </is>
      </c>
      <c r="B748" s="1" t="n">
        <v>44917</v>
      </c>
      <c r="C748" s="1" t="n">
        <v>46161</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56548-2024</t>
        </is>
      </c>
      <c r="B749" s="1" t="n">
        <v>45625</v>
      </c>
      <c r="C749" s="1" t="n">
        <v>46161</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5477-2024</t>
        </is>
      </c>
      <c r="B750" s="1" t="n">
        <v>45333.67833333334</v>
      </c>
      <c r="C750" s="1" t="n">
        <v>46161</v>
      </c>
      <c r="D750" t="inlineStr">
        <is>
          <t>VÄSTMANLANDS LÄN</t>
        </is>
      </c>
      <c r="E750" t="inlineStr">
        <is>
          <t>SALA</t>
        </is>
      </c>
      <c r="G750" t="n">
        <v>2.3</v>
      </c>
      <c r="H750" t="n">
        <v>0</v>
      </c>
      <c r="I750" t="n">
        <v>0</v>
      </c>
      <c r="J750" t="n">
        <v>0</v>
      </c>
      <c r="K750" t="n">
        <v>0</v>
      </c>
      <c r="L750" t="n">
        <v>0</v>
      </c>
      <c r="M750" t="n">
        <v>0</v>
      </c>
      <c r="N750" t="n">
        <v>0</v>
      </c>
      <c r="O750" t="n">
        <v>0</v>
      </c>
      <c r="P750" t="n">
        <v>0</v>
      </c>
      <c r="Q750" t="n">
        <v>0</v>
      </c>
      <c r="R750" s="2" t="inlineStr"/>
    </row>
    <row r="751" ht="15" customHeight="1">
      <c r="A751" t="inlineStr">
        <is>
          <t>A 39451-2022</t>
        </is>
      </c>
      <c r="B751" s="1" t="n">
        <v>44818.36606481481</v>
      </c>
      <c r="C751" s="1" t="n">
        <v>46161</v>
      </c>
      <c r="D751" t="inlineStr">
        <is>
          <t>VÄSTMANLANDS LÄN</t>
        </is>
      </c>
      <c r="E751" t="inlineStr">
        <is>
          <t>SALA</t>
        </is>
      </c>
      <c r="G751" t="n">
        <v>9.4</v>
      </c>
      <c r="H751" t="n">
        <v>0</v>
      </c>
      <c r="I751" t="n">
        <v>0</v>
      </c>
      <c r="J751" t="n">
        <v>0</v>
      </c>
      <c r="K751" t="n">
        <v>0</v>
      </c>
      <c r="L751" t="n">
        <v>0</v>
      </c>
      <c r="M751" t="n">
        <v>0</v>
      </c>
      <c r="N751" t="n">
        <v>0</v>
      </c>
      <c r="O751" t="n">
        <v>0</v>
      </c>
      <c r="P751" t="n">
        <v>0</v>
      </c>
      <c r="Q751" t="n">
        <v>0</v>
      </c>
      <c r="R751" s="2" t="inlineStr"/>
    </row>
    <row r="752" ht="15" customHeight="1">
      <c r="A752" t="inlineStr">
        <is>
          <t>A 7772-2023</t>
        </is>
      </c>
      <c r="B752" s="1" t="n">
        <v>44973.40076388889</v>
      </c>
      <c r="C752" s="1" t="n">
        <v>46161</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19751-2022</t>
        </is>
      </c>
      <c r="B753" s="1" t="n">
        <v>44694</v>
      </c>
      <c r="C753" s="1" t="n">
        <v>46161</v>
      </c>
      <c r="D753" t="inlineStr">
        <is>
          <t>VÄSTMANLANDS LÄN</t>
        </is>
      </c>
      <c r="E753" t="inlineStr">
        <is>
          <t>SALA</t>
        </is>
      </c>
      <c r="G753" t="n">
        <v>2.7</v>
      </c>
      <c r="H753" t="n">
        <v>0</v>
      </c>
      <c r="I753" t="n">
        <v>0</v>
      </c>
      <c r="J753" t="n">
        <v>0</v>
      </c>
      <c r="K753" t="n">
        <v>0</v>
      </c>
      <c r="L753" t="n">
        <v>0</v>
      </c>
      <c r="M753" t="n">
        <v>0</v>
      </c>
      <c r="N753" t="n">
        <v>0</v>
      </c>
      <c r="O753" t="n">
        <v>0</v>
      </c>
      <c r="P753" t="n">
        <v>0</v>
      </c>
      <c r="Q753" t="n">
        <v>0</v>
      </c>
      <c r="R753" s="2" t="inlineStr"/>
    </row>
    <row r="754" ht="15" customHeight="1">
      <c r="A754" t="inlineStr">
        <is>
          <t>A 44713-2023</t>
        </is>
      </c>
      <c r="B754" s="1" t="n">
        <v>45184</v>
      </c>
      <c r="C754" s="1" t="n">
        <v>46161</v>
      </c>
      <c r="D754" t="inlineStr">
        <is>
          <t>VÄSTMANLANDS LÄN</t>
        </is>
      </c>
      <c r="E754" t="inlineStr">
        <is>
          <t>SALA</t>
        </is>
      </c>
      <c r="F754" t="inlineStr">
        <is>
          <t>Kyrkan</t>
        </is>
      </c>
      <c r="G754" t="n">
        <v>7.6</v>
      </c>
      <c r="H754" t="n">
        <v>0</v>
      </c>
      <c r="I754" t="n">
        <v>0</v>
      </c>
      <c r="J754" t="n">
        <v>0</v>
      </c>
      <c r="K754" t="n">
        <v>0</v>
      </c>
      <c r="L754" t="n">
        <v>0</v>
      </c>
      <c r="M754" t="n">
        <v>0</v>
      </c>
      <c r="N754" t="n">
        <v>0</v>
      </c>
      <c r="O754" t="n">
        <v>0</v>
      </c>
      <c r="P754" t="n">
        <v>0</v>
      </c>
      <c r="Q754" t="n">
        <v>0</v>
      </c>
      <c r="R754" s="2" t="inlineStr"/>
    </row>
    <row r="755" ht="15" customHeight="1">
      <c r="A755" t="inlineStr">
        <is>
          <t>A 18713-2025</t>
        </is>
      </c>
      <c r="B755" s="1" t="n">
        <v>45763</v>
      </c>
      <c r="C755" s="1" t="n">
        <v>46161</v>
      </c>
      <c r="D755" t="inlineStr">
        <is>
          <t>VÄSTMANLANDS LÄN</t>
        </is>
      </c>
      <c r="E755" t="inlineStr">
        <is>
          <t>SALA</t>
        </is>
      </c>
      <c r="F755" t="inlineStr">
        <is>
          <t>Bergvik skog öst AB</t>
        </is>
      </c>
      <c r="G755" t="n">
        <v>11.6</v>
      </c>
      <c r="H755" t="n">
        <v>0</v>
      </c>
      <c r="I755" t="n">
        <v>0</v>
      </c>
      <c r="J755" t="n">
        <v>0</v>
      </c>
      <c r="K755" t="n">
        <v>0</v>
      </c>
      <c r="L755" t="n">
        <v>0</v>
      </c>
      <c r="M755" t="n">
        <v>0</v>
      </c>
      <c r="N755" t="n">
        <v>0</v>
      </c>
      <c r="O755" t="n">
        <v>0</v>
      </c>
      <c r="P755" t="n">
        <v>0</v>
      </c>
      <c r="Q755" t="n">
        <v>0</v>
      </c>
      <c r="R755" s="2" t="inlineStr"/>
    </row>
    <row r="756" ht="15" customHeight="1">
      <c r="A756" t="inlineStr">
        <is>
          <t>A 47479-2024</t>
        </is>
      </c>
      <c r="B756" s="1" t="n">
        <v>45587</v>
      </c>
      <c r="C756" s="1" t="n">
        <v>46161</v>
      </c>
      <c r="D756" t="inlineStr">
        <is>
          <t>VÄSTMANLANDS LÄN</t>
        </is>
      </c>
      <c r="E756" t="inlineStr">
        <is>
          <t>SALA</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69236-2021</t>
        </is>
      </c>
      <c r="B757" s="1" t="n">
        <v>44531.4047337963</v>
      </c>
      <c r="C757" s="1" t="n">
        <v>46161</v>
      </c>
      <c r="D757" t="inlineStr">
        <is>
          <t>VÄSTMANLANDS LÄN</t>
        </is>
      </c>
      <c r="E757" t="inlineStr">
        <is>
          <t>SALA</t>
        </is>
      </c>
      <c r="G757" t="n">
        <v>2.8</v>
      </c>
      <c r="H757" t="n">
        <v>0</v>
      </c>
      <c r="I757" t="n">
        <v>0</v>
      </c>
      <c r="J757" t="n">
        <v>0</v>
      </c>
      <c r="K757" t="n">
        <v>0</v>
      </c>
      <c r="L757" t="n">
        <v>0</v>
      </c>
      <c r="M757" t="n">
        <v>0</v>
      </c>
      <c r="N757" t="n">
        <v>0</v>
      </c>
      <c r="O757" t="n">
        <v>0</v>
      </c>
      <c r="P757" t="n">
        <v>0</v>
      </c>
      <c r="Q757" t="n">
        <v>0</v>
      </c>
      <c r="R757" s="2" t="inlineStr"/>
    </row>
    <row r="758" ht="15" customHeight="1">
      <c r="A758" t="inlineStr">
        <is>
          <t>A 25541-2024</t>
        </is>
      </c>
      <c r="B758" s="1" t="n">
        <v>45463.56337962963</v>
      </c>
      <c r="C758" s="1" t="n">
        <v>46161</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5728-2022</t>
        </is>
      </c>
      <c r="B759" s="1" t="n">
        <v>44596.42082175926</v>
      </c>
      <c r="C759" s="1" t="n">
        <v>46161</v>
      </c>
      <c r="D759" t="inlineStr">
        <is>
          <t>VÄSTMANLANDS LÄN</t>
        </is>
      </c>
      <c r="E759" t="inlineStr">
        <is>
          <t>SALA</t>
        </is>
      </c>
      <c r="G759" t="n">
        <v>1.7</v>
      </c>
      <c r="H759" t="n">
        <v>0</v>
      </c>
      <c r="I759" t="n">
        <v>0</v>
      </c>
      <c r="J759" t="n">
        <v>0</v>
      </c>
      <c r="K759" t="n">
        <v>0</v>
      </c>
      <c r="L759" t="n">
        <v>0</v>
      </c>
      <c r="M759" t="n">
        <v>0</v>
      </c>
      <c r="N759" t="n">
        <v>0</v>
      </c>
      <c r="O759" t="n">
        <v>0</v>
      </c>
      <c r="P759" t="n">
        <v>0</v>
      </c>
      <c r="Q759" t="n">
        <v>0</v>
      </c>
      <c r="R759" s="2" t="inlineStr"/>
    </row>
    <row r="760" ht="15" customHeight="1">
      <c r="A760" t="inlineStr">
        <is>
          <t>A 10250-2025</t>
        </is>
      </c>
      <c r="B760" s="1" t="n">
        <v>45720.36165509259</v>
      </c>
      <c r="C760" s="1" t="n">
        <v>46161</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49512-2024</t>
        </is>
      </c>
      <c r="B761" s="1" t="n">
        <v>45591</v>
      </c>
      <c r="C761" s="1" t="n">
        <v>46161</v>
      </c>
      <c r="D761" t="inlineStr">
        <is>
          <t>VÄSTMANLANDS LÄN</t>
        </is>
      </c>
      <c r="E761" t="inlineStr">
        <is>
          <t>SALA</t>
        </is>
      </c>
      <c r="G761" t="n">
        <v>8.1</v>
      </c>
      <c r="H761" t="n">
        <v>0</v>
      </c>
      <c r="I761" t="n">
        <v>0</v>
      </c>
      <c r="J761" t="n">
        <v>0</v>
      </c>
      <c r="K761" t="n">
        <v>0</v>
      </c>
      <c r="L761" t="n">
        <v>0</v>
      </c>
      <c r="M761" t="n">
        <v>0</v>
      </c>
      <c r="N761" t="n">
        <v>0</v>
      </c>
      <c r="O761" t="n">
        <v>0</v>
      </c>
      <c r="P761" t="n">
        <v>0</v>
      </c>
      <c r="Q761" t="n">
        <v>0</v>
      </c>
      <c r="R761" s="2" t="inlineStr"/>
    </row>
    <row r="762" ht="15" customHeight="1">
      <c r="A762" t="inlineStr">
        <is>
          <t>A 42416-2022</t>
        </is>
      </c>
      <c r="B762" s="1" t="n">
        <v>44831</v>
      </c>
      <c r="C762" s="1" t="n">
        <v>46161</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6135-2023</t>
        </is>
      </c>
      <c r="B763" s="1" t="n">
        <v>44964.62628472222</v>
      </c>
      <c r="C763" s="1" t="n">
        <v>46161</v>
      </c>
      <c r="D763" t="inlineStr">
        <is>
          <t>VÄSTMANLANDS LÄN</t>
        </is>
      </c>
      <c r="E763" t="inlineStr">
        <is>
          <t>SALA</t>
        </is>
      </c>
      <c r="G763" t="n">
        <v>0.5</v>
      </c>
      <c r="H763" t="n">
        <v>0</v>
      </c>
      <c r="I763" t="n">
        <v>0</v>
      </c>
      <c r="J763" t="n">
        <v>0</v>
      </c>
      <c r="K763" t="n">
        <v>0</v>
      </c>
      <c r="L763" t="n">
        <v>0</v>
      </c>
      <c r="M763" t="n">
        <v>0</v>
      </c>
      <c r="N763" t="n">
        <v>0</v>
      </c>
      <c r="O763" t="n">
        <v>0</v>
      </c>
      <c r="P763" t="n">
        <v>0</v>
      </c>
      <c r="Q763" t="n">
        <v>0</v>
      </c>
      <c r="R763" s="2" t="inlineStr"/>
    </row>
    <row r="764" ht="15" customHeight="1">
      <c r="A764" t="inlineStr">
        <is>
          <t>A 16693-2023</t>
        </is>
      </c>
      <c r="B764" s="1" t="n">
        <v>45028</v>
      </c>
      <c r="C764" s="1" t="n">
        <v>46161</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8285-2025</t>
        </is>
      </c>
      <c r="B765" s="1" t="n">
        <v>45708</v>
      </c>
      <c r="C765" s="1" t="n">
        <v>46161</v>
      </c>
      <c r="D765" t="inlineStr">
        <is>
          <t>VÄSTMANLANDS LÄN</t>
        </is>
      </c>
      <c r="E765" t="inlineStr">
        <is>
          <t>SALA</t>
        </is>
      </c>
      <c r="G765" t="n">
        <v>5.7</v>
      </c>
      <c r="H765" t="n">
        <v>0</v>
      </c>
      <c r="I765" t="n">
        <v>0</v>
      </c>
      <c r="J765" t="n">
        <v>0</v>
      </c>
      <c r="K765" t="n">
        <v>0</v>
      </c>
      <c r="L765" t="n">
        <v>0</v>
      </c>
      <c r="M765" t="n">
        <v>0</v>
      </c>
      <c r="N765" t="n">
        <v>0</v>
      </c>
      <c r="O765" t="n">
        <v>0</v>
      </c>
      <c r="P765" t="n">
        <v>0</v>
      </c>
      <c r="Q765" t="n">
        <v>0</v>
      </c>
      <c r="R765" s="2" t="inlineStr"/>
    </row>
    <row r="766" ht="15" customHeight="1">
      <c r="A766" t="inlineStr">
        <is>
          <t>A 18340-2025</t>
        </is>
      </c>
      <c r="B766" s="1" t="n">
        <v>45762</v>
      </c>
      <c r="C766" s="1" t="n">
        <v>46161</v>
      </c>
      <c r="D766" t="inlineStr">
        <is>
          <t>VÄSTMANLANDS LÄN</t>
        </is>
      </c>
      <c r="E766" t="inlineStr">
        <is>
          <t>SALA</t>
        </is>
      </c>
      <c r="G766" t="n">
        <v>2.1</v>
      </c>
      <c r="H766" t="n">
        <v>0</v>
      </c>
      <c r="I766" t="n">
        <v>0</v>
      </c>
      <c r="J766" t="n">
        <v>0</v>
      </c>
      <c r="K766" t="n">
        <v>0</v>
      </c>
      <c r="L766" t="n">
        <v>0</v>
      </c>
      <c r="M766" t="n">
        <v>0</v>
      </c>
      <c r="N766" t="n">
        <v>0</v>
      </c>
      <c r="O766" t="n">
        <v>0</v>
      </c>
      <c r="P766" t="n">
        <v>0</v>
      </c>
      <c r="Q766" t="n">
        <v>0</v>
      </c>
      <c r="R766" s="2" t="inlineStr"/>
    </row>
    <row r="767" ht="15" customHeight="1">
      <c r="A767" t="inlineStr">
        <is>
          <t>A 56706-2022</t>
        </is>
      </c>
      <c r="B767" s="1" t="n">
        <v>44893.78893518518</v>
      </c>
      <c r="C767" s="1" t="n">
        <v>46161</v>
      </c>
      <c r="D767" t="inlineStr">
        <is>
          <t>VÄSTMANLANDS LÄN</t>
        </is>
      </c>
      <c r="E767" t="inlineStr">
        <is>
          <t>SALA</t>
        </is>
      </c>
      <c r="G767" t="n">
        <v>4.5</v>
      </c>
      <c r="H767" t="n">
        <v>0</v>
      </c>
      <c r="I767" t="n">
        <v>0</v>
      </c>
      <c r="J767" t="n">
        <v>0</v>
      </c>
      <c r="K767" t="n">
        <v>0</v>
      </c>
      <c r="L767" t="n">
        <v>0</v>
      </c>
      <c r="M767" t="n">
        <v>0</v>
      </c>
      <c r="N767" t="n">
        <v>0</v>
      </c>
      <c r="O767" t="n">
        <v>0</v>
      </c>
      <c r="P767" t="n">
        <v>0</v>
      </c>
      <c r="Q767" t="n">
        <v>0</v>
      </c>
      <c r="R767" s="2" t="inlineStr"/>
    </row>
    <row r="768" ht="15" customHeight="1">
      <c r="A768" t="inlineStr">
        <is>
          <t>A 56707-2022</t>
        </is>
      </c>
      <c r="B768" s="1" t="n">
        <v>44893.79412037037</v>
      </c>
      <c r="C768" s="1" t="n">
        <v>46161</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row r="769">
      <c r="A769" t="inlineStr">
        <is>
          <t>A 48571-2024</t>
        </is>
      </c>
      <c r="B769" s="1" t="n">
        <v>45591</v>
      </c>
      <c r="C769" s="1" t="n">
        <v>46161</v>
      </c>
      <c r="D769" t="inlineStr">
        <is>
          <t>VÄSTMANLANDS LÄN</t>
        </is>
      </c>
      <c r="E769" t="inlineStr">
        <is>
          <t>SALA</t>
        </is>
      </c>
      <c r="G769" t="n">
        <v>8.199999999999999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2026-05-19T10:58:10Z</dcterms:created>
  <dcterms:modified xmlns:dcterms="http://purl.org/dc/terms/" xmlns:xsi="http://www.w3.org/2001/XMLSchema-instance" xsi:type="dcterms:W3CDTF">2026-05-19T10:58:11Z</dcterms:modified>
</cp:coreProperties>
</file>