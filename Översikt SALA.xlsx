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45993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45993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45993</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53627-2025</t>
        </is>
      </c>
      <c r="B12" s="1" t="n">
        <v>45960.49180555555</v>
      </c>
      <c r="C12" s="1" t="n">
        <v>45993</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34752-2023</t>
        </is>
      </c>
      <c r="B13" s="1" t="n">
        <v>45141</v>
      </c>
      <c r="C13" s="1" t="n">
        <v>45993</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27488-2023</t>
        </is>
      </c>
      <c r="B14" s="1" t="n">
        <v>45097</v>
      </c>
      <c r="C14" s="1" t="n">
        <v>45993</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10344-2025</t>
        </is>
      </c>
      <c r="B15" s="1" t="n">
        <v>45720</v>
      </c>
      <c r="C15" s="1" t="n">
        <v>45993</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45993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45993</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62768-2021</t>
        </is>
      </c>
      <c r="B18" s="1" t="n">
        <v>44504</v>
      </c>
      <c r="C18" s="1" t="n">
        <v>45993</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40493-2024</t>
        </is>
      </c>
      <c r="B19" s="1" t="n">
        <v>45555</v>
      </c>
      <c r="C19" s="1" t="n">
        <v>45993</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45993</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45993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40895-2025</t>
        </is>
      </c>
      <c r="B22" s="1" t="n">
        <v>45897.61241898148</v>
      </c>
      <c r="C22" s="1" t="n">
        <v>45993</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35461-2024</t>
        </is>
      </c>
      <c r="B23" s="1" t="n">
        <v>45531</v>
      </c>
      <c r="C23" s="1" t="n">
        <v>45993</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45993</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45993</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45993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45993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12444-2024</t>
        </is>
      </c>
      <c r="B29" s="1" t="n">
        <v>45379.46285879629</v>
      </c>
      <c r="C29" s="1" t="n">
        <v>45993</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1500-2022</t>
        </is>
      </c>
      <c r="B30" s="1" t="n">
        <v>44573.54357638889</v>
      </c>
      <c r="C30" s="1" t="n">
        <v>45993</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13029-2023</t>
        </is>
      </c>
      <c r="B31" s="1" t="n">
        <v>45001</v>
      </c>
      <c r="C31" s="1" t="n">
        <v>45993</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15102-2025</t>
        </is>
      </c>
      <c r="B32" s="1" t="n">
        <v>45744.34585648148</v>
      </c>
      <c r="C32" s="1" t="n">
        <v>45993</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45993</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24872-2025</t>
        </is>
      </c>
      <c r="B34" s="1" t="n">
        <v>45799.49038194444</v>
      </c>
      <c r="C34" s="1" t="n">
        <v>45993</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59826-2025</t>
        </is>
      </c>
      <c r="B35" s="1" t="n">
        <v>45992.65416666667</v>
      </c>
      <c r="C35" s="1" t="n">
        <v>45993</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44970-2021</t>
        </is>
      </c>
      <c r="B36" s="1" t="n">
        <v>44438.74399305556</v>
      </c>
      <c r="C36" s="1" t="n">
        <v>45993</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45993</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45993</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13973-2021</t>
        </is>
      </c>
      <c r="B39" s="1" t="n">
        <v>44277</v>
      </c>
      <c r="C39" s="1" t="n">
        <v>45993</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37166-2024</t>
        </is>
      </c>
      <c r="B40" s="1" t="n">
        <v>45539</v>
      </c>
      <c r="C40" s="1" t="n">
        <v>45993</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43175-2023</t>
        </is>
      </c>
      <c r="B41" s="1" t="n">
        <v>45183</v>
      </c>
      <c r="C41" s="1" t="n">
        <v>45993</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56704-2022</t>
        </is>
      </c>
      <c r="B42" s="1" t="n">
        <v>44893.78075231481</v>
      </c>
      <c r="C42" s="1" t="n">
        <v>45993</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41270-2024</t>
        </is>
      </c>
      <c r="B43" s="1" t="n">
        <v>45559</v>
      </c>
      <c r="C43" s="1" t="n">
        <v>45993</v>
      </c>
      <c r="D43" t="inlineStr">
        <is>
          <t>VÄSTMANLANDS LÄN</t>
        </is>
      </c>
      <c r="E43" t="inlineStr">
        <is>
          <t>SALA</t>
        </is>
      </c>
      <c r="G43" t="n">
        <v>15.2</v>
      </c>
      <c r="H43" t="n">
        <v>1</v>
      </c>
      <c r="I43" t="n">
        <v>0</v>
      </c>
      <c r="J43" t="n">
        <v>1</v>
      </c>
      <c r="K43" t="n">
        <v>0</v>
      </c>
      <c r="L43" t="n">
        <v>0</v>
      </c>
      <c r="M43" t="n">
        <v>0</v>
      </c>
      <c r="N43" t="n">
        <v>0</v>
      </c>
      <c r="O43" t="n">
        <v>1</v>
      </c>
      <c r="P43" t="n">
        <v>0</v>
      </c>
      <c r="Q43" t="n">
        <v>1</v>
      </c>
      <c r="R43" s="2" t="inlineStr">
        <is>
          <t>Havsörn</t>
        </is>
      </c>
      <c r="S43">
        <f>HYPERLINK("https://klasma.github.io/Logging_1981/artfynd/A 41270-2024 artfynd.xlsx", "A 41270-2024")</f>
        <v/>
      </c>
      <c r="T43">
        <f>HYPERLINK("https://klasma.github.io/Logging_1981/kartor/A 41270-2024 karta.png", "A 41270-2024")</f>
        <v/>
      </c>
      <c r="V43">
        <f>HYPERLINK("https://klasma.github.io/Logging_1981/klagomål/A 41270-2024 FSC-klagomål.docx", "A 41270-2024")</f>
        <v/>
      </c>
      <c r="W43">
        <f>HYPERLINK("https://klasma.github.io/Logging_1981/klagomålsmail/A 41270-2024 FSC-klagomål mail.docx", "A 41270-2024")</f>
        <v/>
      </c>
      <c r="X43">
        <f>HYPERLINK("https://klasma.github.io/Logging_1981/tillsyn/A 41270-2024 tillsynsbegäran.docx", "A 41270-2024")</f>
        <v/>
      </c>
      <c r="Y43">
        <f>HYPERLINK("https://klasma.github.io/Logging_1981/tillsynsmail/A 41270-2024 tillsynsbegäran mail.docx", "A 41270-2024")</f>
        <v/>
      </c>
      <c r="Z43">
        <f>HYPERLINK("https://klasma.github.io/Logging_1981/fåglar/A 41270-2024 prioriterade fågelarter.docx", "A 41270-2024")</f>
        <v/>
      </c>
    </row>
    <row r="44" ht="15" customHeight="1">
      <c r="A44" t="inlineStr">
        <is>
          <t>A 38255-2025</t>
        </is>
      </c>
      <c r="B44" s="1" t="n">
        <v>45883.38020833334</v>
      </c>
      <c r="C44" s="1" t="n">
        <v>45993</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45993</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43068-2024</t>
        </is>
      </c>
      <c r="B46" s="1" t="n">
        <v>45567</v>
      </c>
      <c r="C46" s="1" t="n">
        <v>45993</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7731-2023</t>
        </is>
      </c>
      <c r="B47" s="1" t="n">
        <v>44973</v>
      </c>
      <c r="C47" s="1" t="n">
        <v>45993</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12509-2023</t>
        </is>
      </c>
      <c r="B48" s="1" t="n">
        <v>44999.95988425926</v>
      </c>
      <c r="C48" s="1" t="n">
        <v>45993</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29985-2022</t>
        </is>
      </c>
      <c r="B49" s="1" t="n">
        <v>44756</v>
      </c>
      <c r="C49" s="1" t="n">
        <v>45993</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7919-2022</t>
        </is>
      </c>
      <c r="B50" s="1" t="n">
        <v>44608</v>
      </c>
      <c r="C50" s="1" t="n">
        <v>45993</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53052-2025</t>
        </is>
      </c>
      <c r="B51" s="1" t="n">
        <v>45958.36266203703</v>
      </c>
      <c r="C51" s="1" t="n">
        <v>45993</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14775-2023</t>
        </is>
      </c>
      <c r="B52" s="1" t="n">
        <v>45014</v>
      </c>
      <c r="C52" s="1" t="n">
        <v>45993</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14775-2023 artfynd.xlsx", "A 14775-2023")</f>
        <v/>
      </c>
      <c r="T52">
        <f>HYPERLINK("https://klasma.github.io/Logging_1981/kartor/A 14775-2023 karta.png", "A 14775-2023")</f>
        <v/>
      </c>
      <c r="U52">
        <f>HYPERLINK("https://klasma.github.io/Logging_1981/knärot/A 14775-2023 karta knärot.png", "A 14775-2023")</f>
        <v/>
      </c>
      <c r="V52">
        <f>HYPERLINK("https://klasma.github.io/Logging_1981/klagomål/A 14775-2023 FSC-klagomål.docx", "A 14775-2023")</f>
        <v/>
      </c>
      <c r="W52">
        <f>HYPERLINK("https://klasma.github.io/Logging_1981/klagomålsmail/A 14775-2023 FSC-klagomål mail.docx", "A 14775-2023")</f>
        <v/>
      </c>
      <c r="X52">
        <f>HYPERLINK("https://klasma.github.io/Logging_1981/tillsyn/A 14775-2023 tillsynsbegäran.docx", "A 14775-2023")</f>
        <v/>
      </c>
      <c r="Y52">
        <f>HYPERLINK("https://klasma.github.io/Logging_1981/tillsynsmail/A 14775-2023 tillsynsbegäran mail.docx", "A 14775-2023")</f>
        <v/>
      </c>
    </row>
    <row r="53" ht="15" customHeight="1">
      <c r="A53" t="inlineStr">
        <is>
          <t>A 55550-2023</t>
        </is>
      </c>
      <c r="B53" s="1" t="n">
        <v>45232</v>
      </c>
      <c r="C53" s="1" t="n">
        <v>45993</v>
      </c>
      <c r="D53" t="inlineStr">
        <is>
          <t>VÄSTMANLANDS LÄN</t>
        </is>
      </c>
      <c r="E53" t="inlineStr">
        <is>
          <t>SALA</t>
        </is>
      </c>
      <c r="G53" t="n">
        <v>9.9</v>
      </c>
      <c r="H53" t="n">
        <v>1</v>
      </c>
      <c r="I53" t="n">
        <v>0</v>
      </c>
      <c r="J53" t="n">
        <v>0</v>
      </c>
      <c r="K53" t="n">
        <v>1</v>
      </c>
      <c r="L53" t="n">
        <v>0</v>
      </c>
      <c r="M53" t="n">
        <v>0</v>
      </c>
      <c r="N53" t="n">
        <v>0</v>
      </c>
      <c r="O53" t="n">
        <v>1</v>
      </c>
      <c r="P53" t="n">
        <v>1</v>
      </c>
      <c r="Q53" t="n">
        <v>1</v>
      </c>
      <c r="R53" s="2" t="inlineStr">
        <is>
          <t>Knärot</t>
        </is>
      </c>
      <c r="S53">
        <f>HYPERLINK("https://klasma.github.io/Logging_1981/artfynd/A 55550-2023 artfynd.xlsx", "A 55550-2023")</f>
        <v/>
      </c>
      <c r="T53">
        <f>HYPERLINK("https://klasma.github.io/Logging_1981/kartor/A 55550-2023 karta.png", "A 55550-2023")</f>
        <v/>
      </c>
      <c r="U53">
        <f>HYPERLINK("https://klasma.github.io/Logging_1981/knärot/A 55550-2023 karta knärot.png", "A 55550-2023")</f>
        <v/>
      </c>
      <c r="V53">
        <f>HYPERLINK("https://klasma.github.io/Logging_1981/klagomål/A 55550-2023 FSC-klagomål.docx", "A 55550-2023")</f>
        <v/>
      </c>
      <c r="W53">
        <f>HYPERLINK("https://klasma.github.io/Logging_1981/klagomålsmail/A 55550-2023 FSC-klagomål mail.docx", "A 55550-2023")</f>
        <v/>
      </c>
      <c r="X53">
        <f>HYPERLINK("https://klasma.github.io/Logging_1981/tillsyn/A 55550-2023 tillsynsbegäran.docx", "A 55550-2023")</f>
        <v/>
      </c>
      <c r="Y53">
        <f>HYPERLINK("https://klasma.github.io/Logging_1981/tillsynsmail/A 55550-2023 tillsynsbegäran mail.docx", "A 55550-2023")</f>
        <v/>
      </c>
    </row>
    <row r="54" ht="15" customHeight="1">
      <c r="A54" t="inlineStr">
        <is>
          <t>A 19361-2025</t>
        </is>
      </c>
      <c r="B54" s="1" t="n">
        <v>45769.63357638889</v>
      </c>
      <c r="C54" s="1" t="n">
        <v>45993</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45993</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29727-2023</t>
        </is>
      </c>
      <c r="B56" s="1" t="n">
        <v>45107</v>
      </c>
      <c r="C56" s="1" t="n">
        <v>45993</v>
      </c>
      <c r="D56" t="inlineStr">
        <is>
          <t>VÄSTMANLANDS LÄN</t>
        </is>
      </c>
      <c r="E56" t="inlineStr">
        <is>
          <t>SALA</t>
        </is>
      </c>
      <c r="G56" t="n">
        <v>1.9</v>
      </c>
      <c r="H56" t="n">
        <v>0</v>
      </c>
      <c r="I56" t="n">
        <v>0</v>
      </c>
      <c r="J56" t="n">
        <v>1</v>
      </c>
      <c r="K56" t="n">
        <v>0</v>
      </c>
      <c r="L56" t="n">
        <v>0</v>
      </c>
      <c r="M56" t="n">
        <v>0</v>
      </c>
      <c r="N56" t="n">
        <v>0</v>
      </c>
      <c r="O56" t="n">
        <v>1</v>
      </c>
      <c r="P56" t="n">
        <v>0</v>
      </c>
      <c r="Q56" t="n">
        <v>1</v>
      </c>
      <c r="R56" s="2" t="inlineStr">
        <is>
          <t>Vedtrappmossa</t>
        </is>
      </c>
      <c r="S56">
        <f>HYPERLINK("https://klasma.github.io/Logging_1981/artfynd/A 29727-2023 artfynd.xlsx", "A 29727-2023")</f>
        <v/>
      </c>
      <c r="T56">
        <f>HYPERLINK("https://klasma.github.io/Logging_1981/kartor/A 29727-2023 karta.png", "A 29727-2023")</f>
        <v/>
      </c>
      <c r="V56">
        <f>HYPERLINK("https://klasma.github.io/Logging_1981/klagomål/A 29727-2023 FSC-klagomål.docx", "A 29727-2023")</f>
        <v/>
      </c>
      <c r="W56">
        <f>HYPERLINK("https://klasma.github.io/Logging_1981/klagomålsmail/A 29727-2023 FSC-klagomål mail.docx", "A 29727-2023")</f>
        <v/>
      </c>
      <c r="X56">
        <f>HYPERLINK("https://klasma.github.io/Logging_1981/tillsyn/A 29727-2023 tillsynsbegäran.docx", "A 29727-2023")</f>
        <v/>
      </c>
      <c r="Y56">
        <f>HYPERLINK("https://klasma.github.io/Logging_1981/tillsynsmail/A 29727-2023 tillsynsbegäran mail.docx", "A 29727-2023")</f>
        <v/>
      </c>
    </row>
    <row r="57" ht="15" customHeight="1">
      <c r="A57" t="inlineStr">
        <is>
          <t>A 21738-2025</t>
        </is>
      </c>
      <c r="B57" s="1" t="n">
        <v>45783.59173611111</v>
      </c>
      <c r="C57" s="1" t="n">
        <v>45993</v>
      </c>
      <c r="D57" t="inlineStr">
        <is>
          <t>VÄSTMANLANDS LÄN</t>
        </is>
      </c>
      <c r="E57" t="inlineStr">
        <is>
          <t>SALA</t>
        </is>
      </c>
      <c r="G57" t="n">
        <v>2.1</v>
      </c>
      <c r="H57" t="n">
        <v>0</v>
      </c>
      <c r="I57" t="n">
        <v>0</v>
      </c>
      <c r="J57" t="n">
        <v>1</v>
      </c>
      <c r="K57" t="n">
        <v>0</v>
      </c>
      <c r="L57" t="n">
        <v>0</v>
      </c>
      <c r="M57" t="n">
        <v>0</v>
      </c>
      <c r="N57" t="n">
        <v>0</v>
      </c>
      <c r="O57" t="n">
        <v>1</v>
      </c>
      <c r="P57" t="n">
        <v>0</v>
      </c>
      <c r="Q57" t="n">
        <v>1</v>
      </c>
      <c r="R57" s="2" t="inlineStr">
        <is>
          <t>Motaggsvamp</t>
        </is>
      </c>
      <c r="S57">
        <f>HYPERLINK("https://klasma.github.io/Logging_1981/artfynd/A 21738-2025 artfynd.xlsx", "A 21738-2025")</f>
        <v/>
      </c>
      <c r="T57">
        <f>HYPERLINK("https://klasma.github.io/Logging_1981/kartor/A 21738-2025 karta.png", "A 21738-2025")</f>
        <v/>
      </c>
      <c r="V57">
        <f>HYPERLINK("https://klasma.github.io/Logging_1981/klagomål/A 21738-2025 FSC-klagomål.docx", "A 21738-2025")</f>
        <v/>
      </c>
      <c r="W57">
        <f>HYPERLINK("https://klasma.github.io/Logging_1981/klagomålsmail/A 21738-2025 FSC-klagomål mail.docx", "A 21738-2025")</f>
        <v/>
      </c>
      <c r="X57">
        <f>HYPERLINK("https://klasma.github.io/Logging_1981/tillsyn/A 21738-2025 tillsynsbegäran.docx", "A 21738-2025")</f>
        <v/>
      </c>
      <c r="Y57">
        <f>HYPERLINK("https://klasma.github.io/Logging_1981/tillsynsmail/A 21738-2025 tillsynsbegäran mail.docx", "A 21738-2025")</f>
        <v/>
      </c>
    </row>
    <row r="58" ht="15" customHeight="1">
      <c r="A58" t="inlineStr">
        <is>
          <t>A 55995-2025</t>
        </is>
      </c>
      <c r="B58" s="1" t="n">
        <v>45973.56733796297</v>
      </c>
      <c r="C58" s="1" t="n">
        <v>45993</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22950-2025</t>
        </is>
      </c>
      <c r="B59" s="1" t="n">
        <v>45790.50728009259</v>
      </c>
      <c r="C59" s="1" t="n">
        <v>45993</v>
      </c>
      <c r="D59" t="inlineStr">
        <is>
          <t>VÄSTMANLANDS LÄN</t>
        </is>
      </c>
      <c r="E59" t="inlineStr">
        <is>
          <t>SALA</t>
        </is>
      </c>
      <c r="G59" t="n">
        <v>6.2</v>
      </c>
      <c r="H59" t="n">
        <v>1</v>
      </c>
      <c r="I59" t="n">
        <v>0</v>
      </c>
      <c r="J59" t="n">
        <v>1</v>
      </c>
      <c r="K59" t="n">
        <v>0</v>
      </c>
      <c r="L59" t="n">
        <v>0</v>
      </c>
      <c r="M59" t="n">
        <v>0</v>
      </c>
      <c r="N59" t="n">
        <v>0</v>
      </c>
      <c r="O59" t="n">
        <v>1</v>
      </c>
      <c r="P59" t="n">
        <v>0</v>
      </c>
      <c r="Q59" t="n">
        <v>1</v>
      </c>
      <c r="R59" s="2" t="inlineStr">
        <is>
          <t>Svartvit flugsnappare</t>
        </is>
      </c>
      <c r="S59">
        <f>HYPERLINK("https://klasma.github.io/Logging_1981/artfynd/A 22950-2025 artfynd.xlsx", "A 22950-2025")</f>
        <v/>
      </c>
      <c r="T59">
        <f>HYPERLINK("https://klasma.github.io/Logging_1981/kartor/A 22950-2025 karta.png", "A 22950-2025")</f>
        <v/>
      </c>
      <c r="V59">
        <f>HYPERLINK("https://klasma.github.io/Logging_1981/klagomål/A 22950-2025 FSC-klagomål.docx", "A 22950-2025")</f>
        <v/>
      </c>
      <c r="W59">
        <f>HYPERLINK("https://klasma.github.io/Logging_1981/klagomålsmail/A 22950-2025 FSC-klagomål mail.docx", "A 22950-2025")</f>
        <v/>
      </c>
      <c r="X59">
        <f>HYPERLINK("https://klasma.github.io/Logging_1981/tillsyn/A 22950-2025 tillsynsbegäran.docx", "A 22950-2025")</f>
        <v/>
      </c>
      <c r="Y59">
        <f>HYPERLINK("https://klasma.github.io/Logging_1981/tillsynsmail/A 22950-2025 tillsynsbegäran mail.docx", "A 22950-2025")</f>
        <v/>
      </c>
      <c r="Z59">
        <f>HYPERLINK("https://klasma.github.io/Logging_1981/fåglar/A 22950-2025 prioriterade fågelarter.docx", "A 22950-2025")</f>
        <v/>
      </c>
    </row>
    <row r="60" ht="15" customHeight="1">
      <c r="A60" t="inlineStr">
        <is>
          <t>A 48705-2025</t>
        </is>
      </c>
      <c r="B60" s="1" t="n">
        <v>45936.62290509259</v>
      </c>
      <c r="C60" s="1" t="n">
        <v>45993</v>
      </c>
      <c r="D60" t="inlineStr">
        <is>
          <t>VÄSTMANLANDS LÄN</t>
        </is>
      </c>
      <c r="E60" t="inlineStr">
        <is>
          <t>SALA</t>
        </is>
      </c>
      <c r="G60" t="n">
        <v>4.4</v>
      </c>
      <c r="H60" t="n">
        <v>1</v>
      </c>
      <c r="I60" t="n">
        <v>1</v>
      </c>
      <c r="J60" t="n">
        <v>0</v>
      </c>
      <c r="K60" t="n">
        <v>0</v>
      </c>
      <c r="L60" t="n">
        <v>0</v>
      </c>
      <c r="M60" t="n">
        <v>0</v>
      </c>
      <c r="N60" t="n">
        <v>0</v>
      </c>
      <c r="O60" t="n">
        <v>0</v>
      </c>
      <c r="P60" t="n">
        <v>0</v>
      </c>
      <c r="Q60" t="n">
        <v>1</v>
      </c>
      <c r="R60" s="2" t="inlineStr">
        <is>
          <t>Plattlummer</t>
        </is>
      </c>
      <c r="S60">
        <f>HYPERLINK("https://klasma.github.io/Logging_1981/artfynd/A 48705-2025 artfynd.xlsx", "A 48705-2025")</f>
        <v/>
      </c>
      <c r="T60">
        <f>HYPERLINK("https://klasma.github.io/Logging_1981/kartor/A 48705-2025 karta.png", "A 48705-2025")</f>
        <v/>
      </c>
      <c r="V60">
        <f>HYPERLINK("https://klasma.github.io/Logging_1981/klagomål/A 48705-2025 FSC-klagomål.docx", "A 48705-2025")</f>
        <v/>
      </c>
      <c r="W60">
        <f>HYPERLINK("https://klasma.github.io/Logging_1981/klagomålsmail/A 48705-2025 FSC-klagomål mail.docx", "A 48705-2025")</f>
        <v/>
      </c>
      <c r="X60">
        <f>HYPERLINK("https://klasma.github.io/Logging_1981/tillsyn/A 48705-2025 tillsynsbegäran.docx", "A 48705-2025")</f>
        <v/>
      </c>
      <c r="Y60">
        <f>HYPERLINK("https://klasma.github.io/Logging_1981/tillsynsmail/A 48705-2025 tillsynsbegäran mail.docx", "A 48705-2025")</f>
        <v/>
      </c>
    </row>
    <row r="61" ht="15" customHeight="1">
      <c r="A61" t="inlineStr">
        <is>
          <t>A 50268-2025</t>
        </is>
      </c>
      <c r="B61" s="1" t="n">
        <v>45944.35162037037</v>
      </c>
      <c r="C61" s="1" t="n">
        <v>45993</v>
      </c>
      <c r="D61" t="inlineStr">
        <is>
          <t>VÄSTMANLANDS LÄN</t>
        </is>
      </c>
      <c r="E61" t="inlineStr">
        <is>
          <t>SALA</t>
        </is>
      </c>
      <c r="G61" t="n">
        <v>0.7</v>
      </c>
      <c r="H61" t="n">
        <v>1</v>
      </c>
      <c r="I61" t="n">
        <v>0</v>
      </c>
      <c r="J61" t="n">
        <v>0</v>
      </c>
      <c r="K61" t="n">
        <v>0</v>
      </c>
      <c r="L61" t="n">
        <v>0</v>
      </c>
      <c r="M61" t="n">
        <v>0</v>
      </c>
      <c r="N61" t="n">
        <v>0</v>
      </c>
      <c r="O61" t="n">
        <v>0</v>
      </c>
      <c r="P61" t="n">
        <v>0</v>
      </c>
      <c r="Q61" t="n">
        <v>1</v>
      </c>
      <c r="R61" s="2" t="inlineStr">
        <is>
          <t>Fläcknycklar</t>
        </is>
      </c>
      <c r="S61">
        <f>HYPERLINK("https://klasma.github.io/Logging_1981/artfynd/A 50268-2025 artfynd.xlsx", "A 50268-2025")</f>
        <v/>
      </c>
      <c r="T61">
        <f>HYPERLINK("https://klasma.github.io/Logging_1981/kartor/A 50268-2025 karta.png", "A 50268-2025")</f>
        <v/>
      </c>
      <c r="V61">
        <f>HYPERLINK("https://klasma.github.io/Logging_1981/klagomål/A 50268-2025 FSC-klagomål.docx", "A 50268-2025")</f>
        <v/>
      </c>
      <c r="W61">
        <f>HYPERLINK("https://klasma.github.io/Logging_1981/klagomålsmail/A 50268-2025 FSC-klagomål mail.docx", "A 50268-2025")</f>
        <v/>
      </c>
      <c r="X61">
        <f>HYPERLINK("https://klasma.github.io/Logging_1981/tillsyn/A 50268-2025 tillsynsbegäran.docx", "A 50268-2025")</f>
        <v/>
      </c>
      <c r="Y61">
        <f>HYPERLINK("https://klasma.github.io/Logging_1981/tillsynsmail/A 50268-2025 tillsynsbegäran mail.docx", "A 50268-2025")</f>
        <v/>
      </c>
    </row>
    <row r="62" ht="15" customHeight="1">
      <c r="A62" t="inlineStr">
        <is>
          <t>A 32594-2025</t>
        </is>
      </c>
      <c r="B62" s="1" t="n">
        <v>45838</v>
      </c>
      <c r="C62" s="1" t="n">
        <v>45993</v>
      </c>
      <c r="D62" t="inlineStr">
        <is>
          <t>VÄSTMANLANDS LÄN</t>
        </is>
      </c>
      <c r="E62" t="inlineStr">
        <is>
          <t>SALA</t>
        </is>
      </c>
      <c r="F62" t="inlineStr">
        <is>
          <t>Bergvik skog öst AB</t>
        </is>
      </c>
      <c r="G62" t="n">
        <v>0.9</v>
      </c>
      <c r="H62" t="n">
        <v>1</v>
      </c>
      <c r="I62" t="n">
        <v>0</v>
      </c>
      <c r="J62" t="n">
        <v>0</v>
      </c>
      <c r="K62" t="n">
        <v>0</v>
      </c>
      <c r="L62" t="n">
        <v>0</v>
      </c>
      <c r="M62" t="n">
        <v>0</v>
      </c>
      <c r="N62" t="n">
        <v>0</v>
      </c>
      <c r="O62" t="n">
        <v>0</v>
      </c>
      <c r="P62" t="n">
        <v>0</v>
      </c>
      <c r="Q62" t="n">
        <v>1</v>
      </c>
      <c r="R62" s="2" t="inlineStr">
        <is>
          <t>Blåsippa</t>
        </is>
      </c>
      <c r="S62">
        <f>HYPERLINK("https://klasma.github.io/Logging_1981/artfynd/A 32594-2025 artfynd.xlsx", "A 32594-2025")</f>
        <v/>
      </c>
      <c r="T62">
        <f>HYPERLINK("https://klasma.github.io/Logging_1981/kartor/A 32594-2025 karta.png", "A 32594-2025")</f>
        <v/>
      </c>
      <c r="V62">
        <f>HYPERLINK("https://klasma.github.io/Logging_1981/klagomål/A 32594-2025 FSC-klagomål.docx", "A 32594-2025")</f>
        <v/>
      </c>
      <c r="W62">
        <f>HYPERLINK("https://klasma.github.io/Logging_1981/klagomålsmail/A 32594-2025 FSC-klagomål mail.docx", "A 32594-2025")</f>
        <v/>
      </c>
      <c r="X62">
        <f>HYPERLINK("https://klasma.github.io/Logging_1981/tillsyn/A 32594-2025 tillsynsbegäran.docx", "A 32594-2025")</f>
        <v/>
      </c>
      <c r="Y62">
        <f>HYPERLINK("https://klasma.github.io/Logging_1981/tillsynsmail/A 32594-2025 tillsynsbegäran mail.docx", "A 32594-2025")</f>
        <v/>
      </c>
    </row>
    <row r="63" ht="15" customHeight="1">
      <c r="A63" t="inlineStr">
        <is>
          <t>A 22350-2024</t>
        </is>
      </c>
      <c r="B63" s="1" t="n">
        <v>45446</v>
      </c>
      <c r="C63" s="1" t="n">
        <v>45993</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69194-2020</t>
        </is>
      </c>
      <c r="B64" s="1" t="n">
        <v>44191</v>
      </c>
      <c r="C64" s="1" t="n">
        <v>45993</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45993</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45993</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45993</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45993</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45993</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45993</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45993</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45993</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45993</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45993</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45993</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45993</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45993</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45993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45993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45993</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45993</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45993</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45993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45993</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45993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45993</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45993</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45993</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45993</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45993</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45993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45993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45993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45993</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45993</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45993</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45993</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45993</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45993</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45993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45993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45993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45993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45993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45993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45993</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45993</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45993</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45993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45993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45993</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45993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45993</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45993</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31452-2021</t>
        </is>
      </c>
      <c r="B119" s="1" t="n">
        <v>44369</v>
      </c>
      <c r="C119" s="1" t="n">
        <v>45993</v>
      </c>
      <c r="D119" t="inlineStr">
        <is>
          <t>VÄSTMANLANDS LÄN</t>
        </is>
      </c>
      <c r="E119" t="inlineStr">
        <is>
          <t>SALA</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45993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53628-2022</t>
        </is>
      </c>
      <c r="B121" s="1" t="n">
        <v>44879.87171296297</v>
      </c>
      <c r="C121" s="1" t="n">
        <v>45993</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45993</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45993</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45993</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22811-2022</t>
        </is>
      </c>
      <c r="B125" s="1" t="n">
        <v>44715</v>
      </c>
      <c r="C125" s="1" t="n">
        <v>45993</v>
      </c>
      <c r="D125" t="inlineStr">
        <is>
          <t>VÄSTMANLANDS LÄN</t>
        </is>
      </c>
      <c r="E125" t="inlineStr">
        <is>
          <t>SALA</t>
        </is>
      </c>
      <c r="G125" t="n">
        <v>5</v>
      </c>
      <c r="H125" t="n">
        <v>0</v>
      </c>
      <c r="I125" t="n">
        <v>0</v>
      </c>
      <c r="J125" t="n">
        <v>0</v>
      </c>
      <c r="K125" t="n">
        <v>0</v>
      </c>
      <c r="L125" t="n">
        <v>0</v>
      </c>
      <c r="M125" t="n">
        <v>0</v>
      </c>
      <c r="N125" t="n">
        <v>0</v>
      </c>
      <c r="O125" t="n">
        <v>0</v>
      </c>
      <c r="P125" t="n">
        <v>0</v>
      </c>
      <c r="Q125" t="n">
        <v>0</v>
      </c>
      <c r="R125" s="2" t="inlineStr"/>
    </row>
    <row r="126" ht="15" customHeight="1">
      <c r="A126" t="inlineStr">
        <is>
          <t>A 65213-2021</t>
        </is>
      </c>
      <c r="B126" s="1" t="n">
        <v>44515</v>
      </c>
      <c r="C126" s="1" t="n">
        <v>45993</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23847-2022</t>
        </is>
      </c>
      <c r="B127" s="1" t="n">
        <v>44722</v>
      </c>
      <c r="C127" s="1" t="n">
        <v>45993</v>
      </c>
      <c r="D127" t="inlineStr">
        <is>
          <t>VÄSTMANLANDS LÄN</t>
        </is>
      </c>
      <c r="E127" t="inlineStr">
        <is>
          <t>SALA</t>
        </is>
      </c>
      <c r="G127" t="n">
        <v>1</v>
      </c>
      <c r="H127" t="n">
        <v>0</v>
      </c>
      <c r="I127" t="n">
        <v>0</v>
      </c>
      <c r="J127" t="n">
        <v>0</v>
      </c>
      <c r="K127" t="n">
        <v>0</v>
      </c>
      <c r="L127" t="n">
        <v>0</v>
      </c>
      <c r="M127" t="n">
        <v>0</v>
      </c>
      <c r="N127" t="n">
        <v>0</v>
      </c>
      <c r="O127" t="n">
        <v>0</v>
      </c>
      <c r="P127" t="n">
        <v>0</v>
      </c>
      <c r="Q127" t="n">
        <v>0</v>
      </c>
      <c r="R127" s="2" t="inlineStr"/>
    </row>
    <row r="128" ht="15" customHeight="1">
      <c r="A128" t="inlineStr">
        <is>
          <t>A 70218-2021</t>
        </is>
      </c>
      <c r="B128" s="1" t="n">
        <v>44535.6571412037</v>
      </c>
      <c r="C128" s="1" t="n">
        <v>45993</v>
      </c>
      <c r="D128" t="inlineStr">
        <is>
          <t>VÄSTMANLANDS LÄN</t>
        </is>
      </c>
      <c r="E128" t="inlineStr">
        <is>
          <t>SALA</t>
        </is>
      </c>
      <c r="G128" t="n">
        <v>0.4</v>
      </c>
      <c r="H128" t="n">
        <v>0</v>
      </c>
      <c r="I128" t="n">
        <v>0</v>
      </c>
      <c r="J128" t="n">
        <v>0</v>
      </c>
      <c r="K128" t="n">
        <v>0</v>
      </c>
      <c r="L128" t="n">
        <v>0</v>
      </c>
      <c r="M128" t="n">
        <v>0</v>
      </c>
      <c r="N128" t="n">
        <v>0</v>
      </c>
      <c r="O128" t="n">
        <v>0</v>
      </c>
      <c r="P128" t="n">
        <v>0</v>
      </c>
      <c r="Q128" t="n">
        <v>0</v>
      </c>
      <c r="R128" s="2" t="inlineStr"/>
    </row>
    <row r="129" ht="15" customHeight="1">
      <c r="A129" t="inlineStr">
        <is>
          <t>A 30170-2021</t>
        </is>
      </c>
      <c r="B129" s="1" t="n">
        <v>44363</v>
      </c>
      <c r="C129" s="1" t="n">
        <v>45993</v>
      </c>
      <c r="D129" t="inlineStr">
        <is>
          <t>VÄSTMANLANDS LÄN</t>
        </is>
      </c>
      <c r="E129" t="inlineStr">
        <is>
          <t>SALA</t>
        </is>
      </c>
      <c r="G129" t="n">
        <v>7.2</v>
      </c>
      <c r="H129" t="n">
        <v>0</v>
      </c>
      <c r="I129" t="n">
        <v>0</v>
      </c>
      <c r="J129" t="n">
        <v>0</v>
      </c>
      <c r="K129" t="n">
        <v>0</v>
      </c>
      <c r="L129" t="n">
        <v>0</v>
      </c>
      <c r="M129" t="n">
        <v>0</v>
      </c>
      <c r="N129" t="n">
        <v>0</v>
      </c>
      <c r="O129" t="n">
        <v>0</v>
      </c>
      <c r="P129" t="n">
        <v>0</v>
      </c>
      <c r="Q129" t="n">
        <v>0</v>
      </c>
      <c r="R129" s="2" t="inlineStr"/>
    </row>
    <row r="130" ht="15" customHeight="1">
      <c r="A130" t="inlineStr">
        <is>
          <t>A 3204-2022</t>
        </is>
      </c>
      <c r="B130" s="1" t="n">
        <v>44582</v>
      </c>
      <c r="C130" s="1" t="n">
        <v>45993</v>
      </c>
      <c r="D130" t="inlineStr">
        <is>
          <t>VÄSTMANLANDS LÄN</t>
        </is>
      </c>
      <c r="E130" t="inlineStr">
        <is>
          <t>SALA</t>
        </is>
      </c>
      <c r="G130" t="n">
        <v>0.7</v>
      </c>
      <c r="H130" t="n">
        <v>0</v>
      </c>
      <c r="I130" t="n">
        <v>0</v>
      </c>
      <c r="J130" t="n">
        <v>0</v>
      </c>
      <c r="K130" t="n">
        <v>0</v>
      </c>
      <c r="L130" t="n">
        <v>0</v>
      </c>
      <c r="M130" t="n">
        <v>0</v>
      </c>
      <c r="N130" t="n">
        <v>0</v>
      </c>
      <c r="O130" t="n">
        <v>0</v>
      </c>
      <c r="P130" t="n">
        <v>0</v>
      </c>
      <c r="Q130" t="n">
        <v>0</v>
      </c>
      <c r="R130" s="2" t="inlineStr"/>
    </row>
    <row r="131" ht="15" customHeight="1">
      <c r="A131" t="inlineStr">
        <is>
          <t>A 30915-2021</t>
        </is>
      </c>
      <c r="B131" s="1" t="n">
        <v>44365</v>
      </c>
      <c r="C131" s="1" t="n">
        <v>45993</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30918-2021</t>
        </is>
      </c>
      <c r="B132" s="1" t="n">
        <v>44365.60569444444</v>
      </c>
      <c r="C132" s="1" t="n">
        <v>45993</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22562-2022</t>
        </is>
      </c>
      <c r="B133" s="1" t="n">
        <v>44713</v>
      </c>
      <c r="C133" s="1" t="n">
        <v>45993</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45993</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30904-2021</t>
        </is>
      </c>
      <c r="B135" s="1" t="n">
        <v>44365.5983449074</v>
      </c>
      <c r="C135" s="1" t="n">
        <v>45993</v>
      </c>
      <c r="D135" t="inlineStr">
        <is>
          <t>VÄSTMANLANDS LÄN</t>
        </is>
      </c>
      <c r="E135" t="inlineStr">
        <is>
          <t>SALA</t>
        </is>
      </c>
      <c r="G135" t="n">
        <v>1.9</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45993</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65860-2021</t>
        </is>
      </c>
      <c r="B137" s="1" t="n">
        <v>44517.38163194444</v>
      </c>
      <c r="C137" s="1" t="n">
        <v>45993</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9075-2022</t>
        </is>
      </c>
      <c r="B138" s="1" t="n">
        <v>44615.47800925926</v>
      </c>
      <c r="C138" s="1" t="n">
        <v>45993</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8130-2022</t>
        </is>
      </c>
      <c r="B139" s="1" t="n">
        <v>44609.5984837963</v>
      </c>
      <c r="C139" s="1" t="n">
        <v>45993</v>
      </c>
      <c r="D139" t="inlineStr">
        <is>
          <t>VÄSTMANLANDS LÄN</t>
        </is>
      </c>
      <c r="E139" t="inlineStr">
        <is>
          <t>SALA</t>
        </is>
      </c>
      <c r="G139" t="n">
        <v>3.5</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45993</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29002-2022</t>
        </is>
      </c>
      <c r="B141" s="1" t="n">
        <v>44749</v>
      </c>
      <c r="C141" s="1" t="n">
        <v>45993</v>
      </c>
      <c r="D141" t="inlineStr">
        <is>
          <t>VÄSTMANLANDS LÄN</t>
        </is>
      </c>
      <c r="E141" t="inlineStr">
        <is>
          <t>SALA</t>
        </is>
      </c>
      <c r="G141" t="n">
        <v>5.4</v>
      </c>
      <c r="H141" t="n">
        <v>0</v>
      </c>
      <c r="I141" t="n">
        <v>0</v>
      </c>
      <c r="J141" t="n">
        <v>0</v>
      </c>
      <c r="K141" t="n">
        <v>0</v>
      </c>
      <c r="L141" t="n">
        <v>0</v>
      </c>
      <c r="M141" t="n">
        <v>0</v>
      </c>
      <c r="N141" t="n">
        <v>0</v>
      </c>
      <c r="O141" t="n">
        <v>0</v>
      </c>
      <c r="P141" t="n">
        <v>0</v>
      </c>
      <c r="Q141" t="n">
        <v>0</v>
      </c>
      <c r="R141" s="2" t="inlineStr"/>
    </row>
    <row r="142" ht="15" customHeight="1">
      <c r="A142" t="inlineStr">
        <is>
          <t>A 65818-2021</t>
        </is>
      </c>
      <c r="B142" s="1" t="n">
        <v>44517</v>
      </c>
      <c r="C142" s="1" t="n">
        <v>45993</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22575-2022</t>
        </is>
      </c>
      <c r="B143" s="1" t="n">
        <v>44713</v>
      </c>
      <c r="C143" s="1" t="n">
        <v>45993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45993</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45993</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45993</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40094-2022</t>
        </is>
      </c>
      <c r="B147" s="1" t="n">
        <v>44819</v>
      </c>
      <c r="C147" s="1" t="n">
        <v>45993</v>
      </c>
      <c r="D147" t="inlineStr">
        <is>
          <t>VÄSTMANLANDS LÄN</t>
        </is>
      </c>
      <c r="E147" t="inlineStr">
        <is>
          <t>SALA</t>
        </is>
      </c>
      <c r="G147" t="n">
        <v>1.7</v>
      </c>
      <c r="H147" t="n">
        <v>0</v>
      </c>
      <c r="I147" t="n">
        <v>0</v>
      </c>
      <c r="J147" t="n">
        <v>0</v>
      </c>
      <c r="K147" t="n">
        <v>0</v>
      </c>
      <c r="L147" t="n">
        <v>0</v>
      </c>
      <c r="M147" t="n">
        <v>0</v>
      </c>
      <c r="N147" t="n">
        <v>0</v>
      </c>
      <c r="O147" t="n">
        <v>0</v>
      </c>
      <c r="P147" t="n">
        <v>0</v>
      </c>
      <c r="Q147" t="n">
        <v>0</v>
      </c>
      <c r="R147" s="2" t="inlineStr"/>
    </row>
    <row r="148" ht="15" customHeight="1">
      <c r="A148" t="inlineStr">
        <is>
          <t>A 9050-2022</t>
        </is>
      </c>
      <c r="B148" s="1" t="n">
        <v>44615.45451388889</v>
      </c>
      <c r="C148" s="1" t="n">
        <v>45993</v>
      </c>
      <c r="D148" t="inlineStr">
        <is>
          <t>VÄSTMANLANDS LÄN</t>
        </is>
      </c>
      <c r="E148" t="inlineStr">
        <is>
          <t>SALA</t>
        </is>
      </c>
      <c r="G148" t="n">
        <v>3.1</v>
      </c>
      <c r="H148" t="n">
        <v>0</v>
      </c>
      <c r="I148" t="n">
        <v>0</v>
      </c>
      <c r="J148" t="n">
        <v>0</v>
      </c>
      <c r="K148" t="n">
        <v>0</v>
      </c>
      <c r="L148" t="n">
        <v>0</v>
      </c>
      <c r="M148" t="n">
        <v>0</v>
      </c>
      <c r="N148" t="n">
        <v>0</v>
      </c>
      <c r="O148" t="n">
        <v>0</v>
      </c>
      <c r="P148" t="n">
        <v>0</v>
      </c>
      <c r="Q148" t="n">
        <v>0</v>
      </c>
      <c r="R148" s="2" t="inlineStr"/>
    </row>
    <row r="149" ht="15" customHeight="1">
      <c r="A149" t="inlineStr">
        <is>
          <t>A 14047-2021</t>
        </is>
      </c>
      <c r="B149" s="1" t="n">
        <v>44277</v>
      </c>
      <c r="C149" s="1" t="n">
        <v>45993</v>
      </c>
      <c r="D149" t="inlineStr">
        <is>
          <t>VÄSTMANLANDS LÄN</t>
        </is>
      </c>
      <c r="E149" t="inlineStr">
        <is>
          <t>SALA</t>
        </is>
      </c>
      <c r="F149" t="inlineStr">
        <is>
          <t>Kyrkan</t>
        </is>
      </c>
      <c r="G149" t="n">
        <v>0.7</v>
      </c>
      <c r="H149" t="n">
        <v>0</v>
      </c>
      <c r="I149" t="n">
        <v>0</v>
      </c>
      <c r="J149" t="n">
        <v>0</v>
      </c>
      <c r="K149" t="n">
        <v>0</v>
      </c>
      <c r="L149" t="n">
        <v>0</v>
      </c>
      <c r="M149" t="n">
        <v>0</v>
      </c>
      <c r="N149" t="n">
        <v>0</v>
      </c>
      <c r="O149" t="n">
        <v>0</v>
      </c>
      <c r="P149" t="n">
        <v>0</v>
      </c>
      <c r="Q149" t="n">
        <v>0</v>
      </c>
      <c r="R149" s="2" t="inlineStr"/>
    </row>
    <row r="150" ht="15" customHeight="1">
      <c r="A150" t="inlineStr">
        <is>
          <t>A 49254-2022</t>
        </is>
      </c>
      <c r="B150" s="1" t="n">
        <v>44861</v>
      </c>
      <c r="C150" s="1" t="n">
        <v>45993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69192-2020</t>
        </is>
      </c>
      <c r="B151" s="1" t="n">
        <v>44191</v>
      </c>
      <c r="C151" s="1" t="n">
        <v>45993</v>
      </c>
      <c r="D151" t="inlineStr">
        <is>
          <t>VÄSTMANLANDS LÄN</t>
        </is>
      </c>
      <c r="E151" t="inlineStr">
        <is>
          <t>SALA</t>
        </is>
      </c>
      <c r="G151" t="n">
        <v>0.8</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44880.42752314815</v>
      </c>
      <c r="C152" s="1" t="n">
        <v>45993</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53630-2022</t>
        </is>
      </c>
      <c r="B153" s="1" t="n">
        <v>44879.87533564815</v>
      </c>
      <c r="C153" s="1" t="n">
        <v>45993</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57517-2021</t>
        </is>
      </c>
      <c r="B154" s="1" t="n">
        <v>44483</v>
      </c>
      <c r="C154" s="1" t="n">
        <v>45993</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11370-2022</t>
        </is>
      </c>
      <c r="B155" s="1" t="n">
        <v>44630</v>
      </c>
      <c r="C155" s="1" t="n">
        <v>45993</v>
      </c>
      <c r="D155" t="inlineStr">
        <is>
          <t>VÄSTMANLANDS LÄN</t>
        </is>
      </c>
      <c r="E155" t="inlineStr">
        <is>
          <t>SALA</t>
        </is>
      </c>
      <c r="G155" t="n">
        <v>4.3</v>
      </c>
      <c r="H155" t="n">
        <v>0</v>
      </c>
      <c r="I155" t="n">
        <v>0</v>
      </c>
      <c r="J155" t="n">
        <v>0</v>
      </c>
      <c r="K155" t="n">
        <v>0</v>
      </c>
      <c r="L155" t="n">
        <v>0</v>
      </c>
      <c r="M155" t="n">
        <v>0</v>
      </c>
      <c r="N155" t="n">
        <v>0</v>
      </c>
      <c r="O155" t="n">
        <v>0</v>
      </c>
      <c r="P155" t="n">
        <v>0</v>
      </c>
      <c r="Q155" t="n">
        <v>0</v>
      </c>
      <c r="R155" s="2" t="inlineStr"/>
    </row>
    <row r="156" ht="15" customHeight="1">
      <c r="A156" t="inlineStr">
        <is>
          <t>A 72405-2021</t>
        </is>
      </c>
      <c r="B156" s="1" t="n">
        <v>44545</v>
      </c>
      <c r="C156" s="1" t="n">
        <v>45993</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26575-2021</t>
        </is>
      </c>
      <c r="B157" s="1" t="n">
        <v>44348</v>
      </c>
      <c r="C157" s="1" t="n">
        <v>45993</v>
      </c>
      <c r="D157" t="inlineStr">
        <is>
          <t>VÄSTMANLANDS LÄN</t>
        </is>
      </c>
      <c r="E157" t="inlineStr">
        <is>
          <t>SALA</t>
        </is>
      </c>
      <c r="G157" t="n">
        <v>2.7</v>
      </c>
      <c r="H157" t="n">
        <v>0</v>
      </c>
      <c r="I157" t="n">
        <v>0</v>
      </c>
      <c r="J157" t="n">
        <v>0</v>
      </c>
      <c r="K157" t="n">
        <v>0</v>
      </c>
      <c r="L157" t="n">
        <v>0</v>
      </c>
      <c r="M157" t="n">
        <v>0</v>
      </c>
      <c r="N157" t="n">
        <v>0</v>
      </c>
      <c r="O157" t="n">
        <v>0</v>
      </c>
      <c r="P157" t="n">
        <v>0</v>
      </c>
      <c r="Q157" t="n">
        <v>0</v>
      </c>
      <c r="R157" s="2" t="inlineStr"/>
    </row>
    <row r="158" ht="15" customHeight="1">
      <c r="A158" t="inlineStr">
        <is>
          <t>A 63290-2021</t>
        </is>
      </c>
      <c r="B158" s="1" t="n">
        <v>44505</v>
      </c>
      <c r="C158" s="1" t="n">
        <v>45993</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65856-2021</t>
        </is>
      </c>
      <c r="B159" s="1" t="n">
        <v>44517</v>
      </c>
      <c r="C159" s="1" t="n">
        <v>45993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29235-2022</t>
        </is>
      </c>
      <c r="B160" s="1" t="n">
        <v>44750</v>
      </c>
      <c r="C160" s="1" t="n">
        <v>45993</v>
      </c>
      <c r="D160" t="inlineStr">
        <is>
          <t>VÄSTMANLANDS LÄN</t>
        </is>
      </c>
      <c r="E160" t="inlineStr">
        <is>
          <t>SALA</t>
        </is>
      </c>
      <c r="G160" t="n">
        <v>0.6</v>
      </c>
      <c r="H160" t="n">
        <v>0</v>
      </c>
      <c r="I160" t="n">
        <v>0</v>
      </c>
      <c r="J160" t="n">
        <v>0</v>
      </c>
      <c r="K160" t="n">
        <v>0</v>
      </c>
      <c r="L160" t="n">
        <v>0</v>
      </c>
      <c r="M160" t="n">
        <v>0</v>
      </c>
      <c r="N160" t="n">
        <v>0</v>
      </c>
      <c r="O160" t="n">
        <v>0</v>
      </c>
      <c r="P160" t="n">
        <v>0</v>
      </c>
      <c r="Q160" t="n">
        <v>0</v>
      </c>
      <c r="R160" s="2" t="inlineStr"/>
    </row>
    <row r="161" ht="15" customHeight="1">
      <c r="A161" t="inlineStr">
        <is>
          <t>A 67962-2021</t>
        </is>
      </c>
      <c r="B161" s="1" t="n">
        <v>44525</v>
      </c>
      <c r="C161" s="1" t="n">
        <v>45993</v>
      </c>
      <c r="D161" t="inlineStr">
        <is>
          <t>VÄSTMANLANDS LÄN</t>
        </is>
      </c>
      <c r="E161" t="inlineStr">
        <is>
          <t>SALA</t>
        </is>
      </c>
      <c r="G161" t="n">
        <v>1.4</v>
      </c>
      <c r="H161" t="n">
        <v>0</v>
      </c>
      <c r="I161" t="n">
        <v>0</v>
      </c>
      <c r="J161" t="n">
        <v>0</v>
      </c>
      <c r="K161" t="n">
        <v>0</v>
      </c>
      <c r="L161" t="n">
        <v>0</v>
      </c>
      <c r="M161" t="n">
        <v>0</v>
      </c>
      <c r="N161" t="n">
        <v>0</v>
      </c>
      <c r="O161" t="n">
        <v>0</v>
      </c>
      <c r="P161" t="n">
        <v>0</v>
      </c>
      <c r="Q161" t="n">
        <v>0</v>
      </c>
      <c r="R161" s="2" t="inlineStr"/>
    </row>
    <row r="162" ht="15" customHeight="1">
      <c r="A162" t="inlineStr">
        <is>
          <t>A 44224-2022</t>
        </is>
      </c>
      <c r="B162" s="1" t="n">
        <v>44839.506875</v>
      </c>
      <c r="C162" s="1" t="n">
        <v>45993</v>
      </c>
      <c r="D162" t="inlineStr">
        <is>
          <t>VÄSTMANLANDS LÄN</t>
        </is>
      </c>
      <c r="E162" t="inlineStr">
        <is>
          <t>SALA</t>
        </is>
      </c>
      <c r="G162" t="n">
        <v>2.1</v>
      </c>
      <c r="H162" t="n">
        <v>0</v>
      </c>
      <c r="I162" t="n">
        <v>0</v>
      </c>
      <c r="J162" t="n">
        <v>0</v>
      </c>
      <c r="K162" t="n">
        <v>0</v>
      </c>
      <c r="L162" t="n">
        <v>0</v>
      </c>
      <c r="M162" t="n">
        <v>0</v>
      </c>
      <c r="N162" t="n">
        <v>0</v>
      </c>
      <c r="O162" t="n">
        <v>0</v>
      </c>
      <c r="P162" t="n">
        <v>0</v>
      </c>
      <c r="Q162" t="n">
        <v>0</v>
      </c>
      <c r="R162" s="2" t="inlineStr"/>
    </row>
    <row r="163" ht="15" customHeight="1">
      <c r="A163" t="inlineStr">
        <is>
          <t>A 25603-2022</t>
        </is>
      </c>
      <c r="B163" s="1" t="n">
        <v>44732</v>
      </c>
      <c r="C163" s="1" t="n">
        <v>45993</v>
      </c>
      <c r="D163" t="inlineStr">
        <is>
          <t>VÄSTMANLANDS LÄN</t>
        </is>
      </c>
      <c r="E163" t="inlineStr">
        <is>
          <t>SALA</t>
        </is>
      </c>
      <c r="G163" t="n">
        <v>2</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45993</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45993</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45993</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45993</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24882-2022</t>
        </is>
      </c>
      <c r="B168" s="1" t="n">
        <v>44728.56488425926</v>
      </c>
      <c r="C168" s="1" t="n">
        <v>45993</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10168-2022</t>
        </is>
      </c>
      <c r="B169" s="1" t="n">
        <v>44622.37693287037</v>
      </c>
      <c r="C169" s="1" t="n">
        <v>45993</v>
      </c>
      <c r="D169" t="inlineStr">
        <is>
          <t>VÄSTMANLANDS LÄN</t>
        </is>
      </c>
      <c r="E169" t="inlineStr">
        <is>
          <t>SALA</t>
        </is>
      </c>
      <c r="G169" t="n">
        <v>2.1</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45993</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45993</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45993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45993</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35976-2024</t>
        </is>
      </c>
      <c r="B174" s="1" t="n">
        <v>45533.49555555556</v>
      </c>
      <c r="C174" s="1" t="n">
        <v>45993</v>
      </c>
      <c r="D174" t="inlineStr">
        <is>
          <t>VÄSTMANLANDS LÄN</t>
        </is>
      </c>
      <c r="E174" t="inlineStr">
        <is>
          <t>SALA</t>
        </is>
      </c>
      <c r="G174" t="n">
        <v>2.3</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45993</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45993</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45993</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45015-2022</t>
        </is>
      </c>
      <c r="B178" s="1" t="n">
        <v>44841.63766203704</v>
      </c>
      <c r="C178" s="1" t="n">
        <v>45993</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45993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38636-2024</t>
        </is>
      </c>
      <c r="B180" s="1" t="n">
        <v>45546</v>
      </c>
      <c r="C180" s="1" t="n">
        <v>45993</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23757-2022</t>
        </is>
      </c>
      <c r="B181" s="1" t="n">
        <v>44722.37339120371</v>
      </c>
      <c r="C181" s="1" t="n">
        <v>45993</v>
      </c>
      <c r="D181" t="inlineStr">
        <is>
          <t>VÄSTMANLANDS LÄN</t>
        </is>
      </c>
      <c r="E181" t="inlineStr">
        <is>
          <t>SALA</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54347-2024</t>
        </is>
      </c>
      <c r="B182" s="1" t="n">
        <v>45617.39325231482</v>
      </c>
      <c r="C182" s="1" t="n">
        <v>45993</v>
      </c>
      <c r="D182" t="inlineStr">
        <is>
          <t>VÄSTMANLANDS LÄN</t>
        </is>
      </c>
      <c r="E182" t="inlineStr">
        <is>
          <t>SALA</t>
        </is>
      </c>
      <c r="G182" t="n">
        <v>2</v>
      </c>
      <c r="H182" t="n">
        <v>0</v>
      </c>
      <c r="I182" t="n">
        <v>0</v>
      </c>
      <c r="J182" t="n">
        <v>0</v>
      </c>
      <c r="K182" t="n">
        <v>0</v>
      </c>
      <c r="L182" t="n">
        <v>0</v>
      </c>
      <c r="M182" t="n">
        <v>0</v>
      </c>
      <c r="N182" t="n">
        <v>0</v>
      </c>
      <c r="O182" t="n">
        <v>0</v>
      </c>
      <c r="P182" t="n">
        <v>0</v>
      </c>
      <c r="Q182" t="n">
        <v>0</v>
      </c>
      <c r="R182" s="2" t="inlineStr"/>
    </row>
    <row r="183" ht="15" customHeight="1">
      <c r="A183" t="inlineStr">
        <is>
          <t>A 56688-2024</t>
        </is>
      </c>
      <c r="B183" s="1" t="n">
        <v>45627.66478009259</v>
      </c>
      <c r="C183" s="1" t="n">
        <v>45993</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13022-2023</t>
        </is>
      </c>
      <c r="B184" s="1" t="n">
        <v>45002.33291666667</v>
      </c>
      <c r="C184" s="1" t="n">
        <v>45993</v>
      </c>
      <c r="D184" t="inlineStr">
        <is>
          <t>VÄSTMANLANDS LÄN</t>
        </is>
      </c>
      <c r="E184" t="inlineStr">
        <is>
          <t>SALA</t>
        </is>
      </c>
      <c r="G184" t="n">
        <v>1.5</v>
      </c>
      <c r="H184" t="n">
        <v>0</v>
      </c>
      <c r="I184" t="n">
        <v>0</v>
      </c>
      <c r="J184" t="n">
        <v>0</v>
      </c>
      <c r="K184" t="n">
        <v>0</v>
      </c>
      <c r="L184" t="n">
        <v>0</v>
      </c>
      <c r="M184" t="n">
        <v>0</v>
      </c>
      <c r="N184" t="n">
        <v>0</v>
      </c>
      <c r="O184" t="n">
        <v>0</v>
      </c>
      <c r="P184" t="n">
        <v>0</v>
      </c>
      <c r="Q184" t="n">
        <v>0</v>
      </c>
      <c r="R184" s="2" t="inlineStr"/>
    </row>
    <row r="185" ht="15" customHeight="1">
      <c r="A185" t="inlineStr">
        <is>
          <t>A 27261-2024</t>
        </is>
      </c>
      <c r="B185" s="1" t="n">
        <v>45471</v>
      </c>
      <c r="C185" s="1" t="n">
        <v>45993</v>
      </c>
      <c r="D185" t="inlineStr">
        <is>
          <t>VÄSTMANLANDS LÄN</t>
        </is>
      </c>
      <c r="E185" t="inlineStr">
        <is>
          <t>SALA</t>
        </is>
      </c>
      <c r="G185" t="n">
        <v>6.1</v>
      </c>
      <c r="H185" t="n">
        <v>0</v>
      </c>
      <c r="I185" t="n">
        <v>0</v>
      </c>
      <c r="J185" t="n">
        <v>0</v>
      </c>
      <c r="K185" t="n">
        <v>0</v>
      </c>
      <c r="L185" t="n">
        <v>0</v>
      </c>
      <c r="M185" t="n">
        <v>0</v>
      </c>
      <c r="N185" t="n">
        <v>0</v>
      </c>
      <c r="O185" t="n">
        <v>0</v>
      </c>
      <c r="P185" t="n">
        <v>0</v>
      </c>
      <c r="Q185" t="n">
        <v>0</v>
      </c>
      <c r="R185" s="2" t="inlineStr"/>
    </row>
    <row r="186" ht="15" customHeight="1">
      <c r="A186" t="inlineStr">
        <is>
          <t>A 35003-2024</t>
        </is>
      </c>
      <c r="B186" s="1" t="n">
        <v>45527.56790509259</v>
      </c>
      <c r="C186" s="1" t="n">
        <v>45993</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45993</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54959-2024</t>
        </is>
      </c>
      <c r="B188" s="1" t="n">
        <v>45619</v>
      </c>
      <c r="C188" s="1" t="n">
        <v>45993</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71471-2021</t>
        </is>
      </c>
      <c r="B189" s="1" t="n">
        <v>44540.53421296296</v>
      </c>
      <c r="C189" s="1" t="n">
        <v>45993</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66307-2021</t>
        </is>
      </c>
      <c r="B190" s="1" t="n">
        <v>44518.48670138889</v>
      </c>
      <c r="C190" s="1" t="n">
        <v>45993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6030-2024</t>
        </is>
      </c>
      <c r="B191" s="1" t="n">
        <v>45336.62782407407</v>
      </c>
      <c r="C191" s="1" t="n">
        <v>45993</v>
      </c>
      <c r="D191" t="inlineStr">
        <is>
          <t>VÄSTMANLANDS LÄN</t>
        </is>
      </c>
      <c r="E191" t="inlineStr">
        <is>
          <t>SALA</t>
        </is>
      </c>
      <c r="G191" t="n">
        <v>3.9</v>
      </c>
      <c r="H191" t="n">
        <v>0</v>
      </c>
      <c r="I191" t="n">
        <v>0</v>
      </c>
      <c r="J191" t="n">
        <v>0</v>
      </c>
      <c r="K191" t="n">
        <v>0</v>
      </c>
      <c r="L191" t="n">
        <v>0</v>
      </c>
      <c r="M191" t="n">
        <v>0</v>
      </c>
      <c r="N191" t="n">
        <v>0</v>
      </c>
      <c r="O191" t="n">
        <v>0</v>
      </c>
      <c r="P191" t="n">
        <v>0</v>
      </c>
      <c r="Q191" t="n">
        <v>0</v>
      </c>
      <c r="R191" s="2" t="inlineStr"/>
    </row>
    <row r="192" ht="15" customHeight="1">
      <c r="A192" t="inlineStr">
        <is>
          <t>A 8775-2024</t>
        </is>
      </c>
      <c r="B192" s="1" t="n">
        <v>45356</v>
      </c>
      <c r="C192" s="1" t="n">
        <v>45993</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27486-2022</t>
        </is>
      </c>
      <c r="B193" s="1" t="n">
        <v>44742.60846064815</v>
      </c>
      <c r="C193" s="1" t="n">
        <v>45993</v>
      </c>
      <c r="D193" t="inlineStr">
        <is>
          <t>VÄSTMANLANDS LÄN</t>
        </is>
      </c>
      <c r="E193" t="inlineStr">
        <is>
          <t>SALA</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16651-2021</t>
        </is>
      </c>
      <c r="B194" s="1" t="n">
        <v>44294.50096064815</v>
      </c>
      <c r="C194" s="1" t="n">
        <v>45993</v>
      </c>
      <c r="D194" t="inlineStr">
        <is>
          <t>VÄSTMANLANDS LÄN</t>
        </is>
      </c>
      <c r="E194" t="inlineStr">
        <is>
          <t>SALA</t>
        </is>
      </c>
      <c r="G194" t="n">
        <v>7.7</v>
      </c>
      <c r="H194" t="n">
        <v>0</v>
      </c>
      <c r="I194" t="n">
        <v>0</v>
      </c>
      <c r="J194" t="n">
        <v>0</v>
      </c>
      <c r="K194" t="n">
        <v>0</v>
      </c>
      <c r="L194" t="n">
        <v>0</v>
      </c>
      <c r="M194" t="n">
        <v>0</v>
      </c>
      <c r="N194" t="n">
        <v>0</v>
      </c>
      <c r="O194" t="n">
        <v>0</v>
      </c>
      <c r="P194" t="n">
        <v>0</v>
      </c>
      <c r="Q194" t="n">
        <v>0</v>
      </c>
      <c r="R194" s="2" t="inlineStr"/>
    </row>
    <row r="195" ht="15" customHeight="1">
      <c r="A195" t="inlineStr">
        <is>
          <t>A 26761-2023</t>
        </is>
      </c>
      <c r="B195" s="1" t="n">
        <v>45093</v>
      </c>
      <c r="C195" s="1" t="n">
        <v>45993</v>
      </c>
      <c r="D195" t="inlineStr">
        <is>
          <t>VÄSTMANLANDS LÄN</t>
        </is>
      </c>
      <c r="E195" t="inlineStr">
        <is>
          <t>SALA</t>
        </is>
      </c>
      <c r="G195" t="n">
        <v>4.3</v>
      </c>
      <c r="H195" t="n">
        <v>0</v>
      </c>
      <c r="I195" t="n">
        <v>0</v>
      </c>
      <c r="J195" t="n">
        <v>0</v>
      </c>
      <c r="K195" t="n">
        <v>0</v>
      </c>
      <c r="L195" t="n">
        <v>0</v>
      </c>
      <c r="M195" t="n">
        <v>0</v>
      </c>
      <c r="N195" t="n">
        <v>0</v>
      </c>
      <c r="O195" t="n">
        <v>0</v>
      </c>
      <c r="P195" t="n">
        <v>0</v>
      </c>
      <c r="Q195" t="n">
        <v>0</v>
      </c>
      <c r="R195" s="2" t="inlineStr"/>
    </row>
    <row r="196" ht="15" customHeight="1">
      <c r="A196" t="inlineStr">
        <is>
          <t>A 61892-2021</t>
        </is>
      </c>
      <c r="B196" s="1" t="n">
        <v>44502</v>
      </c>
      <c r="C196" s="1" t="n">
        <v>45993</v>
      </c>
      <c r="D196" t="inlineStr">
        <is>
          <t>VÄSTMANLANDS LÄN</t>
        </is>
      </c>
      <c r="E196" t="inlineStr">
        <is>
          <t>SALA</t>
        </is>
      </c>
      <c r="G196" t="n">
        <v>1.4</v>
      </c>
      <c r="H196" t="n">
        <v>0</v>
      </c>
      <c r="I196" t="n">
        <v>0</v>
      </c>
      <c r="J196" t="n">
        <v>0</v>
      </c>
      <c r="K196" t="n">
        <v>0</v>
      </c>
      <c r="L196" t="n">
        <v>0</v>
      </c>
      <c r="M196" t="n">
        <v>0</v>
      </c>
      <c r="N196" t="n">
        <v>0</v>
      </c>
      <c r="O196" t="n">
        <v>0</v>
      </c>
      <c r="P196" t="n">
        <v>0</v>
      </c>
      <c r="Q196" t="n">
        <v>0</v>
      </c>
      <c r="R196" s="2" t="inlineStr"/>
    </row>
    <row r="197" ht="15" customHeight="1">
      <c r="A197" t="inlineStr">
        <is>
          <t>A 6134-2024</t>
        </is>
      </c>
      <c r="B197" s="1" t="n">
        <v>45337</v>
      </c>
      <c r="C197" s="1" t="n">
        <v>45993</v>
      </c>
      <c r="D197" t="inlineStr">
        <is>
          <t>VÄSTMANLANDS LÄN</t>
        </is>
      </c>
      <c r="E197" t="inlineStr">
        <is>
          <t>SALA</t>
        </is>
      </c>
      <c r="G197" t="n">
        <v>1.8</v>
      </c>
      <c r="H197" t="n">
        <v>0</v>
      </c>
      <c r="I197" t="n">
        <v>0</v>
      </c>
      <c r="J197" t="n">
        <v>0</v>
      </c>
      <c r="K197" t="n">
        <v>0</v>
      </c>
      <c r="L197" t="n">
        <v>0</v>
      </c>
      <c r="M197" t="n">
        <v>0</v>
      </c>
      <c r="N197" t="n">
        <v>0</v>
      </c>
      <c r="O197" t="n">
        <v>0</v>
      </c>
      <c r="P197" t="n">
        <v>0</v>
      </c>
      <c r="Q197" t="n">
        <v>0</v>
      </c>
      <c r="R197" s="2" t="inlineStr"/>
    </row>
    <row r="198" ht="15" customHeight="1">
      <c r="A198" t="inlineStr">
        <is>
          <t>A 39011-2023</t>
        </is>
      </c>
      <c r="B198" s="1" t="n">
        <v>45162</v>
      </c>
      <c r="C198" s="1" t="n">
        <v>45993</v>
      </c>
      <c r="D198" t="inlineStr">
        <is>
          <t>VÄSTMANLANDS LÄN</t>
        </is>
      </c>
      <c r="E198" t="inlineStr">
        <is>
          <t>SALA</t>
        </is>
      </c>
      <c r="G198" t="n">
        <v>1.6</v>
      </c>
      <c r="H198" t="n">
        <v>0</v>
      </c>
      <c r="I198" t="n">
        <v>0</v>
      </c>
      <c r="J198" t="n">
        <v>0</v>
      </c>
      <c r="K198" t="n">
        <v>0</v>
      </c>
      <c r="L198" t="n">
        <v>0</v>
      </c>
      <c r="M198" t="n">
        <v>0</v>
      </c>
      <c r="N198" t="n">
        <v>0</v>
      </c>
      <c r="O198" t="n">
        <v>0</v>
      </c>
      <c r="P198" t="n">
        <v>0</v>
      </c>
      <c r="Q198" t="n">
        <v>0</v>
      </c>
      <c r="R198" s="2" t="inlineStr"/>
    </row>
    <row r="199" ht="15" customHeight="1">
      <c r="A199" t="inlineStr">
        <is>
          <t>A 15354-2021</t>
        </is>
      </c>
      <c r="B199" s="1" t="n">
        <v>44284</v>
      </c>
      <c r="C199" s="1" t="n">
        <v>45993</v>
      </c>
      <c r="D199" t="inlineStr">
        <is>
          <t>VÄSTMANLANDS LÄN</t>
        </is>
      </c>
      <c r="E199" t="inlineStr">
        <is>
          <t>SALA</t>
        </is>
      </c>
      <c r="F199" t="inlineStr">
        <is>
          <t>Kyrkan</t>
        </is>
      </c>
      <c r="G199" t="n">
        <v>8.5</v>
      </c>
      <c r="H199" t="n">
        <v>0</v>
      </c>
      <c r="I199" t="n">
        <v>0</v>
      </c>
      <c r="J199" t="n">
        <v>0</v>
      </c>
      <c r="K199" t="n">
        <v>0</v>
      </c>
      <c r="L199" t="n">
        <v>0</v>
      </c>
      <c r="M199" t="n">
        <v>0</v>
      </c>
      <c r="N199" t="n">
        <v>0</v>
      </c>
      <c r="O199" t="n">
        <v>0</v>
      </c>
      <c r="P199" t="n">
        <v>0</v>
      </c>
      <c r="Q199" t="n">
        <v>0</v>
      </c>
      <c r="R199" s="2" t="inlineStr"/>
    </row>
    <row r="200" ht="15" customHeight="1">
      <c r="A200" t="inlineStr">
        <is>
          <t>A 56547-2022</t>
        </is>
      </c>
      <c r="B200" s="1" t="n">
        <v>44893.48284722222</v>
      </c>
      <c r="C200" s="1" t="n">
        <v>45993</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7772-2023</t>
        </is>
      </c>
      <c r="B201" s="1" t="n">
        <v>44973.40076388889</v>
      </c>
      <c r="C201" s="1" t="n">
        <v>45993</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51596-2022</t>
        </is>
      </c>
      <c r="B202" s="1" t="n">
        <v>44871</v>
      </c>
      <c r="C202" s="1" t="n">
        <v>45993</v>
      </c>
      <c r="D202" t="inlineStr">
        <is>
          <t>VÄSTMANLANDS LÄN</t>
        </is>
      </c>
      <c r="E202" t="inlineStr">
        <is>
          <t>SALA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66508-2021</t>
        </is>
      </c>
      <c r="B203" s="1" t="n">
        <v>44519.33401620371</v>
      </c>
      <c r="C203" s="1" t="n">
        <v>45993</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23180-2022</t>
        </is>
      </c>
      <c r="B204" s="1" t="n">
        <v>44719.79344907407</v>
      </c>
      <c r="C204" s="1" t="n">
        <v>45993</v>
      </c>
      <c r="D204" t="inlineStr">
        <is>
          <t>VÄSTMANLANDS LÄN</t>
        </is>
      </c>
      <c r="E204" t="inlineStr">
        <is>
          <t>SALA</t>
        </is>
      </c>
      <c r="G204" t="n">
        <v>1.2</v>
      </c>
      <c r="H204" t="n">
        <v>0</v>
      </c>
      <c r="I204" t="n">
        <v>0</v>
      </c>
      <c r="J204" t="n">
        <v>0</v>
      </c>
      <c r="K204" t="n">
        <v>0</v>
      </c>
      <c r="L204" t="n">
        <v>0</v>
      </c>
      <c r="M204" t="n">
        <v>0</v>
      </c>
      <c r="N204" t="n">
        <v>0</v>
      </c>
      <c r="O204" t="n">
        <v>0</v>
      </c>
      <c r="P204" t="n">
        <v>0</v>
      </c>
      <c r="Q204" t="n">
        <v>0</v>
      </c>
      <c r="R204" s="2" t="inlineStr"/>
    </row>
    <row r="205" ht="15" customHeight="1">
      <c r="A205" t="inlineStr">
        <is>
          <t>A 21053-2022</t>
        </is>
      </c>
      <c r="B205" s="1" t="n">
        <v>44704</v>
      </c>
      <c r="C205" s="1" t="n">
        <v>45993</v>
      </c>
      <c r="D205" t="inlineStr">
        <is>
          <t>VÄSTMANLANDS LÄN</t>
        </is>
      </c>
      <c r="E205" t="inlineStr">
        <is>
          <t>SALA</t>
        </is>
      </c>
      <c r="G205" t="n">
        <v>2</v>
      </c>
      <c r="H205" t="n">
        <v>0</v>
      </c>
      <c r="I205" t="n">
        <v>0</v>
      </c>
      <c r="J205" t="n">
        <v>0</v>
      </c>
      <c r="K205" t="n">
        <v>0</v>
      </c>
      <c r="L205" t="n">
        <v>0</v>
      </c>
      <c r="M205" t="n">
        <v>0</v>
      </c>
      <c r="N205" t="n">
        <v>0</v>
      </c>
      <c r="O205" t="n">
        <v>0</v>
      </c>
      <c r="P205" t="n">
        <v>0</v>
      </c>
      <c r="Q205" t="n">
        <v>0</v>
      </c>
      <c r="R205" s="2" t="inlineStr"/>
    </row>
    <row r="206" ht="15" customHeight="1">
      <c r="A206" t="inlineStr">
        <is>
          <t>A 39597-2022</t>
        </is>
      </c>
      <c r="B206" s="1" t="n">
        <v>44818</v>
      </c>
      <c r="C206" s="1" t="n">
        <v>45993</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18340-2025</t>
        </is>
      </c>
      <c r="B207" s="1" t="n">
        <v>45762</v>
      </c>
      <c r="C207" s="1" t="n">
        <v>45993</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56916-2022</t>
        </is>
      </c>
      <c r="B208" s="1" t="n">
        <v>44888</v>
      </c>
      <c r="C208" s="1" t="n">
        <v>45993</v>
      </c>
      <c r="D208" t="inlineStr">
        <is>
          <t>VÄSTMANLANDS LÄN</t>
        </is>
      </c>
      <c r="E208" t="inlineStr">
        <is>
          <t>SALA</t>
        </is>
      </c>
      <c r="G208" t="n">
        <v>1.7</v>
      </c>
      <c r="H208" t="n">
        <v>0</v>
      </c>
      <c r="I208" t="n">
        <v>0</v>
      </c>
      <c r="J208" t="n">
        <v>0</v>
      </c>
      <c r="K208" t="n">
        <v>0</v>
      </c>
      <c r="L208" t="n">
        <v>0</v>
      </c>
      <c r="M208" t="n">
        <v>0</v>
      </c>
      <c r="N208" t="n">
        <v>0</v>
      </c>
      <c r="O208" t="n">
        <v>0</v>
      </c>
      <c r="P208" t="n">
        <v>0</v>
      </c>
      <c r="Q208" t="n">
        <v>0</v>
      </c>
      <c r="R208" s="2" t="inlineStr"/>
    </row>
    <row r="209" ht="15" customHeight="1">
      <c r="A209" t="inlineStr">
        <is>
          <t>A 16638-2023</t>
        </is>
      </c>
      <c r="B209" s="1" t="n">
        <v>45027</v>
      </c>
      <c r="C209" s="1" t="n">
        <v>45993</v>
      </c>
      <c r="D209" t="inlineStr">
        <is>
          <t>VÄSTMANLANDS LÄN</t>
        </is>
      </c>
      <c r="E209" t="inlineStr">
        <is>
          <t>SALA</t>
        </is>
      </c>
      <c r="G209" t="n">
        <v>14.8</v>
      </c>
      <c r="H209" t="n">
        <v>0</v>
      </c>
      <c r="I209" t="n">
        <v>0</v>
      </c>
      <c r="J209" t="n">
        <v>0</v>
      </c>
      <c r="K209" t="n">
        <v>0</v>
      </c>
      <c r="L209" t="n">
        <v>0</v>
      </c>
      <c r="M209" t="n">
        <v>0</v>
      </c>
      <c r="N209" t="n">
        <v>0</v>
      </c>
      <c r="O209" t="n">
        <v>0</v>
      </c>
      <c r="P209" t="n">
        <v>0</v>
      </c>
      <c r="Q209" t="n">
        <v>0</v>
      </c>
      <c r="R209" s="2" t="inlineStr"/>
    </row>
    <row r="210" ht="15" customHeight="1">
      <c r="A210" t="inlineStr">
        <is>
          <t>A 42416-2022</t>
        </is>
      </c>
      <c r="B210" s="1" t="n">
        <v>44831</v>
      </c>
      <c r="C210" s="1" t="n">
        <v>45993</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25860-2024</t>
        </is>
      </c>
      <c r="B211" s="1" t="n">
        <v>45467.46278935186</v>
      </c>
      <c r="C211" s="1" t="n">
        <v>45993</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19381-2025</t>
        </is>
      </c>
      <c r="B212" s="1" t="n">
        <v>45769</v>
      </c>
      <c r="C212" s="1" t="n">
        <v>45993</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48688-2024</t>
        </is>
      </c>
      <c r="B213" s="1" t="n">
        <v>45593.50541666667</v>
      </c>
      <c r="C213" s="1" t="n">
        <v>45993</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22026-2021</t>
        </is>
      </c>
      <c r="B214" s="1" t="n">
        <v>44323</v>
      </c>
      <c r="C214" s="1" t="n">
        <v>45993</v>
      </c>
      <c r="D214" t="inlineStr">
        <is>
          <t>VÄSTMANLANDS LÄN</t>
        </is>
      </c>
      <c r="E214" t="inlineStr">
        <is>
          <t>SALA</t>
        </is>
      </c>
      <c r="G214" t="n">
        <v>2.9</v>
      </c>
      <c r="H214" t="n">
        <v>0</v>
      </c>
      <c r="I214" t="n">
        <v>0</v>
      </c>
      <c r="J214" t="n">
        <v>0</v>
      </c>
      <c r="K214" t="n">
        <v>0</v>
      </c>
      <c r="L214" t="n">
        <v>0</v>
      </c>
      <c r="M214" t="n">
        <v>0</v>
      </c>
      <c r="N214" t="n">
        <v>0</v>
      </c>
      <c r="O214" t="n">
        <v>0</v>
      </c>
      <c r="P214" t="n">
        <v>0</v>
      </c>
      <c r="Q214" t="n">
        <v>0</v>
      </c>
      <c r="R214" s="2" t="inlineStr"/>
    </row>
    <row r="215" ht="15" customHeight="1">
      <c r="A215" t="inlineStr">
        <is>
          <t>A 45313-2024</t>
        </is>
      </c>
      <c r="B215" s="1" t="n">
        <v>45576</v>
      </c>
      <c r="C215" s="1" t="n">
        <v>45993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16160-2024</t>
        </is>
      </c>
      <c r="B216" s="1" t="n">
        <v>45406</v>
      </c>
      <c r="C216" s="1" t="n">
        <v>45993</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56535-2022</t>
        </is>
      </c>
      <c r="B217" s="1" t="n">
        <v>44893.47173611111</v>
      </c>
      <c r="C217" s="1" t="n">
        <v>45993</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47909-2022</t>
        </is>
      </c>
      <c r="B218" s="1" t="n">
        <v>44855</v>
      </c>
      <c r="C218" s="1" t="n">
        <v>45993</v>
      </c>
      <c r="D218" t="inlineStr">
        <is>
          <t>VÄSTMANLANDS LÄN</t>
        </is>
      </c>
      <c r="E218" t="inlineStr">
        <is>
          <t>SALA</t>
        </is>
      </c>
      <c r="F218" t="inlineStr">
        <is>
          <t>Bergvik skog öst AB</t>
        </is>
      </c>
      <c r="G218" t="n">
        <v>2</v>
      </c>
      <c r="H218" t="n">
        <v>0</v>
      </c>
      <c r="I218" t="n">
        <v>0</v>
      </c>
      <c r="J218" t="n">
        <v>0</v>
      </c>
      <c r="K218" t="n">
        <v>0</v>
      </c>
      <c r="L218" t="n">
        <v>0</v>
      </c>
      <c r="M218" t="n">
        <v>0</v>
      </c>
      <c r="N218" t="n">
        <v>0</v>
      </c>
      <c r="O218" t="n">
        <v>0</v>
      </c>
      <c r="P218" t="n">
        <v>0</v>
      </c>
      <c r="Q218" t="n">
        <v>0</v>
      </c>
      <c r="R218" s="2" t="inlineStr"/>
    </row>
    <row r="219" ht="15" customHeight="1">
      <c r="A219" t="inlineStr">
        <is>
          <t>A 40597-2022</t>
        </is>
      </c>
      <c r="B219" s="1" t="n">
        <v>44823.84862268518</v>
      </c>
      <c r="C219" s="1" t="n">
        <v>45993</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52630-2022</t>
        </is>
      </c>
      <c r="B220" s="1" t="n">
        <v>44874</v>
      </c>
      <c r="C220" s="1" t="n">
        <v>45993</v>
      </c>
      <c r="D220" t="inlineStr">
        <is>
          <t>VÄSTMANLANDS LÄN</t>
        </is>
      </c>
      <c r="E220" t="inlineStr">
        <is>
          <t>SALA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56687-2024</t>
        </is>
      </c>
      <c r="B221" s="1" t="n">
        <v>45627.63271990741</v>
      </c>
      <c r="C221" s="1" t="n">
        <v>45993</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45187-2024</t>
        </is>
      </c>
      <c r="B222" s="1" t="n">
        <v>45575</v>
      </c>
      <c r="C222" s="1" t="n">
        <v>45993</v>
      </c>
      <c r="D222" t="inlineStr">
        <is>
          <t>VÄSTMANLANDS LÄN</t>
        </is>
      </c>
      <c r="E222" t="inlineStr">
        <is>
          <t>SALA</t>
        </is>
      </c>
      <c r="G222" t="n">
        <v>0.7</v>
      </c>
      <c r="H222" t="n">
        <v>0</v>
      </c>
      <c r="I222" t="n">
        <v>0</v>
      </c>
      <c r="J222" t="n">
        <v>0</v>
      </c>
      <c r="K222" t="n">
        <v>0</v>
      </c>
      <c r="L222" t="n">
        <v>0</v>
      </c>
      <c r="M222" t="n">
        <v>0</v>
      </c>
      <c r="N222" t="n">
        <v>0</v>
      </c>
      <c r="O222" t="n">
        <v>0</v>
      </c>
      <c r="P222" t="n">
        <v>0</v>
      </c>
      <c r="Q222" t="n">
        <v>0</v>
      </c>
      <c r="R222" s="2" t="inlineStr"/>
    </row>
    <row r="223" ht="15" customHeight="1">
      <c r="A223" t="inlineStr">
        <is>
          <t>A 15968-2024</t>
        </is>
      </c>
      <c r="B223" s="1" t="n">
        <v>45405.56021990741</v>
      </c>
      <c r="C223" s="1" t="n">
        <v>45993</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7196-2025</t>
        </is>
      </c>
      <c r="B224" s="1" t="n">
        <v>45702</v>
      </c>
      <c r="C224" s="1" t="n">
        <v>45993</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6183-2025</t>
        </is>
      </c>
      <c r="B225" s="1" t="n">
        <v>45698</v>
      </c>
      <c r="C225" s="1" t="n">
        <v>45993</v>
      </c>
      <c r="D225" t="inlineStr">
        <is>
          <t>VÄSTMANLANDS LÄN</t>
        </is>
      </c>
      <c r="E225" t="inlineStr">
        <is>
          <t>SALA</t>
        </is>
      </c>
      <c r="F225" t="inlineStr">
        <is>
          <t>Bergvik skog öst AB</t>
        </is>
      </c>
      <c r="G225" t="n">
        <v>2.3</v>
      </c>
      <c r="H225" t="n">
        <v>0</v>
      </c>
      <c r="I225" t="n">
        <v>0</v>
      </c>
      <c r="J225" t="n">
        <v>0</v>
      </c>
      <c r="K225" t="n">
        <v>0</v>
      </c>
      <c r="L225" t="n">
        <v>0</v>
      </c>
      <c r="M225" t="n">
        <v>0</v>
      </c>
      <c r="N225" t="n">
        <v>0</v>
      </c>
      <c r="O225" t="n">
        <v>0</v>
      </c>
      <c r="P225" t="n">
        <v>0</v>
      </c>
      <c r="Q225" t="n">
        <v>0</v>
      </c>
      <c r="R225" s="2" t="inlineStr"/>
    </row>
    <row r="226" ht="15" customHeight="1">
      <c r="A226" t="inlineStr">
        <is>
          <t>A 61715-2024</t>
        </is>
      </c>
      <c r="B226" s="1" t="n">
        <v>45648.89519675926</v>
      </c>
      <c r="C226" s="1" t="n">
        <v>45993</v>
      </c>
      <c r="D226" t="inlineStr">
        <is>
          <t>VÄSTMANLANDS LÄN</t>
        </is>
      </c>
      <c r="E226" t="inlineStr">
        <is>
          <t>SALA</t>
        </is>
      </c>
      <c r="G226" t="n">
        <v>2.5</v>
      </c>
      <c r="H226" t="n">
        <v>0</v>
      </c>
      <c r="I226" t="n">
        <v>0</v>
      </c>
      <c r="J226" t="n">
        <v>0</v>
      </c>
      <c r="K226" t="n">
        <v>0</v>
      </c>
      <c r="L226" t="n">
        <v>0</v>
      </c>
      <c r="M226" t="n">
        <v>0</v>
      </c>
      <c r="N226" t="n">
        <v>0</v>
      </c>
      <c r="O226" t="n">
        <v>0</v>
      </c>
      <c r="P226" t="n">
        <v>0</v>
      </c>
      <c r="Q226" t="n">
        <v>0</v>
      </c>
      <c r="R226" s="2" t="inlineStr"/>
    </row>
    <row r="227" ht="15" customHeight="1">
      <c r="A227" t="inlineStr">
        <is>
          <t>A 3733-2023</t>
        </is>
      </c>
      <c r="B227" s="1" t="n">
        <v>44951.42501157407</v>
      </c>
      <c r="C227" s="1" t="n">
        <v>45993</v>
      </c>
      <c r="D227" t="inlineStr">
        <is>
          <t>VÄSTMANLANDS LÄN</t>
        </is>
      </c>
      <c r="E227" t="inlineStr">
        <is>
          <t>SALA</t>
        </is>
      </c>
      <c r="G227" t="n">
        <v>3.1</v>
      </c>
      <c r="H227" t="n">
        <v>0</v>
      </c>
      <c r="I227" t="n">
        <v>0</v>
      </c>
      <c r="J227" t="n">
        <v>0</v>
      </c>
      <c r="K227" t="n">
        <v>0</v>
      </c>
      <c r="L227" t="n">
        <v>0</v>
      </c>
      <c r="M227" t="n">
        <v>0</v>
      </c>
      <c r="N227" t="n">
        <v>0</v>
      </c>
      <c r="O227" t="n">
        <v>0</v>
      </c>
      <c r="P227" t="n">
        <v>0</v>
      </c>
      <c r="Q227" t="n">
        <v>0</v>
      </c>
      <c r="R227" s="2" t="inlineStr"/>
    </row>
    <row r="228" ht="15" customHeight="1">
      <c r="A228" t="inlineStr">
        <is>
          <t>A 44544-2024</t>
        </is>
      </c>
      <c r="B228" s="1" t="n">
        <v>45574.46119212963</v>
      </c>
      <c r="C228" s="1" t="n">
        <v>45993</v>
      </c>
      <c r="D228" t="inlineStr">
        <is>
          <t>VÄSTMANLANDS LÄN</t>
        </is>
      </c>
      <c r="E228" t="inlineStr">
        <is>
          <t>SALA</t>
        </is>
      </c>
      <c r="G228" t="n">
        <v>3.3</v>
      </c>
      <c r="H228" t="n">
        <v>0</v>
      </c>
      <c r="I228" t="n">
        <v>0</v>
      </c>
      <c r="J228" t="n">
        <v>0</v>
      </c>
      <c r="K228" t="n">
        <v>0</v>
      </c>
      <c r="L228" t="n">
        <v>0</v>
      </c>
      <c r="M228" t="n">
        <v>0</v>
      </c>
      <c r="N228" t="n">
        <v>0</v>
      </c>
      <c r="O228" t="n">
        <v>0</v>
      </c>
      <c r="P228" t="n">
        <v>0</v>
      </c>
      <c r="Q228" t="n">
        <v>0</v>
      </c>
      <c r="R228" s="2" t="inlineStr"/>
    </row>
    <row r="229" ht="15" customHeight="1">
      <c r="A229" t="inlineStr">
        <is>
          <t>A 16404-2022</t>
        </is>
      </c>
      <c r="B229" s="1" t="n">
        <v>44671</v>
      </c>
      <c r="C229" s="1" t="n">
        <v>45993</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64729-2023</t>
        </is>
      </c>
      <c r="B230" s="1" t="n">
        <v>45281</v>
      </c>
      <c r="C230" s="1" t="n">
        <v>45993</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6097-2022</t>
        </is>
      </c>
      <c r="B231" s="1" t="n">
        <v>44599</v>
      </c>
      <c r="C231" s="1" t="n">
        <v>45993</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40871-2021</t>
        </is>
      </c>
      <c r="B232" s="1" t="n">
        <v>44421</v>
      </c>
      <c r="C232" s="1" t="n">
        <v>45993</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19803-2024</t>
        </is>
      </c>
      <c r="B233" s="1" t="n">
        <v>45432</v>
      </c>
      <c r="C233" s="1" t="n">
        <v>45993</v>
      </c>
      <c r="D233" t="inlineStr">
        <is>
          <t>VÄSTMANLANDS LÄN</t>
        </is>
      </c>
      <c r="E233" t="inlineStr">
        <is>
          <t>SALA</t>
        </is>
      </c>
      <c r="G233" t="n">
        <v>3.1</v>
      </c>
      <c r="H233" t="n">
        <v>0</v>
      </c>
      <c r="I233" t="n">
        <v>0</v>
      </c>
      <c r="J233" t="n">
        <v>0</v>
      </c>
      <c r="K233" t="n">
        <v>0</v>
      </c>
      <c r="L233" t="n">
        <v>0</v>
      </c>
      <c r="M233" t="n">
        <v>0</v>
      </c>
      <c r="N233" t="n">
        <v>0</v>
      </c>
      <c r="O233" t="n">
        <v>0</v>
      </c>
      <c r="P233" t="n">
        <v>0</v>
      </c>
      <c r="Q233" t="n">
        <v>0</v>
      </c>
      <c r="R233" s="2" t="inlineStr"/>
    </row>
    <row r="234" ht="15" customHeight="1">
      <c r="A234" t="inlineStr">
        <is>
          <t>A 10559-2024</t>
        </is>
      </c>
      <c r="B234" s="1" t="n">
        <v>45366</v>
      </c>
      <c r="C234" s="1" t="n">
        <v>45993</v>
      </c>
      <c r="D234" t="inlineStr">
        <is>
          <t>VÄSTMANLANDS LÄN</t>
        </is>
      </c>
      <c r="E234" t="inlineStr">
        <is>
          <t>SALA</t>
        </is>
      </c>
      <c r="G234" t="n">
        <v>0.3</v>
      </c>
      <c r="H234" t="n">
        <v>0</v>
      </c>
      <c r="I234" t="n">
        <v>0</v>
      </c>
      <c r="J234" t="n">
        <v>0</v>
      </c>
      <c r="K234" t="n">
        <v>0</v>
      </c>
      <c r="L234" t="n">
        <v>0</v>
      </c>
      <c r="M234" t="n">
        <v>0</v>
      </c>
      <c r="N234" t="n">
        <v>0</v>
      </c>
      <c r="O234" t="n">
        <v>0</v>
      </c>
      <c r="P234" t="n">
        <v>0</v>
      </c>
      <c r="Q234" t="n">
        <v>0</v>
      </c>
      <c r="R234" s="2" t="inlineStr"/>
    </row>
    <row r="235" ht="15" customHeight="1">
      <c r="A235" t="inlineStr">
        <is>
          <t>A 17117-2023</t>
        </is>
      </c>
      <c r="B235" s="1" t="n">
        <v>45034</v>
      </c>
      <c r="C235" s="1" t="n">
        <v>45993</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68864-2021</t>
        </is>
      </c>
      <c r="B236" s="1" t="n">
        <v>44530</v>
      </c>
      <c r="C236" s="1" t="n">
        <v>45993</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60545-2024</t>
        </is>
      </c>
      <c r="B237" s="1" t="n">
        <v>45643</v>
      </c>
      <c r="C237" s="1" t="n">
        <v>45993</v>
      </c>
      <c r="D237" t="inlineStr">
        <is>
          <t>VÄSTMANLANDS LÄN</t>
        </is>
      </c>
      <c r="E237" t="inlineStr">
        <is>
          <t>SALA</t>
        </is>
      </c>
      <c r="G237" t="n">
        <v>3.3</v>
      </c>
      <c r="H237" t="n">
        <v>0</v>
      </c>
      <c r="I237" t="n">
        <v>0</v>
      </c>
      <c r="J237" t="n">
        <v>0</v>
      </c>
      <c r="K237" t="n">
        <v>0</v>
      </c>
      <c r="L237" t="n">
        <v>0</v>
      </c>
      <c r="M237" t="n">
        <v>0</v>
      </c>
      <c r="N237" t="n">
        <v>0</v>
      </c>
      <c r="O237" t="n">
        <v>0</v>
      </c>
      <c r="P237" t="n">
        <v>0</v>
      </c>
      <c r="Q237" t="n">
        <v>0</v>
      </c>
      <c r="R237" s="2" t="inlineStr"/>
    </row>
    <row r="238" ht="15" customHeight="1">
      <c r="A238" t="inlineStr">
        <is>
          <t>A 60547-2024</t>
        </is>
      </c>
      <c r="B238" s="1" t="n">
        <v>45643</v>
      </c>
      <c r="C238" s="1" t="n">
        <v>45993</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59909-2024</t>
        </is>
      </c>
      <c r="B239" s="1" t="n">
        <v>45641</v>
      </c>
      <c r="C239" s="1" t="n">
        <v>45993</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15965-2024</t>
        </is>
      </c>
      <c r="B240" s="1" t="n">
        <v>45405.55740740741</v>
      </c>
      <c r="C240" s="1" t="n">
        <v>45993</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1196-2023</t>
        </is>
      </c>
      <c r="B241" s="1" t="n">
        <v>44935.82290509259</v>
      </c>
      <c r="C241" s="1" t="n">
        <v>45993</v>
      </c>
      <c r="D241" t="inlineStr">
        <is>
          <t>VÄSTMANLANDS LÄN</t>
        </is>
      </c>
      <c r="E241" t="inlineStr">
        <is>
          <t>SALA</t>
        </is>
      </c>
      <c r="G241" t="n">
        <v>4.1</v>
      </c>
      <c r="H241" t="n">
        <v>0</v>
      </c>
      <c r="I241" t="n">
        <v>0</v>
      </c>
      <c r="J241" t="n">
        <v>0</v>
      </c>
      <c r="K241" t="n">
        <v>0</v>
      </c>
      <c r="L241" t="n">
        <v>0</v>
      </c>
      <c r="M241" t="n">
        <v>0</v>
      </c>
      <c r="N241" t="n">
        <v>0</v>
      </c>
      <c r="O241" t="n">
        <v>0</v>
      </c>
      <c r="P241" t="n">
        <v>0</v>
      </c>
      <c r="Q241" t="n">
        <v>0</v>
      </c>
      <c r="R241" s="2" t="inlineStr"/>
    </row>
    <row r="242" ht="15" customHeight="1">
      <c r="A242" t="inlineStr">
        <is>
          <t>A 24864-2024</t>
        </is>
      </c>
      <c r="B242" s="1" t="n">
        <v>45461.48888888889</v>
      </c>
      <c r="C242" s="1" t="n">
        <v>45993</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1118-2024</t>
        </is>
      </c>
      <c r="B243" s="1" t="n">
        <v>45302</v>
      </c>
      <c r="C243" s="1" t="n">
        <v>45993</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63933-2023</t>
        </is>
      </c>
      <c r="B244" s="1" t="n">
        <v>45278</v>
      </c>
      <c r="C244" s="1" t="n">
        <v>45993</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64925-2023</t>
        </is>
      </c>
      <c r="B245" s="1" t="n">
        <v>45282</v>
      </c>
      <c r="C245" s="1" t="n">
        <v>45993</v>
      </c>
      <c r="D245" t="inlineStr">
        <is>
          <t>VÄSTMANLANDS LÄN</t>
        </is>
      </c>
      <c r="E245" t="inlineStr">
        <is>
          <t>SALA</t>
        </is>
      </c>
      <c r="G245" t="n">
        <v>2.5</v>
      </c>
      <c r="H245" t="n">
        <v>0</v>
      </c>
      <c r="I245" t="n">
        <v>0</v>
      </c>
      <c r="J245" t="n">
        <v>0</v>
      </c>
      <c r="K245" t="n">
        <v>0</v>
      </c>
      <c r="L245" t="n">
        <v>0</v>
      </c>
      <c r="M245" t="n">
        <v>0</v>
      </c>
      <c r="N245" t="n">
        <v>0</v>
      </c>
      <c r="O245" t="n">
        <v>0</v>
      </c>
      <c r="P245" t="n">
        <v>0</v>
      </c>
      <c r="Q245" t="n">
        <v>0</v>
      </c>
      <c r="R245" s="2" t="inlineStr"/>
    </row>
    <row r="246" ht="15" customHeight="1">
      <c r="A246" t="inlineStr">
        <is>
          <t>A 48570-2024</t>
        </is>
      </c>
      <c r="B246" s="1" t="n">
        <v>45591</v>
      </c>
      <c r="C246" s="1" t="n">
        <v>45993</v>
      </c>
      <c r="D246" t="inlineStr">
        <is>
          <t>VÄSTMANLANDS LÄN</t>
        </is>
      </c>
      <c r="E246" t="inlineStr">
        <is>
          <t>SALA</t>
        </is>
      </c>
      <c r="G246" t="n">
        <v>3</v>
      </c>
      <c r="H246" t="n">
        <v>0</v>
      </c>
      <c r="I246" t="n">
        <v>0</v>
      </c>
      <c r="J246" t="n">
        <v>0</v>
      </c>
      <c r="K246" t="n">
        <v>0</v>
      </c>
      <c r="L246" t="n">
        <v>0</v>
      </c>
      <c r="M246" t="n">
        <v>0</v>
      </c>
      <c r="N246" t="n">
        <v>0</v>
      </c>
      <c r="O246" t="n">
        <v>0</v>
      </c>
      <c r="P246" t="n">
        <v>0</v>
      </c>
      <c r="Q246" t="n">
        <v>0</v>
      </c>
      <c r="R246" s="2" t="inlineStr"/>
    </row>
    <row r="247" ht="15" customHeight="1">
      <c r="A247" t="inlineStr">
        <is>
          <t>A 30028-2024</t>
        </is>
      </c>
      <c r="B247" s="1" t="n">
        <v>45485</v>
      </c>
      <c r="C247" s="1" t="n">
        <v>45993</v>
      </c>
      <c r="D247" t="inlineStr">
        <is>
          <t>VÄSTMANLANDS LÄN</t>
        </is>
      </c>
      <c r="E247" t="inlineStr">
        <is>
          <t>SALA</t>
        </is>
      </c>
      <c r="G247" t="n">
        <v>2.6</v>
      </c>
      <c r="H247" t="n">
        <v>0</v>
      </c>
      <c r="I247" t="n">
        <v>0</v>
      </c>
      <c r="J247" t="n">
        <v>0</v>
      </c>
      <c r="K247" t="n">
        <v>0</v>
      </c>
      <c r="L247" t="n">
        <v>0</v>
      </c>
      <c r="M247" t="n">
        <v>0</v>
      </c>
      <c r="N247" t="n">
        <v>0</v>
      </c>
      <c r="O247" t="n">
        <v>0</v>
      </c>
      <c r="P247" t="n">
        <v>0</v>
      </c>
      <c r="Q247" t="n">
        <v>0</v>
      </c>
      <c r="R247" s="2" t="inlineStr"/>
    </row>
    <row r="248" ht="15" customHeight="1">
      <c r="A248" t="inlineStr">
        <is>
          <t>A 37190-2024</t>
        </is>
      </c>
      <c r="B248" s="1" t="n">
        <v>45539</v>
      </c>
      <c r="C248" s="1" t="n">
        <v>45993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62651-2022</t>
        </is>
      </c>
      <c r="B249" s="1" t="n">
        <v>44917</v>
      </c>
      <c r="C249" s="1" t="n">
        <v>45993</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54836-2024</t>
        </is>
      </c>
      <c r="B250" s="1" t="n">
        <v>45618</v>
      </c>
      <c r="C250" s="1" t="n">
        <v>45993</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13987-2023</t>
        </is>
      </c>
      <c r="B251" s="1" t="n">
        <v>45007</v>
      </c>
      <c r="C251" s="1" t="n">
        <v>45993</v>
      </c>
      <c r="D251" t="inlineStr">
        <is>
          <t>VÄSTMANLANDS LÄN</t>
        </is>
      </c>
      <c r="E251" t="inlineStr">
        <is>
          <t>SALA</t>
        </is>
      </c>
      <c r="G251" t="n">
        <v>3.2</v>
      </c>
      <c r="H251" t="n">
        <v>0</v>
      </c>
      <c r="I251" t="n">
        <v>0</v>
      </c>
      <c r="J251" t="n">
        <v>0</v>
      </c>
      <c r="K251" t="n">
        <v>0</v>
      </c>
      <c r="L251" t="n">
        <v>0</v>
      </c>
      <c r="M251" t="n">
        <v>0</v>
      </c>
      <c r="N251" t="n">
        <v>0</v>
      </c>
      <c r="O251" t="n">
        <v>0</v>
      </c>
      <c r="P251" t="n">
        <v>0</v>
      </c>
      <c r="Q251" t="n">
        <v>0</v>
      </c>
      <c r="R251" s="2" t="inlineStr"/>
    </row>
    <row r="252" ht="15" customHeight="1">
      <c r="A252" t="inlineStr">
        <is>
          <t>A 13990-2023</t>
        </is>
      </c>
      <c r="B252" s="1" t="n">
        <v>45007</v>
      </c>
      <c r="C252" s="1" t="n">
        <v>45993</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61517-2024</t>
        </is>
      </c>
      <c r="B253" s="1" t="n">
        <v>45645</v>
      </c>
      <c r="C253" s="1" t="n">
        <v>45993</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51464-2024</t>
        </is>
      </c>
      <c r="B254" s="1" t="n">
        <v>45604.49768518518</v>
      </c>
      <c r="C254" s="1" t="n">
        <v>45993</v>
      </c>
      <c r="D254" t="inlineStr">
        <is>
          <t>VÄSTMANLANDS LÄN</t>
        </is>
      </c>
      <c r="E254" t="inlineStr">
        <is>
          <t>SALA</t>
        </is>
      </c>
      <c r="G254" t="n">
        <v>3.9</v>
      </c>
      <c r="H254" t="n">
        <v>0</v>
      </c>
      <c r="I254" t="n">
        <v>0</v>
      </c>
      <c r="J254" t="n">
        <v>0</v>
      </c>
      <c r="K254" t="n">
        <v>0</v>
      </c>
      <c r="L254" t="n">
        <v>0</v>
      </c>
      <c r="M254" t="n">
        <v>0</v>
      </c>
      <c r="N254" t="n">
        <v>0</v>
      </c>
      <c r="O254" t="n">
        <v>0</v>
      </c>
      <c r="P254" t="n">
        <v>0</v>
      </c>
      <c r="Q254" t="n">
        <v>0</v>
      </c>
      <c r="R254" s="2" t="inlineStr"/>
    </row>
    <row r="255" ht="15" customHeight="1">
      <c r="A255" t="inlineStr">
        <is>
          <t>A 39439-2021</t>
        </is>
      </c>
      <c r="B255" s="1" t="n">
        <v>44414</v>
      </c>
      <c r="C255" s="1" t="n">
        <v>45993</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16760-2024</t>
        </is>
      </c>
      <c r="B256" s="1" t="n">
        <v>45411</v>
      </c>
      <c r="C256" s="1" t="n">
        <v>45993</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1128-2025</t>
        </is>
      </c>
      <c r="B257" s="1" t="n">
        <v>45666.68469907407</v>
      </c>
      <c r="C257" s="1" t="n">
        <v>45993</v>
      </c>
      <c r="D257" t="inlineStr">
        <is>
          <t>VÄSTMANLANDS LÄN</t>
        </is>
      </c>
      <c r="E257" t="inlineStr">
        <is>
          <t>SALA</t>
        </is>
      </c>
      <c r="G257" t="n">
        <v>2.5</v>
      </c>
      <c r="H257" t="n">
        <v>0</v>
      </c>
      <c r="I257" t="n">
        <v>0</v>
      </c>
      <c r="J257" t="n">
        <v>0</v>
      </c>
      <c r="K257" t="n">
        <v>0</v>
      </c>
      <c r="L257" t="n">
        <v>0</v>
      </c>
      <c r="M257" t="n">
        <v>0</v>
      </c>
      <c r="N257" t="n">
        <v>0</v>
      </c>
      <c r="O257" t="n">
        <v>0</v>
      </c>
      <c r="P257" t="n">
        <v>0</v>
      </c>
      <c r="Q257" t="n">
        <v>0</v>
      </c>
      <c r="R257" s="2" t="inlineStr"/>
    </row>
    <row r="258" ht="15" customHeight="1">
      <c r="A258" t="inlineStr">
        <is>
          <t>A 33309-2022</t>
        </is>
      </c>
      <c r="B258" s="1" t="n">
        <v>44788.40986111111</v>
      </c>
      <c r="C258" s="1" t="n">
        <v>45993</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43176-2023</t>
        </is>
      </c>
      <c r="B259" s="1" t="n">
        <v>45183</v>
      </c>
      <c r="C259" s="1" t="n">
        <v>45993</v>
      </c>
      <c r="D259" t="inlineStr">
        <is>
          <t>VÄSTMANLANDS LÄN</t>
        </is>
      </c>
      <c r="E259" t="inlineStr">
        <is>
          <t>SALA</t>
        </is>
      </c>
      <c r="G259" t="n">
        <v>1.2</v>
      </c>
      <c r="H259" t="n">
        <v>0</v>
      </c>
      <c r="I259" t="n">
        <v>0</v>
      </c>
      <c r="J259" t="n">
        <v>0</v>
      </c>
      <c r="K259" t="n">
        <v>0</v>
      </c>
      <c r="L259" t="n">
        <v>0</v>
      </c>
      <c r="M259" t="n">
        <v>0</v>
      </c>
      <c r="N259" t="n">
        <v>0</v>
      </c>
      <c r="O259" t="n">
        <v>0</v>
      </c>
      <c r="P259" t="n">
        <v>0</v>
      </c>
      <c r="Q259" t="n">
        <v>0</v>
      </c>
      <c r="R259" s="2" t="inlineStr"/>
    </row>
    <row r="260" ht="15" customHeight="1">
      <c r="A260" t="inlineStr">
        <is>
          <t>A 73835-2021</t>
        </is>
      </c>
      <c r="B260" s="1" t="n">
        <v>44552.92112268518</v>
      </c>
      <c r="C260" s="1" t="n">
        <v>45993</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7377-2023</t>
        </is>
      </c>
      <c r="B261" s="1" t="n">
        <v>44971</v>
      </c>
      <c r="C261" s="1" t="n">
        <v>45993</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60379-2022</t>
        </is>
      </c>
      <c r="B262" s="1" t="n">
        <v>44910</v>
      </c>
      <c r="C262" s="1" t="n">
        <v>45993</v>
      </c>
      <c r="D262" t="inlineStr">
        <is>
          <t>VÄSTMANLANDS LÄN</t>
        </is>
      </c>
      <c r="E262" t="inlineStr">
        <is>
          <t>SALA</t>
        </is>
      </c>
      <c r="F262" t="inlineStr">
        <is>
          <t>Kyrkan</t>
        </is>
      </c>
      <c r="G262" t="n">
        <v>2.5</v>
      </c>
      <c r="H262" t="n">
        <v>0</v>
      </c>
      <c r="I262" t="n">
        <v>0</v>
      </c>
      <c r="J262" t="n">
        <v>0</v>
      </c>
      <c r="K262" t="n">
        <v>0</v>
      </c>
      <c r="L262" t="n">
        <v>0</v>
      </c>
      <c r="M262" t="n">
        <v>0</v>
      </c>
      <c r="N262" t="n">
        <v>0</v>
      </c>
      <c r="O262" t="n">
        <v>0</v>
      </c>
      <c r="P262" t="n">
        <v>0</v>
      </c>
      <c r="Q262" t="n">
        <v>0</v>
      </c>
      <c r="R262" s="2" t="inlineStr"/>
    </row>
    <row r="263" ht="15" customHeight="1">
      <c r="A263" t="inlineStr">
        <is>
          <t>A 54603-2024</t>
        </is>
      </c>
      <c r="B263" s="1" t="n">
        <v>45617.68224537037</v>
      </c>
      <c r="C263" s="1" t="n">
        <v>45993</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11389-2024</t>
        </is>
      </c>
      <c r="B264" s="1" t="n">
        <v>45372.45016203704</v>
      </c>
      <c r="C264" s="1" t="n">
        <v>45993</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56706-2022</t>
        </is>
      </c>
      <c r="B265" s="1" t="n">
        <v>44893.78893518518</v>
      </c>
      <c r="C265" s="1" t="n">
        <v>45993</v>
      </c>
      <c r="D265" t="inlineStr">
        <is>
          <t>VÄSTMANLANDS LÄN</t>
        </is>
      </c>
      <c r="E265" t="inlineStr">
        <is>
          <t>SALA</t>
        </is>
      </c>
      <c r="G265" t="n">
        <v>4.5</v>
      </c>
      <c r="H265" t="n">
        <v>0</v>
      </c>
      <c r="I265" t="n">
        <v>0</v>
      </c>
      <c r="J265" t="n">
        <v>0</v>
      </c>
      <c r="K265" t="n">
        <v>0</v>
      </c>
      <c r="L265" t="n">
        <v>0</v>
      </c>
      <c r="M265" t="n">
        <v>0</v>
      </c>
      <c r="N265" t="n">
        <v>0</v>
      </c>
      <c r="O265" t="n">
        <v>0</v>
      </c>
      <c r="P265" t="n">
        <v>0</v>
      </c>
      <c r="Q265" t="n">
        <v>0</v>
      </c>
      <c r="R265" s="2" t="inlineStr"/>
    </row>
    <row r="266" ht="15" customHeight="1">
      <c r="A266" t="inlineStr">
        <is>
          <t>A 56707-2022</t>
        </is>
      </c>
      <c r="B266" s="1" t="n">
        <v>44893.79412037037</v>
      </c>
      <c r="C266" s="1" t="n">
        <v>45993</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30971-2022</t>
        </is>
      </c>
      <c r="B267" s="1" t="n">
        <v>44768.46725694444</v>
      </c>
      <c r="C267" s="1" t="n">
        <v>45993</v>
      </c>
      <c r="D267" t="inlineStr">
        <is>
          <t>VÄSTMANLANDS LÄN</t>
        </is>
      </c>
      <c r="E267" t="inlineStr">
        <is>
          <t>SALA</t>
        </is>
      </c>
      <c r="G267" t="n">
        <v>2.4</v>
      </c>
      <c r="H267" t="n">
        <v>0</v>
      </c>
      <c r="I267" t="n">
        <v>0</v>
      </c>
      <c r="J267" t="n">
        <v>0</v>
      </c>
      <c r="K267" t="n">
        <v>0</v>
      </c>
      <c r="L267" t="n">
        <v>0</v>
      </c>
      <c r="M267" t="n">
        <v>0</v>
      </c>
      <c r="N267" t="n">
        <v>0</v>
      </c>
      <c r="O267" t="n">
        <v>0</v>
      </c>
      <c r="P267" t="n">
        <v>0</v>
      </c>
      <c r="Q267" t="n">
        <v>0</v>
      </c>
      <c r="R267" s="2" t="inlineStr"/>
    </row>
    <row r="268" ht="15" customHeight="1">
      <c r="A268" t="inlineStr">
        <is>
          <t>A 27229-2022</t>
        </is>
      </c>
      <c r="B268" s="1" t="n">
        <v>44741</v>
      </c>
      <c r="C268" s="1" t="n">
        <v>45993</v>
      </c>
      <c r="D268" t="inlineStr">
        <is>
          <t>VÄSTMANLANDS LÄN</t>
        </is>
      </c>
      <c r="E268" t="inlineStr">
        <is>
          <t>SALA</t>
        </is>
      </c>
      <c r="F268" t="inlineStr">
        <is>
          <t>Kommuner</t>
        </is>
      </c>
      <c r="G268" t="n">
        <v>1.4</v>
      </c>
      <c r="H268" t="n">
        <v>0</v>
      </c>
      <c r="I268" t="n">
        <v>0</v>
      </c>
      <c r="J268" t="n">
        <v>0</v>
      </c>
      <c r="K268" t="n">
        <v>0</v>
      </c>
      <c r="L268" t="n">
        <v>0</v>
      </c>
      <c r="M268" t="n">
        <v>0</v>
      </c>
      <c r="N268" t="n">
        <v>0</v>
      </c>
      <c r="O268" t="n">
        <v>0</v>
      </c>
      <c r="P268" t="n">
        <v>0</v>
      </c>
      <c r="Q268" t="n">
        <v>0</v>
      </c>
      <c r="R268" s="2" t="inlineStr"/>
    </row>
    <row r="269" ht="15" customHeight="1">
      <c r="A269" t="inlineStr">
        <is>
          <t>A 1638-2023</t>
        </is>
      </c>
      <c r="B269" s="1" t="n">
        <v>44937</v>
      </c>
      <c r="C269" s="1" t="n">
        <v>45993</v>
      </c>
      <c r="D269" t="inlineStr">
        <is>
          <t>VÄSTMANLANDS LÄN</t>
        </is>
      </c>
      <c r="E269" t="inlineStr">
        <is>
          <t>SALA</t>
        </is>
      </c>
      <c r="G269" t="n">
        <v>3.1</v>
      </c>
      <c r="H269" t="n">
        <v>0</v>
      </c>
      <c r="I269" t="n">
        <v>0</v>
      </c>
      <c r="J269" t="n">
        <v>0</v>
      </c>
      <c r="K269" t="n">
        <v>0</v>
      </c>
      <c r="L269" t="n">
        <v>0</v>
      </c>
      <c r="M269" t="n">
        <v>0</v>
      </c>
      <c r="N269" t="n">
        <v>0</v>
      </c>
      <c r="O269" t="n">
        <v>0</v>
      </c>
      <c r="P269" t="n">
        <v>0</v>
      </c>
      <c r="Q269" t="n">
        <v>0</v>
      </c>
      <c r="R269" s="2" t="inlineStr"/>
    </row>
    <row r="270" ht="15" customHeight="1">
      <c r="A270" t="inlineStr">
        <is>
          <t>A 7953-2024</t>
        </is>
      </c>
      <c r="B270" s="1" t="n">
        <v>45350</v>
      </c>
      <c r="C270" s="1" t="n">
        <v>45993</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5477-2024</t>
        </is>
      </c>
      <c r="B271" s="1" t="n">
        <v>45333.67833333334</v>
      </c>
      <c r="C271" s="1" t="n">
        <v>45993</v>
      </c>
      <c r="D271" t="inlineStr">
        <is>
          <t>VÄSTMANLANDS LÄN</t>
        </is>
      </c>
      <c r="E271" t="inlineStr">
        <is>
          <t>SALA</t>
        </is>
      </c>
      <c r="G271" t="n">
        <v>2.3</v>
      </c>
      <c r="H271" t="n">
        <v>0</v>
      </c>
      <c r="I271" t="n">
        <v>0</v>
      </c>
      <c r="J271" t="n">
        <v>0</v>
      </c>
      <c r="K271" t="n">
        <v>0</v>
      </c>
      <c r="L271" t="n">
        <v>0</v>
      </c>
      <c r="M271" t="n">
        <v>0</v>
      </c>
      <c r="N271" t="n">
        <v>0</v>
      </c>
      <c r="O271" t="n">
        <v>0</v>
      </c>
      <c r="P271" t="n">
        <v>0</v>
      </c>
      <c r="Q271" t="n">
        <v>0</v>
      </c>
      <c r="R271" s="2" t="inlineStr"/>
    </row>
    <row r="272" ht="15" customHeight="1">
      <c r="A272" t="inlineStr">
        <is>
          <t>A 18762-2024</t>
        </is>
      </c>
      <c r="B272" s="1" t="n">
        <v>45426.55240740741</v>
      </c>
      <c r="C272" s="1" t="n">
        <v>45993</v>
      </c>
      <c r="D272" t="inlineStr">
        <is>
          <t>VÄSTMANLANDS LÄN</t>
        </is>
      </c>
      <c r="E272" t="inlineStr">
        <is>
          <t>SALA</t>
        </is>
      </c>
      <c r="G272" t="n">
        <v>6.2</v>
      </c>
      <c r="H272" t="n">
        <v>0</v>
      </c>
      <c r="I272" t="n">
        <v>0</v>
      </c>
      <c r="J272" t="n">
        <v>0</v>
      </c>
      <c r="K272" t="n">
        <v>0</v>
      </c>
      <c r="L272" t="n">
        <v>0</v>
      </c>
      <c r="M272" t="n">
        <v>0</v>
      </c>
      <c r="N272" t="n">
        <v>0</v>
      </c>
      <c r="O272" t="n">
        <v>0</v>
      </c>
      <c r="P272" t="n">
        <v>0</v>
      </c>
      <c r="Q272" t="n">
        <v>0</v>
      </c>
      <c r="R272" s="2" t="inlineStr"/>
    </row>
    <row r="273" ht="15" customHeight="1">
      <c r="A273" t="inlineStr">
        <is>
          <t>A 17120-2023</t>
        </is>
      </c>
      <c r="B273" s="1" t="n">
        <v>45034</v>
      </c>
      <c r="C273" s="1" t="n">
        <v>45993</v>
      </c>
      <c r="D273" t="inlineStr">
        <is>
          <t>VÄSTMANLANDS LÄN</t>
        </is>
      </c>
      <c r="E273" t="inlineStr">
        <is>
          <t>SALA</t>
        </is>
      </c>
      <c r="G273" t="n">
        <v>0.1</v>
      </c>
      <c r="H273" t="n">
        <v>0</v>
      </c>
      <c r="I273" t="n">
        <v>0</v>
      </c>
      <c r="J273" t="n">
        <v>0</v>
      </c>
      <c r="K273" t="n">
        <v>0</v>
      </c>
      <c r="L273" t="n">
        <v>0</v>
      </c>
      <c r="M273" t="n">
        <v>0</v>
      </c>
      <c r="N273" t="n">
        <v>0</v>
      </c>
      <c r="O273" t="n">
        <v>0</v>
      </c>
      <c r="P273" t="n">
        <v>0</v>
      </c>
      <c r="Q273" t="n">
        <v>0</v>
      </c>
      <c r="R273" s="2" t="inlineStr"/>
    </row>
    <row r="274" ht="15" customHeight="1">
      <c r="A274" t="inlineStr">
        <is>
          <t>A 42938-2023</t>
        </is>
      </c>
      <c r="B274" s="1" t="n">
        <v>45179</v>
      </c>
      <c r="C274" s="1" t="n">
        <v>45993</v>
      </c>
      <c r="D274" t="inlineStr">
        <is>
          <t>VÄSTMANLANDS LÄN</t>
        </is>
      </c>
      <c r="E274" t="inlineStr">
        <is>
          <t>SALA</t>
        </is>
      </c>
      <c r="G274" t="n">
        <v>10.9</v>
      </c>
      <c r="H274" t="n">
        <v>0</v>
      </c>
      <c r="I274" t="n">
        <v>0</v>
      </c>
      <c r="J274" t="n">
        <v>0</v>
      </c>
      <c r="K274" t="n">
        <v>0</v>
      </c>
      <c r="L274" t="n">
        <v>0</v>
      </c>
      <c r="M274" t="n">
        <v>0</v>
      </c>
      <c r="N274" t="n">
        <v>0</v>
      </c>
      <c r="O274" t="n">
        <v>0</v>
      </c>
      <c r="P274" t="n">
        <v>0</v>
      </c>
      <c r="Q274" t="n">
        <v>0</v>
      </c>
      <c r="R274" s="2" t="inlineStr"/>
    </row>
    <row r="275" ht="15" customHeight="1">
      <c r="A275" t="inlineStr">
        <is>
          <t>A 42984-2023</t>
        </is>
      </c>
      <c r="B275" s="1" t="n">
        <v>45179</v>
      </c>
      <c r="C275" s="1" t="n">
        <v>45993</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24755-2021</t>
        </is>
      </c>
      <c r="B276" s="1" t="n">
        <v>44340</v>
      </c>
      <c r="C276" s="1" t="n">
        <v>45993</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34867-2023</t>
        </is>
      </c>
      <c r="B277" s="1" t="n">
        <v>45142.33481481481</v>
      </c>
      <c r="C277" s="1" t="n">
        <v>45993</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15972-2024</t>
        </is>
      </c>
      <c r="B278" s="1" t="n">
        <v>45405.56498842593</v>
      </c>
      <c r="C278" s="1" t="n">
        <v>45993</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26507-2023</t>
        </is>
      </c>
      <c r="B279" s="1" t="n">
        <v>45092</v>
      </c>
      <c r="C279" s="1" t="n">
        <v>45993</v>
      </c>
      <c r="D279" t="inlineStr">
        <is>
          <t>VÄSTMANLANDS LÄN</t>
        </is>
      </c>
      <c r="E279" t="inlineStr">
        <is>
          <t>SALA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6032-2025</t>
        </is>
      </c>
      <c r="B280" s="1" t="n">
        <v>45695.6371875</v>
      </c>
      <c r="C280" s="1" t="n">
        <v>45993</v>
      </c>
      <c r="D280" t="inlineStr">
        <is>
          <t>VÄSTMANLANDS LÄN</t>
        </is>
      </c>
      <c r="E280" t="inlineStr">
        <is>
          <t>SALA</t>
        </is>
      </c>
      <c r="F280" t="inlineStr">
        <is>
          <t>Bergvik skog öst AB</t>
        </is>
      </c>
      <c r="G280" t="n">
        <v>8.1</v>
      </c>
      <c r="H280" t="n">
        <v>0</v>
      </c>
      <c r="I280" t="n">
        <v>0</v>
      </c>
      <c r="J280" t="n">
        <v>0</v>
      </c>
      <c r="K280" t="n">
        <v>0</v>
      </c>
      <c r="L280" t="n">
        <v>0</v>
      </c>
      <c r="M280" t="n">
        <v>0</v>
      </c>
      <c r="N280" t="n">
        <v>0</v>
      </c>
      <c r="O280" t="n">
        <v>0</v>
      </c>
      <c r="P280" t="n">
        <v>0</v>
      </c>
      <c r="Q280" t="n">
        <v>0</v>
      </c>
      <c r="R280" s="2" t="inlineStr"/>
    </row>
    <row r="281" ht="15" customHeight="1">
      <c r="A281" t="inlineStr">
        <is>
          <t>A 39714-2023</t>
        </is>
      </c>
      <c r="B281" s="1" t="n">
        <v>45167.62133101852</v>
      </c>
      <c r="C281" s="1" t="n">
        <v>45993</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2900-2023</t>
        </is>
      </c>
      <c r="B282" s="1" t="n">
        <v>44943</v>
      </c>
      <c r="C282" s="1" t="n">
        <v>45993</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33527-2023</t>
        </is>
      </c>
      <c r="B283" s="1" t="n">
        <v>45131</v>
      </c>
      <c r="C283" s="1" t="n">
        <v>45993</v>
      </c>
      <c r="D283" t="inlineStr">
        <is>
          <t>VÄSTMANLANDS LÄN</t>
        </is>
      </c>
      <c r="E283" t="inlineStr">
        <is>
          <t>SALA</t>
        </is>
      </c>
      <c r="G283" t="n">
        <v>1</v>
      </c>
      <c r="H283" t="n">
        <v>0</v>
      </c>
      <c r="I283" t="n">
        <v>0</v>
      </c>
      <c r="J283" t="n">
        <v>0</v>
      </c>
      <c r="K283" t="n">
        <v>0</v>
      </c>
      <c r="L283" t="n">
        <v>0</v>
      </c>
      <c r="M283" t="n">
        <v>0</v>
      </c>
      <c r="N283" t="n">
        <v>0</v>
      </c>
      <c r="O283" t="n">
        <v>0</v>
      </c>
      <c r="P283" t="n">
        <v>0</v>
      </c>
      <c r="Q283" t="n">
        <v>0</v>
      </c>
      <c r="R283" s="2" t="inlineStr"/>
    </row>
    <row r="284" ht="15" customHeight="1">
      <c r="A284" t="inlineStr">
        <is>
          <t>A 34814-2021</t>
        </is>
      </c>
      <c r="B284" s="1" t="n">
        <v>44383</v>
      </c>
      <c r="C284" s="1" t="n">
        <v>45993</v>
      </c>
      <c r="D284" t="inlineStr">
        <is>
          <t>VÄSTMANLANDS LÄN</t>
        </is>
      </c>
      <c r="E284" t="inlineStr">
        <is>
          <t>SALA</t>
        </is>
      </c>
      <c r="F284" t="inlineStr">
        <is>
          <t>Sveaskog</t>
        </is>
      </c>
      <c r="G284" t="n">
        <v>0.5</v>
      </c>
      <c r="H284" t="n">
        <v>0</v>
      </c>
      <c r="I284" t="n">
        <v>0</v>
      </c>
      <c r="J284" t="n">
        <v>0</v>
      </c>
      <c r="K284" t="n">
        <v>0</v>
      </c>
      <c r="L284" t="n">
        <v>0</v>
      </c>
      <c r="M284" t="n">
        <v>0</v>
      </c>
      <c r="N284" t="n">
        <v>0</v>
      </c>
      <c r="O284" t="n">
        <v>0</v>
      </c>
      <c r="P284" t="n">
        <v>0</v>
      </c>
      <c r="Q284" t="n">
        <v>0</v>
      </c>
      <c r="R284" s="2" t="inlineStr"/>
    </row>
    <row r="285" ht="15" customHeight="1">
      <c r="A285" t="inlineStr">
        <is>
          <t>A 60730-2023</t>
        </is>
      </c>
      <c r="B285" s="1" t="n">
        <v>45260</v>
      </c>
      <c r="C285" s="1" t="n">
        <v>45993</v>
      </c>
      <c r="D285" t="inlineStr">
        <is>
          <t>VÄSTMANLANDS LÄN</t>
        </is>
      </c>
      <c r="E285" t="inlineStr">
        <is>
          <t>SALA</t>
        </is>
      </c>
      <c r="G285" t="n">
        <v>1.3</v>
      </c>
      <c r="H285" t="n">
        <v>0</v>
      </c>
      <c r="I285" t="n">
        <v>0</v>
      </c>
      <c r="J285" t="n">
        <v>0</v>
      </c>
      <c r="K285" t="n">
        <v>0</v>
      </c>
      <c r="L285" t="n">
        <v>0</v>
      </c>
      <c r="M285" t="n">
        <v>0</v>
      </c>
      <c r="N285" t="n">
        <v>0</v>
      </c>
      <c r="O285" t="n">
        <v>0</v>
      </c>
      <c r="P285" t="n">
        <v>0</v>
      </c>
      <c r="Q285" t="n">
        <v>0</v>
      </c>
      <c r="R285" s="2" t="inlineStr"/>
    </row>
    <row r="286" ht="15" customHeight="1">
      <c r="A286" t="inlineStr">
        <is>
          <t>A 60731-2023</t>
        </is>
      </c>
      <c r="B286" s="1" t="n">
        <v>45260</v>
      </c>
      <c r="C286" s="1" t="n">
        <v>45993</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10913-2025</t>
        </is>
      </c>
      <c r="B287" s="1" t="n">
        <v>45722.73423611111</v>
      </c>
      <c r="C287" s="1" t="n">
        <v>45993</v>
      </c>
      <c r="D287" t="inlineStr">
        <is>
          <t>VÄSTMANLANDS LÄN</t>
        </is>
      </c>
      <c r="E287" t="inlineStr">
        <is>
          <t>SALA</t>
        </is>
      </c>
      <c r="G287" t="n">
        <v>7.6</v>
      </c>
      <c r="H287" t="n">
        <v>0</v>
      </c>
      <c r="I287" t="n">
        <v>0</v>
      </c>
      <c r="J287" t="n">
        <v>0</v>
      </c>
      <c r="K287" t="n">
        <v>0</v>
      </c>
      <c r="L287" t="n">
        <v>0</v>
      </c>
      <c r="M287" t="n">
        <v>0</v>
      </c>
      <c r="N287" t="n">
        <v>0</v>
      </c>
      <c r="O287" t="n">
        <v>0</v>
      </c>
      <c r="P287" t="n">
        <v>0</v>
      </c>
      <c r="Q287" t="n">
        <v>0</v>
      </c>
      <c r="R287" s="2" t="inlineStr"/>
    </row>
    <row r="288" ht="15" customHeight="1">
      <c r="A288" t="inlineStr">
        <is>
          <t>A 58107-2021</t>
        </is>
      </c>
      <c r="B288" s="1" t="n">
        <v>44487</v>
      </c>
      <c r="C288" s="1" t="n">
        <v>45993</v>
      </c>
      <c r="D288" t="inlineStr">
        <is>
          <t>VÄSTMANLANDS LÄN</t>
        </is>
      </c>
      <c r="E288" t="inlineStr">
        <is>
          <t>SALA</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54118-2023</t>
        </is>
      </c>
      <c r="B289" s="1" t="n">
        <v>45232</v>
      </c>
      <c r="C289" s="1" t="n">
        <v>45993</v>
      </c>
      <c r="D289" t="inlineStr">
        <is>
          <t>VÄSTMANLANDS LÄN</t>
        </is>
      </c>
      <c r="E289" t="inlineStr">
        <is>
          <t>SALA</t>
        </is>
      </c>
      <c r="G289" t="n">
        <v>1.1</v>
      </c>
      <c r="H289" t="n">
        <v>0</v>
      </c>
      <c r="I289" t="n">
        <v>0</v>
      </c>
      <c r="J289" t="n">
        <v>0</v>
      </c>
      <c r="K289" t="n">
        <v>0</v>
      </c>
      <c r="L289" t="n">
        <v>0</v>
      </c>
      <c r="M289" t="n">
        <v>0</v>
      </c>
      <c r="N289" t="n">
        <v>0</v>
      </c>
      <c r="O289" t="n">
        <v>0</v>
      </c>
      <c r="P289" t="n">
        <v>0</v>
      </c>
      <c r="Q289" t="n">
        <v>0</v>
      </c>
      <c r="R289" s="2" t="inlineStr"/>
    </row>
    <row r="290" ht="15" customHeight="1">
      <c r="A290" t="inlineStr">
        <is>
          <t>A 35462-2024</t>
        </is>
      </c>
      <c r="B290" s="1" t="n">
        <v>45531</v>
      </c>
      <c r="C290" s="1" t="n">
        <v>45993</v>
      </c>
      <c r="D290" t="inlineStr">
        <is>
          <t>VÄSTMANLANDS LÄN</t>
        </is>
      </c>
      <c r="E290" t="inlineStr">
        <is>
          <t>SALA</t>
        </is>
      </c>
      <c r="G290" t="n">
        <v>0.6</v>
      </c>
      <c r="H290" t="n">
        <v>0</v>
      </c>
      <c r="I290" t="n">
        <v>0</v>
      </c>
      <c r="J290" t="n">
        <v>0</v>
      </c>
      <c r="K290" t="n">
        <v>0</v>
      </c>
      <c r="L290" t="n">
        <v>0</v>
      </c>
      <c r="M290" t="n">
        <v>0</v>
      </c>
      <c r="N290" t="n">
        <v>0</v>
      </c>
      <c r="O290" t="n">
        <v>0</v>
      </c>
      <c r="P290" t="n">
        <v>0</v>
      </c>
      <c r="Q290" t="n">
        <v>0</v>
      </c>
      <c r="R290" s="2" t="inlineStr"/>
    </row>
    <row r="291" ht="15" customHeight="1">
      <c r="A291" t="inlineStr">
        <is>
          <t>A 2927-2024</t>
        </is>
      </c>
      <c r="B291" s="1" t="n">
        <v>45315.58989583333</v>
      </c>
      <c r="C291" s="1" t="n">
        <v>45993</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25748-2022</t>
        </is>
      </c>
      <c r="B292" s="1" t="n">
        <v>44732</v>
      </c>
      <c r="C292" s="1" t="n">
        <v>45993</v>
      </c>
      <c r="D292" t="inlineStr">
        <is>
          <t>VÄSTMANLANDS LÄN</t>
        </is>
      </c>
      <c r="E292" t="inlineStr">
        <is>
          <t>SALA</t>
        </is>
      </c>
      <c r="G292" t="n">
        <v>7.7</v>
      </c>
      <c r="H292" t="n">
        <v>0</v>
      </c>
      <c r="I292" t="n">
        <v>0</v>
      </c>
      <c r="J292" t="n">
        <v>0</v>
      </c>
      <c r="K292" t="n">
        <v>0</v>
      </c>
      <c r="L292" t="n">
        <v>0</v>
      </c>
      <c r="M292" t="n">
        <v>0</v>
      </c>
      <c r="N292" t="n">
        <v>0</v>
      </c>
      <c r="O292" t="n">
        <v>0</v>
      </c>
      <c r="P292" t="n">
        <v>0</v>
      </c>
      <c r="Q292" t="n">
        <v>0</v>
      </c>
      <c r="R292" s="2" t="inlineStr"/>
    </row>
    <row r="293" ht="15" customHeight="1">
      <c r="A293" t="inlineStr">
        <is>
          <t>A 37183-2024</t>
        </is>
      </c>
      <c r="B293" s="1" t="n">
        <v>45539</v>
      </c>
      <c r="C293" s="1" t="n">
        <v>45993</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54199-2024</t>
        </is>
      </c>
      <c r="B294" s="1" t="n">
        <v>45616.64703703704</v>
      </c>
      <c r="C294" s="1" t="n">
        <v>45993</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60548-2024</t>
        </is>
      </c>
      <c r="B295" s="1" t="n">
        <v>45643.80978009259</v>
      </c>
      <c r="C295" s="1" t="n">
        <v>45993</v>
      </c>
      <c r="D295" t="inlineStr">
        <is>
          <t>VÄSTMANLANDS LÄN</t>
        </is>
      </c>
      <c r="E295" t="inlineStr">
        <is>
          <t>SALA</t>
        </is>
      </c>
      <c r="G295" t="n">
        <v>1.6</v>
      </c>
      <c r="H295" t="n">
        <v>0</v>
      </c>
      <c r="I295" t="n">
        <v>0</v>
      </c>
      <c r="J295" t="n">
        <v>0</v>
      </c>
      <c r="K295" t="n">
        <v>0</v>
      </c>
      <c r="L295" t="n">
        <v>0</v>
      </c>
      <c r="M295" t="n">
        <v>0</v>
      </c>
      <c r="N295" t="n">
        <v>0</v>
      </c>
      <c r="O295" t="n">
        <v>0</v>
      </c>
      <c r="P295" t="n">
        <v>0</v>
      </c>
      <c r="Q295" t="n">
        <v>0</v>
      </c>
      <c r="R295" s="2" t="inlineStr"/>
    </row>
    <row r="296" ht="15" customHeight="1">
      <c r="A296" t="inlineStr">
        <is>
          <t>A 36393-2023</t>
        </is>
      </c>
      <c r="B296" s="1" t="n">
        <v>45152</v>
      </c>
      <c r="C296" s="1" t="n">
        <v>45993</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45790-2023</t>
        </is>
      </c>
      <c r="B297" s="1" t="n">
        <v>45195.45958333334</v>
      </c>
      <c r="C297" s="1" t="n">
        <v>45993</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56949-2023</t>
        </is>
      </c>
      <c r="B298" s="1" t="n">
        <v>45244.61589120371</v>
      </c>
      <c r="C298" s="1" t="n">
        <v>45993</v>
      </c>
      <c r="D298" t="inlineStr">
        <is>
          <t>VÄSTMANLANDS LÄN</t>
        </is>
      </c>
      <c r="E298" t="inlineStr">
        <is>
          <t>SALA</t>
        </is>
      </c>
      <c r="G298" t="n">
        <v>4.7</v>
      </c>
      <c r="H298" t="n">
        <v>0</v>
      </c>
      <c r="I298" t="n">
        <v>0</v>
      </c>
      <c r="J298" t="n">
        <v>0</v>
      </c>
      <c r="K298" t="n">
        <v>0</v>
      </c>
      <c r="L298" t="n">
        <v>0</v>
      </c>
      <c r="M298" t="n">
        <v>0</v>
      </c>
      <c r="N298" t="n">
        <v>0</v>
      </c>
      <c r="O298" t="n">
        <v>0</v>
      </c>
      <c r="P298" t="n">
        <v>0</v>
      </c>
      <c r="Q298" t="n">
        <v>0</v>
      </c>
      <c r="R298" s="2" t="inlineStr"/>
    </row>
    <row r="299" ht="15" customHeight="1">
      <c r="A299" t="inlineStr">
        <is>
          <t>A 37017-2025</t>
        </is>
      </c>
      <c r="B299" s="1" t="n">
        <v>45874</v>
      </c>
      <c r="C299" s="1" t="n">
        <v>45993</v>
      </c>
      <c r="D299" t="inlineStr">
        <is>
          <t>VÄSTMANLANDS LÄN</t>
        </is>
      </c>
      <c r="E299" t="inlineStr">
        <is>
          <t>SALA</t>
        </is>
      </c>
      <c r="G299" t="n">
        <v>11.1</v>
      </c>
      <c r="H299" t="n">
        <v>0</v>
      </c>
      <c r="I299" t="n">
        <v>0</v>
      </c>
      <c r="J299" t="n">
        <v>0</v>
      </c>
      <c r="K299" t="n">
        <v>0</v>
      </c>
      <c r="L299" t="n">
        <v>0</v>
      </c>
      <c r="M299" t="n">
        <v>0</v>
      </c>
      <c r="N299" t="n">
        <v>0</v>
      </c>
      <c r="O299" t="n">
        <v>0</v>
      </c>
      <c r="P299" t="n">
        <v>0</v>
      </c>
      <c r="Q299" t="n">
        <v>0</v>
      </c>
      <c r="R299" s="2" t="inlineStr"/>
    </row>
    <row r="300" ht="15" customHeight="1">
      <c r="A300" t="inlineStr">
        <is>
          <t>A 40214-2023</t>
        </is>
      </c>
      <c r="B300" s="1" t="n">
        <v>45169.45173611111</v>
      </c>
      <c r="C300" s="1" t="n">
        <v>45993</v>
      </c>
      <c r="D300" t="inlineStr">
        <is>
          <t>VÄSTMANLANDS LÄN</t>
        </is>
      </c>
      <c r="E300" t="inlineStr">
        <is>
          <t>SALA</t>
        </is>
      </c>
      <c r="G300" t="n">
        <v>5.5</v>
      </c>
      <c r="H300" t="n">
        <v>0</v>
      </c>
      <c r="I300" t="n">
        <v>0</v>
      </c>
      <c r="J300" t="n">
        <v>0</v>
      </c>
      <c r="K300" t="n">
        <v>0</v>
      </c>
      <c r="L300" t="n">
        <v>0</v>
      </c>
      <c r="M300" t="n">
        <v>0</v>
      </c>
      <c r="N300" t="n">
        <v>0</v>
      </c>
      <c r="O300" t="n">
        <v>0</v>
      </c>
      <c r="P300" t="n">
        <v>0</v>
      </c>
      <c r="Q300" t="n">
        <v>0</v>
      </c>
      <c r="R300" s="2" t="inlineStr"/>
    </row>
    <row r="301" ht="15" customHeight="1">
      <c r="A301" t="inlineStr">
        <is>
          <t>A 37103-2025</t>
        </is>
      </c>
      <c r="B301" s="1" t="n">
        <v>45875.47743055555</v>
      </c>
      <c r="C301" s="1" t="n">
        <v>45993</v>
      </c>
      <c r="D301" t="inlineStr">
        <is>
          <t>VÄSTMANLANDS LÄN</t>
        </is>
      </c>
      <c r="E301" t="inlineStr">
        <is>
          <t>SALA</t>
        </is>
      </c>
      <c r="G301" t="n">
        <v>1.9</v>
      </c>
      <c r="H301" t="n">
        <v>0</v>
      </c>
      <c r="I301" t="n">
        <v>0</v>
      </c>
      <c r="J301" t="n">
        <v>0</v>
      </c>
      <c r="K301" t="n">
        <v>0</v>
      </c>
      <c r="L301" t="n">
        <v>0</v>
      </c>
      <c r="M301" t="n">
        <v>0</v>
      </c>
      <c r="N301" t="n">
        <v>0</v>
      </c>
      <c r="O301" t="n">
        <v>0</v>
      </c>
      <c r="P301" t="n">
        <v>0</v>
      </c>
      <c r="Q301" t="n">
        <v>0</v>
      </c>
      <c r="R301" s="2" t="inlineStr"/>
    </row>
    <row r="302" ht="15" customHeight="1">
      <c r="A302" t="inlineStr">
        <is>
          <t>A 37246-2025</t>
        </is>
      </c>
      <c r="B302" s="1" t="n">
        <v>45876.39435185185</v>
      </c>
      <c r="C302" s="1" t="n">
        <v>45993</v>
      </c>
      <c r="D302" t="inlineStr">
        <is>
          <t>VÄSTMANLANDS LÄN</t>
        </is>
      </c>
      <c r="E302" t="inlineStr">
        <is>
          <t>SALA</t>
        </is>
      </c>
      <c r="G302" t="n">
        <v>2.3</v>
      </c>
      <c r="H302" t="n">
        <v>0</v>
      </c>
      <c r="I302" t="n">
        <v>0</v>
      </c>
      <c r="J302" t="n">
        <v>0</v>
      </c>
      <c r="K302" t="n">
        <v>0</v>
      </c>
      <c r="L302" t="n">
        <v>0</v>
      </c>
      <c r="M302" t="n">
        <v>0</v>
      </c>
      <c r="N302" t="n">
        <v>0</v>
      </c>
      <c r="O302" t="n">
        <v>0</v>
      </c>
      <c r="P302" t="n">
        <v>0</v>
      </c>
      <c r="Q302" t="n">
        <v>0</v>
      </c>
      <c r="R302" s="2" t="inlineStr"/>
    </row>
    <row r="303" ht="15" customHeight="1">
      <c r="A303" t="inlineStr">
        <is>
          <t>A 35016-2024</t>
        </is>
      </c>
      <c r="B303" s="1" t="n">
        <v>45527.59115740741</v>
      </c>
      <c r="C303" s="1" t="n">
        <v>45993</v>
      </c>
      <c r="D303" t="inlineStr">
        <is>
          <t>VÄSTMANLANDS LÄN</t>
        </is>
      </c>
      <c r="E303" t="inlineStr">
        <is>
          <t>SALA</t>
        </is>
      </c>
      <c r="G303" t="n">
        <v>0.4</v>
      </c>
      <c r="H303" t="n">
        <v>0</v>
      </c>
      <c r="I303" t="n">
        <v>0</v>
      </c>
      <c r="J303" t="n">
        <v>0</v>
      </c>
      <c r="K303" t="n">
        <v>0</v>
      </c>
      <c r="L303" t="n">
        <v>0</v>
      </c>
      <c r="M303" t="n">
        <v>0</v>
      </c>
      <c r="N303" t="n">
        <v>0</v>
      </c>
      <c r="O303" t="n">
        <v>0</v>
      </c>
      <c r="P303" t="n">
        <v>0</v>
      </c>
      <c r="Q303" t="n">
        <v>0</v>
      </c>
      <c r="R303" s="2" t="inlineStr"/>
    </row>
    <row r="304" ht="15" customHeight="1">
      <c r="A304" t="inlineStr">
        <is>
          <t>A 49512-2024</t>
        </is>
      </c>
      <c r="B304" s="1" t="n">
        <v>45591</v>
      </c>
      <c r="C304" s="1" t="n">
        <v>45993</v>
      </c>
      <c r="D304" t="inlineStr">
        <is>
          <t>VÄSTMANLANDS LÄN</t>
        </is>
      </c>
      <c r="E304" t="inlineStr">
        <is>
          <t>SALA</t>
        </is>
      </c>
      <c r="G304" t="n">
        <v>8.1</v>
      </c>
      <c r="H304" t="n">
        <v>0</v>
      </c>
      <c r="I304" t="n">
        <v>0</v>
      </c>
      <c r="J304" t="n">
        <v>0</v>
      </c>
      <c r="K304" t="n">
        <v>0</v>
      </c>
      <c r="L304" t="n">
        <v>0</v>
      </c>
      <c r="M304" t="n">
        <v>0</v>
      </c>
      <c r="N304" t="n">
        <v>0</v>
      </c>
      <c r="O304" t="n">
        <v>0</v>
      </c>
      <c r="P304" t="n">
        <v>0</v>
      </c>
      <c r="Q304" t="n">
        <v>0</v>
      </c>
      <c r="R304" s="2" t="inlineStr"/>
    </row>
    <row r="305" ht="15" customHeight="1">
      <c r="A305" t="inlineStr">
        <is>
          <t>A 37612-2024</t>
        </is>
      </c>
      <c r="B305" s="1" t="n">
        <v>45541</v>
      </c>
      <c r="C305" s="1" t="n">
        <v>45993</v>
      </c>
      <c r="D305" t="inlineStr">
        <is>
          <t>VÄSTMANLANDS LÄN</t>
        </is>
      </c>
      <c r="E305" t="inlineStr">
        <is>
          <t>SALA</t>
        </is>
      </c>
      <c r="G305" t="n">
        <v>2.2</v>
      </c>
      <c r="H305" t="n">
        <v>0</v>
      </c>
      <c r="I305" t="n">
        <v>0</v>
      </c>
      <c r="J305" t="n">
        <v>0</v>
      </c>
      <c r="K305" t="n">
        <v>0</v>
      </c>
      <c r="L305" t="n">
        <v>0</v>
      </c>
      <c r="M305" t="n">
        <v>0</v>
      </c>
      <c r="N305" t="n">
        <v>0</v>
      </c>
      <c r="O305" t="n">
        <v>0</v>
      </c>
      <c r="P305" t="n">
        <v>0</v>
      </c>
      <c r="Q305" t="n">
        <v>0</v>
      </c>
      <c r="R305" s="2" t="inlineStr"/>
    </row>
    <row r="306" ht="15" customHeight="1">
      <c r="A306" t="inlineStr">
        <is>
          <t>A 37615-2024</t>
        </is>
      </c>
      <c r="B306" s="1" t="n">
        <v>45541.50673611111</v>
      </c>
      <c r="C306" s="1" t="n">
        <v>45993</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5728-2022</t>
        </is>
      </c>
      <c r="B307" s="1" t="n">
        <v>44596.42082175926</v>
      </c>
      <c r="C307" s="1" t="n">
        <v>45993</v>
      </c>
      <c r="D307" t="inlineStr">
        <is>
          <t>VÄSTMANLANDS LÄN</t>
        </is>
      </c>
      <c r="E307" t="inlineStr">
        <is>
          <t>SALA</t>
        </is>
      </c>
      <c r="G307" t="n">
        <v>1.7</v>
      </c>
      <c r="H307" t="n">
        <v>0</v>
      </c>
      <c r="I307" t="n">
        <v>0</v>
      </c>
      <c r="J307" t="n">
        <v>0</v>
      </c>
      <c r="K307" t="n">
        <v>0</v>
      </c>
      <c r="L307" t="n">
        <v>0</v>
      </c>
      <c r="M307" t="n">
        <v>0</v>
      </c>
      <c r="N307" t="n">
        <v>0</v>
      </c>
      <c r="O307" t="n">
        <v>0</v>
      </c>
      <c r="P307" t="n">
        <v>0</v>
      </c>
      <c r="Q307" t="n">
        <v>0</v>
      </c>
      <c r="R307" s="2" t="inlineStr"/>
    </row>
    <row r="308" ht="15" customHeight="1">
      <c r="A308" t="inlineStr">
        <is>
          <t>A 57895-2024</t>
        </is>
      </c>
      <c r="B308" s="1" t="n">
        <v>45631</v>
      </c>
      <c r="C308" s="1" t="n">
        <v>45993</v>
      </c>
      <c r="D308" t="inlineStr">
        <is>
          <t>VÄSTMANLANDS LÄN</t>
        </is>
      </c>
      <c r="E308" t="inlineStr">
        <is>
          <t>SALA</t>
        </is>
      </c>
      <c r="G308" t="n">
        <v>1</v>
      </c>
      <c r="H308" t="n">
        <v>0</v>
      </c>
      <c r="I308" t="n">
        <v>0</v>
      </c>
      <c r="J308" t="n">
        <v>0</v>
      </c>
      <c r="K308" t="n">
        <v>0</v>
      </c>
      <c r="L308" t="n">
        <v>0</v>
      </c>
      <c r="M308" t="n">
        <v>0</v>
      </c>
      <c r="N308" t="n">
        <v>0</v>
      </c>
      <c r="O308" t="n">
        <v>0</v>
      </c>
      <c r="P308" t="n">
        <v>0</v>
      </c>
      <c r="Q308" t="n">
        <v>0</v>
      </c>
      <c r="R308" s="2" t="inlineStr"/>
    </row>
    <row r="309" ht="15" customHeight="1">
      <c r="A309" t="inlineStr">
        <is>
          <t>A 7681-2021</t>
        </is>
      </c>
      <c r="B309" s="1" t="n">
        <v>44242</v>
      </c>
      <c r="C309" s="1" t="n">
        <v>45993</v>
      </c>
      <c r="D309" t="inlineStr">
        <is>
          <t>VÄSTMANLANDS LÄN</t>
        </is>
      </c>
      <c r="E309" t="inlineStr">
        <is>
          <t>SALA</t>
        </is>
      </c>
      <c r="F309" t="inlineStr">
        <is>
          <t>Sveaskog</t>
        </is>
      </c>
      <c r="G309" t="n">
        <v>16.1</v>
      </c>
      <c r="H309" t="n">
        <v>0</v>
      </c>
      <c r="I309" t="n">
        <v>0</v>
      </c>
      <c r="J309" t="n">
        <v>0</v>
      </c>
      <c r="K309" t="n">
        <v>0</v>
      </c>
      <c r="L309" t="n">
        <v>0</v>
      </c>
      <c r="M309" t="n">
        <v>0</v>
      </c>
      <c r="N309" t="n">
        <v>0</v>
      </c>
      <c r="O309" t="n">
        <v>0</v>
      </c>
      <c r="P309" t="n">
        <v>0</v>
      </c>
      <c r="Q309" t="n">
        <v>0</v>
      </c>
      <c r="R309" s="2" t="inlineStr"/>
    </row>
    <row r="310" ht="15" customHeight="1">
      <c r="A310" t="inlineStr">
        <is>
          <t>A 31597-2024</t>
        </is>
      </c>
      <c r="B310" s="1" t="n">
        <v>45506</v>
      </c>
      <c r="C310" s="1" t="n">
        <v>45993</v>
      </c>
      <c r="D310" t="inlineStr">
        <is>
          <t>VÄSTMANLANDS LÄN</t>
        </is>
      </c>
      <c r="E310" t="inlineStr">
        <is>
          <t>SALA</t>
        </is>
      </c>
      <c r="G310" t="n">
        <v>2.4</v>
      </c>
      <c r="H310" t="n">
        <v>0</v>
      </c>
      <c r="I310" t="n">
        <v>0</v>
      </c>
      <c r="J310" t="n">
        <v>0</v>
      </c>
      <c r="K310" t="n">
        <v>0</v>
      </c>
      <c r="L310" t="n">
        <v>0</v>
      </c>
      <c r="M310" t="n">
        <v>0</v>
      </c>
      <c r="N310" t="n">
        <v>0</v>
      </c>
      <c r="O310" t="n">
        <v>0</v>
      </c>
      <c r="P310" t="n">
        <v>0</v>
      </c>
      <c r="Q310" t="n">
        <v>0</v>
      </c>
      <c r="R310" s="2" t="inlineStr"/>
    </row>
    <row r="311" ht="15" customHeight="1">
      <c r="A311" t="inlineStr">
        <is>
          <t>A 17722-2025</t>
        </is>
      </c>
      <c r="B311" s="1" t="n">
        <v>45758</v>
      </c>
      <c r="C311" s="1" t="n">
        <v>45993</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17458-2024</t>
        </is>
      </c>
      <c r="B312" s="1" t="n">
        <v>45415</v>
      </c>
      <c r="C312" s="1" t="n">
        <v>45993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56543-2024</t>
        </is>
      </c>
      <c r="B313" s="1" t="n">
        <v>45625</v>
      </c>
      <c r="C313" s="1" t="n">
        <v>45993</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37590-2025</t>
        </is>
      </c>
      <c r="B314" s="1" t="n">
        <v>45880.41138888889</v>
      </c>
      <c r="C314" s="1" t="n">
        <v>45993</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37593-2025</t>
        </is>
      </c>
      <c r="B315" s="1" t="n">
        <v>45880.41325231481</v>
      </c>
      <c r="C315" s="1" t="n">
        <v>45993</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19751-2022</t>
        </is>
      </c>
      <c r="B316" s="1" t="n">
        <v>44694</v>
      </c>
      <c r="C316" s="1" t="n">
        <v>45993</v>
      </c>
      <c r="D316" t="inlineStr">
        <is>
          <t>VÄSTMANLANDS LÄN</t>
        </is>
      </c>
      <c r="E316" t="inlineStr">
        <is>
          <t>SALA</t>
        </is>
      </c>
      <c r="G316" t="n">
        <v>2.7</v>
      </c>
      <c r="H316" t="n">
        <v>0</v>
      </c>
      <c r="I316" t="n">
        <v>0</v>
      </c>
      <c r="J316" t="n">
        <v>0</v>
      </c>
      <c r="K316" t="n">
        <v>0</v>
      </c>
      <c r="L316" t="n">
        <v>0</v>
      </c>
      <c r="M316" t="n">
        <v>0</v>
      </c>
      <c r="N316" t="n">
        <v>0</v>
      </c>
      <c r="O316" t="n">
        <v>0</v>
      </c>
      <c r="P316" t="n">
        <v>0</v>
      </c>
      <c r="Q316" t="n">
        <v>0</v>
      </c>
      <c r="R316" s="2" t="inlineStr"/>
    </row>
    <row r="317" ht="15" customHeight="1">
      <c r="A317" t="inlineStr">
        <is>
          <t>A 13128-2023</t>
        </is>
      </c>
      <c r="B317" s="1" t="n">
        <v>45002</v>
      </c>
      <c r="C317" s="1" t="n">
        <v>45993</v>
      </c>
      <c r="D317" t="inlineStr">
        <is>
          <t>VÄSTMANLANDS LÄN</t>
        </is>
      </c>
      <c r="E317" t="inlineStr">
        <is>
          <t>SALA</t>
        </is>
      </c>
      <c r="G317" t="n">
        <v>7.9</v>
      </c>
      <c r="H317" t="n">
        <v>0</v>
      </c>
      <c r="I317" t="n">
        <v>0</v>
      </c>
      <c r="J317" t="n">
        <v>0</v>
      </c>
      <c r="K317" t="n">
        <v>0</v>
      </c>
      <c r="L317" t="n">
        <v>0</v>
      </c>
      <c r="M317" t="n">
        <v>0</v>
      </c>
      <c r="N317" t="n">
        <v>0</v>
      </c>
      <c r="O317" t="n">
        <v>0</v>
      </c>
      <c r="P317" t="n">
        <v>0</v>
      </c>
      <c r="Q317" t="n">
        <v>0</v>
      </c>
      <c r="R317" s="2" t="inlineStr"/>
    </row>
    <row r="318" ht="15" customHeight="1">
      <c r="A318" t="inlineStr">
        <is>
          <t>A 28661-2024</t>
        </is>
      </c>
      <c r="B318" s="1" t="n">
        <v>45478</v>
      </c>
      <c r="C318" s="1" t="n">
        <v>45993</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2529-2022</t>
        </is>
      </c>
      <c r="B319" s="1" t="n">
        <v>44579.86452546297</v>
      </c>
      <c r="C319" s="1" t="n">
        <v>45993</v>
      </c>
      <c r="D319" t="inlineStr">
        <is>
          <t>VÄSTMANLANDS LÄN</t>
        </is>
      </c>
      <c r="E319" t="inlineStr">
        <is>
          <t>SALA</t>
        </is>
      </c>
      <c r="G319" t="n">
        <v>1.7</v>
      </c>
      <c r="H319" t="n">
        <v>0</v>
      </c>
      <c r="I319" t="n">
        <v>0</v>
      </c>
      <c r="J319" t="n">
        <v>0</v>
      </c>
      <c r="K319" t="n">
        <v>0</v>
      </c>
      <c r="L319" t="n">
        <v>0</v>
      </c>
      <c r="M319" t="n">
        <v>0</v>
      </c>
      <c r="N319" t="n">
        <v>0</v>
      </c>
      <c r="O319" t="n">
        <v>0</v>
      </c>
      <c r="P319" t="n">
        <v>0</v>
      </c>
      <c r="Q319" t="n">
        <v>0</v>
      </c>
      <c r="R319" s="2" t="inlineStr"/>
    </row>
    <row r="320" ht="15" customHeight="1">
      <c r="A320" t="inlineStr">
        <is>
          <t>A 56540-2024</t>
        </is>
      </c>
      <c r="B320" s="1" t="n">
        <v>45625</v>
      </c>
      <c r="C320" s="1" t="n">
        <v>45993</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43359-2024</t>
        </is>
      </c>
      <c r="B321" s="1" t="n">
        <v>45568.57724537037</v>
      </c>
      <c r="C321" s="1" t="n">
        <v>45993</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29972-2025</t>
        </is>
      </c>
      <c r="B322" s="1" t="n">
        <v>45826</v>
      </c>
      <c r="C322" s="1" t="n">
        <v>45993</v>
      </c>
      <c r="D322" t="inlineStr">
        <is>
          <t>VÄSTMANLANDS LÄN</t>
        </is>
      </c>
      <c r="E322" t="inlineStr">
        <is>
          <t>SALA</t>
        </is>
      </c>
      <c r="G322" t="n">
        <v>2.7</v>
      </c>
      <c r="H322" t="n">
        <v>0</v>
      </c>
      <c r="I322" t="n">
        <v>0</v>
      </c>
      <c r="J322" t="n">
        <v>0</v>
      </c>
      <c r="K322" t="n">
        <v>0</v>
      </c>
      <c r="L322" t="n">
        <v>0</v>
      </c>
      <c r="M322" t="n">
        <v>0</v>
      </c>
      <c r="N322" t="n">
        <v>0</v>
      </c>
      <c r="O322" t="n">
        <v>0</v>
      </c>
      <c r="P322" t="n">
        <v>0</v>
      </c>
      <c r="Q322" t="n">
        <v>0</v>
      </c>
      <c r="R322" s="2" t="inlineStr"/>
    </row>
    <row r="323" ht="15" customHeight="1">
      <c r="A323" t="inlineStr">
        <is>
          <t>A 31599-2024</t>
        </is>
      </c>
      <c r="B323" s="1" t="n">
        <v>45506</v>
      </c>
      <c r="C323" s="1" t="n">
        <v>45993</v>
      </c>
      <c r="D323" t="inlineStr">
        <is>
          <t>VÄSTMANLANDS LÄN</t>
        </is>
      </c>
      <c r="E323" t="inlineStr">
        <is>
          <t>SALA</t>
        </is>
      </c>
      <c r="G323" t="n">
        <v>0.9</v>
      </c>
      <c r="H323" t="n">
        <v>0</v>
      </c>
      <c r="I323" t="n">
        <v>0</v>
      </c>
      <c r="J323" t="n">
        <v>0</v>
      </c>
      <c r="K323" t="n">
        <v>0</v>
      </c>
      <c r="L323" t="n">
        <v>0</v>
      </c>
      <c r="M323" t="n">
        <v>0</v>
      </c>
      <c r="N323" t="n">
        <v>0</v>
      </c>
      <c r="O323" t="n">
        <v>0</v>
      </c>
      <c r="P323" t="n">
        <v>0</v>
      </c>
      <c r="Q323" t="n">
        <v>0</v>
      </c>
      <c r="R323" s="2" t="inlineStr"/>
    </row>
    <row r="324" ht="15" customHeight="1">
      <c r="A324" t="inlineStr">
        <is>
          <t>A 31601-2024</t>
        </is>
      </c>
      <c r="B324" s="1" t="n">
        <v>45506</v>
      </c>
      <c r="C324" s="1" t="n">
        <v>45993</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31608-2024</t>
        </is>
      </c>
      <c r="B325" s="1" t="n">
        <v>45506</v>
      </c>
      <c r="C325" s="1" t="n">
        <v>45993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31612-2024</t>
        </is>
      </c>
      <c r="B326" s="1" t="n">
        <v>45506</v>
      </c>
      <c r="C326" s="1" t="n">
        <v>45993</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37958-2024</t>
        </is>
      </c>
      <c r="B327" s="1" t="n">
        <v>45544</v>
      </c>
      <c r="C327" s="1" t="n">
        <v>45993</v>
      </c>
      <c r="D327" t="inlineStr">
        <is>
          <t>VÄSTMANLANDS LÄN</t>
        </is>
      </c>
      <c r="E327" t="inlineStr">
        <is>
          <t>SALA</t>
        </is>
      </c>
      <c r="G327" t="n">
        <v>5.6</v>
      </c>
      <c r="H327" t="n">
        <v>0</v>
      </c>
      <c r="I327" t="n">
        <v>0</v>
      </c>
      <c r="J327" t="n">
        <v>0</v>
      </c>
      <c r="K327" t="n">
        <v>0</v>
      </c>
      <c r="L327" t="n">
        <v>0</v>
      </c>
      <c r="M327" t="n">
        <v>0</v>
      </c>
      <c r="N327" t="n">
        <v>0</v>
      </c>
      <c r="O327" t="n">
        <v>0</v>
      </c>
      <c r="P327" t="n">
        <v>0</v>
      </c>
      <c r="Q327" t="n">
        <v>0</v>
      </c>
      <c r="R327" s="2" t="inlineStr"/>
    </row>
    <row r="328" ht="15" customHeight="1">
      <c r="A328" t="inlineStr">
        <is>
          <t>A 10579-2022</t>
        </is>
      </c>
      <c r="B328" s="1" t="n">
        <v>44624</v>
      </c>
      <c r="C328" s="1" t="n">
        <v>45993</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64693-2023</t>
        </is>
      </c>
      <c r="B329" s="1" t="n">
        <v>45281.63850694444</v>
      </c>
      <c r="C329" s="1" t="n">
        <v>45993</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64695-2023</t>
        </is>
      </c>
      <c r="B330" s="1" t="n">
        <v>45281.64099537037</v>
      </c>
      <c r="C330" s="1" t="n">
        <v>45993</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18431-2023</t>
        </is>
      </c>
      <c r="B331" s="1" t="n">
        <v>45042</v>
      </c>
      <c r="C331" s="1" t="n">
        <v>45993</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6312-2025</t>
        </is>
      </c>
      <c r="B332" s="1" t="n">
        <v>45698</v>
      </c>
      <c r="C332" s="1" t="n">
        <v>45993</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55035-2023</t>
        </is>
      </c>
      <c r="B333" s="1" t="n">
        <v>45229</v>
      </c>
      <c r="C333" s="1" t="n">
        <v>45993</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4736-2021</t>
        </is>
      </c>
      <c r="B334" s="1" t="n">
        <v>44225</v>
      </c>
      <c r="C334" s="1" t="n">
        <v>45993</v>
      </c>
      <c r="D334" t="inlineStr">
        <is>
          <t>VÄSTMANLANDS LÄN</t>
        </is>
      </c>
      <c r="E334" t="inlineStr">
        <is>
          <t>SALA</t>
        </is>
      </c>
      <c r="G334" t="n">
        <v>4.2</v>
      </c>
      <c r="H334" t="n">
        <v>0</v>
      </c>
      <c r="I334" t="n">
        <v>0</v>
      </c>
      <c r="J334" t="n">
        <v>0</v>
      </c>
      <c r="K334" t="n">
        <v>0</v>
      </c>
      <c r="L334" t="n">
        <v>0</v>
      </c>
      <c r="M334" t="n">
        <v>0</v>
      </c>
      <c r="N334" t="n">
        <v>0</v>
      </c>
      <c r="O334" t="n">
        <v>0</v>
      </c>
      <c r="P334" t="n">
        <v>0</v>
      </c>
      <c r="Q334" t="n">
        <v>0</v>
      </c>
      <c r="R334" s="2" t="inlineStr"/>
    </row>
    <row r="335" ht="15" customHeight="1">
      <c r="A335" t="inlineStr">
        <is>
          <t>A 55784-2024</t>
        </is>
      </c>
      <c r="B335" s="1" t="n">
        <v>45623</v>
      </c>
      <c r="C335" s="1" t="n">
        <v>45993</v>
      </c>
      <c r="D335" t="inlineStr">
        <is>
          <t>VÄSTMANLANDS LÄN</t>
        </is>
      </c>
      <c r="E335" t="inlineStr">
        <is>
          <t>SALA</t>
        </is>
      </c>
      <c r="F335" t="inlineStr">
        <is>
          <t>Bergvik skog öst AB</t>
        </is>
      </c>
      <c r="G335" t="n">
        <v>28.4</v>
      </c>
      <c r="H335" t="n">
        <v>0</v>
      </c>
      <c r="I335" t="n">
        <v>0</v>
      </c>
      <c r="J335" t="n">
        <v>0</v>
      </c>
      <c r="K335" t="n">
        <v>0</v>
      </c>
      <c r="L335" t="n">
        <v>0</v>
      </c>
      <c r="M335" t="n">
        <v>0</v>
      </c>
      <c r="N335" t="n">
        <v>0</v>
      </c>
      <c r="O335" t="n">
        <v>0</v>
      </c>
      <c r="P335" t="n">
        <v>0</v>
      </c>
      <c r="Q335" t="n">
        <v>0</v>
      </c>
      <c r="R335" s="2" t="inlineStr"/>
    </row>
    <row r="336" ht="15" customHeight="1">
      <c r="A336" t="inlineStr">
        <is>
          <t>A 52500-2024</t>
        </is>
      </c>
      <c r="B336" s="1" t="n">
        <v>45609</v>
      </c>
      <c r="C336" s="1" t="n">
        <v>45993</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57650-2024</t>
        </is>
      </c>
      <c r="B337" s="1" t="n">
        <v>45630</v>
      </c>
      <c r="C337" s="1" t="n">
        <v>45993</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73673-2021</t>
        </is>
      </c>
      <c r="B338" s="1" t="n">
        <v>44552.46501157407</v>
      </c>
      <c r="C338" s="1" t="n">
        <v>45993</v>
      </c>
      <c r="D338" t="inlineStr">
        <is>
          <t>VÄSTMANLANDS LÄN</t>
        </is>
      </c>
      <c r="E338" t="inlineStr">
        <is>
          <t>SALA</t>
        </is>
      </c>
      <c r="G338" t="n">
        <v>11.4</v>
      </c>
      <c r="H338" t="n">
        <v>0</v>
      </c>
      <c r="I338" t="n">
        <v>0</v>
      </c>
      <c r="J338" t="n">
        <v>0</v>
      </c>
      <c r="K338" t="n">
        <v>0</v>
      </c>
      <c r="L338" t="n">
        <v>0</v>
      </c>
      <c r="M338" t="n">
        <v>0</v>
      </c>
      <c r="N338" t="n">
        <v>0</v>
      </c>
      <c r="O338" t="n">
        <v>0</v>
      </c>
      <c r="P338" t="n">
        <v>0</v>
      </c>
      <c r="Q338" t="n">
        <v>0</v>
      </c>
      <c r="R338" s="2" t="inlineStr"/>
    </row>
    <row r="339" ht="15" customHeight="1">
      <c r="A339" t="inlineStr">
        <is>
          <t>A 38574-2025</t>
        </is>
      </c>
      <c r="B339" s="1" t="n">
        <v>45884.46390046296</v>
      </c>
      <c r="C339" s="1" t="n">
        <v>45993</v>
      </c>
      <c r="D339" t="inlineStr">
        <is>
          <t>VÄSTMANLANDS LÄN</t>
        </is>
      </c>
      <c r="E339" t="inlineStr">
        <is>
          <t>SALA</t>
        </is>
      </c>
      <c r="G339" t="n">
        <v>2.1</v>
      </c>
      <c r="H339" t="n">
        <v>0</v>
      </c>
      <c r="I339" t="n">
        <v>0</v>
      </c>
      <c r="J339" t="n">
        <v>0</v>
      </c>
      <c r="K339" t="n">
        <v>0</v>
      </c>
      <c r="L339" t="n">
        <v>0</v>
      </c>
      <c r="M339" t="n">
        <v>0</v>
      </c>
      <c r="N339" t="n">
        <v>0</v>
      </c>
      <c r="O339" t="n">
        <v>0</v>
      </c>
      <c r="P339" t="n">
        <v>0</v>
      </c>
      <c r="Q339" t="n">
        <v>0</v>
      </c>
      <c r="R339" s="2" t="inlineStr"/>
    </row>
    <row r="340" ht="15" customHeight="1">
      <c r="A340" t="inlineStr">
        <is>
          <t>A 16651-2021</t>
        </is>
      </c>
      <c r="B340" s="1" t="n">
        <v>44294.50096064815</v>
      </c>
      <c r="C340" s="1" t="n">
        <v>45993</v>
      </c>
      <c r="D340" t="inlineStr">
        <is>
          <t>VÄSTMANLANDS LÄN</t>
        </is>
      </c>
      <c r="E340" t="inlineStr">
        <is>
          <t>SALA</t>
        </is>
      </c>
      <c r="G340" t="n">
        <v>7.7</v>
      </c>
      <c r="H340" t="n">
        <v>0</v>
      </c>
      <c r="I340" t="n">
        <v>0</v>
      </c>
      <c r="J340" t="n">
        <v>0</v>
      </c>
      <c r="K340" t="n">
        <v>0</v>
      </c>
      <c r="L340" t="n">
        <v>0</v>
      </c>
      <c r="M340" t="n">
        <v>0</v>
      </c>
      <c r="N340" t="n">
        <v>0</v>
      </c>
      <c r="O340" t="n">
        <v>0</v>
      </c>
      <c r="P340" t="n">
        <v>0</v>
      </c>
      <c r="Q340" t="n">
        <v>0</v>
      </c>
      <c r="R340" s="2" t="inlineStr"/>
    </row>
    <row r="341" ht="15" customHeight="1">
      <c r="A341" t="inlineStr">
        <is>
          <t>A 10255-2024</t>
        </is>
      </c>
      <c r="B341" s="1" t="n">
        <v>45365</v>
      </c>
      <c r="C341" s="1" t="n">
        <v>45993</v>
      </c>
      <c r="D341" t="inlineStr">
        <is>
          <t>VÄSTMANLANDS LÄN</t>
        </is>
      </c>
      <c r="E341" t="inlineStr">
        <is>
          <t>SALA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38294-2025</t>
        </is>
      </c>
      <c r="B342" s="1" t="n">
        <v>45883.44854166666</v>
      </c>
      <c r="C342" s="1" t="n">
        <v>45993</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7950-2025</t>
        </is>
      </c>
      <c r="B343" s="1" t="n">
        <v>45707.41799768519</v>
      </c>
      <c r="C343" s="1" t="n">
        <v>45993</v>
      </c>
      <c r="D343" t="inlineStr">
        <is>
          <t>VÄSTMANLANDS LÄN</t>
        </is>
      </c>
      <c r="E343" t="inlineStr">
        <is>
          <t>SALA</t>
        </is>
      </c>
      <c r="G343" t="n">
        <v>3.2</v>
      </c>
      <c r="H343" t="n">
        <v>0</v>
      </c>
      <c r="I343" t="n">
        <v>0</v>
      </c>
      <c r="J343" t="n">
        <v>0</v>
      </c>
      <c r="K343" t="n">
        <v>0</v>
      </c>
      <c r="L343" t="n">
        <v>0</v>
      </c>
      <c r="M343" t="n">
        <v>0</v>
      </c>
      <c r="N343" t="n">
        <v>0</v>
      </c>
      <c r="O343" t="n">
        <v>0</v>
      </c>
      <c r="P343" t="n">
        <v>0</v>
      </c>
      <c r="Q343" t="n">
        <v>0</v>
      </c>
      <c r="R343" s="2" t="inlineStr"/>
    </row>
    <row r="344" ht="15" customHeight="1">
      <c r="A344" t="inlineStr">
        <is>
          <t>A 29542-2023</t>
        </is>
      </c>
      <c r="B344" s="1" t="n">
        <v>45098</v>
      </c>
      <c r="C344" s="1" t="n">
        <v>45993</v>
      </c>
      <c r="D344" t="inlineStr">
        <is>
          <t>VÄSTMANLANDS LÄN</t>
        </is>
      </c>
      <c r="E344" t="inlineStr">
        <is>
          <t>SALA</t>
        </is>
      </c>
      <c r="G344" t="n">
        <v>4.8</v>
      </c>
      <c r="H344" t="n">
        <v>0</v>
      </c>
      <c r="I344" t="n">
        <v>0</v>
      </c>
      <c r="J344" t="n">
        <v>0</v>
      </c>
      <c r="K344" t="n">
        <v>0</v>
      </c>
      <c r="L344" t="n">
        <v>0</v>
      </c>
      <c r="M344" t="n">
        <v>0</v>
      </c>
      <c r="N344" t="n">
        <v>0</v>
      </c>
      <c r="O344" t="n">
        <v>0</v>
      </c>
      <c r="P344" t="n">
        <v>0</v>
      </c>
      <c r="Q344" t="n">
        <v>0</v>
      </c>
      <c r="R344" s="2" t="inlineStr"/>
    </row>
    <row r="345" ht="15" customHeight="1">
      <c r="A345" t="inlineStr">
        <is>
          <t>A 27038-2023</t>
        </is>
      </c>
      <c r="B345" s="1" t="n">
        <v>45095</v>
      </c>
      <c r="C345" s="1" t="n">
        <v>45993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10812-2021</t>
        </is>
      </c>
      <c r="B346" s="1" t="n">
        <v>44259</v>
      </c>
      <c r="C346" s="1" t="n">
        <v>45993</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10154-2021</t>
        </is>
      </c>
      <c r="B347" s="1" t="n">
        <v>44256</v>
      </c>
      <c r="C347" s="1" t="n">
        <v>45993</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28696-2023</t>
        </is>
      </c>
      <c r="B348" s="1" t="n">
        <v>45103.71759259259</v>
      </c>
      <c r="C348" s="1" t="n">
        <v>45993</v>
      </c>
      <c r="D348" t="inlineStr">
        <is>
          <t>VÄSTMANLANDS LÄN</t>
        </is>
      </c>
      <c r="E348" t="inlineStr">
        <is>
          <t>SALA</t>
        </is>
      </c>
      <c r="F348" t="inlineStr">
        <is>
          <t>Kommuner</t>
        </is>
      </c>
      <c r="G348" t="n">
        <v>5.9</v>
      </c>
      <c r="H348" t="n">
        <v>0</v>
      </c>
      <c r="I348" t="n">
        <v>0</v>
      </c>
      <c r="J348" t="n">
        <v>0</v>
      </c>
      <c r="K348" t="n">
        <v>0</v>
      </c>
      <c r="L348" t="n">
        <v>0</v>
      </c>
      <c r="M348" t="n">
        <v>0</v>
      </c>
      <c r="N348" t="n">
        <v>0</v>
      </c>
      <c r="O348" t="n">
        <v>0</v>
      </c>
      <c r="P348" t="n">
        <v>0</v>
      </c>
      <c r="Q348" t="n">
        <v>0</v>
      </c>
      <c r="R348" s="2" t="inlineStr"/>
    </row>
    <row r="349" ht="15" customHeight="1">
      <c r="A349" t="inlineStr">
        <is>
          <t>A 31072-2021</t>
        </is>
      </c>
      <c r="B349" s="1" t="n">
        <v>44368</v>
      </c>
      <c r="C349" s="1" t="n">
        <v>45993</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16328-2025</t>
        </is>
      </c>
      <c r="B350" s="1" t="n">
        <v>45751</v>
      </c>
      <c r="C350" s="1" t="n">
        <v>45993</v>
      </c>
      <c r="D350" t="inlineStr">
        <is>
          <t>VÄSTMANLANDS LÄN</t>
        </is>
      </c>
      <c r="E350" t="inlineStr">
        <is>
          <t>SALA</t>
        </is>
      </c>
      <c r="G350" t="n">
        <v>2.9</v>
      </c>
      <c r="H350" t="n">
        <v>0</v>
      </c>
      <c r="I350" t="n">
        <v>0</v>
      </c>
      <c r="J350" t="n">
        <v>0</v>
      </c>
      <c r="K350" t="n">
        <v>0</v>
      </c>
      <c r="L350" t="n">
        <v>0</v>
      </c>
      <c r="M350" t="n">
        <v>0</v>
      </c>
      <c r="N350" t="n">
        <v>0</v>
      </c>
      <c r="O350" t="n">
        <v>0</v>
      </c>
      <c r="P350" t="n">
        <v>0</v>
      </c>
      <c r="Q350" t="n">
        <v>0</v>
      </c>
      <c r="R350" s="2" t="inlineStr"/>
    </row>
    <row r="351" ht="15" customHeight="1">
      <c r="A351" t="inlineStr">
        <is>
          <t>A 66821-2020</t>
        </is>
      </c>
      <c r="B351" s="1" t="n">
        <v>44179.88008101852</v>
      </c>
      <c r="C351" s="1" t="n">
        <v>45993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39182-2025</t>
        </is>
      </c>
      <c r="B352" s="1" t="n">
        <v>45888.66204861111</v>
      </c>
      <c r="C352" s="1" t="n">
        <v>45993</v>
      </c>
      <c r="D352" t="inlineStr">
        <is>
          <t>VÄSTMANLANDS LÄN</t>
        </is>
      </c>
      <c r="E352" t="inlineStr">
        <is>
          <t>SALA</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16543-2023</t>
        </is>
      </c>
      <c r="B353" s="1" t="n">
        <v>45029</v>
      </c>
      <c r="C353" s="1" t="n">
        <v>45993</v>
      </c>
      <c r="D353" t="inlineStr">
        <is>
          <t>VÄSTMANLANDS LÄN</t>
        </is>
      </c>
      <c r="E353" t="inlineStr">
        <is>
          <t>SALA</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17051-2025</t>
        </is>
      </c>
      <c r="B354" s="1" t="n">
        <v>45755</v>
      </c>
      <c r="C354" s="1" t="n">
        <v>45993</v>
      </c>
      <c r="D354" t="inlineStr">
        <is>
          <t>VÄSTMANLANDS LÄN</t>
        </is>
      </c>
      <c r="E354" t="inlineStr">
        <is>
          <t>SALA</t>
        </is>
      </c>
      <c r="G354" t="n">
        <v>2.9</v>
      </c>
      <c r="H354" t="n">
        <v>0</v>
      </c>
      <c r="I354" t="n">
        <v>0</v>
      </c>
      <c r="J354" t="n">
        <v>0</v>
      </c>
      <c r="K354" t="n">
        <v>0</v>
      </c>
      <c r="L354" t="n">
        <v>0</v>
      </c>
      <c r="M354" t="n">
        <v>0</v>
      </c>
      <c r="N354" t="n">
        <v>0</v>
      </c>
      <c r="O354" t="n">
        <v>0</v>
      </c>
      <c r="P354" t="n">
        <v>0</v>
      </c>
      <c r="Q354" t="n">
        <v>0</v>
      </c>
      <c r="R354" s="2" t="inlineStr"/>
    </row>
    <row r="355" ht="15" customHeight="1">
      <c r="A355" t="inlineStr">
        <is>
          <t>A 31609-2024</t>
        </is>
      </c>
      <c r="B355" s="1" t="n">
        <v>45506</v>
      </c>
      <c r="C355" s="1" t="n">
        <v>45993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46279-2021</t>
        </is>
      </c>
      <c r="B356" s="1" t="n">
        <v>44442.57797453704</v>
      </c>
      <c r="C356" s="1" t="n">
        <v>45993</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8285-2025</t>
        </is>
      </c>
      <c r="B357" s="1" t="n">
        <v>45708</v>
      </c>
      <c r="C357" s="1" t="n">
        <v>45993</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22523-2023</t>
        </is>
      </c>
      <c r="B358" s="1" t="n">
        <v>45069</v>
      </c>
      <c r="C358" s="1" t="n">
        <v>45993</v>
      </c>
      <c r="D358" t="inlineStr">
        <is>
          <t>VÄSTMANLANDS LÄN</t>
        </is>
      </c>
      <c r="E358" t="inlineStr">
        <is>
          <t>SALA</t>
        </is>
      </c>
      <c r="G358" t="n">
        <v>2.4</v>
      </c>
      <c r="H358" t="n">
        <v>0</v>
      </c>
      <c r="I358" t="n">
        <v>0</v>
      </c>
      <c r="J358" t="n">
        <v>0</v>
      </c>
      <c r="K358" t="n">
        <v>0</v>
      </c>
      <c r="L358" t="n">
        <v>0</v>
      </c>
      <c r="M358" t="n">
        <v>0</v>
      </c>
      <c r="N358" t="n">
        <v>0</v>
      </c>
      <c r="O358" t="n">
        <v>0</v>
      </c>
      <c r="P358" t="n">
        <v>0</v>
      </c>
      <c r="Q358" t="n">
        <v>0</v>
      </c>
      <c r="R358" s="2" t="inlineStr"/>
    </row>
    <row r="359" ht="15" customHeight="1">
      <c r="A359" t="inlineStr">
        <is>
          <t>A 14010-2021</t>
        </is>
      </c>
      <c r="B359" s="1" t="n">
        <v>44277.63396990741</v>
      </c>
      <c r="C359" s="1" t="n">
        <v>45993</v>
      </c>
      <c r="D359" t="inlineStr">
        <is>
          <t>VÄSTMANLANDS LÄN</t>
        </is>
      </c>
      <c r="E359" t="inlineStr">
        <is>
          <t>SALA</t>
        </is>
      </c>
      <c r="G359" t="n">
        <v>3.5</v>
      </c>
      <c r="H359" t="n">
        <v>0</v>
      </c>
      <c r="I359" t="n">
        <v>0</v>
      </c>
      <c r="J359" t="n">
        <v>0</v>
      </c>
      <c r="K359" t="n">
        <v>0</v>
      </c>
      <c r="L359" t="n">
        <v>0</v>
      </c>
      <c r="M359" t="n">
        <v>0</v>
      </c>
      <c r="N359" t="n">
        <v>0</v>
      </c>
      <c r="O359" t="n">
        <v>0</v>
      </c>
      <c r="P359" t="n">
        <v>0</v>
      </c>
      <c r="Q359" t="n">
        <v>0</v>
      </c>
      <c r="R359" s="2" t="inlineStr"/>
    </row>
    <row r="360" ht="15" customHeight="1">
      <c r="A360" t="inlineStr">
        <is>
          <t>A 31864-2025</t>
        </is>
      </c>
      <c r="B360" s="1" t="n">
        <v>45834.63819444444</v>
      </c>
      <c r="C360" s="1" t="n">
        <v>45993</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35410-2022</t>
        </is>
      </c>
      <c r="B361" s="1" t="n">
        <v>44798.62576388889</v>
      </c>
      <c r="C361" s="1" t="n">
        <v>45993</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22019-2021</t>
        </is>
      </c>
      <c r="B362" s="1" t="n">
        <v>44323</v>
      </c>
      <c r="C362" s="1" t="n">
        <v>45993</v>
      </c>
      <c r="D362" t="inlineStr">
        <is>
          <t>VÄSTMANLANDS LÄN</t>
        </is>
      </c>
      <c r="E362" t="inlineStr">
        <is>
          <t>SALA</t>
        </is>
      </c>
      <c r="G362" t="n">
        <v>1.9</v>
      </c>
      <c r="H362" t="n">
        <v>0</v>
      </c>
      <c r="I362" t="n">
        <v>0</v>
      </c>
      <c r="J362" t="n">
        <v>0</v>
      </c>
      <c r="K362" t="n">
        <v>0</v>
      </c>
      <c r="L362" t="n">
        <v>0</v>
      </c>
      <c r="M362" t="n">
        <v>0</v>
      </c>
      <c r="N362" t="n">
        <v>0</v>
      </c>
      <c r="O362" t="n">
        <v>0</v>
      </c>
      <c r="P362" t="n">
        <v>0</v>
      </c>
      <c r="Q362" t="n">
        <v>0</v>
      </c>
      <c r="R362" s="2" t="inlineStr"/>
    </row>
    <row r="363" ht="15" customHeight="1">
      <c r="A363" t="inlineStr">
        <is>
          <t>A 39167-2025</t>
        </is>
      </c>
      <c r="B363" s="1" t="n">
        <v>45888</v>
      </c>
      <c r="C363" s="1" t="n">
        <v>45993</v>
      </c>
      <c r="D363" t="inlineStr">
        <is>
          <t>VÄSTMANLANDS LÄN</t>
        </is>
      </c>
      <c r="E363" t="inlineStr">
        <is>
          <t>SALA</t>
        </is>
      </c>
      <c r="G363" t="n">
        <v>5.5</v>
      </c>
      <c r="H363" t="n">
        <v>0</v>
      </c>
      <c r="I363" t="n">
        <v>0</v>
      </c>
      <c r="J363" t="n">
        <v>0</v>
      </c>
      <c r="K363" t="n">
        <v>0</v>
      </c>
      <c r="L363" t="n">
        <v>0</v>
      </c>
      <c r="M363" t="n">
        <v>0</v>
      </c>
      <c r="N363" t="n">
        <v>0</v>
      </c>
      <c r="O363" t="n">
        <v>0</v>
      </c>
      <c r="P363" t="n">
        <v>0</v>
      </c>
      <c r="Q363" t="n">
        <v>0</v>
      </c>
      <c r="R363" s="2" t="inlineStr"/>
    </row>
    <row r="364" ht="15" customHeight="1">
      <c r="A364" t="inlineStr">
        <is>
          <t>A 4663-2022</t>
        </is>
      </c>
      <c r="B364" s="1" t="n">
        <v>44592.45429398148</v>
      </c>
      <c r="C364" s="1" t="n">
        <v>45993</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57404-2024</t>
        </is>
      </c>
      <c r="B365" s="1" t="n">
        <v>45629.71967592592</v>
      </c>
      <c r="C365" s="1" t="n">
        <v>45993</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21777-2022</t>
        </is>
      </c>
      <c r="B366" s="1" t="n">
        <v>44708.48194444444</v>
      </c>
      <c r="C366" s="1" t="n">
        <v>45993</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21159-2022</t>
        </is>
      </c>
      <c r="B367" s="1" t="n">
        <v>44704</v>
      </c>
      <c r="C367" s="1" t="n">
        <v>45993</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17866-2025</t>
        </is>
      </c>
      <c r="B368" s="1" t="n">
        <v>45758</v>
      </c>
      <c r="C368" s="1" t="n">
        <v>45993</v>
      </c>
      <c r="D368" t="inlineStr">
        <is>
          <t>VÄSTMANLANDS LÄN</t>
        </is>
      </c>
      <c r="E368" t="inlineStr">
        <is>
          <t>SALA</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33732-2023</t>
        </is>
      </c>
      <c r="B369" s="1" t="n">
        <v>45133.32409722222</v>
      </c>
      <c r="C369" s="1" t="n">
        <v>45993</v>
      </c>
      <c r="D369" t="inlineStr">
        <is>
          <t>VÄSTMANLANDS LÄN</t>
        </is>
      </c>
      <c r="E369" t="inlineStr">
        <is>
          <t>SALA</t>
        </is>
      </c>
      <c r="G369" t="n">
        <v>2</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45993</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52498-2022</t>
        </is>
      </c>
      <c r="B371" s="1" t="n">
        <v>44874.50152777778</v>
      </c>
      <c r="C371" s="1" t="n">
        <v>45993</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7166-2025</t>
        </is>
      </c>
      <c r="B372" s="1" t="n">
        <v>45702</v>
      </c>
      <c r="C372" s="1" t="n">
        <v>45993</v>
      </c>
      <c r="D372" t="inlineStr">
        <is>
          <t>VÄSTMANLANDS LÄN</t>
        </is>
      </c>
      <c r="E372" t="inlineStr">
        <is>
          <t>SALA</t>
        </is>
      </c>
      <c r="G372" t="n">
        <v>6.1</v>
      </c>
      <c r="H372" t="n">
        <v>0</v>
      </c>
      <c r="I372" t="n">
        <v>0</v>
      </c>
      <c r="J372" t="n">
        <v>0</v>
      </c>
      <c r="K372" t="n">
        <v>0</v>
      </c>
      <c r="L372" t="n">
        <v>0</v>
      </c>
      <c r="M372" t="n">
        <v>0</v>
      </c>
      <c r="N372" t="n">
        <v>0</v>
      </c>
      <c r="O372" t="n">
        <v>0</v>
      </c>
      <c r="P372" t="n">
        <v>0</v>
      </c>
      <c r="Q372" t="n">
        <v>0</v>
      </c>
      <c r="R372" s="2" t="inlineStr"/>
    </row>
    <row r="373" ht="15" customHeight="1">
      <c r="A373" t="inlineStr">
        <is>
          <t>A 6132-2025</t>
        </is>
      </c>
      <c r="B373" s="1" t="n">
        <v>45698</v>
      </c>
      <c r="C373" s="1" t="n">
        <v>45993</v>
      </c>
      <c r="D373" t="inlineStr">
        <is>
          <t>VÄSTMANLANDS LÄN</t>
        </is>
      </c>
      <c r="E373" t="inlineStr">
        <is>
          <t>SALA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44857-2023</t>
        </is>
      </c>
      <c r="B374" s="1" t="n">
        <v>45190.58479166667</v>
      </c>
      <c r="C374" s="1" t="n">
        <v>45993</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46352-2023</t>
        </is>
      </c>
      <c r="B375" s="1" t="n">
        <v>45192</v>
      </c>
      <c r="C375" s="1" t="n">
        <v>45993</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22397-2022</t>
        </is>
      </c>
      <c r="B376" s="1" t="n">
        <v>44713</v>
      </c>
      <c r="C376" s="1" t="n">
        <v>45993</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60328-2024</t>
        </is>
      </c>
      <c r="B377" s="1" t="n">
        <v>45643.38416666666</v>
      </c>
      <c r="C377" s="1" t="n">
        <v>45993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27424-2023</t>
        </is>
      </c>
      <c r="B378" s="1" t="n">
        <v>45097.37690972222</v>
      </c>
      <c r="C378" s="1" t="n">
        <v>45993</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31859-2023</t>
        </is>
      </c>
      <c r="B379" s="1" t="n">
        <v>45118</v>
      </c>
      <c r="C379" s="1" t="n">
        <v>45993</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c r="U379">
        <f>HYPERLINK("https://klasma.github.io/Logging_1981/knärot/A 31859-2023 karta knärot.png", "A 31859-2023")</f>
        <v/>
      </c>
      <c r="V379">
        <f>HYPERLINK("https://klasma.github.io/Logging_1981/klagomål/A 31859-2023 FSC-klagomål.docx", "A 31859-2023")</f>
        <v/>
      </c>
      <c r="W379">
        <f>HYPERLINK("https://klasma.github.io/Logging_1981/klagomålsmail/A 31859-2023 FSC-klagomål mail.docx", "A 31859-2023")</f>
        <v/>
      </c>
      <c r="X379">
        <f>HYPERLINK("https://klasma.github.io/Logging_1981/tillsyn/A 31859-2023 tillsynsbegäran.docx", "A 31859-2023")</f>
        <v/>
      </c>
      <c r="Y379">
        <f>HYPERLINK("https://klasma.github.io/Logging_1981/tillsynsmail/A 31859-2023 tillsynsbegäran mail.docx", "A 31859-2023")</f>
        <v/>
      </c>
    </row>
    <row r="380" ht="15" customHeight="1">
      <c r="A380" t="inlineStr">
        <is>
          <t>A 7469-2025</t>
        </is>
      </c>
      <c r="B380" s="1" t="n">
        <v>45705</v>
      </c>
      <c r="C380" s="1" t="n">
        <v>45993</v>
      </c>
      <c r="D380" t="inlineStr">
        <is>
          <t>VÄSTMANLANDS LÄN</t>
        </is>
      </c>
      <c r="E380" t="inlineStr">
        <is>
          <t>SALA</t>
        </is>
      </c>
      <c r="G380" t="n">
        <v>2.1</v>
      </c>
      <c r="H380" t="n">
        <v>0</v>
      </c>
      <c r="I380" t="n">
        <v>0</v>
      </c>
      <c r="J380" t="n">
        <v>0</v>
      </c>
      <c r="K380" t="n">
        <v>0</v>
      </c>
      <c r="L380" t="n">
        <v>0</v>
      </c>
      <c r="M380" t="n">
        <v>0</v>
      </c>
      <c r="N380" t="n">
        <v>0</v>
      </c>
      <c r="O380" t="n">
        <v>0</v>
      </c>
      <c r="P380" t="n">
        <v>0</v>
      </c>
      <c r="Q380" t="n">
        <v>0</v>
      </c>
      <c r="R380" s="2" t="inlineStr"/>
    </row>
    <row r="381" ht="15" customHeight="1">
      <c r="A381" t="inlineStr">
        <is>
          <t>A 6088-2021</t>
        </is>
      </c>
      <c r="B381" s="1" t="n">
        <v>44232</v>
      </c>
      <c r="C381" s="1" t="n">
        <v>45993</v>
      </c>
      <c r="D381" t="inlineStr">
        <is>
          <t>VÄSTMANLANDS LÄN</t>
        </is>
      </c>
      <c r="E381" t="inlineStr">
        <is>
          <t>SALA</t>
        </is>
      </c>
      <c r="G381" t="n">
        <v>0.2</v>
      </c>
      <c r="H381" t="n">
        <v>0</v>
      </c>
      <c r="I381" t="n">
        <v>0</v>
      </c>
      <c r="J381" t="n">
        <v>0</v>
      </c>
      <c r="K381" t="n">
        <v>0</v>
      </c>
      <c r="L381" t="n">
        <v>0</v>
      </c>
      <c r="M381" t="n">
        <v>0</v>
      </c>
      <c r="N381" t="n">
        <v>0</v>
      </c>
      <c r="O381" t="n">
        <v>0</v>
      </c>
      <c r="P381" t="n">
        <v>0</v>
      </c>
      <c r="Q381" t="n">
        <v>0</v>
      </c>
      <c r="R381" s="2" t="inlineStr"/>
    </row>
    <row r="382" ht="15" customHeight="1">
      <c r="A382" t="inlineStr">
        <is>
          <t>A 33273-2023</t>
        </is>
      </c>
      <c r="B382" s="1" t="n">
        <v>45127</v>
      </c>
      <c r="C382" s="1" t="n">
        <v>45993</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6691-2025</t>
        </is>
      </c>
      <c r="B383" s="1" t="n">
        <v>45700.50625</v>
      </c>
      <c r="C383" s="1" t="n">
        <v>45993</v>
      </c>
      <c r="D383" t="inlineStr">
        <is>
          <t>VÄSTMANLANDS LÄN</t>
        </is>
      </c>
      <c r="E383" t="inlineStr">
        <is>
          <t>SALA</t>
        </is>
      </c>
      <c r="G383" t="n">
        <v>2.1</v>
      </c>
      <c r="H383" t="n">
        <v>0</v>
      </c>
      <c r="I383" t="n">
        <v>0</v>
      </c>
      <c r="J383" t="n">
        <v>0</v>
      </c>
      <c r="K383" t="n">
        <v>0</v>
      </c>
      <c r="L383" t="n">
        <v>0</v>
      </c>
      <c r="M383" t="n">
        <v>0</v>
      </c>
      <c r="N383" t="n">
        <v>0</v>
      </c>
      <c r="O383" t="n">
        <v>0</v>
      </c>
      <c r="P383" t="n">
        <v>0</v>
      </c>
      <c r="Q383" t="n">
        <v>0</v>
      </c>
      <c r="R383" s="2" t="inlineStr"/>
    </row>
    <row r="384" ht="15" customHeight="1">
      <c r="A384" t="inlineStr">
        <is>
          <t>A 60036-2024</t>
        </is>
      </c>
      <c r="B384" s="1" t="n">
        <v>45642.46434027778</v>
      </c>
      <c r="C384" s="1" t="n">
        <v>45993</v>
      </c>
      <c r="D384" t="inlineStr">
        <is>
          <t>VÄSTMANLANDS LÄN</t>
        </is>
      </c>
      <c r="E384" t="inlineStr">
        <is>
          <t>SALA</t>
        </is>
      </c>
      <c r="G384" t="n">
        <v>2.5</v>
      </c>
      <c r="H384" t="n">
        <v>0</v>
      </c>
      <c r="I384" t="n">
        <v>0</v>
      </c>
      <c r="J384" t="n">
        <v>0</v>
      </c>
      <c r="K384" t="n">
        <v>0</v>
      </c>
      <c r="L384" t="n">
        <v>0</v>
      </c>
      <c r="M384" t="n">
        <v>0</v>
      </c>
      <c r="N384" t="n">
        <v>0</v>
      </c>
      <c r="O384" t="n">
        <v>0</v>
      </c>
      <c r="P384" t="n">
        <v>0</v>
      </c>
      <c r="Q384" t="n">
        <v>0</v>
      </c>
      <c r="R384" s="2" t="inlineStr"/>
    </row>
    <row r="385" ht="15" customHeight="1">
      <c r="A385" t="inlineStr">
        <is>
          <t>A 61681-2024</t>
        </is>
      </c>
      <c r="B385" s="1" t="n">
        <v>45647</v>
      </c>
      <c r="C385" s="1" t="n">
        <v>45993</v>
      </c>
      <c r="D385" t="inlineStr">
        <is>
          <t>VÄSTMANLANDS LÄN</t>
        </is>
      </c>
      <c r="E385" t="inlineStr">
        <is>
          <t>SALA</t>
        </is>
      </c>
      <c r="F385" t="inlineStr">
        <is>
          <t>Kommuner</t>
        </is>
      </c>
      <c r="G385" t="n">
        <v>1</v>
      </c>
      <c r="H385" t="n">
        <v>0</v>
      </c>
      <c r="I385" t="n">
        <v>0</v>
      </c>
      <c r="J385" t="n">
        <v>0</v>
      </c>
      <c r="K385" t="n">
        <v>0</v>
      </c>
      <c r="L385" t="n">
        <v>0</v>
      </c>
      <c r="M385" t="n">
        <v>0</v>
      </c>
      <c r="N385" t="n">
        <v>0</v>
      </c>
      <c r="O385" t="n">
        <v>0</v>
      </c>
      <c r="P385" t="n">
        <v>0</v>
      </c>
      <c r="Q385" t="n">
        <v>0</v>
      </c>
      <c r="R385" s="2" t="inlineStr"/>
    </row>
    <row r="386" ht="15" customHeight="1">
      <c r="A386" t="inlineStr">
        <is>
          <t>A 54960-2024</t>
        </is>
      </c>
      <c r="B386" s="1" t="n">
        <v>45619.85208333333</v>
      </c>
      <c r="C386" s="1" t="n">
        <v>45993</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52827-2024</t>
        </is>
      </c>
      <c r="B387" s="1" t="n">
        <v>45610</v>
      </c>
      <c r="C387" s="1" t="n">
        <v>45993</v>
      </c>
      <c r="D387" t="inlineStr">
        <is>
          <t>VÄSTMANLANDS LÄN</t>
        </is>
      </c>
      <c r="E387" t="inlineStr">
        <is>
          <t>SALA</t>
        </is>
      </c>
      <c r="G387" t="n">
        <v>0.2</v>
      </c>
      <c r="H387" t="n">
        <v>0</v>
      </c>
      <c r="I387" t="n">
        <v>0</v>
      </c>
      <c r="J387" t="n">
        <v>0</v>
      </c>
      <c r="K387" t="n">
        <v>0</v>
      </c>
      <c r="L387" t="n">
        <v>0</v>
      </c>
      <c r="M387" t="n">
        <v>0</v>
      </c>
      <c r="N387" t="n">
        <v>0</v>
      </c>
      <c r="O387" t="n">
        <v>0</v>
      </c>
      <c r="P387" t="n">
        <v>0</v>
      </c>
      <c r="Q387" t="n">
        <v>0</v>
      </c>
      <c r="R387" s="2" t="inlineStr"/>
    </row>
    <row r="388" ht="15" customHeight="1">
      <c r="A388" t="inlineStr">
        <is>
          <t>A 53166-2024</t>
        </is>
      </c>
      <c r="B388" s="1" t="n">
        <v>45611</v>
      </c>
      <c r="C388" s="1" t="n">
        <v>45993</v>
      </c>
      <c r="D388" t="inlineStr">
        <is>
          <t>VÄSTMANLANDS LÄN</t>
        </is>
      </c>
      <c r="E388" t="inlineStr">
        <is>
          <t>SALA</t>
        </is>
      </c>
      <c r="G388" t="n">
        <v>1.5</v>
      </c>
      <c r="H388" t="n">
        <v>0</v>
      </c>
      <c r="I388" t="n">
        <v>0</v>
      </c>
      <c r="J388" t="n">
        <v>0</v>
      </c>
      <c r="K388" t="n">
        <v>0</v>
      </c>
      <c r="L388" t="n">
        <v>0</v>
      </c>
      <c r="M388" t="n">
        <v>0</v>
      </c>
      <c r="N388" t="n">
        <v>0</v>
      </c>
      <c r="O388" t="n">
        <v>0</v>
      </c>
      <c r="P388" t="n">
        <v>0</v>
      </c>
      <c r="Q388" t="n">
        <v>0</v>
      </c>
      <c r="R388" s="2" t="inlineStr"/>
    </row>
    <row r="389" ht="15" customHeight="1">
      <c r="A389" t="inlineStr">
        <is>
          <t>A 11244-2024</t>
        </is>
      </c>
      <c r="B389" s="1" t="n">
        <v>45371</v>
      </c>
      <c r="C389" s="1" t="n">
        <v>45993</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62654-2022</t>
        </is>
      </c>
      <c r="B390" s="1" t="n">
        <v>44917</v>
      </c>
      <c r="C390" s="1" t="n">
        <v>45993</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6135-2023</t>
        </is>
      </c>
      <c r="B391" s="1" t="n">
        <v>44964.62628472222</v>
      </c>
      <c r="C391" s="1" t="n">
        <v>45993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40556-2025</t>
        </is>
      </c>
      <c r="B392" s="1" t="n">
        <v>45896.44944444444</v>
      </c>
      <c r="C392" s="1" t="n">
        <v>45993</v>
      </c>
      <c r="D392" t="inlineStr">
        <is>
          <t>VÄSTMANLANDS LÄN</t>
        </is>
      </c>
      <c r="E392" t="inlineStr">
        <is>
          <t>SALA</t>
        </is>
      </c>
      <c r="G392" t="n">
        <v>1.9</v>
      </c>
      <c r="H392" t="n">
        <v>0</v>
      </c>
      <c r="I392" t="n">
        <v>0</v>
      </c>
      <c r="J392" t="n">
        <v>0</v>
      </c>
      <c r="K392" t="n">
        <v>0</v>
      </c>
      <c r="L392" t="n">
        <v>0</v>
      </c>
      <c r="M392" t="n">
        <v>0</v>
      </c>
      <c r="N392" t="n">
        <v>0</v>
      </c>
      <c r="O392" t="n">
        <v>0</v>
      </c>
      <c r="P392" t="n">
        <v>0</v>
      </c>
      <c r="Q392" t="n">
        <v>0</v>
      </c>
      <c r="R392" s="2" t="inlineStr"/>
    </row>
    <row r="393" ht="15" customHeight="1">
      <c r="A393" t="inlineStr">
        <is>
          <t>A 53864-2022</t>
        </is>
      </c>
      <c r="B393" s="1" t="n">
        <v>44880.64016203704</v>
      </c>
      <c r="C393" s="1" t="n">
        <v>45993</v>
      </c>
      <c r="D393" t="inlineStr">
        <is>
          <t>VÄSTMANLANDS LÄN</t>
        </is>
      </c>
      <c r="E393" t="inlineStr">
        <is>
          <t>SALA</t>
        </is>
      </c>
      <c r="G393" t="n">
        <v>5.9</v>
      </c>
      <c r="H393" t="n">
        <v>0</v>
      </c>
      <c r="I393" t="n">
        <v>0</v>
      </c>
      <c r="J393" t="n">
        <v>0</v>
      </c>
      <c r="K393" t="n">
        <v>0</v>
      </c>
      <c r="L393" t="n">
        <v>0</v>
      </c>
      <c r="M393" t="n">
        <v>0</v>
      </c>
      <c r="N393" t="n">
        <v>0</v>
      </c>
      <c r="O393" t="n">
        <v>0</v>
      </c>
      <c r="P393" t="n">
        <v>0</v>
      </c>
      <c r="Q393" t="n">
        <v>0</v>
      </c>
      <c r="R393" s="2" t="inlineStr"/>
    </row>
    <row r="394" ht="15" customHeight="1">
      <c r="A394" t="inlineStr">
        <is>
          <t>A 40559-2025</t>
        </is>
      </c>
      <c r="B394" s="1" t="n">
        <v>45896.45037037037</v>
      </c>
      <c r="C394" s="1" t="n">
        <v>45993</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31082-2021</t>
        </is>
      </c>
      <c r="B395" s="1" t="n">
        <v>44368</v>
      </c>
      <c r="C395" s="1" t="n">
        <v>45993</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27255-2023</t>
        </is>
      </c>
      <c r="B396" s="1" t="n">
        <v>45096</v>
      </c>
      <c r="C396" s="1" t="n">
        <v>45993</v>
      </c>
      <c r="D396" t="inlineStr">
        <is>
          <t>VÄSTMANLANDS LÄN</t>
        </is>
      </c>
      <c r="E396" t="inlineStr">
        <is>
          <t>SALA</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43188-2023</t>
        </is>
      </c>
      <c r="B397" s="1" t="n">
        <v>45183</v>
      </c>
      <c r="C397" s="1" t="n">
        <v>45993</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43205-2023</t>
        </is>
      </c>
      <c r="B398" s="1" t="n">
        <v>45183</v>
      </c>
      <c r="C398" s="1" t="n">
        <v>45993</v>
      </c>
      <c r="D398" t="inlineStr">
        <is>
          <t>VÄSTMANLANDS LÄN</t>
        </is>
      </c>
      <c r="E398" t="inlineStr">
        <is>
          <t>SALA</t>
        </is>
      </c>
      <c r="G398" t="n">
        <v>2.1</v>
      </c>
      <c r="H398" t="n">
        <v>0</v>
      </c>
      <c r="I398" t="n">
        <v>0</v>
      </c>
      <c r="J398" t="n">
        <v>0</v>
      </c>
      <c r="K398" t="n">
        <v>0</v>
      </c>
      <c r="L398" t="n">
        <v>0</v>
      </c>
      <c r="M398" t="n">
        <v>0</v>
      </c>
      <c r="N398" t="n">
        <v>0</v>
      </c>
      <c r="O398" t="n">
        <v>0</v>
      </c>
      <c r="P398" t="n">
        <v>0</v>
      </c>
      <c r="Q398" t="n">
        <v>0</v>
      </c>
      <c r="R398" s="2" t="inlineStr"/>
    </row>
    <row r="399" ht="15" customHeight="1">
      <c r="A399" t="inlineStr">
        <is>
          <t>A 28827-2022</t>
        </is>
      </c>
      <c r="B399" s="1" t="n">
        <v>44749.45561342593</v>
      </c>
      <c r="C399" s="1" t="n">
        <v>45993</v>
      </c>
      <c r="D399" t="inlineStr">
        <is>
          <t>VÄSTMANLANDS LÄN</t>
        </is>
      </c>
      <c r="E399" t="inlineStr">
        <is>
          <t>SALA</t>
        </is>
      </c>
      <c r="F399" t="inlineStr">
        <is>
          <t>Kommuner</t>
        </is>
      </c>
      <c r="G399" t="n">
        <v>11.9</v>
      </c>
      <c r="H399" t="n">
        <v>0</v>
      </c>
      <c r="I399" t="n">
        <v>0</v>
      </c>
      <c r="J399" t="n">
        <v>0</v>
      </c>
      <c r="K399" t="n">
        <v>0</v>
      </c>
      <c r="L399" t="n">
        <v>0</v>
      </c>
      <c r="M399" t="n">
        <v>0</v>
      </c>
      <c r="N399" t="n">
        <v>0</v>
      </c>
      <c r="O399" t="n">
        <v>0</v>
      </c>
      <c r="P399" t="n">
        <v>0</v>
      </c>
      <c r="Q399" t="n">
        <v>0</v>
      </c>
      <c r="R399" s="2" t="inlineStr"/>
    </row>
    <row r="400" ht="15" customHeight="1">
      <c r="A400" t="inlineStr">
        <is>
          <t>A 15756-2025</t>
        </is>
      </c>
      <c r="B400" s="1" t="n">
        <v>45748.56810185185</v>
      </c>
      <c r="C400" s="1" t="n">
        <v>45993</v>
      </c>
      <c r="D400" t="inlineStr">
        <is>
          <t>VÄSTMANLANDS LÄN</t>
        </is>
      </c>
      <c r="E400" t="inlineStr">
        <is>
          <t>SALA</t>
        </is>
      </c>
      <c r="F400" t="inlineStr">
        <is>
          <t>Bergvik skog öst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20352-2022</t>
        </is>
      </c>
      <c r="B401" s="1" t="n">
        <v>44699.37318287037</v>
      </c>
      <c r="C401" s="1" t="n">
        <v>45993</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40620-2025</t>
        </is>
      </c>
      <c r="B402" s="1" t="n">
        <v>45896.58609953704</v>
      </c>
      <c r="C402" s="1" t="n">
        <v>45993</v>
      </c>
      <c r="D402" t="inlineStr">
        <is>
          <t>VÄSTMANLANDS LÄN</t>
        </is>
      </c>
      <c r="E402" t="inlineStr">
        <is>
          <t>SALA</t>
        </is>
      </c>
      <c r="G402" t="n">
        <v>6.7</v>
      </c>
      <c r="H402" t="n">
        <v>0</v>
      </c>
      <c r="I402" t="n">
        <v>0</v>
      </c>
      <c r="J402" t="n">
        <v>0</v>
      </c>
      <c r="K402" t="n">
        <v>0</v>
      </c>
      <c r="L402" t="n">
        <v>0</v>
      </c>
      <c r="M402" t="n">
        <v>0</v>
      </c>
      <c r="N402" t="n">
        <v>0</v>
      </c>
      <c r="O402" t="n">
        <v>0</v>
      </c>
      <c r="P402" t="n">
        <v>0</v>
      </c>
      <c r="Q402" t="n">
        <v>0</v>
      </c>
      <c r="R402" s="2" t="inlineStr"/>
    </row>
    <row r="403" ht="15" customHeight="1">
      <c r="A403" t="inlineStr">
        <is>
          <t>A 19243-2025</t>
        </is>
      </c>
      <c r="B403" s="1" t="n">
        <v>45769</v>
      </c>
      <c r="C403" s="1" t="n">
        <v>45993</v>
      </c>
      <c r="D403" t="inlineStr">
        <is>
          <t>VÄSTMANLANDS LÄN</t>
        </is>
      </c>
      <c r="E403" t="inlineStr">
        <is>
          <t>SALA</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59297-2023</t>
        </is>
      </c>
      <c r="B404" s="1" t="n">
        <v>45253</v>
      </c>
      <c r="C404" s="1" t="n">
        <v>45993</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6136-2025</t>
        </is>
      </c>
      <c r="B405" s="1" t="n">
        <v>45698.37601851852</v>
      </c>
      <c r="C405" s="1" t="n">
        <v>45993</v>
      </c>
      <c r="D405" t="inlineStr">
        <is>
          <t>VÄSTMANLANDS LÄN</t>
        </is>
      </c>
      <c r="E405" t="inlineStr">
        <is>
          <t>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6190-2025</t>
        </is>
      </c>
      <c r="B406" s="1" t="n">
        <v>45698</v>
      </c>
      <c r="C406" s="1" t="n">
        <v>45993</v>
      </c>
      <c r="D406" t="inlineStr">
        <is>
          <t>VÄSTMANLANDS LÄN</t>
        </is>
      </c>
      <c r="E406" t="inlineStr">
        <is>
          <t>SALA</t>
        </is>
      </c>
      <c r="F406" t="inlineStr">
        <is>
          <t>Bergvik skog öst AB</t>
        </is>
      </c>
      <c r="G406" t="n">
        <v>4.6</v>
      </c>
      <c r="H406" t="n">
        <v>0</v>
      </c>
      <c r="I406" t="n">
        <v>0</v>
      </c>
      <c r="J406" t="n">
        <v>0</v>
      </c>
      <c r="K406" t="n">
        <v>0</v>
      </c>
      <c r="L406" t="n">
        <v>0</v>
      </c>
      <c r="M406" t="n">
        <v>0</v>
      </c>
      <c r="N406" t="n">
        <v>0</v>
      </c>
      <c r="O406" t="n">
        <v>0</v>
      </c>
      <c r="P406" t="n">
        <v>0</v>
      </c>
      <c r="Q406" t="n">
        <v>0</v>
      </c>
      <c r="R406" s="2" t="inlineStr"/>
    </row>
    <row r="407" ht="15" customHeight="1">
      <c r="A407" t="inlineStr">
        <is>
          <t>A 60034-2024</t>
        </is>
      </c>
      <c r="B407" s="1" t="n">
        <v>45642.46261574074</v>
      </c>
      <c r="C407" s="1" t="n">
        <v>45993</v>
      </c>
      <c r="D407" t="inlineStr">
        <is>
          <t>VÄSTMANLANDS LÄN</t>
        </is>
      </c>
      <c r="E407" t="inlineStr">
        <is>
          <t>SALA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3810-2023</t>
        </is>
      </c>
      <c r="B408" s="1" t="n">
        <v>44951.60454861111</v>
      </c>
      <c r="C408" s="1" t="n">
        <v>45993</v>
      </c>
      <c r="D408" t="inlineStr">
        <is>
          <t>VÄSTMANLANDS LÄN</t>
        </is>
      </c>
      <c r="E408" t="inlineStr">
        <is>
          <t>SALA</t>
        </is>
      </c>
      <c r="G408" t="n">
        <v>4.2</v>
      </c>
      <c r="H408" t="n">
        <v>0</v>
      </c>
      <c r="I408" t="n">
        <v>0</v>
      </c>
      <c r="J408" t="n">
        <v>0</v>
      </c>
      <c r="K408" t="n">
        <v>0</v>
      </c>
      <c r="L408" t="n">
        <v>0</v>
      </c>
      <c r="M408" t="n">
        <v>0</v>
      </c>
      <c r="N408" t="n">
        <v>0</v>
      </c>
      <c r="O408" t="n">
        <v>0</v>
      </c>
      <c r="P408" t="n">
        <v>0</v>
      </c>
      <c r="Q408" t="n">
        <v>0</v>
      </c>
      <c r="R408" s="2" t="inlineStr"/>
    </row>
    <row r="409" ht="15" customHeight="1">
      <c r="A409" t="inlineStr">
        <is>
          <t>A 28863-2022</t>
        </is>
      </c>
      <c r="B409" s="1" t="n">
        <v>44749.50649305555</v>
      </c>
      <c r="C409" s="1" t="n">
        <v>45993</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52503-2024</t>
        </is>
      </c>
      <c r="B410" s="1" t="n">
        <v>45609.58806712963</v>
      </c>
      <c r="C410" s="1" t="n">
        <v>45993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2521-2025</t>
        </is>
      </c>
      <c r="B411" s="1" t="n">
        <v>45674</v>
      </c>
      <c r="C411" s="1" t="n">
        <v>45993</v>
      </c>
      <c r="D411" t="inlineStr">
        <is>
          <t>VÄSTMANLANDS LÄN</t>
        </is>
      </c>
      <c r="E411" t="inlineStr">
        <is>
          <t>SALA</t>
        </is>
      </c>
      <c r="G411" t="n">
        <v>3.5</v>
      </c>
      <c r="H411" t="n">
        <v>0</v>
      </c>
      <c r="I411" t="n">
        <v>0</v>
      </c>
      <c r="J411" t="n">
        <v>0</v>
      </c>
      <c r="K411" t="n">
        <v>0</v>
      </c>
      <c r="L411" t="n">
        <v>0</v>
      </c>
      <c r="M411" t="n">
        <v>0</v>
      </c>
      <c r="N411" t="n">
        <v>0</v>
      </c>
      <c r="O411" t="n">
        <v>0</v>
      </c>
      <c r="P411" t="n">
        <v>0</v>
      </c>
      <c r="Q411" t="n">
        <v>0</v>
      </c>
      <c r="R411" s="2" t="inlineStr"/>
    </row>
    <row r="412" ht="15" customHeight="1">
      <c r="A412" t="inlineStr">
        <is>
          <t>A 25541-2024</t>
        </is>
      </c>
      <c r="B412" s="1" t="n">
        <v>45463.56337962963</v>
      </c>
      <c r="C412" s="1" t="n">
        <v>45993</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41230-2025</t>
        </is>
      </c>
      <c r="B413" s="1" t="n">
        <v>45898</v>
      </c>
      <c r="C413" s="1" t="n">
        <v>45993</v>
      </c>
      <c r="D413" t="inlineStr">
        <is>
          <t>VÄSTMANLANDS LÄN</t>
        </is>
      </c>
      <c r="E413" t="inlineStr">
        <is>
          <t>SALA</t>
        </is>
      </c>
      <c r="G413" t="n">
        <v>2.3</v>
      </c>
      <c r="H413" t="n">
        <v>0</v>
      </c>
      <c r="I413" t="n">
        <v>0</v>
      </c>
      <c r="J413" t="n">
        <v>0</v>
      </c>
      <c r="K413" t="n">
        <v>0</v>
      </c>
      <c r="L413" t="n">
        <v>0</v>
      </c>
      <c r="M413" t="n">
        <v>0</v>
      </c>
      <c r="N413" t="n">
        <v>0</v>
      </c>
      <c r="O413" t="n">
        <v>0</v>
      </c>
      <c r="P413" t="n">
        <v>0</v>
      </c>
      <c r="Q413" t="n">
        <v>0</v>
      </c>
      <c r="R413" s="2" t="inlineStr"/>
    </row>
    <row r="414" ht="15" customHeight="1">
      <c r="A414" t="inlineStr">
        <is>
          <t>A 31000-2022</t>
        </is>
      </c>
      <c r="B414" s="1" t="n">
        <v>44768</v>
      </c>
      <c r="C414" s="1" t="n">
        <v>45993</v>
      </c>
      <c r="D414" t="inlineStr">
        <is>
          <t>VÄSTMANLANDS LÄN</t>
        </is>
      </c>
      <c r="E414" t="inlineStr">
        <is>
          <t>SALA</t>
        </is>
      </c>
      <c r="G414" t="n">
        <v>5.7</v>
      </c>
      <c r="H414" t="n">
        <v>0</v>
      </c>
      <c r="I414" t="n">
        <v>0</v>
      </c>
      <c r="J414" t="n">
        <v>0</v>
      </c>
      <c r="K414" t="n">
        <v>0</v>
      </c>
      <c r="L414" t="n">
        <v>0</v>
      </c>
      <c r="M414" t="n">
        <v>0</v>
      </c>
      <c r="N414" t="n">
        <v>0</v>
      </c>
      <c r="O414" t="n">
        <v>0</v>
      </c>
      <c r="P414" t="n">
        <v>0</v>
      </c>
      <c r="Q414" t="n">
        <v>0</v>
      </c>
      <c r="R414" s="2" t="inlineStr"/>
    </row>
    <row r="415" ht="15" customHeight="1">
      <c r="A415" t="inlineStr">
        <is>
          <t>A 27657-2023</t>
        </is>
      </c>
      <c r="B415" s="1" t="n">
        <v>45097.76631944445</v>
      </c>
      <c r="C415" s="1" t="n">
        <v>45993</v>
      </c>
      <c r="D415" t="inlineStr">
        <is>
          <t>VÄSTMANLANDS LÄN</t>
        </is>
      </c>
      <c r="E415" t="inlineStr">
        <is>
          <t>SALA</t>
        </is>
      </c>
      <c r="G415" t="n">
        <v>0.1</v>
      </c>
      <c r="H415" t="n">
        <v>0</v>
      </c>
      <c r="I415" t="n">
        <v>0</v>
      </c>
      <c r="J415" t="n">
        <v>0</v>
      </c>
      <c r="K415" t="n">
        <v>0</v>
      </c>
      <c r="L415" t="n">
        <v>0</v>
      </c>
      <c r="M415" t="n">
        <v>0</v>
      </c>
      <c r="N415" t="n">
        <v>0</v>
      </c>
      <c r="O415" t="n">
        <v>0</v>
      </c>
      <c r="P415" t="n">
        <v>0</v>
      </c>
      <c r="Q415" t="n">
        <v>0</v>
      </c>
      <c r="R415" s="2" t="inlineStr"/>
    </row>
    <row r="416" ht="15" customHeight="1">
      <c r="A416" t="inlineStr">
        <is>
          <t>A 2766-2024</t>
        </is>
      </c>
      <c r="B416" s="1" t="n">
        <v>45314.60950231482</v>
      </c>
      <c r="C416" s="1" t="n">
        <v>45993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29213-2022</t>
        </is>
      </c>
      <c r="B417" s="1" t="n">
        <v>44750.57474537037</v>
      </c>
      <c r="C417" s="1" t="n">
        <v>45993</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56964-2023</t>
        </is>
      </c>
      <c r="B418" s="1" t="n">
        <v>45244.63140046296</v>
      </c>
      <c r="C418" s="1" t="n">
        <v>45993</v>
      </c>
      <c r="D418" t="inlineStr">
        <is>
          <t>VÄSTMANLANDS LÄN</t>
        </is>
      </c>
      <c r="E418" t="inlineStr">
        <is>
          <t>SALA</t>
        </is>
      </c>
      <c r="G418" t="n">
        <v>4.6</v>
      </c>
      <c r="H418" t="n">
        <v>0</v>
      </c>
      <c r="I418" t="n">
        <v>0</v>
      </c>
      <c r="J418" t="n">
        <v>0</v>
      </c>
      <c r="K418" t="n">
        <v>0</v>
      </c>
      <c r="L418" t="n">
        <v>0</v>
      </c>
      <c r="M418" t="n">
        <v>0</v>
      </c>
      <c r="N418" t="n">
        <v>0</v>
      </c>
      <c r="O418" t="n">
        <v>0</v>
      </c>
      <c r="P418" t="n">
        <v>0</v>
      </c>
      <c r="Q418" t="n">
        <v>0</v>
      </c>
      <c r="R418" s="2" t="inlineStr"/>
    </row>
    <row r="419" ht="15" customHeight="1">
      <c r="A419" t="inlineStr">
        <is>
          <t>A 41431-2025</t>
        </is>
      </c>
      <c r="B419" s="1" t="n">
        <v>45901.39347222223</v>
      </c>
      <c r="C419" s="1" t="n">
        <v>45993</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31950-2023</t>
        </is>
      </c>
      <c r="B420" s="1" t="n">
        <v>45107</v>
      </c>
      <c r="C420" s="1" t="n">
        <v>45993</v>
      </c>
      <c r="D420" t="inlineStr">
        <is>
          <t>VÄSTMANLANDS LÄN</t>
        </is>
      </c>
      <c r="E420" t="inlineStr">
        <is>
          <t>SALA</t>
        </is>
      </c>
      <c r="G420" t="n">
        <v>0.1</v>
      </c>
      <c r="H420" t="n">
        <v>0</v>
      </c>
      <c r="I420" t="n">
        <v>0</v>
      </c>
      <c r="J420" t="n">
        <v>0</v>
      </c>
      <c r="K420" t="n">
        <v>0</v>
      </c>
      <c r="L420" t="n">
        <v>0</v>
      </c>
      <c r="M420" t="n">
        <v>0</v>
      </c>
      <c r="N420" t="n">
        <v>0</v>
      </c>
      <c r="O420" t="n">
        <v>0</v>
      </c>
      <c r="P420" t="n">
        <v>0</v>
      </c>
      <c r="Q420" t="n">
        <v>0</v>
      </c>
      <c r="R420" s="2" t="inlineStr"/>
    </row>
    <row r="421" ht="15" customHeight="1">
      <c r="A421" t="inlineStr">
        <is>
          <t>A 41414-2025</t>
        </is>
      </c>
      <c r="B421" s="1" t="n">
        <v>45901.360625</v>
      </c>
      <c r="C421" s="1" t="n">
        <v>45993</v>
      </c>
      <c r="D421" t="inlineStr">
        <is>
          <t>VÄSTMANLANDS LÄN</t>
        </is>
      </c>
      <c r="E421" t="inlineStr">
        <is>
          <t>SALA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53164-2024</t>
        </is>
      </c>
      <c r="B422" s="1" t="n">
        <v>45611.64887731482</v>
      </c>
      <c r="C422" s="1" t="n">
        <v>45993</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60550-2024</t>
        </is>
      </c>
      <c r="B423" s="1" t="n">
        <v>45643</v>
      </c>
      <c r="C423" s="1" t="n">
        <v>45993</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14690-2025</t>
        </is>
      </c>
      <c r="B424" s="1" t="n">
        <v>45742.58212962963</v>
      </c>
      <c r="C424" s="1" t="n">
        <v>45993</v>
      </c>
      <c r="D424" t="inlineStr">
        <is>
          <t>VÄSTMANLANDS LÄN</t>
        </is>
      </c>
      <c r="E424" t="inlineStr">
        <is>
          <t>SALA</t>
        </is>
      </c>
      <c r="G424" t="n">
        <v>3.4</v>
      </c>
      <c r="H424" t="n">
        <v>0</v>
      </c>
      <c r="I424" t="n">
        <v>0</v>
      </c>
      <c r="J424" t="n">
        <v>0</v>
      </c>
      <c r="K424" t="n">
        <v>0</v>
      </c>
      <c r="L424" t="n">
        <v>0</v>
      </c>
      <c r="M424" t="n">
        <v>0</v>
      </c>
      <c r="N424" t="n">
        <v>0</v>
      </c>
      <c r="O424" t="n">
        <v>0</v>
      </c>
      <c r="P424" t="n">
        <v>0</v>
      </c>
      <c r="Q424" t="n">
        <v>0</v>
      </c>
      <c r="R424" s="2" t="inlineStr"/>
    </row>
    <row r="425" ht="15" customHeight="1">
      <c r="A425" t="inlineStr">
        <is>
          <t>A 61717-2024</t>
        </is>
      </c>
      <c r="B425" s="1" t="n">
        <v>45648</v>
      </c>
      <c r="C425" s="1" t="n">
        <v>45993</v>
      </c>
      <c r="D425" t="inlineStr">
        <is>
          <t>VÄSTMANLANDS LÄN</t>
        </is>
      </c>
      <c r="E425" t="inlineStr">
        <is>
          <t>SALA</t>
        </is>
      </c>
      <c r="G425" t="n">
        <v>3.7</v>
      </c>
      <c r="H425" t="n">
        <v>0</v>
      </c>
      <c r="I425" t="n">
        <v>0</v>
      </c>
      <c r="J425" t="n">
        <v>0</v>
      </c>
      <c r="K425" t="n">
        <v>0</v>
      </c>
      <c r="L425" t="n">
        <v>0</v>
      </c>
      <c r="M425" t="n">
        <v>0</v>
      </c>
      <c r="N425" t="n">
        <v>0</v>
      </c>
      <c r="O425" t="n">
        <v>0</v>
      </c>
      <c r="P425" t="n">
        <v>0</v>
      </c>
      <c r="Q425" t="n">
        <v>0</v>
      </c>
      <c r="R425" s="2" t="inlineStr"/>
    </row>
    <row r="426" ht="15" customHeight="1">
      <c r="A426" t="inlineStr">
        <is>
          <t>A 1555-2024</t>
        </is>
      </c>
      <c r="B426" s="1" t="n">
        <v>45306</v>
      </c>
      <c r="C426" s="1" t="n">
        <v>45993</v>
      </c>
      <c r="D426" t="inlineStr">
        <is>
          <t>VÄSTMANLANDS LÄN</t>
        </is>
      </c>
      <c r="E426" t="inlineStr">
        <is>
          <t>SALA</t>
        </is>
      </c>
      <c r="G426" t="n">
        <v>1.3</v>
      </c>
      <c r="H426" t="n">
        <v>0</v>
      </c>
      <c r="I426" t="n">
        <v>0</v>
      </c>
      <c r="J426" t="n">
        <v>0</v>
      </c>
      <c r="K426" t="n">
        <v>0</v>
      </c>
      <c r="L426" t="n">
        <v>0</v>
      </c>
      <c r="M426" t="n">
        <v>0</v>
      </c>
      <c r="N426" t="n">
        <v>0</v>
      </c>
      <c r="O426" t="n">
        <v>0</v>
      </c>
      <c r="P426" t="n">
        <v>0</v>
      </c>
      <c r="Q426" t="n">
        <v>0</v>
      </c>
      <c r="R426" s="2" t="inlineStr"/>
    </row>
    <row r="427" ht="15" customHeight="1">
      <c r="A427" t="inlineStr">
        <is>
          <t>A 16693-2023</t>
        </is>
      </c>
      <c r="B427" s="1" t="n">
        <v>45028</v>
      </c>
      <c r="C427" s="1" t="n">
        <v>45993</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13188-2025</t>
        </is>
      </c>
      <c r="B428" s="1" t="n">
        <v>45735.39246527778</v>
      </c>
      <c r="C428" s="1" t="n">
        <v>45993</v>
      </c>
      <c r="D428" t="inlineStr">
        <is>
          <t>VÄSTMANLANDS LÄN</t>
        </is>
      </c>
      <c r="E428" t="inlineStr">
        <is>
          <t>SALA</t>
        </is>
      </c>
      <c r="F428" t="inlineStr">
        <is>
          <t>Naturvårdsverket</t>
        </is>
      </c>
      <c r="G428" t="n">
        <v>18.4</v>
      </c>
      <c r="H428" t="n">
        <v>0</v>
      </c>
      <c r="I428" t="n">
        <v>0</v>
      </c>
      <c r="J428" t="n">
        <v>0</v>
      </c>
      <c r="K428" t="n">
        <v>0</v>
      </c>
      <c r="L428" t="n">
        <v>0</v>
      </c>
      <c r="M428" t="n">
        <v>0</v>
      </c>
      <c r="N428" t="n">
        <v>0</v>
      </c>
      <c r="O428" t="n">
        <v>0</v>
      </c>
      <c r="P428" t="n">
        <v>0</v>
      </c>
      <c r="Q428" t="n">
        <v>0</v>
      </c>
      <c r="R428" s="2" t="inlineStr"/>
    </row>
    <row r="429" ht="15" customHeight="1">
      <c r="A429" t="inlineStr">
        <is>
          <t>A 23182-2022</t>
        </is>
      </c>
      <c r="B429" s="1" t="n">
        <v>44719.79707175926</v>
      </c>
      <c r="C429" s="1" t="n">
        <v>45993</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24175-2024</t>
        </is>
      </c>
      <c r="B430" s="1" t="n">
        <v>45456</v>
      </c>
      <c r="C430" s="1" t="n">
        <v>45993</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7197-2025</t>
        </is>
      </c>
      <c r="B431" s="1" t="n">
        <v>45702</v>
      </c>
      <c r="C431" s="1" t="n">
        <v>45993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57371-2022</t>
        </is>
      </c>
      <c r="B432" s="1" t="n">
        <v>44896.43832175926</v>
      </c>
      <c r="C432" s="1" t="n">
        <v>45993</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15099-2025</t>
        </is>
      </c>
      <c r="B433" s="1" t="n">
        <v>45744.3434837963</v>
      </c>
      <c r="C433" s="1" t="n">
        <v>45993</v>
      </c>
      <c r="D433" t="inlineStr">
        <is>
          <t>VÄSTMANLANDS LÄN</t>
        </is>
      </c>
      <c r="E433" t="inlineStr">
        <is>
          <t>SALA</t>
        </is>
      </c>
      <c r="F433" t="inlineStr">
        <is>
          <t>Sveaskog</t>
        </is>
      </c>
      <c r="G433" t="n">
        <v>14.4</v>
      </c>
      <c r="H433" t="n">
        <v>0</v>
      </c>
      <c r="I433" t="n">
        <v>0</v>
      </c>
      <c r="J433" t="n">
        <v>0</v>
      </c>
      <c r="K433" t="n">
        <v>0</v>
      </c>
      <c r="L433" t="n">
        <v>0</v>
      </c>
      <c r="M433" t="n">
        <v>0</v>
      </c>
      <c r="N433" t="n">
        <v>0</v>
      </c>
      <c r="O433" t="n">
        <v>0</v>
      </c>
      <c r="P433" t="n">
        <v>0</v>
      </c>
      <c r="Q433" t="n">
        <v>0</v>
      </c>
      <c r="R433" s="2" t="inlineStr"/>
    </row>
    <row r="434" ht="15" customHeight="1">
      <c r="A434" t="inlineStr">
        <is>
          <t>A 2928-2024</t>
        </is>
      </c>
      <c r="B434" s="1" t="n">
        <v>45315.59041666667</v>
      </c>
      <c r="C434" s="1" t="n">
        <v>45993</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21968-2024</t>
        </is>
      </c>
      <c r="B435" s="1" t="n">
        <v>45443</v>
      </c>
      <c r="C435" s="1" t="n">
        <v>45993</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62449-2023</t>
        </is>
      </c>
      <c r="B436" s="1" t="n">
        <v>45268.49008101852</v>
      </c>
      <c r="C436" s="1" t="n">
        <v>45993</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9962-2025</t>
        </is>
      </c>
      <c r="B437" s="1" t="n">
        <v>45719.37072916667</v>
      </c>
      <c r="C437" s="1" t="n">
        <v>45993</v>
      </c>
      <c r="D437" t="inlineStr">
        <is>
          <t>VÄSTMANLANDS LÄN</t>
        </is>
      </c>
      <c r="E437" t="inlineStr">
        <is>
          <t>SALA</t>
        </is>
      </c>
      <c r="G437" t="n">
        <v>4.5</v>
      </c>
      <c r="H437" t="n">
        <v>0</v>
      </c>
      <c r="I437" t="n">
        <v>0</v>
      </c>
      <c r="J437" t="n">
        <v>0</v>
      </c>
      <c r="K437" t="n">
        <v>0</v>
      </c>
      <c r="L437" t="n">
        <v>0</v>
      </c>
      <c r="M437" t="n">
        <v>0</v>
      </c>
      <c r="N437" t="n">
        <v>0</v>
      </c>
      <c r="O437" t="n">
        <v>0</v>
      </c>
      <c r="P437" t="n">
        <v>0</v>
      </c>
      <c r="Q437" t="n">
        <v>0</v>
      </c>
      <c r="R437" s="2" t="inlineStr"/>
    </row>
    <row r="438" ht="15" customHeight="1">
      <c r="A438" t="inlineStr">
        <is>
          <t>A 54910-2023</t>
        </is>
      </c>
      <c r="B438" s="1" t="n">
        <v>45229</v>
      </c>
      <c r="C438" s="1" t="n">
        <v>45993</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14024-2025</t>
        </is>
      </c>
      <c r="B439" s="1" t="n">
        <v>45740.34650462963</v>
      </c>
      <c r="C439" s="1" t="n">
        <v>45993</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3551-2024</t>
        </is>
      </c>
      <c r="B440" s="1" t="n">
        <v>45320.61099537037</v>
      </c>
      <c r="C440" s="1" t="n">
        <v>45993</v>
      </c>
      <c r="D440" t="inlineStr">
        <is>
          <t>VÄSTMANLANDS LÄN</t>
        </is>
      </c>
      <c r="E440" t="inlineStr">
        <is>
          <t>SALA</t>
        </is>
      </c>
      <c r="F440" t="inlineStr">
        <is>
          <t>Kommuner</t>
        </is>
      </c>
      <c r="G440" t="n">
        <v>6</v>
      </c>
      <c r="H440" t="n">
        <v>0</v>
      </c>
      <c r="I440" t="n">
        <v>0</v>
      </c>
      <c r="J440" t="n">
        <v>0</v>
      </c>
      <c r="K440" t="n">
        <v>0</v>
      </c>
      <c r="L440" t="n">
        <v>0</v>
      </c>
      <c r="M440" t="n">
        <v>0</v>
      </c>
      <c r="N440" t="n">
        <v>0</v>
      </c>
      <c r="O440" t="n">
        <v>0</v>
      </c>
      <c r="P440" t="n">
        <v>0</v>
      </c>
      <c r="Q440" t="n">
        <v>0</v>
      </c>
      <c r="R440" s="2" t="inlineStr"/>
    </row>
    <row r="441" ht="15" customHeight="1">
      <c r="A441" t="inlineStr">
        <is>
          <t>A 56548-2024</t>
        </is>
      </c>
      <c r="B441" s="1" t="n">
        <v>45625</v>
      </c>
      <c r="C441" s="1" t="n">
        <v>45993</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47086-2022</t>
        </is>
      </c>
      <c r="B442" s="1" t="n">
        <v>44852</v>
      </c>
      <c r="C442" s="1" t="n">
        <v>45993</v>
      </c>
      <c r="D442" t="inlineStr">
        <is>
          <t>VÄSTMANLANDS LÄN</t>
        </is>
      </c>
      <c r="E442" t="inlineStr">
        <is>
          <t>SALA</t>
        </is>
      </c>
      <c r="G442" t="n">
        <v>12.5</v>
      </c>
      <c r="H442" t="n">
        <v>0</v>
      </c>
      <c r="I442" t="n">
        <v>0</v>
      </c>
      <c r="J442" t="n">
        <v>0</v>
      </c>
      <c r="K442" t="n">
        <v>0</v>
      </c>
      <c r="L442" t="n">
        <v>0</v>
      </c>
      <c r="M442" t="n">
        <v>0</v>
      </c>
      <c r="N442" t="n">
        <v>0</v>
      </c>
      <c r="O442" t="n">
        <v>0</v>
      </c>
      <c r="P442" t="n">
        <v>0</v>
      </c>
      <c r="Q442" t="n">
        <v>0</v>
      </c>
      <c r="R442" s="2" t="inlineStr"/>
    </row>
    <row r="443" ht="15" customHeight="1">
      <c r="A443" t="inlineStr">
        <is>
          <t>A 42421-2025</t>
        </is>
      </c>
      <c r="B443" s="1" t="n">
        <v>45905.40067129629</v>
      </c>
      <c r="C443" s="1" t="n">
        <v>45993</v>
      </c>
      <c r="D443" t="inlineStr">
        <is>
          <t>VÄSTMANLANDS LÄN</t>
        </is>
      </c>
      <c r="E443" t="inlineStr">
        <is>
          <t>SALA</t>
        </is>
      </c>
      <c r="G443" t="n">
        <v>1.3</v>
      </c>
      <c r="H443" t="n">
        <v>0</v>
      </c>
      <c r="I443" t="n">
        <v>0</v>
      </c>
      <c r="J443" t="n">
        <v>0</v>
      </c>
      <c r="K443" t="n">
        <v>0</v>
      </c>
      <c r="L443" t="n">
        <v>0</v>
      </c>
      <c r="M443" t="n">
        <v>0</v>
      </c>
      <c r="N443" t="n">
        <v>0</v>
      </c>
      <c r="O443" t="n">
        <v>0</v>
      </c>
      <c r="P443" t="n">
        <v>0</v>
      </c>
      <c r="Q443" t="n">
        <v>0</v>
      </c>
      <c r="R443" s="2" t="inlineStr"/>
    </row>
    <row r="444" ht="15" customHeight="1">
      <c r="A444" t="inlineStr">
        <is>
          <t>A 62635-2022</t>
        </is>
      </c>
      <c r="B444" s="1" t="n">
        <v>44917</v>
      </c>
      <c r="C444" s="1" t="n">
        <v>45993</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43028-2025</t>
        </is>
      </c>
      <c r="B445" s="1" t="n">
        <v>45909.53472222222</v>
      </c>
      <c r="C445" s="1" t="n">
        <v>45993</v>
      </c>
      <c r="D445" t="inlineStr">
        <is>
          <t>VÄSTMANLANDS LÄN</t>
        </is>
      </c>
      <c r="E445" t="inlineStr">
        <is>
          <t>SALA</t>
        </is>
      </c>
      <c r="G445" t="n">
        <v>3.8</v>
      </c>
      <c r="H445" t="n">
        <v>0</v>
      </c>
      <c r="I445" t="n">
        <v>0</v>
      </c>
      <c r="J445" t="n">
        <v>0</v>
      </c>
      <c r="K445" t="n">
        <v>0</v>
      </c>
      <c r="L445" t="n">
        <v>0</v>
      </c>
      <c r="M445" t="n">
        <v>0</v>
      </c>
      <c r="N445" t="n">
        <v>0</v>
      </c>
      <c r="O445" t="n">
        <v>0</v>
      </c>
      <c r="P445" t="n">
        <v>0</v>
      </c>
      <c r="Q445" t="n">
        <v>0</v>
      </c>
      <c r="R445" s="2" t="inlineStr"/>
    </row>
    <row r="446" ht="15" customHeight="1">
      <c r="A446" t="inlineStr">
        <is>
          <t>A 51626-2025</t>
        </is>
      </c>
      <c r="B446" s="1" t="n">
        <v>45951.41769675926</v>
      </c>
      <c r="C446" s="1" t="n">
        <v>45993</v>
      </c>
      <c r="D446" t="inlineStr">
        <is>
          <t>VÄSTMANLANDS LÄN</t>
        </is>
      </c>
      <c r="E446" t="inlineStr">
        <is>
          <t>SALA</t>
        </is>
      </c>
      <c r="G446" t="n">
        <v>2.6</v>
      </c>
      <c r="H446" t="n">
        <v>0</v>
      </c>
      <c r="I446" t="n">
        <v>0</v>
      </c>
      <c r="J446" t="n">
        <v>0</v>
      </c>
      <c r="K446" t="n">
        <v>0</v>
      </c>
      <c r="L446" t="n">
        <v>0</v>
      </c>
      <c r="M446" t="n">
        <v>0</v>
      </c>
      <c r="N446" t="n">
        <v>0</v>
      </c>
      <c r="O446" t="n">
        <v>0</v>
      </c>
      <c r="P446" t="n">
        <v>0</v>
      </c>
      <c r="Q446" t="n">
        <v>0</v>
      </c>
      <c r="R446" s="2" t="inlineStr"/>
    </row>
    <row r="447" ht="15" customHeight="1">
      <c r="A447" t="inlineStr">
        <is>
          <t>A 19304-2025</t>
        </is>
      </c>
      <c r="B447" s="1" t="n">
        <v>45769</v>
      </c>
      <c r="C447" s="1" t="n">
        <v>45993</v>
      </c>
      <c r="D447" t="inlineStr">
        <is>
          <t>VÄSTMANLANDS LÄN</t>
        </is>
      </c>
      <c r="E447" t="inlineStr">
        <is>
          <t>SALA</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43328-2025</t>
        </is>
      </c>
      <c r="B448" s="1" t="n">
        <v>45910</v>
      </c>
      <c r="C448" s="1" t="n">
        <v>45993</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56057-2023</t>
        </is>
      </c>
      <c r="B449" s="1" t="n">
        <v>45233</v>
      </c>
      <c r="C449" s="1" t="n">
        <v>45993</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51690-2025</t>
        </is>
      </c>
      <c r="B450" s="1" t="n">
        <v>45951.53462962963</v>
      </c>
      <c r="C450" s="1" t="n">
        <v>45993</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51805-2025</t>
        </is>
      </c>
      <c r="B451" s="1" t="n">
        <v>45951.78359953704</v>
      </c>
      <c r="C451" s="1" t="n">
        <v>45993</v>
      </c>
      <c r="D451" t="inlineStr">
        <is>
          <t>VÄSTMANLANDS LÄN</t>
        </is>
      </c>
      <c r="E451" t="inlineStr">
        <is>
          <t>SALA</t>
        </is>
      </c>
      <c r="F451" t="inlineStr">
        <is>
          <t>Kommuner</t>
        </is>
      </c>
      <c r="G451" t="n">
        <v>1.3</v>
      </c>
      <c r="H451" t="n">
        <v>0</v>
      </c>
      <c r="I451" t="n">
        <v>0</v>
      </c>
      <c r="J451" t="n">
        <v>0</v>
      </c>
      <c r="K451" t="n">
        <v>0</v>
      </c>
      <c r="L451" t="n">
        <v>0</v>
      </c>
      <c r="M451" t="n">
        <v>0</v>
      </c>
      <c r="N451" t="n">
        <v>0</v>
      </c>
      <c r="O451" t="n">
        <v>0</v>
      </c>
      <c r="P451" t="n">
        <v>0</v>
      </c>
      <c r="Q451" t="n">
        <v>0</v>
      </c>
      <c r="R451" s="2" t="inlineStr"/>
    </row>
    <row r="452" ht="15" customHeight="1">
      <c r="A452" t="inlineStr">
        <is>
          <t>A 51809-2025</t>
        </is>
      </c>
      <c r="B452" s="1" t="n">
        <v>45951.80116898148</v>
      </c>
      <c r="C452" s="1" t="n">
        <v>45993</v>
      </c>
      <c r="D452" t="inlineStr">
        <is>
          <t>VÄSTMANLANDS LÄN</t>
        </is>
      </c>
      <c r="E452" t="inlineStr">
        <is>
          <t>SALA</t>
        </is>
      </c>
      <c r="F452" t="inlineStr">
        <is>
          <t>Kommuner</t>
        </is>
      </c>
      <c r="G452" t="n">
        <v>3.5</v>
      </c>
      <c r="H452" t="n">
        <v>0</v>
      </c>
      <c r="I452" t="n">
        <v>0</v>
      </c>
      <c r="J452" t="n">
        <v>0</v>
      </c>
      <c r="K452" t="n">
        <v>0</v>
      </c>
      <c r="L452" t="n">
        <v>0</v>
      </c>
      <c r="M452" t="n">
        <v>0</v>
      </c>
      <c r="N452" t="n">
        <v>0</v>
      </c>
      <c r="O452" t="n">
        <v>0</v>
      </c>
      <c r="P452" t="n">
        <v>0</v>
      </c>
      <c r="Q452" t="n">
        <v>0</v>
      </c>
      <c r="R452" s="2" t="inlineStr"/>
    </row>
    <row r="453" ht="15" customHeight="1">
      <c r="A453" t="inlineStr">
        <is>
          <t>A 988-2025</t>
        </is>
      </c>
      <c r="B453" s="1" t="n">
        <v>45666.44038194444</v>
      </c>
      <c r="C453" s="1" t="n">
        <v>45993</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51803-2025</t>
        </is>
      </c>
      <c r="B454" s="1" t="n">
        <v>45951.76818287037</v>
      </c>
      <c r="C454" s="1" t="n">
        <v>45993</v>
      </c>
      <c r="D454" t="inlineStr">
        <is>
          <t>VÄSTMANLANDS LÄN</t>
        </is>
      </c>
      <c r="E454" t="inlineStr">
        <is>
          <t>SALA</t>
        </is>
      </c>
      <c r="F454" t="inlineStr">
        <is>
          <t>Kommuner</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51808-2025</t>
        </is>
      </c>
      <c r="B455" s="1" t="n">
        <v>45951.79302083333</v>
      </c>
      <c r="C455" s="1" t="n">
        <v>45993</v>
      </c>
      <c r="D455" t="inlineStr">
        <is>
          <t>VÄSTMANLANDS LÄN</t>
        </is>
      </c>
      <c r="E455" t="inlineStr">
        <is>
          <t>SALA</t>
        </is>
      </c>
      <c r="F455" t="inlineStr">
        <is>
          <t>Kommuner</t>
        </is>
      </c>
      <c r="G455" t="n">
        <v>3</v>
      </c>
      <c r="H455" t="n">
        <v>0</v>
      </c>
      <c r="I455" t="n">
        <v>0</v>
      </c>
      <c r="J455" t="n">
        <v>0</v>
      </c>
      <c r="K455" t="n">
        <v>0</v>
      </c>
      <c r="L455" t="n">
        <v>0</v>
      </c>
      <c r="M455" t="n">
        <v>0</v>
      </c>
      <c r="N455" t="n">
        <v>0</v>
      </c>
      <c r="O455" t="n">
        <v>0</v>
      </c>
      <c r="P455" t="n">
        <v>0</v>
      </c>
      <c r="Q455" t="n">
        <v>0</v>
      </c>
      <c r="R455" s="2" t="inlineStr"/>
    </row>
    <row r="456" ht="15" customHeight="1">
      <c r="A456" t="inlineStr">
        <is>
          <t>A 43031-2025</t>
        </is>
      </c>
      <c r="B456" s="1" t="n">
        <v>45909.53856481481</v>
      </c>
      <c r="C456" s="1" t="n">
        <v>45993</v>
      </c>
      <c r="D456" t="inlineStr">
        <is>
          <t>VÄSTMANLANDS LÄN</t>
        </is>
      </c>
      <c r="E456" t="inlineStr">
        <is>
          <t>SALA</t>
        </is>
      </c>
      <c r="G456" t="n">
        <v>0.2</v>
      </c>
      <c r="H456" t="n">
        <v>0</v>
      </c>
      <c r="I456" t="n">
        <v>0</v>
      </c>
      <c r="J456" t="n">
        <v>0</v>
      </c>
      <c r="K456" t="n">
        <v>0</v>
      </c>
      <c r="L456" t="n">
        <v>0</v>
      </c>
      <c r="M456" t="n">
        <v>0</v>
      </c>
      <c r="N456" t="n">
        <v>0</v>
      </c>
      <c r="O456" t="n">
        <v>0</v>
      </c>
      <c r="P456" t="n">
        <v>0</v>
      </c>
      <c r="Q456" t="n">
        <v>0</v>
      </c>
      <c r="R456" s="2" t="inlineStr"/>
    </row>
    <row r="457" ht="15" customHeight="1">
      <c r="A457" t="inlineStr">
        <is>
          <t>A 5032-2025</t>
        </is>
      </c>
      <c r="B457" s="1" t="n">
        <v>45691</v>
      </c>
      <c r="C457" s="1" t="n">
        <v>45993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55024-2023</t>
        </is>
      </c>
      <c r="B458" s="1" t="n">
        <v>45229</v>
      </c>
      <c r="C458" s="1" t="n">
        <v>45993</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55032-2023</t>
        </is>
      </c>
      <c r="B459" s="1" t="n">
        <v>45229</v>
      </c>
      <c r="C459" s="1" t="n">
        <v>45993</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19222-2025</t>
        </is>
      </c>
      <c r="B460" s="1" t="n">
        <v>45769</v>
      </c>
      <c r="C460" s="1" t="n">
        <v>45993</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17495-2024</t>
        </is>
      </c>
      <c r="B461" s="1" t="n">
        <v>45415</v>
      </c>
      <c r="C461" s="1" t="n">
        <v>45993</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19241-2025</t>
        </is>
      </c>
      <c r="B462" s="1" t="n">
        <v>45769</v>
      </c>
      <c r="C462" s="1" t="n">
        <v>45993</v>
      </c>
      <c r="D462" t="inlineStr">
        <is>
          <t>VÄSTMANLANDS LÄN</t>
        </is>
      </c>
      <c r="E462" t="inlineStr">
        <is>
          <t>SALA</t>
        </is>
      </c>
      <c r="G462" t="n">
        <v>3.6</v>
      </c>
      <c r="H462" t="n">
        <v>0</v>
      </c>
      <c r="I462" t="n">
        <v>0</v>
      </c>
      <c r="J462" t="n">
        <v>0</v>
      </c>
      <c r="K462" t="n">
        <v>0</v>
      </c>
      <c r="L462" t="n">
        <v>0</v>
      </c>
      <c r="M462" t="n">
        <v>0</v>
      </c>
      <c r="N462" t="n">
        <v>0</v>
      </c>
      <c r="O462" t="n">
        <v>0</v>
      </c>
      <c r="P462" t="n">
        <v>0</v>
      </c>
      <c r="Q462" t="n">
        <v>0</v>
      </c>
      <c r="R462" s="2" t="inlineStr"/>
    </row>
    <row r="463" ht="15" customHeight="1">
      <c r="A463" t="inlineStr">
        <is>
          <t>A 37263-2025</t>
        </is>
      </c>
      <c r="B463" s="1" t="n">
        <v>45876.4584837963</v>
      </c>
      <c r="C463" s="1" t="n">
        <v>45993</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40554-2025</t>
        </is>
      </c>
      <c r="B464" s="1" t="n">
        <v>45896.44506944445</v>
      </c>
      <c r="C464" s="1" t="n">
        <v>45993</v>
      </c>
      <c r="D464" t="inlineStr">
        <is>
          <t>VÄSTMANLANDS LÄN</t>
        </is>
      </c>
      <c r="E464" t="inlineStr">
        <is>
          <t>SALA</t>
        </is>
      </c>
      <c r="G464" t="n">
        <v>0.9</v>
      </c>
      <c r="H464" t="n">
        <v>0</v>
      </c>
      <c r="I464" t="n">
        <v>0</v>
      </c>
      <c r="J464" t="n">
        <v>0</v>
      </c>
      <c r="K464" t="n">
        <v>0</v>
      </c>
      <c r="L464" t="n">
        <v>0</v>
      </c>
      <c r="M464" t="n">
        <v>0</v>
      </c>
      <c r="N464" t="n">
        <v>0</v>
      </c>
      <c r="O464" t="n">
        <v>0</v>
      </c>
      <c r="P464" t="n">
        <v>0</v>
      </c>
      <c r="Q464" t="n">
        <v>0</v>
      </c>
      <c r="R464" s="2" t="inlineStr"/>
    </row>
    <row r="465" ht="15" customHeight="1">
      <c r="A465" t="inlineStr">
        <is>
          <t>A 29248-2022</t>
        </is>
      </c>
      <c r="B465" s="1" t="n">
        <v>44750</v>
      </c>
      <c r="C465" s="1" t="n">
        <v>45993</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59175-2022</t>
        </is>
      </c>
      <c r="B466" s="1" t="n">
        <v>44904.48502314815</v>
      </c>
      <c r="C466" s="1" t="n">
        <v>45993</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39451-2022</t>
        </is>
      </c>
      <c r="B467" s="1" t="n">
        <v>44818.36606481481</v>
      </c>
      <c r="C467" s="1" t="n">
        <v>45993</v>
      </c>
      <c r="D467" t="inlineStr">
        <is>
          <t>VÄSTMANLANDS LÄN</t>
        </is>
      </c>
      <c r="E467" t="inlineStr">
        <is>
          <t>SALA</t>
        </is>
      </c>
      <c r="G467" t="n">
        <v>9.4</v>
      </c>
      <c r="H467" t="n">
        <v>0</v>
      </c>
      <c r="I467" t="n">
        <v>0</v>
      </c>
      <c r="J467" t="n">
        <v>0</v>
      </c>
      <c r="K467" t="n">
        <v>0</v>
      </c>
      <c r="L467" t="n">
        <v>0</v>
      </c>
      <c r="M467" t="n">
        <v>0</v>
      </c>
      <c r="N467" t="n">
        <v>0</v>
      </c>
      <c r="O467" t="n">
        <v>0</v>
      </c>
      <c r="P467" t="n">
        <v>0</v>
      </c>
      <c r="Q467" t="n">
        <v>0</v>
      </c>
      <c r="R467" s="2" t="inlineStr"/>
    </row>
    <row r="468" ht="15" customHeight="1">
      <c r="A468" t="inlineStr">
        <is>
          <t>A 43129-2025</t>
        </is>
      </c>
      <c r="B468" s="1" t="n">
        <v>45909</v>
      </c>
      <c r="C468" s="1" t="n">
        <v>45993</v>
      </c>
      <c r="D468" t="inlineStr">
        <is>
          <t>VÄSTMANLANDS LÄN</t>
        </is>
      </c>
      <c r="E468" t="inlineStr">
        <is>
          <t>SALA</t>
        </is>
      </c>
      <c r="G468" t="n">
        <v>2.4</v>
      </c>
      <c r="H468" t="n">
        <v>0</v>
      </c>
      <c r="I468" t="n">
        <v>0</v>
      </c>
      <c r="J468" t="n">
        <v>0</v>
      </c>
      <c r="K468" t="n">
        <v>0</v>
      </c>
      <c r="L468" t="n">
        <v>0</v>
      </c>
      <c r="M468" t="n">
        <v>0</v>
      </c>
      <c r="N468" t="n">
        <v>0</v>
      </c>
      <c r="O468" t="n">
        <v>0</v>
      </c>
      <c r="P468" t="n">
        <v>0</v>
      </c>
      <c r="Q468" t="n">
        <v>0</v>
      </c>
      <c r="R468" s="2" t="inlineStr"/>
    </row>
    <row r="469" ht="15" customHeight="1">
      <c r="A469" t="inlineStr">
        <is>
          <t>A 43130-2025</t>
        </is>
      </c>
      <c r="B469" s="1" t="n">
        <v>45909</v>
      </c>
      <c r="C469" s="1" t="n">
        <v>45993</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51804-2025</t>
        </is>
      </c>
      <c r="B470" s="1" t="n">
        <v>45951.77697916667</v>
      </c>
      <c r="C470" s="1" t="n">
        <v>45993</v>
      </c>
      <c r="D470" t="inlineStr">
        <is>
          <t>VÄSTMANLANDS LÄN</t>
        </is>
      </c>
      <c r="E470" t="inlineStr">
        <is>
          <t>SALA</t>
        </is>
      </c>
      <c r="F470" t="inlineStr">
        <is>
          <t>Kommuner</t>
        </is>
      </c>
      <c r="G470" t="n">
        <v>2</v>
      </c>
      <c r="H470" t="n">
        <v>0</v>
      </c>
      <c r="I470" t="n">
        <v>0</v>
      </c>
      <c r="J470" t="n">
        <v>0</v>
      </c>
      <c r="K470" t="n">
        <v>0</v>
      </c>
      <c r="L470" t="n">
        <v>0</v>
      </c>
      <c r="M470" t="n">
        <v>0</v>
      </c>
      <c r="N470" t="n">
        <v>0</v>
      </c>
      <c r="O470" t="n">
        <v>0</v>
      </c>
      <c r="P470" t="n">
        <v>0</v>
      </c>
      <c r="Q470" t="n">
        <v>0</v>
      </c>
      <c r="R470" s="2" t="inlineStr"/>
    </row>
    <row r="471" ht="15" customHeight="1">
      <c r="A471" t="inlineStr">
        <is>
          <t>A 43128-2025</t>
        </is>
      </c>
      <c r="B471" s="1" t="n">
        <v>45909</v>
      </c>
      <c r="C471" s="1" t="n">
        <v>45993</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43127-2025</t>
        </is>
      </c>
      <c r="B472" s="1" t="n">
        <v>45909</v>
      </c>
      <c r="C472" s="1" t="n">
        <v>45993</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51764-2025</t>
        </is>
      </c>
      <c r="B473" s="1" t="n">
        <v>45951.63636574074</v>
      </c>
      <c r="C473" s="1" t="n">
        <v>45993</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66908-2021</t>
        </is>
      </c>
      <c r="B474" s="1" t="n">
        <v>44522</v>
      </c>
      <c r="C474" s="1" t="n">
        <v>45993</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11631-2023</t>
        </is>
      </c>
      <c r="B475" s="1" t="n">
        <v>44994.44001157407</v>
      </c>
      <c r="C475" s="1" t="n">
        <v>45993</v>
      </c>
      <c r="D475" t="inlineStr">
        <is>
          <t>VÄSTMANLANDS LÄN</t>
        </is>
      </c>
      <c r="E475" t="inlineStr">
        <is>
          <t>SALA</t>
        </is>
      </c>
      <c r="F475" t="inlineStr">
        <is>
          <t>Kommuner</t>
        </is>
      </c>
      <c r="G475" t="n">
        <v>1.9</v>
      </c>
      <c r="H475" t="n">
        <v>0</v>
      </c>
      <c r="I475" t="n">
        <v>0</v>
      </c>
      <c r="J475" t="n">
        <v>0</v>
      </c>
      <c r="K475" t="n">
        <v>0</v>
      </c>
      <c r="L475" t="n">
        <v>0</v>
      </c>
      <c r="M475" t="n">
        <v>0</v>
      </c>
      <c r="N475" t="n">
        <v>0</v>
      </c>
      <c r="O475" t="n">
        <v>0</v>
      </c>
      <c r="P475" t="n">
        <v>0</v>
      </c>
      <c r="Q475" t="n">
        <v>0</v>
      </c>
      <c r="R475" s="2" t="inlineStr"/>
    </row>
    <row r="476" ht="15" customHeight="1">
      <c r="A476" t="inlineStr">
        <is>
          <t>A 11696-2025</t>
        </is>
      </c>
      <c r="B476" s="1" t="n">
        <v>45727</v>
      </c>
      <c r="C476" s="1" t="n">
        <v>45993</v>
      </c>
      <c r="D476" t="inlineStr">
        <is>
          <t>VÄSTMANLANDS LÄN</t>
        </is>
      </c>
      <c r="E476" t="inlineStr">
        <is>
          <t>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62648-2022</t>
        </is>
      </c>
      <c r="B477" s="1" t="n">
        <v>44917</v>
      </c>
      <c r="C477" s="1" t="n">
        <v>45993</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1934-2023</t>
        </is>
      </c>
      <c r="B478" s="1" t="n">
        <v>44939.43024305555</v>
      </c>
      <c r="C478" s="1" t="n">
        <v>45993</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11927-2025</t>
        </is>
      </c>
      <c r="B479" s="1" t="n">
        <v>45728.5137962963</v>
      </c>
      <c r="C479" s="1" t="n">
        <v>45993</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43509-2021</t>
        </is>
      </c>
      <c r="B480" s="1" t="n">
        <v>44433</v>
      </c>
      <c r="C480" s="1" t="n">
        <v>45993</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60823-2024</t>
        </is>
      </c>
      <c r="B481" s="1" t="n">
        <v>45644</v>
      </c>
      <c r="C481" s="1" t="n">
        <v>45993</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96-2024</t>
        </is>
      </c>
      <c r="B482" s="1" t="n">
        <v>45293.85872685185</v>
      </c>
      <c r="C482" s="1" t="n">
        <v>45993</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13746-2025</t>
        </is>
      </c>
      <c r="B483" s="1" t="n">
        <v>45737.40944444444</v>
      </c>
      <c r="C483" s="1" t="n">
        <v>45993</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23374-2023</t>
        </is>
      </c>
      <c r="B484" s="1" t="n">
        <v>45076.4399537037</v>
      </c>
      <c r="C484" s="1" t="n">
        <v>45993</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25897-2024</t>
        </is>
      </c>
      <c r="B485" s="1" t="n">
        <v>45467.54435185185</v>
      </c>
      <c r="C485" s="1" t="n">
        <v>45993</v>
      </c>
      <c r="D485" t="inlineStr">
        <is>
          <t>VÄSTMANLANDS LÄN</t>
        </is>
      </c>
      <c r="E485" t="inlineStr">
        <is>
          <t>SALA</t>
        </is>
      </c>
      <c r="G485" t="n">
        <v>9.9</v>
      </c>
      <c r="H485" t="n">
        <v>0</v>
      </c>
      <c r="I485" t="n">
        <v>0</v>
      </c>
      <c r="J485" t="n">
        <v>0</v>
      </c>
      <c r="K485" t="n">
        <v>0</v>
      </c>
      <c r="L485" t="n">
        <v>0</v>
      </c>
      <c r="M485" t="n">
        <v>0</v>
      </c>
      <c r="N485" t="n">
        <v>0</v>
      </c>
      <c r="O485" t="n">
        <v>0</v>
      </c>
      <c r="P485" t="n">
        <v>0</v>
      </c>
      <c r="Q485" t="n">
        <v>0</v>
      </c>
      <c r="R485" s="2" t="inlineStr"/>
    </row>
    <row r="486" ht="15" customHeight="1">
      <c r="A486" t="inlineStr">
        <is>
          <t>A 61874-2021</t>
        </is>
      </c>
      <c r="B486" s="1" t="n">
        <v>44502</v>
      </c>
      <c r="C486" s="1" t="n">
        <v>45993</v>
      </c>
      <c r="D486" t="inlineStr">
        <is>
          <t>VÄSTMANLANDS LÄN</t>
        </is>
      </c>
      <c r="E486" t="inlineStr">
        <is>
          <t>SALA</t>
        </is>
      </c>
      <c r="F486" t="inlineStr">
        <is>
          <t>Kyrkan</t>
        </is>
      </c>
      <c r="G486" t="n">
        <v>1.3</v>
      </c>
      <c r="H486" t="n">
        <v>0</v>
      </c>
      <c r="I486" t="n">
        <v>0</v>
      </c>
      <c r="J486" t="n">
        <v>0</v>
      </c>
      <c r="K486" t="n">
        <v>0</v>
      </c>
      <c r="L486" t="n">
        <v>0</v>
      </c>
      <c r="M486" t="n">
        <v>0</v>
      </c>
      <c r="N486" t="n">
        <v>0</v>
      </c>
      <c r="O486" t="n">
        <v>0</v>
      </c>
      <c r="P486" t="n">
        <v>0</v>
      </c>
      <c r="Q486" t="n">
        <v>0</v>
      </c>
      <c r="R486" s="2" t="inlineStr"/>
    </row>
    <row r="487" ht="15" customHeight="1">
      <c r="A487" t="inlineStr">
        <is>
          <t>A 9856-2022</t>
        </is>
      </c>
      <c r="B487" s="1" t="n">
        <v>44620</v>
      </c>
      <c r="C487" s="1" t="n">
        <v>45993</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23222-2023</t>
        </is>
      </c>
      <c r="B488" s="1" t="n">
        <v>45075</v>
      </c>
      <c r="C488" s="1" t="n">
        <v>45993</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23224-2023</t>
        </is>
      </c>
      <c r="B489" s="1" t="n">
        <v>45075.65040509259</v>
      </c>
      <c r="C489" s="1" t="n">
        <v>45993</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16159-2024</t>
        </is>
      </c>
      <c r="B490" s="1" t="n">
        <v>45406</v>
      </c>
      <c r="C490" s="1" t="n">
        <v>45993</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50479-2022</t>
        </is>
      </c>
      <c r="B491" s="1" t="n">
        <v>44861</v>
      </c>
      <c r="C491" s="1" t="n">
        <v>45993</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26416-2023</t>
        </is>
      </c>
      <c r="B492" s="1" t="n">
        <v>45092.38087962963</v>
      </c>
      <c r="C492" s="1" t="n">
        <v>45993</v>
      </c>
      <c r="D492" t="inlineStr">
        <is>
          <t>VÄSTMANLANDS LÄN</t>
        </is>
      </c>
      <c r="E492" t="inlineStr">
        <is>
          <t>SALA</t>
        </is>
      </c>
      <c r="G492" t="n">
        <v>2.9</v>
      </c>
      <c r="H492" t="n">
        <v>0</v>
      </c>
      <c r="I492" t="n">
        <v>0</v>
      </c>
      <c r="J492" t="n">
        <v>0</v>
      </c>
      <c r="K492" t="n">
        <v>0</v>
      </c>
      <c r="L492" t="n">
        <v>0</v>
      </c>
      <c r="M492" t="n">
        <v>0</v>
      </c>
      <c r="N492" t="n">
        <v>0</v>
      </c>
      <c r="O492" t="n">
        <v>0</v>
      </c>
      <c r="P492" t="n">
        <v>0</v>
      </c>
      <c r="Q492" t="n">
        <v>0</v>
      </c>
      <c r="R492" s="2" t="inlineStr"/>
    </row>
    <row r="493" ht="15" customHeight="1">
      <c r="A493" t="inlineStr">
        <is>
          <t>A 50241-2023</t>
        </is>
      </c>
      <c r="B493" s="1" t="n">
        <v>45216</v>
      </c>
      <c r="C493" s="1" t="n">
        <v>45993</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3332-2024</t>
        </is>
      </c>
      <c r="B494" s="1" t="n">
        <v>45317</v>
      </c>
      <c r="C494" s="1" t="n">
        <v>45993</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44100-2025</t>
        </is>
      </c>
      <c r="B495" s="1" t="n">
        <v>45915.56707175926</v>
      </c>
      <c r="C495" s="1" t="n">
        <v>45993</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35637-2022</t>
        </is>
      </c>
      <c r="B496" s="1" t="n">
        <v>44799.55194444444</v>
      </c>
      <c r="C496" s="1" t="n">
        <v>45993</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14919-2025</t>
        </is>
      </c>
      <c r="B497" s="1" t="n">
        <v>45743.54256944444</v>
      </c>
      <c r="C497" s="1" t="n">
        <v>45993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14920-2025</t>
        </is>
      </c>
      <c r="B498" s="1" t="n">
        <v>45743</v>
      </c>
      <c r="C498" s="1" t="n">
        <v>45993</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19033-2025</t>
        </is>
      </c>
      <c r="B499" s="1" t="n">
        <v>45764.65796296296</v>
      </c>
      <c r="C499" s="1" t="n">
        <v>45993</v>
      </c>
      <c r="D499" t="inlineStr">
        <is>
          <t>VÄSTMANLANDS LÄN</t>
        </is>
      </c>
      <c r="E499" t="inlineStr">
        <is>
          <t>SALA</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13855-2023</t>
        </is>
      </c>
      <c r="B500" s="1" t="n">
        <v>45007</v>
      </c>
      <c r="C500" s="1" t="n">
        <v>45993</v>
      </c>
      <c r="D500" t="inlineStr">
        <is>
          <t>VÄSTMANLANDS LÄN</t>
        </is>
      </c>
      <c r="E500" t="inlineStr">
        <is>
          <t>SALA</t>
        </is>
      </c>
      <c r="G500" t="n">
        <v>2.9</v>
      </c>
      <c r="H500" t="n">
        <v>0</v>
      </c>
      <c r="I500" t="n">
        <v>0</v>
      </c>
      <c r="J500" t="n">
        <v>0</v>
      </c>
      <c r="K500" t="n">
        <v>0</v>
      </c>
      <c r="L500" t="n">
        <v>0</v>
      </c>
      <c r="M500" t="n">
        <v>0</v>
      </c>
      <c r="N500" t="n">
        <v>0</v>
      </c>
      <c r="O500" t="n">
        <v>0</v>
      </c>
      <c r="P500" t="n">
        <v>0</v>
      </c>
      <c r="Q500" t="n">
        <v>0</v>
      </c>
      <c r="R500" s="2" t="inlineStr"/>
    </row>
    <row r="501" ht="15" customHeight="1">
      <c r="A501" t="inlineStr">
        <is>
          <t>A 26692-2023</t>
        </is>
      </c>
      <c r="B501" s="1" t="n">
        <v>45093.360625</v>
      </c>
      <c r="C501" s="1" t="n">
        <v>45993</v>
      </c>
      <c r="D501" t="inlineStr">
        <is>
          <t>VÄSTMANLANDS LÄN</t>
        </is>
      </c>
      <c r="E501" t="inlineStr">
        <is>
          <t>SALA</t>
        </is>
      </c>
      <c r="G501" t="n">
        <v>1.8</v>
      </c>
      <c r="H501" t="n">
        <v>0</v>
      </c>
      <c r="I501" t="n">
        <v>0</v>
      </c>
      <c r="J501" t="n">
        <v>0</v>
      </c>
      <c r="K501" t="n">
        <v>0</v>
      </c>
      <c r="L501" t="n">
        <v>0</v>
      </c>
      <c r="M501" t="n">
        <v>0</v>
      </c>
      <c r="N501" t="n">
        <v>0</v>
      </c>
      <c r="O501" t="n">
        <v>0</v>
      </c>
      <c r="P501" t="n">
        <v>0</v>
      </c>
      <c r="Q501" t="n">
        <v>0</v>
      </c>
      <c r="R501" s="2" t="inlineStr"/>
    </row>
    <row r="502" ht="15" customHeight="1">
      <c r="A502" t="inlineStr">
        <is>
          <t>A 44486-2025</t>
        </is>
      </c>
      <c r="B502" s="1" t="n">
        <v>45916.65517361111</v>
      </c>
      <c r="C502" s="1" t="n">
        <v>45993</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57883-2024</t>
        </is>
      </c>
      <c r="B503" s="1" t="n">
        <v>45630</v>
      </c>
      <c r="C503" s="1" t="n">
        <v>45993</v>
      </c>
      <c r="D503" t="inlineStr">
        <is>
          <t>VÄSTMANLANDS LÄN</t>
        </is>
      </c>
      <c r="E503" t="inlineStr">
        <is>
          <t>SALA</t>
        </is>
      </c>
      <c r="G503" t="n">
        <v>5.4</v>
      </c>
      <c r="H503" t="n">
        <v>0</v>
      </c>
      <c r="I503" t="n">
        <v>0</v>
      </c>
      <c r="J503" t="n">
        <v>0</v>
      </c>
      <c r="K503" t="n">
        <v>0</v>
      </c>
      <c r="L503" t="n">
        <v>0</v>
      </c>
      <c r="M503" t="n">
        <v>0</v>
      </c>
      <c r="N503" t="n">
        <v>0</v>
      </c>
      <c r="O503" t="n">
        <v>0</v>
      </c>
      <c r="P503" t="n">
        <v>0</v>
      </c>
      <c r="Q503" t="n">
        <v>0</v>
      </c>
      <c r="R503" s="2" t="inlineStr"/>
    </row>
    <row r="504" ht="15" customHeight="1">
      <c r="A504" t="inlineStr">
        <is>
          <t>A 44524-2025</t>
        </is>
      </c>
      <c r="B504" s="1" t="n">
        <v>45916.72920138889</v>
      </c>
      <c r="C504" s="1" t="n">
        <v>45993</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50876-2023</t>
        </is>
      </c>
      <c r="B505" s="1" t="n">
        <v>45211</v>
      </c>
      <c r="C505" s="1" t="n">
        <v>45993</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18877-2023</t>
        </is>
      </c>
      <c r="B506" s="1" t="n">
        <v>45044</v>
      </c>
      <c r="C506" s="1" t="n">
        <v>45993</v>
      </c>
      <c r="D506" t="inlineStr">
        <is>
          <t>VÄSTMANLANDS LÄN</t>
        </is>
      </c>
      <c r="E506" t="inlineStr">
        <is>
          <t>SALA</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55556-2023</t>
        </is>
      </c>
      <c r="B507" s="1" t="n">
        <v>45232</v>
      </c>
      <c r="C507" s="1" t="n">
        <v>45993</v>
      </c>
      <c r="D507" t="inlineStr">
        <is>
          <t>VÄSTMANLANDS LÄN</t>
        </is>
      </c>
      <c r="E507" t="inlineStr">
        <is>
          <t>SALA</t>
        </is>
      </c>
      <c r="G507" t="n">
        <v>1.3</v>
      </c>
      <c r="H507" t="n">
        <v>0</v>
      </c>
      <c r="I507" t="n">
        <v>0</v>
      </c>
      <c r="J507" t="n">
        <v>0</v>
      </c>
      <c r="K507" t="n">
        <v>0</v>
      </c>
      <c r="L507" t="n">
        <v>0</v>
      </c>
      <c r="M507" t="n">
        <v>0</v>
      </c>
      <c r="N507" t="n">
        <v>0</v>
      </c>
      <c r="O507" t="n">
        <v>0</v>
      </c>
      <c r="P507" t="n">
        <v>0</v>
      </c>
      <c r="Q507" t="n">
        <v>0</v>
      </c>
      <c r="R507" s="2" t="inlineStr"/>
    </row>
    <row r="508" ht="15" customHeight="1">
      <c r="A508" t="inlineStr">
        <is>
          <t>A 37624-2024</t>
        </is>
      </c>
      <c r="B508" s="1" t="n">
        <v>45541</v>
      </c>
      <c r="C508" s="1" t="n">
        <v>45993</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45993</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15681-2025</t>
        </is>
      </c>
      <c r="B510" s="1" t="n">
        <v>45748.45454861111</v>
      </c>
      <c r="C510" s="1" t="n">
        <v>45993</v>
      </c>
      <c r="D510" t="inlineStr">
        <is>
          <t>VÄSTMANLANDS LÄN</t>
        </is>
      </c>
      <c r="E510" t="inlineStr">
        <is>
          <t>SALA</t>
        </is>
      </c>
      <c r="F510" t="inlineStr">
        <is>
          <t>Bergvik skog öst AB</t>
        </is>
      </c>
      <c r="G510" t="n">
        <v>4.3</v>
      </c>
      <c r="H510" t="n">
        <v>0</v>
      </c>
      <c r="I510" t="n">
        <v>0</v>
      </c>
      <c r="J510" t="n">
        <v>0</v>
      </c>
      <c r="K510" t="n">
        <v>0</v>
      </c>
      <c r="L510" t="n">
        <v>0</v>
      </c>
      <c r="M510" t="n">
        <v>0</v>
      </c>
      <c r="N510" t="n">
        <v>0</v>
      </c>
      <c r="O510" t="n">
        <v>0</v>
      </c>
      <c r="P510" t="n">
        <v>0</v>
      </c>
      <c r="Q510" t="n">
        <v>0</v>
      </c>
      <c r="R510" s="2" t="inlineStr"/>
    </row>
    <row r="511" ht="15" customHeight="1">
      <c r="A511" t="inlineStr">
        <is>
          <t>A 40398-2021</t>
        </is>
      </c>
      <c r="B511" s="1" t="n">
        <v>44419</v>
      </c>
      <c r="C511" s="1" t="n">
        <v>45993</v>
      </c>
      <c r="D511" t="inlineStr">
        <is>
          <t>VÄSTMANLANDS LÄN</t>
        </is>
      </c>
      <c r="E511" t="inlineStr">
        <is>
          <t>SALA</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6351-2023</t>
        </is>
      </c>
      <c r="B512" s="1" t="n">
        <v>44965</v>
      </c>
      <c r="C512" s="1" t="n">
        <v>45993</v>
      </c>
      <c r="D512" t="inlineStr">
        <is>
          <t>VÄSTMANLANDS LÄN</t>
        </is>
      </c>
      <c r="E512" t="inlineStr">
        <is>
          <t>SALA</t>
        </is>
      </c>
      <c r="F512" t="inlineStr">
        <is>
          <t>Kommuner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43122-2025</t>
        </is>
      </c>
      <c r="B513" s="1" t="n">
        <v>45909</v>
      </c>
      <c r="C513" s="1" t="n">
        <v>45993</v>
      </c>
      <c r="D513" t="inlineStr">
        <is>
          <t>VÄSTMANLANDS LÄN</t>
        </is>
      </c>
      <c r="E513" t="inlineStr">
        <is>
          <t>SALA</t>
        </is>
      </c>
      <c r="G513" t="n">
        <v>3.2</v>
      </c>
      <c r="H513" t="n">
        <v>0</v>
      </c>
      <c r="I513" t="n">
        <v>0</v>
      </c>
      <c r="J513" t="n">
        <v>0</v>
      </c>
      <c r="K513" t="n">
        <v>0</v>
      </c>
      <c r="L513" t="n">
        <v>0</v>
      </c>
      <c r="M513" t="n">
        <v>0</v>
      </c>
      <c r="N513" t="n">
        <v>0</v>
      </c>
      <c r="O513" t="n">
        <v>0</v>
      </c>
      <c r="P513" t="n">
        <v>0</v>
      </c>
      <c r="Q513" t="n">
        <v>0</v>
      </c>
      <c r="R513" s="2" t="inlineStr"/>
    </row>
    <row r="514" ht="15" customHeight="1">
      <c r="A514" t="inlineStr">
        <is>
          <t>A 13752-2025</t>
        </is>
      </c>
      <c r="B514" s="1" t="n">
        <v>45737.41416666667</v>
      </c>
      <c r="C514" s="1" t="n">
        <v>45993</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27262-2024</t>
        </is>
      </c>
      <c r="B515" s="1" t="n">
        <v>45471</v>
      </c>
      <c r="C515" s="1" t="n">
        <v>45993</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53725-2025</t>
        </is>
      </c>
      <c r="B516" s="1" t="n">
        <v>45960.63394675926</v>
      </c>
      <c r="C516" s="1" t="n">
        <v>45993</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15584-2021</t>
        </is>
      </c>
      <c r="B517" s="1" t="n">
        <v>44285</v>
      </c>
      <c r="C517" s="1" t="n">
        <v>45993</v>
      </c>
      <c r="D517" t="inlineStr">
        <is>
          <t>VÄSTMANLANDS LÄN</t>
        </is>
      </c>
      <c r="E517" t="inlineStr">
        <is>
          <t>SALA</t>
        </is>
      </c>
      <c r="G517" t="n">
        <v>3.4</v>
      </c>
      <c r="H517" t="n">
        <v>0</v>
      </c>
      <c r="I517" t="n">
        <v>0</v>
      </c>
      <c r="J517" t="n">
        <v>0</v>
      </c>
      <c r="K517" t="n">
        <v>0</v>
      </c>
      <c r="L517" t="n">
        <v>0</v>
      </c>
      <c r="M517" t="n">
        <v>0</v>
      </c>
      <c r="N517" t="n">
        <v>0</v>
      </c>
      <c r="O517" t="n">
        <v>0</v>
      </c>
      <c r="P517" t="n">
        <v>0</v>
      </c>
      <c r="Q517" t="n">
        <v>0</v>
      </c>
      <c r="R517" s="2" t="inlineStr"/>
    </row>
    <row r="518" ht="15" customHeight="1">
      <c r="A518" t="inlineStr">
        <is>
          <t>A 23119-2022</t>
        </is>
      </c>
      <c r="B518" s="1" t="n">
        <v>44719.56697916667</v>
      </c>
      <c r="C518" s="1" t="n">
        <v>45993</v>
      </c>
      <c r="D518" t="inlineStr">
        <is>
          <t>VÄSTMANLANDS LÄN</t>
        </is>
      </c>
      <c r="E518" t="inlineStr">
        <is>
          <t>SALA</t>
        </is>
      </c>
      <c r="G518" t="n">
        <v>7</v>
      </c>
      <c r="H518" t="n">
        <v>0</v>
      </c>
      <c r="I518" t="n">
        <v>0</v>
      </c>
      <c r="J518" t="n">
        <v>0</v>
      </c>
      <c r="K518" t="n">
        <v>0</v>
      </c>
      <c r="L518" t="n">
        <v>0</v>
      </c>
      <c r="M518" t="n">
        <v>0</v>
      </c>
      <c r="N518" t="n">
        <v>0</v>
      </c>
      <c r="O518" t="n">
        <v>0</v>
      </c>
      <c r="P518" t="n">
        <v>0</v>
      </c>
      <c r="Q518" t="n">
        <v>0</v>
      </c>
      <c r="R518" s="2" t="inlineStr"/>
    </row>
    <row r="519" ht="15" customHeight="1">
      <c r="A519" t="inlineStr">
        <is>
          <t>A 19398-2025</t>
        </is>
      </c>
      <c r="B519" s="1" t="n">
        <v>45769</v>
      </c>
      <c r="C519" s="1" t="n">
        <v>45993</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43751-2021</t>
        </is>
      </c>
      <c r="B520" s="1" t="n">
        <v>44433</v>
      </c>
      <c r="C520" s="1" t="n">
        <v>45993</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59483-2022</t>
        </is>
      </c>
      <c r="B521" s="1" t="n">
        <v>44907.45679398148</v>
      </c>
      <c r="C521" s="1" t="n">
        <v>45993</v>
      </c>
      <c r="D521" t="inlineStr">
        <is>
          <t>VÄSTMANLANDS LÄN</t>
        </is>
      </c>
      <c r="E521" t="inlineStr">
        <is>
          <t>SALA</t>
        </is>
      </c>
      <c r="G521" t="n">
        <v>5.2</v>
      </c>
      <c r="H521" t="n">
        <v>0</v>
      </c>
      <c r="I521" t="n">
        <v>0</v>
      </c>
      <c r="J521" t="n">
        <v>0</v>
      </c>
      <c r="K521" t="n">
        <v>0</v>
      </c>
      <c r="L521" t="n">
        <v>0</v>
      </c>
      <c r="M521" t="n">
        <v>0</v>
      </c>
      <c r="N521" t="n">
        <v>0</v>
      </c>
      <c r="O521" t="n">
        <v>0</v>
      </c>
      <c r="P521" t="n">
        <v>0</v>
      </c>
      <c r="Q521" t="n">
        <v>0</v>
      </c>
      <c r="R521" s="2" t="inlineStr"/>
    </row>
    <row r="522" ht="15" customHeight="1">
      <c r="A522" t="inlineStr">
        <is>
          <t>A 53724-2025</t>
        </is>
      </c>
      <c r="B522" s="1" t="n">
        <v>45960.63174768518</v>
      </c>
      <c r="C522" s="1" t="n">
        <v>45993</v>
      </c>
      <c r="D522" t="inlineStr">
        <is>
          <t>VÄSTMANLANDS LÄN</t>
        </is>
      </c>
      <c r="E522" t="inlineStr">
        <is>
          <t>SALA</t>
        </is>
      </c>
      <c r="G522" t="n">
        <v>2.8</v>
      </c>
      <c r="H522" t="n">
        <v>0</v>
      </c>
      <c r="I522" t="n">
        <v>0</v>
      </c>
      <c r="J522" t="n">
        <v>0</v>
      </c>
      <c r="K522" t="n">
        <v>0</v>
      </c>
      <c r="L522" t="n">
        <v>0</v>
      </c>
      <c r="M522" t="n">
        <v>0</v>
      </c>
      <c r="N522" t="n">
        <v>0</v>
      </c>
      <c r="O522" t="n">
        <v>0</v>
      </c>
      <c r="P522" t="n">
        <v>0</v>
      </c>
      <c r="Q522" t="n">
        <v>0</v>
      </c>
      <c r="R522" s="2" t="inlineStr"/>
    </row>
    <row r="523" ht="15" customHeight="1">
      <c r="A523" t="inlineStr">
        <is>
          <t>A 73673-2021</t>
        </is>
      </c>
      <c r="B523" s="1" t="n">
        <v>44552.46501157407</v>
      </c>
      <c r="C523" s="1" t="n">
        <v>45993</v>
      </c>
      <c r="D523" t="inlineStr">
        <is>
          <t>VÄSTMANLANDS LÄN</t>
        </is>
      </c>
      <c r="E523" t="inlineStr">
        <is>
          <t>SALA</t>
        </is>
      </c>
      <c r="G523" t="n">
        <v>11.4</v>
      </c>
      <c r="H523" t="n">
        <v>0</v>
      </c>
      <c r="I523" t="n">
        <v>0</v>
      </c>
      <c r="J523" t="n">
        <v>0</v>
      </c>
      <c r="K523" t="n">
        <v>0</v>
      </c>
      <c r="L523" t="n">
        <v>0</v>
      </c>
      <c r="M523" t="n">
        <v>0</v>
      </c>
      <c r="N523" t="n">
        <v>0</v>
      </c>
      <c r="O523" t="n">
        <v>0</v>
      </c>
      <c r="P523" t="n">
        <v>0</v>
      </c>
      <c r="Q523" t="n">
        <v>0</v>
      </c>
      <c r="R523" s="2" t="inlineStr"/>
    </row>
    <row r="524" ht="15" customHeight="1">
      <c r="A524" t="inlineStr">
        <is>
          <t>A 22921-2023</t>
        </is>
      </c>
      <c r="B524" s="1" t="n">
        <v>45070</v>
      </c>
      <c r="C524" s="1" t="n">
        <v>45993</v>
      </c>
      <c r="D524" t="inlineStr">
        <is>
          <t>VÄSTMANLANDS LÄN</t>
        </is>
      </c>
      <c r="E524" t="inlineStr">
        <is>
          <t>SALA</t>
        </is>
      </c>
      <c r="G524" t="n">
        <v>1.3</v>
      </c>
      <c r="H524" t="n">
        <v>0</v>
      </c>
      <c r="I524" t="n">
        <v>0</v>
      </c>
      <c r="J524" t="n">
        <v>0</v>
      </c>
      <c r="K524" t="n">
        <v>0</v>
      </c>
      <c r="L524" t="n">
        <v>0</v>
      </c>
      <c r="M524" t="n">
        <v>0</v>
      </c>
      <c r="N524" t="n">
        <v>0</v>
      </c>
      <c r="O524" t="n">
        <v>0</v>
      </c>
      <c r="P524" t="n">
        <v>0</v>
      </c>
      <c r="Q524" t="n">
        <v>0</v>
      </c>
      <c r="R524" s="2" t="inlineStr"/>
    </row>
    <row r="525" ht="15" customHeight="1">
      <c r="A525" t="inlineStr">
        <is>
          <t>A 4853-2023</t>
        </is>
      </c>
      <c r="B525" s="1" t="n">
        <v>44957.73234953704</v>
      </c>
      <c r="C525" s="1" t="n">
        <v>45993</v>
      </c>
      <c r="D525" t="inlineStr">
        <is>
          <t>VÄSTMANLANDS LÄN</t>
        </is>
      </c>
      <c r="E525" t="inlineStr">
        <is>
          <t>SALA</t>
        </is>
      </c>
      <c r="G525" t="n">
        <v>2.7</v>
      </c>
      <c r="H525" t="n">
        <v>0</v>
      </c>
      <c r="I525" t="n">
        <v>0</v>
      </c>
      <c r="J525" t="n">
        <v>0</v>
      </c>
      <c r="K525" t="n">
        <v>0</v>
      </c>
      <c r="L525" t="n">
        <v>0</v>
      </c>
      <c r="M525" t="n">
        <v>0</v>
      </c>
      <c r="N525" t="n">
        <v>0</v>
      </c>
      <c r="O525" t="n">
        <v>0</v>
      </c>
      <c r="P525" t="n">
        <v>0</v>
      </c>
      <c r="Q525" t="n">
        <v>0</v>
      </c>
      <c r="R525" s="2" t="inlineStr"/>
    </row>
    <row r="526" ht="15" customHeight="1">
      <c r="A526" t="inlineStr">
        <is>
          <t>A 16133-2025</t>
        </is>
      </c>
      <c r="B526" s="1" t="n">
        <v>45750</v>
      </c>
      <c r="C526" s="1" t="n">
        <v>45993</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1993-2022</t>
        </is>
      </c>
      <c r="B527" s="1" t="n">
        <v>44575</v>
      </c>
      <c r="C527" s="1" t="n">
        <v>45993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53744-2025</t>
        </is>
      </c>
      <c r="B528" s="1" t="n">
        <v>45960.64863425926</v>
      </c>
      <c r="C528" s="1" t="n">
        <v>45993</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6127-2025</t>
        </is>
      </c>
      <c r="B529" s="1" t="n">
        <v>45698</v>
      </c>
      <c r="C529" s="1" t="n">
        <v>45993</v>
      </c>
      <c r="D529" t="inlineStr">
        <is>
          <t>VÄSTMANLANDS LÄN</t>
        </is>
      </c>
      <c r="E529" t="inlineStr">
        <is>
          <t>SALA</t>
        </is>
      </c>
      <c r="F529" t="inlineStr">
        <is>
          <t>Bergvik skog öst AB</t>
        </is>
      </c>
      <c r="G529" t="n">
        <v>4.3</v>
      </c>
      <c r="H529" t="n">
        <v>0</v>
      </c>
      <c r="I529" t="n">
        <v>0</v>
      </c>
      <c r="J529" t="n">
        <v>0</v>
      </c>
      <c r="K529" t="n">
        <v>0</v>
      </c>
      <c r="L529" t="n">
        <v>0</v>
      </c>
      <c r="M529" t="n">
        <v>0</v>
      </c>
      <c r="N529" t="n">
        <v>0</v>
      </c>
      <c r="O529" t="n">
        <v>0</v>
      </c>
      <c r="P529" t="n">
        <v>0</v>
      </c>
      <c r="Q529" t="n">
        <v>0</v>
      </c>
      <c r="R529" s="2" t="inlineStr"/>
    </row>
    <row r="530" ht="15" customHeight="1">
      <c r="A530" t="inlineStr">
        <is>
          <t>A 15272-2025</t>
        </is>
      </c>
      <c r="B530" s="1" t="n">
        <v>45744</v>
      </c>
      <c r="C530" s="1" t="n">
        <v>45993</v>
      </c>
      <c r="D530" t="inlineStr">
        <is>
          <t>VÄSTMANLANDS LÄN</t>
        </is>
      </c>
      <c r="E530" t="inlineStr">
        <is>
          <t>SALA</t>
        </is>
      </c>
      <c r="G530" t="n">
        <v>0.7</v>
      </c>
      <c r="H530" t="n">
        <v>0</v>
      </c>
      <c r="I530" t="n">
        <v>0</v>
      </c>
      <c r="J530" t="n">
        <v>0</v>
      </c>
      <c r="K530" t="n">
        <v>0</v>
      </c>
      <c r="L530" t="n">
        <v>0</v>
      </c>
      <c r="M530" t="n">
        <v>0</v>
      </c>
      <c r="N530" t="n">
        <v>0</v>
      </c>
      <c r="O530" t="n">
        <v>0</v>
      </c>
      <c r="P530" t="n">
        <v>0</v>
      </c>
      <c r="Q530" t="n">
        <v>0</v>
      </c>
      <c r="R530" s="2" t="inlineStr"/>
    </row>
    <row r="531" ht="15" customHeight="1">
      <c r="A531" t="inlineStr">
        <is>
          <t>A 2925-2024</t>
        </is>
      </c>
      <c r="B531" s="1" t="n">
        <v>45315.58909722222</v>
      </c>
      <c r="C531" s="1" t="n">
        <v>45993</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44746-2024</t>
        </is>
      </c>
      <c r="B532" s="1" t="n">
        <v>45574.59813657407</v>
      </c>
      <c r="C532" s="1" t="n">
        <v>45993</v>
      </c>
      <c r="D532" t="inlineStr">
        <is>
          <t>VÄSTMANLANDS LÄN</t>
        </is>
      </c>
      <c r="E532" t="inlineStr">
        <is>
          <t>SALA</t>
        </is>
      </c>
      <c r="G532" t="n">
        <v>6.7</v>
      </c>
      <c r="H532" t="n">
        <v>0</v>
      </c>
      <c r="I532" t="n">
        <v>0</v>
      </c>
      <c r="J532" t="n">
        <v>0</v>
      </c>
      <c r="K532" t="n">
        <v>0</v>
      </c>
      <c r="L532" t="n">
        <v>0</v>
      </c>
      <c r="M532" t="n">
        <v>0</v>
      </c>
      <c r="N532" t="n">
        <v>0</v>
      </c>
      <c r="O532" t="n">
        <v>0</v>
      </c>
      <c r="P532" t="n">
        <v>0</v>
      </c>
      <c r="Q532" t="n">
        <v>0</v>
      </c>
      <c r="R532" s="2" t="inlineStr"/>
    </row>
    <row r="533" ht="15" customHeight="1">
      <c r="A533" t="inlineStr">
        <is>
          <t>A 44713-2023</t>
        </is>
      </c>
      <c r="B533" s="1" t="n">
        <v>45184</v>
      </c>
      <c r="C533" s="1" t="n">
        <v>45993</v>
      </c>
      <c r="D533" t="inlineStr">
        <is>
          <t>VÄSTMANLANDS LÄN</t>
        </is>
      </c>
      <c r="E533" t="inlineStr">
        <is>
          <t>SALA</t>
        </is>
      </c>
      <c r="F533" t="inlineStr">
        <is>
          <t>Kyrkan</t>
        </is>
      </c>
      <c r="G533" t="n">
        <v>7.6</v>
      </c>
      <c r="H533" t="n">
        <v>0</v>
      </c>
      <c r="I533" t="n">
        <v>0</v>
      </c>
      <c r="J533" t="n">
        <v>0</v>
      </c>
      <c r="K533" t="n">
        <v>0</v>
      </c>
      <c r="L533" t="n">
        <v>0</v>
      </c>
      <c r="M533" t="n">
        <v>0</v>
      </c>
      <c r="N533" t="n">
        <v>0</v>
      </c>
      <c r="O533" t="n">
        <v>0</v>
      </c>
      <c r="P533" t="n">
        <v>0</v>
      </c>
      <c r="Q533" t="n">
        <v>0</v>
      </c>
      <c r="R533" s="2" t="inlineStr"/>
    </row>
    <row r="534" ht="15" customHeight="1">
      <c r="A534" t="inlineStr">
        <is>
          <t>A 1793-2023</t>
        </is>
      </c>
      <c r="B534" s="1" t="n">
        <v>44937</v>
      </c>
      <c r="C534" s="1" t="n">
        <v>45993</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23431-2024</t>
        </is>
      </c>
      <c r="B535" s="1" t="n">
        <v>45453</v>
      </c>
      <c r="C535" s="1" t="n">
        <v>45993</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24248-2023</t>
        </is>
      </c>
      <c r="B536" s="1" t="n">
        <v>45079</v>
      </c>
      <c r="C536" s="1" t="n">
        <v>45993</v>
      </c>
      <c r="D536" t="inlineStr">
        <is>
          <t>VÄSTMANLANDS LÄN</t>
        </is>
      </c>
      <c r="E536" t="inlineStr">
        <is>
          <t>SALA</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38195-2021</t>
        </is>
      </c>
      <c r="B537" s="1" t="n">
        <v>44405</v>
      </c>
      <c r="C537" s="1" t="n">
        <v>45993</v>
      </c>
      <c r="D537" t="inlineStr">
        <is>
          <t>VÄSTMANLANDS LÄN</t>
        </is>
      </c>
      <c r="E537" t="inlineStr">
        <is>
          <t>SALA</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27228-2023</t>
        </is>
      </c>
      <c r="B538" s="1" t="n">
        <v>45096.59189814814</v>
      </c>
      <c r="C538" s="1" t="n">
        <v>45993</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45371-2025</t>
        </is>
      </c>
      <c r="B539" s="1" t="n">
        <v>45922.39001157408</v>
      </c>
      <c r="C539" s="1" t="n">
        <v>45993</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54201-2025</t>
        </is>
      </c>
      <c r="B540" s="1" t="n">
        <v>45964.58055555556</v>
      </c>
      <c r="C540" s="1" t="n">
        <v>45993</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45993</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45177-2025</t>
        </is>
      </c>
      <c r="B542" s="1" t="n">
        <v>45919.52444444445</v>
      </c>
      <c r="C542" s="1" t="n">
        <v>45993</v>
      </c>
      <c r="D542" t="inlineStr">
        <is>
          <t>VÄSTMANLANDS LÄN</t>
        </is>
      </c>
      <c r="E542" t="inlineStr">
        <is>
          <t>SALA</t>
        </is>
      </c>
      <c r="G542" t="n">
        <v>2.4</v>
      </c>
      <c r="H542" t="n">
        <v>0</v>
      </c>
      <c r="I542" t="n">
        <v>0</v>
      </c>
      <c r="J542" t="n">
        <v>0</v>
      </c>
      <c r="K542" t="n">
        <v>0</v>
      </c>
      <c r="L542" t="n">
        <v>0</v>
      </c>
      <c r="M542" t="n">
        <v>0</v>
      </c>
      <c r="N542" t="n">
        <v>0</v>
      </c>
      <c r="O542" t="n">
        <v>0</v>
      </c>
      <c r="P542" t="n">
        <v>0</v>
      </c>
      <c r="Q542" t="n">
        <v>0</v>
      </c>
      <c r="R542" s="2" t="inlineStr"/>
    </row>
    <row r="543" ht="15" customHeight="1">
      <c r="A543" t="inlineStr">
        <is>
          <t>A 53838-2022</t>
        </is>
      </c>
      <c r="B543" s="1" t="n">
        <v>44880.59363425926</v>
      </c>
      <c r="C543" s="1" t="n">
        <v>45993</v>
      </c>
      <c r="D543" t="inlineStr">
        <is>
          <t>VÄSTMANLANDS LÄN</t>
        </is>
      </c>
      <c r="E543" t="inlineStr">
        <is>
          <t>SALA</t>
        </is>
      </c>
      <c r="G543" t="n">
        <v>3.9</v>
      </c>
      <c r="H543" t="n">
        <v>0</v>
      </c>
      <c r="I543" t="n">
        <v>0</v>
      </c>
      <c r="J543" t="n">
        <v>0</v>
      </c>
      <c r="K543" t="n">
        <v>0</v>
      </c>
      <c r="L543" t="n">
        <v>0</v>
      </c>
      <c r="M543" t="n">
        <v>0</v>
      </c>
      <c r="N543" t="n">
        <v>0</v>
      </c>
      <c r="O543" t="n">
        <v>0</v>
      </c>
      <c r="P543" t="n">
        <v>0</v>
      </c>
      <c r="Q543" t="n">
        <v>0</v>
      </c>
      <c r="R543" s="2" t="inlineStr"/>
    </row>
    <row r="544" ht="15" customHeight="1">
      <c r="A544" t="inlineStr">
        <is>
          <t>A 11183-2023</t>
        </is>
      </c>
      <c r="B544" s="1" t="n">
        <v>44992.57782407408</v>
      </c>
      <c r="C544" s="1" t="n">
        <v>45993</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11190-2023</t>
        </is>
      </c>
      <c r="B545" s="1" t="n">
        <v>44992</v>
      </c>
      <c r="C545" s="1" t="n">
        <v>45993</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31950-2023</t>
        </is>
      </c>
      <c r="B546" s="1" t="n">
        <v>45107</v>
      </c>
      <c r="C546" s="1" t="n">
        <v>45993</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21168-2025</t>
        </is>
      </c>
      <c r="B547" s="1" t="n">
        <v>45777</v>
      </c>
      <c r="C547" s="1" t="n">
        <v>45993</v>
      </c>
      <c r="D547" t="inlineStr">
        <is>
          <t>VÄSTMANLANDS LÄN</t>
        </is>
      </c>
      <c r="E547" t="inlineStr">
        <is>
          <t>SALA</t>
        </is>
      </c>
      <c r="G547" t="n">
        <v>4.5</v>
      </c>
      <c r="H547" t="n">
        <v>0</v>
      </c>
      <c r="I547" t="n">
        <v>0</v>
      </c>
      <c r="J547" t="n">
        <v>0</v>
      </c>
      <c r="K547" t="n">
        <v>0</v>
      </c>
      <c r="L547" t="n">
        <v>0</v>
      </c>
      <c r="M547" t="n">
        <v>0</v>
      </c>
      <c r="N547" t="n">
        <v>0</v>
      </c>
      <c r="O547" t="n">
        <v>0</v>
      </c>
      <c r="P547" t="n">
        <v>0</v>
      </c>
      <c r="Q547" t="n">
        <v>0</v>
      </c>
      <c r="R547" s="2" t="inlineStr"/>
    </row>
    <row r="548" ht="15" customHeight="1">
      <c r="A548" t="inlineStr">
        <is>
          <t>A 25260-2023</t>
        </is>
      </c>
      <c r="B548" s="1" t="n">
        <v>45086</v>
      </c>
      <c r="C548" s="1" t="n">
        <v>45993</v>
      </c>
      <c r="D548" t="inlineStr">
        <is>
          <t>VÄSTMANLANDS LÄN</t>
        </is>
      </c>
      <c r="E548" t="inlineStr">
        <is>
          <t>SALA</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48710-2024</t>
        </is>
      </c>
      <c r="B549" s="1" t="n">
        <v>45593.53636574074</v>
      </c>
      <c r="C549" s="1" t="n">
        <v>45993</v>
      </c>
      <c r="D549" t="inlineStr">
        <is>
          <t>VÄSTMANLANDS LÄN</t>
        </is>
      </c>
      <c r="E549" t="inlineStr">
        <is>
          <t>SALA</t>
        </is>
      </c>
      <c r="G549" t="n">
        <v>6.5</v>
      </c>
      <c r="H549" t="n">
        <v>0</v>
      </c>
      <c r="I549" t="n">
        <v>0</v>
      </c>
      <c r="J549" t="n">
        <v>0</v>
      </c>
      <c r="K549" t="n">
        <v>0</v>
      </c>
      <c r="L549" t="n">
        <v>0</v>
      </c>
      <c r="M549" t="n">
        <v>0</v>
      </c>
      <c r="N549" t="n">
        <v>0</v>
      </c>
      <c r="O549" t="n">
        <v>0</v>
      </c>
      <c r="P549" t="n">
        <v>0</v>
      </c>
      <c r="Q549" t="n">
        <v>0</v>
      </c>
      <c r="R549" s="2" t="inlineStr"/>
    </row>
    <row r="550" ht="15" customHeight="1">
      <c r="A550" t="inlineStr">
        <is>
          <t>A 54590-2025</t>
        </is>
      </c>
      <c r="B550" s="1" t="n">
        <v>45965.74199074074</v>
      </c>
      <c r="C550" s="1" t="n">
        <v>45993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23406-2024</t>
        </is>
      </c>
      <c r="B551" s="1" t="n">
        <v>45453.58296296297</v>
      </c>
      <c r="C551" s="1" t="n">
        <v>45993</v>
      </c>
      <c r="D551" t="inlineStr">
        <is>
          <t>VÄSTMANLANDS LÄN</t>
        </is>
      </c>
      <c r="E551" t="inlineStr">
        <is>
          <t>SALA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12246-2023</t>
        </is>
      </c>
      <c r="B552" s="1" t="n">
        <v>44995</v>
      </c>
      <c r="C552" s="1" t="n">
        <v>45993</v>
      </c>
      <c r="D552" t="inlineStr">
        <is>
          <t>VÄSTMANLANDS LÄN</t>
        </is>
      </c>
      <c r="E552" t="inlineStr">
        <is>
          <t>SALA</t>
        </is>
      </c>
      <c r="G552" t="n">
        <v>2.4</v>
      </c>
      <c r="H552" t="n">
        <v>0</v>
      </c>
      <c r="I552" t="n">
        <v>0</v>
      </c>
      <c r="J552" t="n">
        <v>0</v>
      </c>
      <c r="K552" t="n">
        <v>0</v>
      </c>
      <c r="L552" t="n">
        <v>0</v>
      </c>
      <c r="M552" t="n">
        <v>0</v>
      </c>
      <c r="N552" t="n">
        <v>0</v>
      </c>
      <c r="O552" t="n">
        <v>0</v>
      </c>
      <c r="P552" t="n">
        <v>0</v>
      </c>
      <c r="Q552" t="n">
        <v>0</v>
      </c>
      <c r="R552" s="2" t="inlineStr"/>
    </row>
    <row r="553" ht="15" customHeight="1">
      <c r="A553" t="inlineStr">
        <is>
          <t>A 16769-2024</t>
        </is>
      </c>
      <c r="B553" s="1" t="n">
        <v>45411.38738425926</v>
      </c>
      <c r="C553" s="1" t="n">
        <v>45993</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48571-2024</t>
        </is>
      </c>
      <c r="B554" s="1" t="n">
        <v>45591</v>
      </c>
      <c r="C554" s="1" t="n">
        <v>45993</v>
      </c>
      <c r="D554" t="inlineStr">
        <is>
          <t>VÄSTMANLANDS LÄN</t>
        </is>
      </c>
      <c r="E554" t="inlineStr">
        <is>
          <t>SALA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60249-2023</t>
        </is>
      </c>
      <c r="B555" s="1" t="n">
        <v>45258</v>
      </c>
      <c r="C555" s="1" t="n">
        <v>45993</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43362-2023</t>
        </is>
      </c>
      <c r="B556" s="1" t="n">
        <v>45183</v>
      </c>
      <c r="C556" s="1" t="n">
        <v>45993</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14271-2025</t>
        </is>
      </c>
      <c r="B557" s="1" t="n">
        <v>45740.64129629629</v>
      </c>
      <c r="C557" s="1" t="n">
        <v>45993</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69232-2021</t>
        </is>
      </c>
      <c r="B558" s="1" t="n">
        <v>44531.39696759259</v>
      </c>
      <c r="C558" s="1" t="n">
        <v>45993</v>
      </c>
      <c r="D558" t="inlineStr">
        <is>
          <t>VÄSTMANLANDS LÄN</t>
        </is>
      </c>
      <c r="E558" t="inlineStr">
        <is>
          <t>SALA</t>
        </is>
      </c>
      <c r="G558" t="n">
        <v>2.3</v>
      </c>
      <c r="H558" t="n">
        <v>0</v>
      </c>
      <c r="I558" t="n">
        <v>0</v>
      </c>
      <c r="J558" t="n">
        <v>0</v>
      </c>
      <c r="K558" t="n">
        <v>0</v>
      </c>
      <c r="L558" t="n">
        <v>0</v>
      </c>
      <c r="M558" t="n">
        <v>0</v>
      </c>
      <c r="N558" t="n">
        <v>0</v>
      </c>
      <c r="O558" t="n">
        <v>0</v>
      </c>
      <c r="P558" t="n">
        <v>0</v>
      </c>
      <c r="Q558" t="n">
        <v>0</v>
      </c>
      <c r="R558" s="2" t="inlineStr"/>
    </row>
    <row r="559" ht="15" customHeight="1">
      <c r="A559" t="inlineStr">
        <is>
          <t>A 45914-2025</t>
        </is>
      </c>
      <c r="B559" s="1" t="n">
        <v>45923.82582175926</v>
      </c>
      <c r="C559" s="1" t="n">
        <v>45993</v>
      </c>
      <c r="D559" t="inlineStr">
        <is>
          <t>VÄSTMANLANDS LÄN</t>
        </is>
      </c>
      <c r="E559" t="inlineStr">
        <is>
          <t>SALA</t>
        </is>
      </c>
      <c r="F559" t="inlineStr">
        <is>
          <t>Kommuner</t>
        </is>
      </c>
      <c r="G559" t="n">
        <v>18.2</v>
      </c>
      <c r="H559" t="n">
        <v>0</v>
      </c>
      <c r="I559" t="n">
        <v>0</v>
      </c>
      <c r="J559" t="n">
        <v>0</v>
      </c>
      <c r="K559" t="n">
        <v>0</v>
      </c>
      <c r="L559" t="n">
        <v>0</v>
      </c>
      <c r="M559" t="n">
        <v>0</v>
      </c>
      <c r="N559" t="n">
        <v>0</v>
      </c>
      <c r="O559" t="n">
        <v>0</v>
      </c>
      <c r="P559" t="n">
        <v>0</v>
      </c>
      <c r="Q559" t="n">
        <v>0</v>
      </c>
      <c r="R559" s="2" t="inlineStr"/>
    </row>
    <row r="560" ht="15" customHeight="1">
      <c r="A560" t="inlineStr">
        <is>
          <t>A 45909-2025</t>
        </is>
      </c>
      <c r="B560" s="1" t="n">
        <v>45923.75078703704</v>
      </c>
      <c r="C560" s="1" t="n">
        <v>45993</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16767-2024</t>
        </is>
      </c>
      <c r="B561" s="1" t="n">
        <v>45411.38171296296</v>
      </c>
      <c r="C561" s="1" t="n">
        <v>45993</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28328-2023</t>
        </is>
      </c>
      <c r="B562" s="1" t="n">
        <v>45099.71063657408</v>
      </c>
      <c r="C562" s="1" t="n">
        <v>45993</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54344-2025</t>
        </is>
      </c>
      <c r="B563" s="1" t="n">
        <v>45965.36462962963</v>
      </c>
      <c r="C563" s="1" t="n">
        <v>45993</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40085-2024</t>
        </is>
      </c>
      <c r="B564" s="1" t="n">
        <v>45554</v>
      </c>
      <c r="C564" s="1" t="n">
        <v>45993</v>
      </c>
      <c r="D564" t="inlineStr">
        <is>
          <t>VÄSTMANLANDS LÄN</t>
        </is>
      </c>
      <c r="E564" t="inlineStr">
        <is>
          <t>SALA</t>
        </is>
      </c>
      <c r="G564" t="n">
        <v>2.8</v>
      </c>
      <c r="H564" t="n">
        <v>0</v>
      </c>
      <c r="I564" t="n">
        <v>0</v>
      </c>
      <c r="J564" t="n">
        <v>0</v>
      </c>
      <c r="K564" t="n">
        <v>0</v>
      </c>
      <c r="L564" t="n">
        <v>0</v>
      </c>
      <c r="M564" t="n">
        <v>0</v>
      </c>
      <c r="N564" t="n">
        <v>0</v>
      </c>
      <c r="O564" t="n">
        <v>0</v>
      </c>
      <c r="P564" t="n">
        <v>0</v>
      </c>
      <c r="Q564" t="n">
        <v>0</v>
      </c>
      <c r="R564" s="2" t="inlineStr"/>
    </row>
    <row r="565" ht="15" customHeight="1">
      <c r="A565" t="inlineStr">
        <is>
          <t>A 31470-2021</t>
        </is>
      </c>
      <c r="B565" s="1" t="n">
        <v>44369</v>
      </c>
      <c r="C565" s="1" t="n">
        <v>45993</v>
      </c>
      <c r="D565" t="inlineStr">
        <is>
          <t>VÄSTMANLANDS LÄN</t>
        </is>
      </c>
      <c r="E565" t="inlineStr">
        <is>
          <t>SALA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18461-2024</t>
        </is>
      </c>
      <c r="B566" s="1" t="n">
        <v>45425.47435185185</v>
      </c>
      <c r="C566" s="1" t="n">
        <v>45993</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46597-2025</t>
        </is>
      </c>
      <c r="B567" s="1" t="n">
        <v>45926.40113425926</v>
      </c>
      <c r="C567" s="1" t="n">
        <v>45993</v>
      </c>
      <c r="D567" t="inlineStr">
        <is>
          <t>VÄSTMANLANDS LÄN</t>
        </is>
      </c>
      <c r="E567" t="inlineStr">
        <is>
          <t>SALA</t>
        </is>
      </c>
      <c r="G567" t="n">
        <v>3.4</v>
      </c>
      <c r="H567" t="n">
        <v>0</v>
      </c>
      <c r="I567" t="n">
        <v>0</v>
      </c>
      <c r="J567" t="n">
        <v>0</v>
      </c>
      <c r="K567" t="n">
        <v>0</v>
      </c>
      <c r="L567" t="n">
        <v>0</v>
      </c>
      <c r="M567" t="n">
        <v>0</v>
      </c>
      <c r="N567" t="n">
        <v>0</v>
      </c>
      <c r="O567" t="n">
        <v>0</v>
      </c>
      <c r="P567" t="n">
        <v>0</v>
      </c>
      <c r="Q567" t="n">
        <v>0</v>
      </c>
      <c r="R567" s="2" t="inlineStr"/>
    </row>
    <row r="568" ht="15" customHeight="1">
      <c r="A568" t="inlineStr">
        <is>
          <t>A 29230-2022</t>
        </is>
      </c>
      <c r="B568" s="1" t="n">
        <v>44750</v>
      </c>
      <c r="C568" s="1" t="n">
        <v>45993</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9335-2022</t>
        </is>
      </c>
      <c r="B569" s="1" t="n">
        <v>44616.56579861111</v>
      </c>
      <c r="C569" s="1" t="n">
        <v>45993</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18158-2025</t>
        </is>
      </c>
      <c r="B570" s="1" t="n">
        <v>45761</v>
      </c>
      <c r="C570" s="1" t="n">
        <v>45993</v>
      </c>
      <c r="D570" t="inlineStr">
        <is>
          <t>VÄSTMANLANDS LÄN</t>
        </is>
      </c>
      <c r="E570" t="inlineStr">
        <is>
          <t>SALA</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49661-2024</t>
        </is>
      </c>
      <c r="B571" s="1" t="n">
        <v>45596</v>
      </c>
      <c r="C571" s="1" t="n">
        <v>45993</v>
      </c>
      <c r="D571" t="inlineStr">
        <is>
          <t>VÄSTMANLANDS LÄN</t>
        </is>
      </c>
      <c r="E571" t="inlineStr">
        <is>
          <t>SALA</t>
        </is>
      </c>
      <c r="G571" t="n">
        <v>6.7</v>
      </c>
      <c r="H571" t="n">
        <v>0</v>
      </c>
      <c r="I571" t="n">
        <v>0</v>
      </c>
      <c r="J571" t="n">
        <v>0</v>
      </c>
      <c r="K571" t="n">
        <v>0</v>
      </c>
      <c r="L571" t="n">
        <v>0</v>
      </c>
      <c r="M571" t="n">
        <v>0</v>
      </c>
      <c r="N571" t="n">
        <v>0</v>
      </c>
      <c r="O571" t="n">
        <v>0</v>
      </c>
      <c r="P571" t="n">
        <v>0</v>
      </c>
      <c r="Q571" t="n">
        <v>0</v>
      </c>
      <c r="R571" s="2" t="inlineStr"/>
    </row>
    <row r="572" ht="15" customHeight="1">
      <c r="A572" t="inlineStr">
        <is>
          <t>A 21751-2025</t>
        </is>
      </c>
      <c r="B572" s="1" t="n">
        <v>45783.61372685185</v>
      </c>
      <c r="C572" s="1" t="n">
        <v>45993</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54893-2025</t>
        </is>
      </c>
      <c r="B573" s="1" t="n">
        <v>45967.36383101852</v>
      </c>
      <c r="C573" s="1" t="n">
        <v>45993</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47479-2024</t>
        </is>
      </c>
      <c r="B574" s="1" t="n">
        <v>45587</v>
      </c>
      <c r="C574" s="1" t="n">
        <v>45993</v>
      </c>
      <c r="D574" t="inlineStr">
        <is>
          <t>VÄSTMANLANDS LÄN</t>
        </is>
      </c>
      <c r="E574" t="inlineStr">
        <is>
          <t>SALA</t>
        </is>
      </c>
      <c r="F574" t="inlineStr">
        <is>
          <t>Kommuner</t>
        </is>
      </c>
      <c r="G574" t="n">
        <v>0.8</v>
      </c>
      <c r="H574" t="n">
        <v>0</v>
      </c>
      <c r="I574" t="n">
        <v>0</v>
      </c>
      <c r="J574" t="n">
        <v>0</v>
      </c>
      <c r="K574" t="n">
        <v>0</v>
      </c>
      <c r="L574" t="n">
        <v>0</v>
      </c>
      <c r="M574" t="n">
        <v>0</v>
      </c>
      <c r="N574" t="n">
        <v>0</v>
      </c>
      <c r="O574" t="n">
        <v>0</v>
      </c>
      <c r="P574" t="n">
        <v>0</v>
      </c>
      <c r="Q574" t="n">
        <v>0</v>
      </c>
      <c r="R574" s="2" t="inlineStr"/>
    </row>
    <row r="575" ht="15" customHeight="1">
      <c r="A575" t="inlineStr">
        <is>
          <t>A 19065-2022</t>
        </is>
      </c>
      <c r="B575" s="1" t="n">
        <v>44691.44309027777</v>
      </c>
      <c r="C575" s="1" t="n">
        <v>45993</v>
      </c>
      <c r="D575" t="inlineStr">
        <is>
          <t>VÄSTMANLANDS LÄN</t>
        </is>
      </c>
      <c r="E575" t="inlineStr">
        <is>
          <t>SALA</t>
        </is>
      </c>
      <c r="G575" t="n">
        <v>3.4</v>
      </c>
      <c r="H575" t="n">
        <v>0</v>
      </c>
      <c r="I575" t="n">
        <v>0</v>
      </c>
      <c r="J575" t="n">
        <v>0</v>
      </c>
      <c r="K575" t="n">
        <v>0</v>
      </c>
      <c r="L575" t="n">
        <v>0</v>
      </c>
      <c r="M575" t="n">
        <v>0</v>
      </c>
      <c r="N575" t="n">
        <v>0</v>
      </c>
      <c r="O575" t="n">
        <v>0</v>
      </c>
      <c r="P575" t="n">
        <v>0</v>
      </c>
      <c r="Q575" t="n">
        <v>0</v>
      </c>
      <c r="R575" s="2" t="inlineStr"/>
    </row>
    <row r="576" ht="15" customHeight="1">
      <c r="A576" t="inlineStr">
        <is>
          <t>A 22961-2023</t>
        </is>
      </c>
      <c r="B576" s="1" t="n">
        <v>45072</v>
      </c>
      <c r="C576" s="1" t="n">
        <v>45993</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22963-2023</t>
        </is>
      </c>
      <c r="B577" s="1" t="n">
        <v>45072</v>
      </c>
      <c r="C577" s="1" t="n">
        <v>45993</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35519-2024</t>
        </is>
      </c>
      <c r="B578" s="1" t="n">
        <v>45531</v>
      </c>
      <c r="C578" s="1" t="n">
        <v>45993</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10585-2022</t>
        </is>
      </c>
      <c r="B579" s="1" t="n">
        <v>44624</v>
      </c>
      <c r="C579" s="1" t="n">
        <v>45993</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69236-2021</t>
        </is>
      </c>
      <c r="B580" s="1" t="n">
        <v>44531.4047337963</v>
      </c>
      <c r="C580" s="1" t="n">
        <v>45993</v>
      </c>
      <c r="D580" t="inlineStr">
        <is>
          <t>VÄSTMANLANDS LÄN</t>
        </is>
      </c>
      <c r="E580" t="inlineStr">
        <is>
          <t>SALA</t>
        </is>
      </c>
      <c r="G580" t="n">
        <v>2.8</v>
      </c>
      <c r="H580" t="n">
        <v>0</v>
      </c>
      <c r="I580" t="n">
        <v>0</v>
      </c>
      <c r="J580" t="n">
        <v>0</v>
      </c>
      <c r="K580" t="n">
        <v>0</v>
      </c>
      <c r="L580" t="n">
        <v>0</v>
      </c>
      <c r="M580" t="n">
        <v>0</v>
      </c>
      <c r="N580" t="n">
        <v>0</v>
      </c>
      <c r="O580" t="n">
        <v>0</v>
      </c>
      <c r="P580" t="n">
        <v>0</v>
      </c>
      <c r="Q580" t="n">
        <v>0</v>
      </c>
      <c r="R580" s="2" t="inlineStr"/>
    </row>
    <row r="581" ht="15" customHeight="1">
      <c r="A581" t="inlineStr">
        <is>
          <t>A 48117-2024</t>
        </is>
      </c>
      <c r="B581" s="1" t="n">
        <v>45589</v>
      </c>
      <c r="C581" s="1" t="n">
        <v>45993</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21754-2025</t>
        </is>
      </c>
      <c r="B582" s="1" t="n">
        <v>45783.61837962963</v>
      </c>
      <c r="C582" s="1" t="n">
        <v>45993</v>
      </c>
      <c r="D582" t="inlineStr">
        <is>
          <t>VÄSTMANLANDS LÄN</t>
        </is>
      </c>
      <c r="E582" t="inlineStr">
        <is>
          <t>SALA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12225-2023</t>
        </is>
      </c>
      <c r="B583" s="1" t="n">
        <v>44995</v>
      </c>
      <c r="C583" s="1" t="n">
        <v>45993</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12252-2023</t>
        </is>
      </c>
      <c r="B584" s="1" t="n">
        <v>44995</v>
      </c>
      <c r="C584" s="1" t="n">
        <v>45993</v>
      </c>
      <c r="D584" t="inlineStr">
        <is>
          <t>VÄSTMANLANDS LÄN</t>
        </is>
      </c>
      <c r="E584" t="inlineStr">
        <is>
          <t>SALA</t>
        </is>
      </c>
      <c r="G584" t="n">
        <v>2.6</v>
      </c>
      <c r="H584" t="n">
        <v>0</v>
      </c>
      <c r="I584" t="n">
        <v>0</v>
      </c>
      <c r="J584" t="n">
        <v>0</v>
      </c>
      <c r="K584" t="n">
        <v>0</v>
      </c>
      <c r="L584" t="n">
        <v>0</v>
      </c>
      <c r="M584" t="n">
        <v>0</v>
      </c>
      <c r="N584" t="n">
        <v>0</v>
      </c>
      <c r="O584" t="n">
        <v>0</v>
      </c>
      <c r="P584" t="n">
        <v>0</v>
      </c>
      <c r="Q584" t="n">
        <v>0</v>
      </c>
      <c r="R584" s="2" t="inlineStr"/>
    </row>
    <row r="585" ht="15" customHeight="1">
      <c r="A585" t="inlineStr">
        <is>
          <t>A 46661-2025</t>
        </is>
      </c>
      <c r="B585" s="1" t="n">
        <v>45926</v>
      </c>
      <c r="C585" s="1" t="n">
        <v>45993</v>
      </c>
      <c r="D585" t="inlineStr">
        <is>
          <t>VÄSTMANLANDS LÄN</t>
        </is>
      </c>
      <c r="E585" t="inlineStr">
        <is>
          <t>SALA</t>
        </is>
      </c>
      <c r="G585" t="n">
        <v>0.8</v>
      </c>
      <c r="H585" t="n">
        <v>0</v>
      </c>
      <c r="I585" t="n">
        <v>0</v>
      </c>
      <c r="J585" t="n">
        <v>0</v>
      </c>
      <c r="K585" t="n">
        <v>0</v>
      </c>
      <c r="L585" t="n">
        <v>0</v>
      </c>
      <c r="M585" t="n">
        <v>0</v>
      </c>
      <c r="N585" t="n">
        <v>0</v>
      </c>
      <c r="O585" t="n">
        <v>0</v>
      </c>
      <c r="P585" t="n">
        <v>0</v>
      </c>
      <c r="Q585" t="n">
        <v>0</v>
      </c>
      <c r="R585" s="2" t="inlineStr"/>
    </row>
    <row r="586" ht="15" customHeight="1">
      <c r="A586" t="inlineStr">
        <is>
          <t>A 37587-2024</t>
        </is>
      </c>
      <c r="B586" s="1" t="n">
        <v>45541</v>
      </c>
      <c r="C586" s="1" t="n">
        <v>45993</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6116-2023</t>
        </is>
      </c>
      <c r="B587" s="1" t="n">
        <v>44964</v>
      </c>
      <c r="C587" s="1" t="n">
        <v>45993</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18100-2023</t>
        </is>
      </c>
      <c r="B588" s="1" t="n">
        <v>45040</v>
      </c>
      <c r="C588" s="1" t="n">
        <v>45993</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13471-2025</t>
        </is>
      </c>
      <c r="B589" s="1" t="n">
        <v>45736.40579861111</v>
      </c>
      <c r="C589" s="1" t="n">
        <v>45993</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26854-2024</t>
        </is>
      </c>
      <c r="B590" s="1" t="n">
        <v>45470</v>
      </c>
      <c r="C590" s="1" t="n">
        <v>45993</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37602-2024</t>
        </is>
      </c>
      <c r="B591" s="1" t="n">
        <v>45541</v>
      </c>
      <c r="C591" s="1" t="n">
        <v>45993</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22353-2025</t>
        </is>
      </c>
      <c r="B592" s="1" t="n">
        <v>45786</v>
      </c>
      <c r="C592" s="1" t="n">
        <v>45993</v>
      </c>
      <c r="D592" t="inlineStr">
        <is>
          <t>VÄSTMANLANDS LÄN</t>
        </is>
      </c>
      <c r="E592" t="inlineStr">
        <is>
          <t>SALA</t>
        </is>
      </c>
      <c r="G592" t="n">
        <v>2.5</v>
      </c>
      <c r="H592" t="n">
        <v>0</v>
      </c>
      <c r="I592" t="n">
        <v>0</v>
      </c>
      <c r="J592" t="n">
        <v>0</v>
      </c>
      <c r="K592" t="n">
        <v>0</v>
      </c>
      <c r="L592" t="n">
        <v>0</v>
      </c>
      <c r="M592" t="n">
        <v>0</v>
      </c>
      <c r="N592" t="n">
        <v>0</v>
      </c>
      <c r="O592" t="n">
        <v>0</v>
      </c>
      <c r="P592" t="n">
        <v>0</v>
      </c>
      <c r="Q592" t="n">
        <v>0</v>
      </c>
      <c r="R592" s="2" t="inlineStr"/>
    </row>
    <row r="593" ht="15" customHeight="1">
      <c r="A593" t="inlineStr">
        <is>
          <t>A 1985-2022</t>
        </is>
      </c>
      <c r="B593" s="1" t="n">
        <v>44575</v>
      </c>
      <c r="C593" s="1" t="n">
        <v>45993</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64724-2023</t>
        </is>
      </c>
      <c r="B594" s="1" t="n">
        <v>45281.7602662037</v>
      </c>
      <c r="C594" s="1" t="n">
        <v>45993</v>
      </c>
      <c r="D594" t="inlineStr">
        <is>
          <t>VÄSTMANLANDS LÄN</t>
        </is>
      </c>
      <c r="E594" t="inlineStr">
        <is>
          <t>SALA</t>
        </is>
      </c>
      <c r="G594" t="n">
        <v>2.3</v>
      </c>
      <c r="H594" t="n">
        <v>0</v>
      </c>
      <c r="I594" t="n">
        <v>0</v>
      </c>
      <c r="J594" t="n">
        <v>0</v>
      </c>
      <c r="K594" t="n">
        <v>0</v>
      </c>
      <c r="L594" t="n">
        <v>0</v>
      </c>
      <c r="M594" t="n">
        <v>0</v>
      </c>
      <c r="N594" t="n">
        <v>0</v>
      </c>
      <c r="O594" t="n">
        <v>0</v>
      </c>
      <c r="P594" t="n">
        <v>0</v>
      </c>
      <c r="Q594" t="n">
        <v>0</v>
      </c>
      <c r="R594" s="2" t="inlineStr"/>
    </row>
    <row r="595" ht="15" customHeight="1">
      <c r="A595" t="inlineStr">
        <is>
          <t>A 46915-2025</t>
        </is>
      </c>
      <c r="B595" s="1" t="n">
        <v>45929.42114583333</v>
      </c>
      <c r="C595" s="1" t="n">
        <v>45993</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55714-2025</t>
        </is>
      </c>
      <c r="B596" s="1" t="n">
        <v>45972.49131944445</v>
      </c>
      <c r="C596" s="1" t="n">
        <v>45993</v>
      </c>
      <c r="D596" t="inlineStr">
        <is>
          <t>VÄSTMANLANDS LÄN</t>
        </is>
      </c>
      <c r="E596" t="inlineStr">
        <is>
          <t>SALA</t>
        </is>
      </c>
      <c r="G596" t="n">
        <v>6.6</v>
      </c>
      <c r="H596" t="n">
        <v>0</v>
      </c>
      <c r="I596" t="n">
        <v>0</v>
      </c>
      <c r="J596" t="n">
        <v>0</v>
      </c>
      <c r="K596" t="n">
        <v>0</v>
      </c>
      <c r="L596" t="n">
        <v>0</v>
      </c>
      <c r="M596" t="n">
        <v>0</v>
      </c>
      <c r="N596" t="n">
        <v>0</v>
      </c>
      <c r="O596" t="n">
        <v>0</v>
      </c>
      <c r="P596" t="n">
        <v>0</v>
      </c>
      <c r="Q596" t="n">
        <v>0</v>
      </c>
      <c r="R596" s="2" t="inlineStr"/>
    </row>
    <row r="597" ht="15" customHeight="1">
      <c r="A597" t="inlineStr">
        <is>
          <t>A 6308-2021</t>
        </is>
      </c>
      <c r="B597" s="1" t="n">
        <v>44235</v>
      </c>
      <c r="C597" s="1" t="n">
        <v>45993</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21455-2023</t>
        </is>
      </c>
      <c r="B598" s="1" t="n">
        <v>45058</v>
      </c>
      <c r="C598" s="1" t="n">
        <v>45993</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22370-2025</t>
        </is>
      </c>
      <c r="B599" s="1" t="n">
        <v>45786</v>
      </c>
      <c r="C599" s="1" t="n">
        <v>45993</v>
      </c>
      <c r="D599" t="inlineStr">
        <is>
          <t>VÄSTMANLANDS LÄN</t>
        </is>
      </c>
      <c r="E599" t="inlineStr">
        <is>
          <t>SALA</t>
        </is>
      </c>
      <c r="G599" t="n">
        <v>3.2</v>
      </c>
      <c r="H599" t="n">
        <v>0</v>
      </c>
      <c r="I599" t="n">
        <v>0</v>
      </c>
      <c r="J599" t="n">
        <v>0</v>
      </c>
      <c r="K599" t="n">
        <v>0</v>
      </c>
      <c r="L599" t="n">
        <v>0</v>
      </c>
      <c r="M599" t="n">
        <v>0</v>
      </c>
      <c r="N599" t="n">
        <v>0</v>
      </c>
      <c r="O599" t="n">
        <v>0</v>
      </c>
      <c r="P599" t="n">
        <v>0</v>
      </c>
      <c r="Q599" t="n">
        <v>0</v>
      </c>
      <c r="R599" s="2" t="inlineStr"/>
    </row>
    <row r="600" ht="15" customHeight="1">
      <c r="A600" t="inlineStr">
        <is>
          <t>A 22383-2025</t>
        </is>
      </c>
      <c r="B600" s="1" t="n">
        <v>45786</v>
      </c>
      <c r="C600" s="1" t="n">
        <v>45993</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4797-2023</t>
        </is>
      </c>
      <c r="B601" s="1" t="n">
        <v>44957</v>
      </c>
      <c r="C601" s="1" t="n">
        <v>45993</v>
      </c>
      <c r="D601" t="inlineStr">
        <is>
          <t>VÄSTMANLANDS LÄN</t>
        </is>
      </c>
      <c r="E601" t="inlineStr">
        <is>
          <t>SALA</t>
        </is>
      </c>
      <c r="G601" t="n">
        <v>5.7</v>
      </c>
      <c r="H601" t="n">
        <v>0</v>
      </c>
      <c r="I601" t="n">
        <v>0</v>
      </c>
      <c r="J601" t="n">
        <v>0</v>
      </c>
      <c r="K601" t="n">
        <v>0</v>
      </c>
      <c r="L601" t="n">
        <v>0</v>
      </c>
      <c r="M601" t="n">
        <v>0</v>
      </c>
      <c r="N601" t="n">
        <v>0</v>
      </c>
      <c r="O601" t="n">
        <v>0</v>
      </c>
      <c r="P601" t="n">
        <v>0</v>
      </c>
      <c r="Q601" t="n">
        <v>0</v>
      </c>
      <c r="R601" s="2" t="inlineStr"/>
    </row>
    <row r="602" ht="15" customHeight="1">
      <c r="A602" t="inlineStr">
        <is>
          <t>A 4852-2023</t>
        </is>
      </c>
      <c r="B602" s="1" t="n">
        <v>44957.72496527778</v>
      </c>
      <c r="C602" s="1" t="n">
        <v>45993</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36858-2023</t>
        </is>
      </c>
      <c r="B603" s="1" t="n">
        <v>45154.55184027777</v>
      </c>
      <c r="C603" s="1" t="n">
        <v>45993</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58701-2021</t>
        </is>
      </c>
      <c r="B604" s="1" t="n">
        <v>44489.46454861111</v>
      </c>
      <c r="C604" s="1" t="n">
        <v>45993</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55997-2025</t>
        </is>
      </c>
      <c r="B605" s="1" t="n">
        <v>45973.56833333334</v>
      </c>
      <c r="C605" s="1" t="n">
        <v>45993</v>
      </c>
      <c r="D605" t="inlineStr">
        <is>
          <t>VÄSTMANLANDS LÄN</t>
        </is>
      </c>
      <c r="E605" t="inlineStr">
        <is>
          <t>SALA</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48057-2025</t>
        </is>
      </c>
      <c r="B606" s="1" t="n">
        <v>45932.67947916667</v>
      </c>
      <c r="C606" s="1" t="n">
        <v>45993</v>
      </c>
      <c r="D606" t="inlineStr">
        <is>
          <t>VÄSTMANLANDS LÄN</t>
        </is>
      </c>
      <c r="E606" t="inlineStr">
        <is>
          <t>SALA</t>
        </is>
      </c>
      <c r="G606" t="n">
        <v>4.3</v>
      </c>
      <c r="H606" t="n">
        <v>0</v>
      </c>
      <c r="I606" t="n">
        <v>0</v>
      </c>
      <c r="J606" t="n">
        <v>0</v>
      </c>
      <c r="K606" t="n">
        <v>0</v>
      </c>
      <c r="L606" t="n">
        <v>0</v>
      </c>
      <c r="M606" t="n">
        <v>0</v>
      </c>
      <c r="N606" t="n">
        <v>0</v>
      </c>
      <c r="O606" t="n">
        <v>0</v>
      </c>
      <c r="P606" t="n">
        <v>0</v>
      </c>
      <c r="Q606" t="n">
        <v>0</v>
      </c>
      <c r="R606" s="2" t="inlineStr"/>
    </row>
    <row r="607" ht="15" customHeight="1">
      <c r="A607" t="inlineStr">
        <is>
          <t>A 7176-2023</t>
        </is>
      </c>
      <c r="B607" s="1" t="n">
        <v>44970</v>
      </c>
      <c r="C607" s="1" t="n">
        <v>45993</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37337-2024</t>
        </is>
      </c>
      <c r="B608" s="1" t="n">
        <v>45540</v>
      </c>
      <c r="C608" s="1" t="n">
        <v>45993</v>
      </c>
      <c r="D608" t="inlineStr">
        <is>
          <t>VÄSTMANLANDS LÄN</t>
        </is>
      </c>
      <c r="E608" t="inlineStr">
        <is>
          <t>SALA</t>
        </is>
      </c>
      <c r="G608" t="n">
        <v>6.5</v>
      </c>
      <c r="H608" t="n">
        <v>0</v>
      </c>
      <c r="I608" t="n">
        <v>0</v>
      </c>
      <c r="J608" t="n">
        <v>0</v>
      </c>
      <c r="K608" t="n">
        <v>0</v>
      </c>
      <c r="L608" t="n">
        <v>0</v>
      </c>
      <c r="M608" t="n">
        <v>0</v>
      </c>
      <c r="N608" t="n">
        <v>0</v>
      </c>
      <c r="O608" t="n">
        <v>0</v>
      </c>
      <c r="P608" t="n">
        <v>0</v>
      </c>
      <c r="Q608" t="n">
        <v>0</v>
      </c>
      <c r="R608" s="2" t="inlineStr"/>
    </row>
    <row r="609" ht="15" customHeight="1">
      <c r="A609" t="inlineStr">
        <is>
          <t>A 22624-2025</t>
        </is>
      </c>
      <c r="B609" s="1" t="n">
        <v>45789.43327546296</v>
      </c>
      <c r="C609" s="1" t="n">
        <v>45993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31405-2024</t>
        </is>
      </c>
      <c r="B610" s="1" t="n">
        <v>45505.5490625</v>
      </c>
      <c r="C610" s="1" t="n">
        <v>45993</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47577-2025</t>
        </is>
      </c>
      <c r="B611" s="1" t="n">
        <v>45931.4047337963</v>
      </c>
      <c r="C611" s="1" t="n">
        <v>45993</v>
      </c>
      <c r="D611" t="inlineStr">
        <is>
          <t>VÄSTMANLANDS LÄN</t>
        </is>
      </c>
      <c r="E611" t="inlineStr">
        <is>
          <t>SALA</t>
        </is>
      </c>
      <c r="G611" t="n">
        <v>3.7</v>
      </c>
      <c r="H611" t="n">
        <v>0</v>
      </c>
      <c r="I611" t="n">
        <v>0</v>
      </c>
      <c r="J611" t="n">
        <v>0</v>
      </c>
      <c r="K611" t="n">
        <v>0</v>
      </c>
      <c r="L611" t="n">
        <v>0</v>
      </c>
      <c r="M611" t="n">
        <v>0</v>
      </c>
      <c r="N611" t="n">
        <v>0</v>
      </c>
      <c r="O611" t="n">
        <v>0</v>
      </c>
      <c r="P611" t="n">
        <v>0</v>
      </c>
      <c r="Q611" t="n">
        <v>0</v>
      </c>
      <c r="R611" s="2" t="inlineStr"/>
    </row>
    <row r="612" ht="15" customHeight="1">
      <c r="A612" t="inlineStr">
        <is>
          <t>A 22616-2025</t>
        </is>
      </c>
      <c r="B612" s="1" t="n">
        <v>45789.42752314815</v>
      </c>
      <c r="C612" s="1" t="n">
        <v>45993</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43600-2024</t>
        </is>
      </c>
      <c r="B613" s="1" t="n">
        <v>45569</v>
      </c>
      <c r="C613" s="1" t="n">
        <v>45993</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13130-2025</t>
        </is>
      </c>
      <c r="B614" s="1" t="n">
        <v>45734</v>
      </c>
      <c r="C614" s="1" t="n">
        <v>45993</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10250-2025</t>
        </is>
      </c>
      <c r="B615" s="1" t="n">
        <v>45720.36165509259</v>
      </c>
      <c r="C615" s="1" t="n">
        <v>45993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48710-2025</t>
        </is>
      </c>
      <c r="B616" s="1" t="n">
        <v>45936.63184027778</v>
      </c>
      <c r="C616" s="1" t="n">
        <v>45993</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24169-2025</t>
        </is>
      </c>
      <c r="B617" s="1" t="n">
        <v>45796</v>
      </c>
      <c r="C617" s="1" t="n">
        <v>45993</v>
      </c>
      <c r="D617" t="inlineStr">
        <is>
          <t>VÄSTMANLANDS LÄN</t>
        </is>
      </c>
      <c r="E617" t="inlineStr">
        <is>
          <t>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22126-2025</t>
        </is>
      </c>
      <c r="B618" s="1" t="n">
        <v>45785</v>
      </c>
      <c r="C618" s="1" t="n">
        <v>45993</v>
      </c>
      <c r="D618" t="inlineStr">
        <is>
          <t>VÄSTMANLANDS LÄN</t>
        </is>
      </c>
      <c r="E618" t="inlineStr">
        <is>
          <t>SALA</t>
        </is>
      </c>
      <c r="G618" t="n">
        <v>10.6</v>
      </c>
      <c r="H618" t="n">
        <v>0</v>
      </c>
      <c r="I618" t="n">
        <v>0</v>
      </c>
      <c r="J618" t="n">
        <v>0</v>
      </c>
      <c r="K618" t="n">
        <v>0</v>
      </c>
      <c r="L618" t="n">
        <v>0</v>
      </c>
      <c r="M618" t="n">
        <v>0</v>
      </c>
      <c r="N618" t="n">
        <v>0</v>
      </c>
      <c r="O618" t="n">
        <v>0</v>
      </c>
      <c r="P618" t="n">
        <v>0</v>
      </c>
      <c r="Q618" t="n">
        <v>0</v>
      </c>
      <c r="R618" s="2" t="inlineStr"/>
    </row>
    <row r="619" ht="15" customHeight="1">
      <c r="A619" t="inlineStr">
        <is>
          <t>A 23810-2025</t>
        </is>
      </c>
      <c r="B619" s="1" t="n">
        <v>45793.56989583333</v>
      </c>
      <c r="C619" s="1" t="n">
        <v>45993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24944-2023</t>
        </is>
      </c>
      <c r="B620" s="1" t="n">
        <v>45085</v>
      </c>
      <c r="C620" s="1" t="n">
        <v>45993</v>
      </c>
      <c r="D620" t="inlineStr">
        <is>
          <t>VÄSTMANLANDS LÄN</t>
        </is>
      </c>
      <c r="E620" t="inlineStr">
        <is>
          <t>SALA</t>
        </is>
      </c>
      <c r="G620" t="n">
        <v>3.8</v>
      </c>
      <c r="H620" t="n">
        <v>0</v>
      </c>
      <c r="I620" t="n">
        <v>0</v>
      </c>
      <c r="J620" t="n">
        <v>0</v>
      </c>
      <c r="K620" t="n">
        <v>0</v>
      </c>
      <c r="L620" t="n">
        <v>0</v>
      </c>
      <c r="M620" t="n">
        <v>0</v>
      </c>
      <c r="N620" t="n">
        <v>0</v>
      </c>
      <c r="O620" t="n">
        <v>0</v>
      </c>
      <c r="P620" t="n">
        <v>0</v>
      </c>
      <c r="Q620" t="n">
        <v>0</v>
      </c>
      <c r="R620" s="2" t="inlineStr"/>
    </row>
    <row r="621" ht="15" customHeight="1">
      <c r="A621" t="inlineStr">
        <is>
          <t>A 23804-2025</t>
        </is>
      </c>
      <c r="B621" s="1" t="n">
        <v>45793.55995370371</v>
      </c>
      <c r="C621" s="1" t="n">
        <v>45993</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11210-2025</t>
        </is>
      </c>
      <c r="B622" s="1" t="n">
        <v>45726</v>
      </c>
      <c r="C622" s="1" t="n">
        <v>45993</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56645-2025</t>
        </is>
      </c>
      <c r="B623" s="1" t="n">
        <v>45975.63063657407</v>
      </c>
      <c r="C623" s="1" t="n">
        <v>45993</v>
      </c>
      <c r="D623" t="inlineStr">
        <is>
          <t>VÄSTMANLANDS LÄN</t>
        </is>
      </c>
      <c r="E623" t="inlineStr">
        <is>
          <t>SALA</t>
        </is>
      </c>
      <c r="F623" t="inlineStr">
        <is>
          <t>Bergvik skog öst AB</t>
        </is>
      </c>
      <c r="G623" t="n">
        <v>5.3</v>
      </c>
      <c r="H623" t="n">
        <v>0</v>
      </c>
      <c r="I623" t="n">
        <v>0</v>
      </c>
      <c r="J623" t="n">
        <v>0</v>
      </c>
      <c r="K623" t="n">
        <v>0</v>
      </c>
      <c r="L623" t="n">
        <v>0</v>
      </c>
      <c r="M623" t="n">
        <v>0</v>
      </c>
      <c r="N623" t="n">
        <v>0</v>
      </c>
      <c r="O623" t="n">
        <v>0</v>
      </c>
      <c r="P623" t="n">
        <v>0</v>
      </c>
      <c r="Q623" t="n">
        <v>0</v>
      </c>
      <c r="R623" s="2" t="inlineStr"/>
    </row>
    <row r="624" ht="15" customHeight="1">
      <c r="A624" t="inlineStr">
        <is>
          <t>A 19297-2025</t>
        </is>
      </c>
      <c r="B624" s="1" t="n">
        <v>45769.56261574074</v>
      </c>
      <c r="C624" s="1" t="n">
        <v>45993</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56614-2025</t>
        </is>
      </c>
      <c r="B625" s="1" t="n">
        <v>45975.59288194445</v>
      </c>
      <c r="C625" s="1" t="n">
        <v>45993</v>
      </c>
      <c r="D625" t="inlineStr">
        <is>
          <t>VÄSTMANLANDS LÄN</t>
        </is>
      </c>
      <c r="E625" t="inlineStr">
        <is>
          <t>SALA</t>
        </is>
      </c>
      <c r="G625" t="n">
        <v>1.4</v>
      </c>
      <c r="H625" t="n">
        <v>0</v>
      </c>
      <c r="I625" t="n">
        <v>0</v>
      </c>
      <c r="J625" t="n">
        <v>0</v>
      </c>
      <c r="K625" t="n">
        <v>0</v>
      </c>
      <c r="L625" t="n">
        <v>0</v>
      </c>
      <c r="M625" t="n">
        <v>0</v>
      </c>
      <c r="N625" t="n">
        <v>0</v>
      </c>
      <c r="O625" t="n">
        <v>0</v>
      </c>
      <c r="P625" t="n">
        <v>0</v>
      </c>
      <c r="Q625" t="n">
        <v>0</v>
      </c>
      <c r="R625" s="2" t="inlineStr"/>
    </row>
    <row r="626" ht="15" customHeight="1">
      <c r="A626" t="inlineStr">
        <is>
          <t>A 56502-2025</t>
        </is>
      </c>
      <c r="B626" s="1" t="n">
        <v>45975</v>
      </c>
      <c r="C626" s="1" t="n">
        <v>45993</v>
      </c>
      <c r="D626" t="inlineStr">
        <is>
          <t>VÄSTMANLANDS LÄN</t>
        </is>
      </c>
      <c r="E626" t="inlineStr">
        <is>
          <t>SALA</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57412-2025</t>
        </is>
      </c>
      <c r="B627" s="1" t="n">
        <v>45980.44883101852</v>
      </c>
      <c r="C627" s="1" t="n">
        <v>45993</v>
      </c>
      <c r="D627" t="inlineStr">
        <is>
          <t>VÄSTMANLANDS LÄN</t>
        </is>
      </c>
      <c r="E627" t="inlineStr">
        <is>
          <t>SALA</t>
        </is>
      </c>
      <c r="F627" t="inlineStr">
        <is>
          <t>Bergvik skog öst AB</t>
        </is>
      </c>
      <c r="G627" t="n">
        <v>4.5</v>
      </c>
      <c r="H627" t="n">
        <v>0</v>
      </c>
      <c r="I627" t="n">
        <v>0</v>
      </c>
      <c r="J627" t="n">
        <v>0</v>
      </c>
      <c r="K627" t="n">
        <v>0</v>
      </c>
      <c r="L627" t="n">
        <v>0</v>
      </c>
      <c r="M627" t="n">
        <v>0</v>
      </c>
      <c r="N627" t="n">
        <v>0</v>
      </c>
      <c r="O627" t="n">
        <v>0</v>
      </c>
      <c r="P627" t="n">
        <v>0</v>
      </c>
      <c r="Q627" t="n">
        <v>0</v>
      </c>
      <c r="R627" s="2" t="inlineStr"/>
    </row>
    <row r="628" ht="15" customHeight="1">
      <c r="A628" t="inlineStr">
        <is>
          <t>A 24460-2025</t>
        </is>
      </c>
      <c r="B628" s="1" t="n">
        <v>45798</v>
      </c>
      <c r="C628" s="1" t="n">
        <v>45993</v>
      </c>
      <c r="D628" t="inlineStr">
        <is>
          <t>VÄSTMANLANDS LÄN</t>
        </is>
      </c>
      <c r="E628" t="inlineStr">
        <is>
          <t>SALA</t>
        </is>
      </c>
      <c r="F628" t="inlineStr">
        <is>
          <t>Bergvik skog öst AB</t>
        </is>
      </c>
      <c r="G628" t="n">
        <v>2.6</v>
      </c>
      <c r="H628" t="n">
        <v>0</v>
      </c>
      <c r="I628" t="n">
        <v>0</v>
      </c>
      <c r="J628" t="n">
        <v>0</v>
      </c>
      <c r="K628" t="n">
        <v>0</v>
      </c>
      <c r="L628" t="n">
        <v>0</v>
      </c>
      <c r="M628" t="n">
        <v>0</v>
      </c>
      <c r="N628" t="n">
        <v>0</v>
      </c>
      <c r="O628" t="n">
        <v>0</v>
      </c>
      <c r="P628" t="n">
        <v>0</v>
      </c>
      <c r="Q628" t="n">
        <v>0</v>
      </c>
      <c r="R628" s="2" t="inlineStr"/>
    </row>
    <row r="629" ht="15" customHeight="1">
      <c r="A629" t="inlineStr">
        <is>
          <t>A 56611-2025</t>
        </is>
      </c>
      <c r="B629" s="1" t="n">
        <v>45975</v>
      </c>
      <c r="C629" s="1" t="n">
        <v>45993</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55065-2024</t>
        </is>
      </c>
      <c r="B630" s="1" t="n">
        <v>45618</v>
      </c>
      <c r="C630" s="1" t="n">
        <v>45993</v>
      </c>
      <c r="D630" t="inlineStr">
        <is>
          <t>VÄSTMANLANDS LÄN</t>
        </is>
      </c>
      <c r="E630" t="inlineStr">
        <is>
          <t>SALA</t>
        </is>
      </c>
      <c r="G630" t="n">
        <v>3.5</v>
      </c>
      <c r="H630" t="n">
        <v>0</v>
      </c>
      <c r="I630" t="n">
        <v>0</v>
      </c>
      <c r="J630" t="n">
        <v>0</v>
      </c>
      <c r="K630" t="n">
        <v>0</v>
      </c>
      <c r="L630" t="n">
        <v>0</v>
      </c>
      <c r="M630" t="n">
        <v>0</v>
      </c>
      <c r="N630" t="n">
        <v>0</v>
      </c>
      <c r="O630" t="n">
        <v>0</v>
      </c>
      <c r="P630" t="n">
        <v>0</v>
      </c>
      <c r="Q630" t="n">
        <v>0</v>
      </c>
      <c r="R630" s="2" t="inlineStr"/>
    </row>
    <row r="631" ht="15" customHeight="1">
      <c r="A631" t="inlineStr">
        <is>
          <t>A 56593-2025</t>
        </is>
      </c>
      <c r="B631" s="1" t="n">
        <v>45975</v>
      </c>
      <c r="C631" s="1" t="n">
        <v>45993</v>
      </c>
      <c r="D631" t="inlineStr">
        <is>
          <t>VÄSTMANLANDS LÄN</t>
        </is>
      </c>
      <c r="E631" t="inlineStr">
        <is>
          <t>SALA</t>
        </is>
      </c>
      <c r="F631" t="inlineStr">
        <is>
          <t>Kyrkan</t>
        </is>
      </c>
      <c r="G631" t="n">
        <v>0.1</v>
      </c>
      <c r="H631" t="n">
        <v>0</v>
      </c>
      <c r="I631" t="n">
        <v>0</v>
      </c>
      <c r="J631" t="n">
        <v>0</v>
      </c>
      <c r="K631" t="n">
        <v>0</v>
      </c>
      <c r="L631" t="n">
        <v>0</v>
      </c>
      <c r="M631" t="n">
        <v>0</v>
      </c>
      <c r="N631" t="n">
        <v>0</v>
      </c>
      <c r="O631" t="n">
        <v>0</v>
      </c>
      <c r="P631" t="n">
        <v>0</v>
      </c>
      <c r="Q631" t="n">
        <v>0</v>
      </c>
      <c r="R631" s="2" t="inlineStr"/>
    </row>
    <row r="632" ht="15" customHeight="1">
      <c r="A632" t="inlineStr">
        <is>
          <t>A 24463-2025</t>
        </is>
      </c>
      <c r="B632" s="1" t="n">
        <v>45798</v>
      </c>
      <c r="C632" s="1" t="n">
        <v>45993</v>
      </c>
      <c r="D632" t="inlineStr">
        <is>
          <t>VÄSTMANLANDS LÄN</t>
        </is>
      </c>
      <c r="E632" t="inlineStr">
        <is>
          <t>SALA</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48910-2025</t>
        </is>
      </c>
      <c r="B633" s="1" t="n">
        <v>45937.48649305556</v>
      </c>
      <c r="C633" s="1" t="n">
        <v>45993</v>
      </c>
      <c r="D633" t="inlineStr">
        <is>
          <t>VÄSTMANLANDS LÄN</t>
        </is>
      </c>
      <c r="E633" t="inlineStr">
        <is>
          <t>SALA</t>
        </is>
      </c>
      <c r="G633" t="n">
        <v>7.8</v>
      </c>
      <c r="H633" t="n">
        <v>0</v>
      </c>
      <c r="I633" t="n">
        <v>0</v>
      </c>
      <c r="J633" t="n">
        <v>0</v>
      </c>
      <c r="K633" t="n">
        <v>0</v>
      </c>
      <c r="L633" t="n">
        <v>0</v>
      </c>
      <c r="M633" t="n">
        <v>0</v>
      </c>
      <c r="N633" t="n">
        <v>0</v>
      </c>
      <c r="O633" t="n">
        <v>0</v>
      </c>
      <c r="P633" t="n">
        <v>0</v>
      </c>
      <c r="Q633" t="n">
        <v>0</v>
      </c>
      <c r="R633" s="2" t="inlineStr"/>
    </row>
    <row r="634" ht="15" customHeight="1">
      <c r="A634" t="inlineStr">
        <is>
          <t>A 57414-2025</t>
        </is>
      </c>
      <c r="B634" s="1" t="n">
        <v>45980.45003472222</v>
      </c>
      <c r="C634" s="1" t="n">
        <v>45993</v>
      </c>
      <c r="D634" t="inlineStr">
        <is>
          <t>VÄSTMANLANDS LÄN</t>
        </is>
      </c>
      <c r="E634" t="inlineStr">
        <is>
          <t>SALA</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57415-2025</t>
        </is>
      </c>
      <c r="B635" s="1" t="n">
        <v>45980.45099537037</v>
      </c>
      <c r="C635" s="1" t="n">
        <v>45993</v>
      </c>
      <c r="D635" t="inlineStr">
        <is>
          <t>VÄSTMANLANDS LÄN</t>
        </is>
      </c>
      <c r="E635" t="inlineStr">
        <is>
          <t>SALA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24907-2025</t>
        </is>
      </c>
      <c r="B636" s="1" t="n">
        <v>45799</v>
      </c>
      <c r="C636" s="1" t="n">
        <v>45993</v>
      </c>
      <c r="D636" t="inlineStr">
        <is>
          <t>VÄSTMANLANDS LÄN</t>
        </is>
      </c>
      <c r="E636" t="inlineStr">
        <is>
          <t>SALA</t>
        </is>
      </c>
      <c r="G636" t="n">
        <v>3.5</v>
      </c>
      <c r="H636" t="n">
        <v>0</v>
      </c>
      <c r="I636" t="n">
        <v>0</v>
      </c>
      <c r="J636" t="n">
        <v>0</v>
      </c>
      <c r="K636" t="n">
        <v>0</v>
      </c>
      <c r="L636" t="n">
        <v>0</v>
      </c>
      <c r="M636" t="n">
        <v>0</v>
      </c>
      <c r="N636" t="n">
        <v>0</v>
      </c>
      <c r="O636" t="n">
        <v>0</v>
      </c>
      <c r="P636" t="n">
        <v>0</v>
      </c>
      <c r="Q636" t="n">
        <v>0</v>
      </c>
      <c r="R636" s="2" t="inlineStr"/>
    </row>
    <row r="637" ht="15" customHeight="1">
      <c r="A637" t="inlineStr">
        <is>
          <t>A 24910-2025</t>
        </is>
      </c>
      <c r="B637" s="1" t="n">
        <v>45799.53775462963</v>
      </c>
      <c r="C637" s="1" t="n">
        <v>45993</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49640-2025</t>
        </is>
      </c>
      <c r="B638" s="1" t="n">
        <v>45939.61459490741</v>
      </c>
      <c r="C638" s="1" t="n">
        <v>45993</v>
      </c>
      <c r="D638" t="inlineStr">
        <is>
          <t>VÄSTMANLANDS LÄN</t>
        </is>
      </c>
      <c r="E638" t="inlineStr">
        <is>
          <t>SALA</t>
        </is>
      </c>
      <c r="F638" t="inlineStr">
        <is>
          <t>Kommuner</t>
        </is>
      </c>
      <c r="G638" t="n">
        <v>18.8</v>
      </c>
      <c r="H638" t="n">
        <v>0</v>
      </c>
      <c r="I638" t="n">
        <v>0</v>
      </c>
      <c r="J638" t="n">
        <v>0</v>
      </c>
      <c r="K638" t="n">
        <v>0</v>
      </c>
      <c r="L638" t="n">
        <v>0</v>
      </c>
      <c r="M638" t="n">
        <v>0</v>
      </c>
      <c r="N638" t="n">
        <v>0</v>
      </c>
      <c r="O638" t="n">
        <v>0</v>
      </c>
      <c r="P638" t="n">
        <v>0</v>
      </c>
      <c r="Q638" t="n">
        <v>0</v>
      </c>
      <c r="R638" s="2" t="inlineStr"/>
    </row>
    <row r="639" ht="15" customHeight="1">
      <c r="A639" t="inlineStr">
        <is>
          <t>A 10909-2024</t>
        </is>
      </c>
      <c r="B639" s="1" t="n">
        <v>45370</v>
      </c>
      <c r="C639" s="1" t="n">
        <v>45993</v>
      </c>
      <c r="D639" t="inlineStr">
        <is>
          <t>VÄSTMANLANDS LÄN</t>
        </is>
      </c>
      <c r="E639" t="inlineStr">
        <is>
          <t>SALA</t>
        </is>
      </c>
      <c r="G639" t="n">
        <v>3.3</v>
      </c>
      <c r="H639" t="n">
        <v>0</v>
      </c>
      <c r="I639" t="n">
        <v>0</v>
      </c>
      <c r="J639" t="n">
        <v>0</v>
      </c>
      <c r="K639" t="n">
        <v>0</v>
      </c>
      <c r="L639" t="n">
        <v>0</v>
      </c>
      <c r="M639" t="n">
        <v>0</v>
      </c>
      <c r="N639" t="n">
        <v>0</v>
      </c>
      <c r="O639" t="n">
        <v>0</v>
      </c>
      <c r="P639" t="n">
        <v>0</v>
      </c>
      <c r="Q639" t="n">
        <v>0</v>
      </c>
      <c r="R639" s="2" t="inlineStr"/>
    </row>
    <row r="640" ht="15" customHeight="1">
      <c r="A640" t="inlineStr">
        <is>
          <t>A 49585-2025</t>
        </is>
      </c>
      <c r="B640" s="1" t="n">
        <v>45939.5043287037</v>
      </c>
      <c r="C640" s="1" t="n">
        <v>45993</v>
      </c>
      <c r="D640" t="inlineStr">
        <is>
          <t>VÄSTMANLANDS LÄN</t>
        </is>
      </c>
      <c r="E640" t="inlineStr">
        <is>
          <t>SALA</t>
        </is>
      </c>
      <c r="G640" t="n">
        <v>2.2</v>
      </c>
      <c r="H640" t="n">
        <v>0</v>
      </c>
      <c r="I640" t="n">
        <v>0</v>
      </c>
      <c r="J640" t="n">
        <v>0</v>
      </c>
      <c r="K640" t="n">
        <v>0</v>
      </c>
      <c r="L640" t="n">
        <v>0</v>
      </c>
      <c r="M640" t="n">
        <v>0</v>
      </c>
      <c r="N640" t="n">
        <v>0</v>
      </c>
      <c r="O640" t="n">
        <v>0</v>
      </c>
      <c r="P640" t="n">
        <v>0</v>
      </c>
      <c r="Q640" t="n">
        <v>0</v>
      </c>
      <c r="R640" s="2" t="inlineStr"/>
    </row>
    <row r="641" ht="15" customHeight="1">
      <c r="A641" t="inlineStr">
        <is>
          <t>A 58282-2025</t>
        </is>
      </c>
      <c r="B641" s="1" t="n">
        <v>45985.44309027777</v>
      </c>
      <c r="C641" s="1" t="n">
        <v>45993</v>
      </c>
      <c r="D641" t="inlineStr">
        <is>
          <t>VÄSTMANLANDS LÄN</t>
        </is>
      </c>
      <c r="E641" t="inlineStr">
        <is>
          <t>SALA</t>
        </is>
      </c>
      <c r="G641" t="n">
        <v>8.9</v>
      </c>
      <c r="H641" t="n">
        <v>0</v>
      </c>
      <c r="I641" t="n">
        <v>0</v>
      </c>
      <c r="J641" t="n">
        <v>0</v>
      </c>
      <c r="K641" t="n">
        <v>0</v>
      </c>
      <c r="L641" t="n">
        <v>0</v>
      </c>
      <c r="M641" t="n">
        <v>0</v>
      </c>
      <c r="N641" t="n">
        <v>0</v>
      </c>
      <c r="O641" t="n">
        <v>0</v>
      </c>
      <c r="P641" t="n">
        <v>0</v>
      </c>
      <c r="Q641" t="n">
        <v>0</v>
      </c>
      <c r="R641" s="2" t="inlineStr"/>
    </row>
    <row r="642" ht="15" customHeight="1">
      <c r="A642" t="inlineStr">
        <is>
          <t>A 58357-2025</t>
        </is>
      </c>
      <c r="B642" s="1" t="n">
        <v>45985.51518518518</v>
      </c>
      <c r="C642" s="1" t="n">
        <v>45993</v>
      </c>
      <c r="D642" t="inlineStr">
        <is>
          <t>VÄSTMANLANDS LÄN</t>
        </is>
      </c>
      <c r="E642" t="inlineStr">
        <is>
          <t>SALA</t>
        </is>
      </c>
      <c r="G642" t="n">
        <v>3</v>
      </c>
      <c r="H642" t="n">
        <v>0</v>
      </c>
      <c r="I642" t="n">
        <v>0</v>
      </c>
      <c r="J642" t="n">
        <v>0</v>
      </c>
      <c r="K642" t="n">
        <v>0</v>
      </c>
      <c r="L642" t="n">
        <v>0</v>
      </c>
      <c r="M642" t="n">
        <v>0</v>
      </c>
      <c r="N642" t="n">
        <v>0</v>
      </c>
      <c r="O642" t="n">
        <v>0</v>
      </c>
      <c r="P642" t="n">
        <v>0</v>
      </c>
      <c r="Q642" t="n">
        <v>0</v>
      </c>
      <c r="R642" s="2" t="inlineStr"/>
    </row>
    <row r="643" ht="15" customHeight="1">
      <c r="A643" t="inlineStr">
        <is>
          <t>A 58364-2025</t>
        </is>
      </c>
      <c r="B643" s="1" t="n">
        <v>45985.5228125</v>
      </c>
      <c r="C643" s="1" t="n">
        <v>45993</v>
      </c>
      <c r="D643" t="inlineStr">
        <is>
          <t>VÄSTMANLANDS LÄN</t>
        </is>
      </c>
      <c r="E643" t="inlineStr">
        <is>
          <t>SALA</t>
        </is>
      </c>
      <c r="G643" t="n">
        <v>2.1</v>
      </c>
      <c r="H643" t="n">
        <v>0</v>
      </c>
      <c r="I643" t="n">
        <v>0</v>
      </c>
      <c r="J643" t="n">
        <v>0</v>
      </c>
      <c r="K643" t="n">
        <v>0</v>
      </c>
      <c r="L643" t="n">
        <v>0</v>
      </c>
      <c r="M643" t="n">
        <v>0</v>
      </c>
      <c r="N643" t="n">
        <v>0</v>
      </c>
      <c r="O643" t="n">
        <v>0</v>
      </c>
      <c r="P643" t="n">
        <v>0</v>
      </c>
      <c r="Q643" t="n">
        <v>0</v>
      </c>
      <c r="R643" s="2" t="inlineStr"/>
    </row>
    <row r="644" ht="15" customHeight="1">
      <c r="A644" t="inlineStr">
        <is>
          <t>A 26661-2025</t>
        </is>
      </c>
      <c r="B644" s="1" t="n">
        <v>45810</v>
      </c>
      <c r="C644" s="1" t="n">
        <v>45993</v>
      </c>
      <c r="D644" t="inlineStr">
        <is>
          <t>VÄSTMANLANDS LÄN</t>
        </is>
      </c>
      <c r="E644" t="inlineStr">
        <is>
          <t>SALA</t>
        </is>
      </c>
      <c r="G644" t="n">
        <v>3.5</v>
      </c>
      <c r="H644" t="n">
        <v>0</v>
      </c>
      <c r="I644" t="n">
        <v>0</v>
      </c>
      <c r="J644" t="n">
        <v>0</v>
      </c>
      <c r="K644" t="n">
        <v>0</v>
      </c>
      <c r="L644" t="n">
        <v>0</v>
      </c>
      <c r="M644" t="n">
        <v>0</v>
      </c>
      <c r="N644" t="n">
        <v>0</v>
      </c>
      <c r="O644" t="n">
        <v>0</v>
      </c>
      <c r="P644" t="n">
        <v>0</v>
      </c>
      <c r="Q644" t="n">
        <v>0</v>
      </c>
      <c r="R644" s="2" t="inlineStr"/>
    </row>
    <row r="645" ht="15" customHeight="1">
      <c r="A645" t="inlineStr">
        <is>
          <t>A 50128-2025</t>
        </is>
      </c>
      <c r="B645" s="1" t="n">
        <v>45943.55318287037</v>
      </c>
      <c r="C645" s="1" t="n">
        <v>45993</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58359-2025</t>
        </is>
      </c>
      <c r="B646" s="1" t="n">
        <v>45985.51594907408</v>
      </c>
      <c r="C646" s="1" t="n">
        <v>45993</v>
      </c>
      <c r="D646" t="inlineStr">
        <is>
          <t>VÄSTMANLANDS LÄN</t>
        </is>
      </c>
      <c r="E646" t="inlineStr">
        <is>
          <t>SALA</t>
        </is>
      </c>
      <c r="G646" t="n">
        <v>3.7</v>
      </c>
      <c r="H646" t="n">
        <v>0</v>
      </c>
      <c r="I646" t="n">
        <v>0</v>
      </c>
      <c r="J646" t="n">
        <v>0</v>
      </c>
      <c r="K646" t="n">
        <v>0</v>
      </c>
      <c r="L646" t="n">
        <v>0</v>
      </c>
      <c r="M646" t="n">
        <v>0</v>
      </c>
      <c r="N646" t="n">
        <v>0</v>
      </c>
      <c r="O646" t="n">
        <v>0</v>
      </c>
      <c r="P646" t="n">
        <v>0</v>
      </c>
      <c r="Q646" t="n">
        <v>0</v>
      </c>
      <c r="R646" s="2" t="inlineStr"/>
    </row>
    <row r="647" ht="15" customHeight="1">
      <c r="A647" t="inlineStr">
        <is>
          <t>A 58365-2025</t>
        </is>
      </c>
      <c r="B647" s="1" t="n">
        <v>45985.52288194445</v>
      </c>
      <c r="C647" s="1" t="n">
        <v>45993</v>
      </c>
      <c r="D647" t="inlineStr">
        <is>
          <t>VÄSTMANLANDS LÄN</t>
        </is>
      </c>
      <c r="E647" t="inlineStr">
        <is>
          <t>SALA</t>
        </is>
      </c>
      <c r="G647" t="n">
        <v>3.9</v>
      </c>
      <c r="H647" t="n">
        <v>0</v>
      </c>
      <c r="I647" t="n">
        <v>0</v>
      </c>
      <c r="J647" t="n">
        <v>0</v>
      </c>
      <c r="K647" t="n">
        <v>0</v>
      </c>
      <c r="L647" t="n">
        <v>0</v>
      </c>
      <c r="M647" t="n">
        <v>0</v>
      </c>
      <c r="N647" t="n">
        <v>0</v>
      </c>
      <c r="O647" t="n">
        <v>0</v>
      </c>
      <c r="P647" t="n">
        <v>0</v>
      </c>
      <c r="Q647" t="n">
        <v>0</v>
      </c>
      <c r="R647" s="2" t="inlineStr"/>
    </row>
    <row r="648" ht="15" customHeight="1">
      <c r="A648" t="inlineStr">
        <is>
          <t>A 50249-2025</t>
        </is>
      </c>
      <c r="B648" s="1" t="n">
        <v>45944.31508101852</v>
      </c>
      <c r="C648" s="1" t="n">
        <v>45993</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50119-2025</t>
        </is>
      </c>
      <c r="B649" s="1" t="n">
        <v>45943.54883101852</v>
      </c>
      <c r="C649" s="1" t="n">
        <v>45993</v>
      </c>
      <c r="D649" t="inlineStr">
        <is>
          <t>VÄSTMANLANDS LÄN</t>
        </is>
      </c>
      <c r="E649" t="inlineStr">
        <is>
          <t>SALA</t>
        </is>
      </c>
      <c r="G649" t="n">
        <v>3.3</v>
      </c>
      <c r="H649" t="n">
        <v>0</v>
      </c>
      <c r="I649" t="n">
        <v>0</v>
      </c>
      <c r="J649" t="n">
        <v>0</v>
      </c>
      <c r="K649" t="n">
        <v>0</v>
      </c>
      <c r="L649" t="n">
        <v>0</v>
      </c>
      <c r="M649" t="n">
        <v>0</v>
      </c>
      <c r="N649" t="n">
        <v>0</v>
      </c>
      <c r="O649" t="n">
        <v>0</v>
      </c>
      <c r="P649" t="n">
        <v>0</v>
      </c>
      <c r="Q649" t="n">
        <v>0</v>
      </c>
      <c r="R649" s="2" t="inlineStr"/>
    </row>
    <row r="650" ht="15" customHeight="1">
      <c r="A650" t="inlineStr">
        <is>
          <t>A 50059-2025</t>
        </is>
      </c>
      <c r="B650" s="1" t="n">
        <v>45943.44125</v>
      </c>
      <c r="C650" s="1" t="n">
        <v>45993</v>
      </c>
      <c r="D650" t="inlineStr">
        <is>
          <t>VÄSTMANLANDS LÄN</t>
        </is>
      </c>
      <c r="E650" t="inlineStr">
        <is>
          <t>SALA</t>
        </is>
      </c>
      <c r="G650" t="n">
        <v>4.4</v>
      </c>
      <c r="H650" t="n">
        <v>0</v>
      </c>
      <c r="I650" t="n">
        <v>0</v>
      </c>
      <c r="J650" t="n">
        <v>0</v>
      </c>
      <c r="K650" t="n">
        <v>0</v>
      </c>
      <c r="L650" t="n">
        <v>0</v>
      </c>
      <c r="M650" t="n">
        <v>0</v>
      </c>
      <c r="N650" t="n">
        <v>0</v>
      </c>
      <c r="O650" t="n">
        <v>0</v>
      </c>
      <c r="P650" t="n">
        <v>0</v>
      </c>
      <c r="Q650" t="n">
        <v>0</v>
      </c>
      <c r="R650" s="2" t="inlineStr"/>
    </row>
    <row r="651" ht="15" customHeight="1">
      <c r="A651" t="inlineStr">
        <is>
          <t>A 28193-2025</t>
        </is>
      </c>
      <c r="B651" s="1" t="n">
        <v>45818.425625</v>
      </c>
      <c r="C651" s="1" t="n">
        <v>45993</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27981-2025</t>
        </is>
      </c>
      <c r="B652" s="1" t="n">
        <v>45817.57471064815</v>
      </c>
      <c r="C652" s="1" t="n">
        <v>45993</v>
      </c>
      <c r="D652" t="inlineStr">
        <is>
          <t>VÄSTMANLANDS LÄN</t>
        </is>
      </c>
      <c r="E652" t="inlineStr">
        <is>
          <t>SALA</t>
        </is>
      </c>
      <c r="G652" t="n">
        <v>1.7</v>
      </c>
      <c r="H652" t="n">
        <v>0</v>
      </c>
      <c r="I652" t="n">
        <v>0</v>
      </c>
      <c r="J652" t="n">
        <v>0</v>
      </c>
      <c r="K652" t="n">
        <v>0</v>
      </c>
      <c r="L652" t="n">
        <v>0</v>
      </c>
      <c r="M652" t="n">
        <v>0</v>
      </c>
      <c r="N652" t="n">
        <v>0</v>
      </c>
      <c r="O652" t="n">
        <v>0</v>
      </c>
      <c r="P652" t="n">
        <v>0</v>
      </c>
      <c r="Q652" t="n">
        <v>0</v>
      </c>
      <c r="R652" s="2" t="inlineStr"/>
    </row>
    <row r="653" ht="15" customHeight="1">
      <c r="A653" t="inlineStr">
        <is>
          <t>A 28278-2025</t>
        </is>
      </c>
      <c r="B653" s="1" t="n">
        <v>45818.58454861111</v>
      </c>
      <c r="C653" s="1" t="n">
        <v>45993</v>
      </c>
      <c r="D653" t="inlineStr">
        <is>
          <t>VÄSTMANLANDS LÄN</t>
        </is>
      </c>
      <c r="E653" t="inlineStr">
        <is>
          <t>SALA</t>
        </is>
      </c>
      <c r="G653" t="n">
        <v>7.6</v>
      </c>
      <c r="H653" t="n">
        <v>0</v>
      </c>
      <c r="I653" t="n">
        <v>0</v>
      </c>
      <c r="J653" t="n">
        <v>0</v>
      </c>
      <c r="K653" t="n">
        <v>0</v>
      </c>
      <c r="L653" t="n">
        <v>0</v>
      </c>
      <c r="M653" t="n">
        <v>0</v>
      </c>
      <c r="N653" t="n">
        <v>0</v>
      </c>
      <c r="O653" t="n">
        <v>0</v>
      </c>
      <c r="P653" t="n">
        <v>0</v>
      </c>
      <c r="Q653" t="n">
        <v>0</v>
      </c>
      <c r="R653" s="2" t="inlineStr"/>
    </row>
    <row r="654" ht="15" customHeight="1">
      <c r="A654" t="inlineStr">
        <is>
          <t>A 27989-2025</t>
        </is>
      </c>
      <c r="B654" s="1" t="n">
        <v>45817.58716435185</v>
      </c>
      <c r="C654" s="1" t="n">
        <v>45993</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28284-2025</t>
        </is>
      </c>
      <c r="B655" s="1" t="n">
        <v>45818.58893518519</v>
      </c>
      <c r="C655" s="1" t="n">
        <v>45993</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55760-2025</t>
        </is>
      </c>
      <c r="B656" s="1" t="n">
        <v>45972</v>
      </c>
      <c r="C656" s="1" t="n">
        <v>45993</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28632-2025</t>
        </is>
      </c>
      <c r="B657" s="1" t="n">
        <v>45819.62344907408</v>
      </c>
      <c r="C657" s="1" t="n">
        <v>45993</v>
      </c>
      <c r="D657" t="inlineStr">
        <is>
          <t>VÄSTMANLANDS LÄN</t>
        </is>
      </c>
      <c r="E657" t="inlineStr">
        <is>
          <t>SALA</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57014-2025</t>
        </is>
      </c>
      <c r="B658" s="1" t="n">
        <v>45978</v>
      </c>
      <c r="C658" s="1" t="n">
        <v>45993</v>
      </c>
      <c r="D658" t="inlineStr">
        <is>
          <t>VÄSTMANLANDS LÄN</t>
        </is>
      </c>
      <c r="E658" t="inlineStr">
        <is>
          <t>SALA</t>
        </is>
      </c>
      <c r="G658" t="n">
        <v>2.2</v>
      </c>
      <c r="H658" t="n">
        <v>0</v>
      </c>
      <c r="I658" t="n">
        <v>0</v>
      </c>
      <c r="J658" t="n">
        <v>0</v>
      </c>
      <c r="K658" t="n">
        <v>0</v>
      </c>
      <c r="L658" t="n">
        <v>0</v>
      </c>
      <c r="M658" t="n">
        <v>0</v>
      </c>
      <c r="N658" t="n">
        <v>0</v>
      </c>
      <c r="O658" t="n">
        <v>0</v>
      </c>
      <c r="P658" t="n">
        <v>0</v>
      </c>
      <c r="Q658" t="n">
        <v>0</v>
      </c>
      <c r="R658" s="2" t="inlineStr"/>
    </row>
    <row r="659" ht="15" customHeight="1">
      <c r="A659" t="inlineStr">
        <is>
          <t>A 28628-2025</t>
        </is>
      </c>
      <c r="B659" s="1" t="n">
        <v>45819.62158564815</v>
      </c>
      <c r="C659" s="1" t="n">
        <v>45993</v>
      </c>
      <c r="D659" t="inlineStr">
        <is>
          <t>VÄSTMANLANDS LÄN</t>
        </is>
      </c>
      <c r="E659" t="inlineStr">
        <is>
          <t>SALA</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28630-2025</t>
        </is>
      </c>
      <c r="B660" s="1" t="n">
        <v>45819.62274305556</v>
      </c>
      <c r="C660" s="1" t="n">
        <v>45993</v>
      </c>
      <c r="D660" t="inlineStr">
        <is>
          <t>VÄSTMANLANDS LÄN</t>
        </is>
      </c>
      <c r="E660" t="inlineStr">
        <is>
          <t>SALA</t>
        </is>
      </c>
      <c r="F660" t="inlineStr">
        <is>
          <t>Sveaskog</t>
        </is>
      </c>
      <c r="G660" t="n">
        <v>9</v>
      </c>
      <c r="H660" t="n">
        <v>0</v>
      </c>
      <c r="I660" t="n">
        <v>0</v>
      </c>
      <c r="J660" t="n">
        <v>0</v>
      </c>
      <c r="K660" t="n">
        <v>0</v>
      </c>
      <c r="L660" t="n">
        <v>0</v>
      </c>
      <c r="M660" t="n">
        <v>0</v>
      </c>
      <c r="N660" t="n">
        <v>0</v>
      </c>
      <c r="O660" t="n">
        <v>0</v>
      </c>
      <c r="P660" t="n">
        <v>0</v>
      </c>
      <c r="Q660" t="n">
        <v>0</v>
      </c>
      <c r="R660" s="2" t="inlineStr"/>
    </row>
    <row r="661" ht="15" customHeight="1">
      <c r="A661" t="inlineStr">
        <is>
          <t>A 28837-2025</t>
        </is>
      </c>
      <c r="B661" s="1" t="n">
        <v>45820.56243055555</v>
      </c>
      <c r="C661" s="1" t="n">
        <v>45993</v>
      </c>
      <c r="D661" t="inlineStr">
        <is>
          <t>VÄSTMANLANDS LÄN</t>
        </is>
      </c>
      <c r="E661" t="inlineStr">
        <is>
          <t>SALA</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28849-2025</t>
        </is>
      </c>
      <c r="B662" s="1" t="n">
        <v>45820</v>
      </c>
      <c r="C662" s="1" t="n">
        <v>45993</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59817-2025</t>
        </is>
      </c>
      <c r="B663" s="1" t="n">
        <v>45992.63711805556</v>
      </c>
      <c r="C663" s="1" t="n">
        <v>45993</v>
      </c>
      <c r="D663" t="inlineStr">
        <is>
          <t>VÄSTMANLANDS LÄN</t>
        </is>
      </c>
      <c r="E663" t="inlineStr">
        <is>
          <t>SALA</t>
        </is>
      </c>
      <c r="G663" t="n">
        <v>6.9</v>
      </c>
      <c r="H663" t="n">
        <v>0</v>
      </c>
      <c r="I663" t="n">
        <v>0</v>
      </c>
      <c r="J663" t="n">
        <v>0</v>
      </c>
      <c r="K663" t="n">
        <v>0</v>
      </c>
      <c r="L663" t="n">
        <v>0</v>
      </c>
      <c r="M663" t="n">
        <v>0</v>
      </c>
      <c r="N663" t="n">
        <v>0</v>
      </c>
      <c r="O663" t="n">
        <v>0</v>
      </c>
      <c r="P663" t="n">
        <v>0</v>
      </c>
      <c r="Q663" t="n">
        <v>0</v>
      </c>
      <c r="R663" s="2" t="inlineStr"/>
    </row>
    <row r="664" ht="15" customHeight="1">
      <c r="A664" t="inlineStr">
        <is>
          <t>A 29085-2025</t>
        </is>
      </c>
      <c r="B664" s="1" t="n">
        <v>45821</v>
      </c>
      <c r="C664" s="1" t="n">
        <v>45993</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51247-2025</t>
        </is>
      </c>
      <c r="B665" s="1" t="n">
        <v>45947.86487268518</v>
      </c>
      <c r="C665" s="1" t="n">
        <v>45993</v>
      </c>
      <c r="D665" t="inlineStr">
        <is>
          <t>VÄSTMANLANDS LÄN</t>
        </is>
      </c>
      <c r="E665" t="inlineStr">
        <is>
          <t>SALA</t>
        </is>
      </c>
      <c r="G665" t="n">
        <v>10.4</v>
      </c>
      <c r="H665" t="n">
        <v>0</v>
      </c>
      <c r="I665" t="n">
        <v>0</v>
      </c>
      <c r="J665" t="n">
        <v>0</v>
      </c>
      <c r="K665" t="n">
        <v>0</v>
      </c>
      <c r="L665" t="n">
        <v>0</v>
      </c>
      <c r="M665" t="n">
        <v>0</v>
      </c>
      <c r="N665" t="n">
        <v>0</v>
      </c>
      <c r="O665" t="n">
        <v>0</v>
      </c>
      <c r="P665" t="n">
        <v>0</v>
      </c>
      <c r="Q665" t="n">
        <v>0</v>
      </c>
      <c r="R665" s="2" t="inlineStr"/>
    </row>
    <row r="666" ht="15" customHeight="1">
      <c r="A666" t="inlineStr">
        <is>
          <t>A 59385-2025</t>
        </is>
      </c>
      <c r="B666" s="1" t="n">
        <v>45989.45746527778</v>
      </c>
      <c r="C666" s="1" t="n">
        <v>45993</v>
      </c>
      <c r="D666" t="inlineStr">
        <is>
          <t>VÄSTMANLANDS LÄN</t>
        </is>
      </c>
      <c r="E666" t="inlineStr">
        <is>
          <t>SALA</t>
        </is>
      </c>
      <c r="G666" t="n">
        <v>0.4</v>
      </c>
      <c r="H666" t="n">
        <v>0</v>
      </c>
      <c r="I666" t="n">
        <v>0</v>
      </c>
      <c r="J666" t="n">
        <v>0</v>
      </c>
      <c r="K666" t="n">
        <v>0</v>
      </c>
      <c r="L666" t="n">
        <v>0</v>
      </c>
      <c r="M666" t="n">
        <v>0</v>
      </c>
      <c r="N666" t="n">
        <v>0</v>
      </c>
      <c r="O666" t="n">
        <v>0</v>
      </c>
      <c r="P666" t="n">
        <v>0</v>
      </c>
      <c r="Q666" t="n">
        <v>0</v>
      </c>
      <c r="R666" s="2" t="inlineStr"/>
    </row>
    <row r="667" ht="15" customHeight="1">
      <c r="A667" t="inlineStr">
        <is>
          <t>A 60541-2024</t>
        </is>
      </c>
      <c r="B667" s="1" t="n">
        <v>45643</v>
      </c>
      <c r="C667" s="1" t="n">
        <v>45993</v>
      </c>
      <c r="D667" t="inlineStr">
        <is>
          <t>VÄSTMANLANDS LÄN</t>
        </is>
      </c>
      <c r="E667" t="inlineStr">
        <is>
          <t>SALA</t>
        </is>
      </c>
      <c r="G667" t="n">
        <v>10.6</v>
      </c>
      <c r="H667" t="n">
        <v>0</v>
      </c>
      <c r="I667" t="n">
        <v>0</v>
      </c>
      <c r="J667" t="n">
        <v>0</v>
      </c>
      <c r="K667" t="n">
        <v>0</v>
      </c>
      <c r="L667" t="n">
        <v>0</v>
      </c>
      <c r="M667" t="n">
        <v>0</v>
      </c>
      <c r="N667" t="n">
        <v>0</v>
      </c>
      <c r="O667" t="n">
        <v>0</v>
      </c>
      <c r="P667" t="n">
        <v>0</v>
      </c>
      <c r="Q667" t="n">
        <v>0</v>
      </c>
      <c r="R667" s="2" t="inlineStr"/>
    </row>
    <row r="668" ht="15" customHeight="1">
      <c r="A668" t="inlineStr">
        <is>
          <t>A 29826-2025</t>
        </is>
      </c>
      <c r="B668" s="1" t="n">
        <v>45825.85761574074</v>
      </c>
      <c r="C668" s="1" t="n">
        <v>45993</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29691-2025</t>
        </is>
      </c>
      <c r="B669" s="1" t="n">
        <v>45825.53645833334</v>
      </c>
      <c r="C669" s="1" t="n">
        <v>45993</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59390-2025</t>
        </is>
      </c>
      <c r="B670" s="1" t="n">
        <v>45989.4640162037</v>
      </c>
      <c r="C670" s="1" t="n">
        <v>45993</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30874-2025</t>
        </is>
      </c>
      <c r="B671" s="1" t="n">
        <v>45832.34430555555</v>
      </c>
      <c r="C671" s="1" t="n">
        <v>45993</v>
      </c>
      <c r="D671" t="inlineStr">
        <is>
          <t>VÄSTMANLANDS LÄN</t>
        </is>
      </c>
      <c r="E671" t="inlineStr">
        <is>
          <t>SALA</t>
        </is>
      </c>
      <c r="G671" t="n">
        <v>8.4</v>
      </c>
      <c r="H671" t="n">
        <v>0</v>
      </c>
      <c r="I671" t="n">
        <v>0</v>
      </c>
      <c r="J671" t="n">
        <v>0</v>
      </c>
      <c r="K671" t="n">
        <v>0</v>
      </c>
      <c r="L671" t="n">
        <v>0</v>
      </c>
      <c r="M671" t="n">
        <v>0</v>
      </c>
      <c r="N671" t="n">
        <v>0</v>
      </c>
      <c r="O671" t="n">
        <v>0</v>
      </c>
      <c r="P671" t="n">
        <v>0</v>
      </c>
      <c r="Q671" t="n">
        <v>0</v>
      </c>
      <c r="R671" s="2" t="inlineStr"/>
    </row>
    <row r="672" ht="15" customHeight="1">
      <c r="A672" t="inlineStr">
        <is>
          <t>A 30899-2025</t>
        </is>
      </c>
      <c r="B672" s="1" t="n">
        <v>45832.35767361111</v>
      </c>
      <c r="C672" s="1" t="n">
        <v>45993</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30866-2025</t>
        </is>
      </c>
      <c r="B673" s="1" t="n">
        <v>45832.3246875</v>
      </c>
      <c r="C673" s="1" t="n">
        <v>45993</v>
      </c>
      <c r="D673" t="inlineStr">
        <is>
          <t>VÄSTMANLANDS LÄN</t>
        </is>
      </c>
      <c r="E673" t="inlineStr">
        <is>
          <t>SALA</t>
        </is>
      </c>
      <c r="G673" t="n">
        <v>14.3</v>
      </c>
      <c r="H673" t="n">
        <v>0</v>
      </c>
      <c r="I673" t="n">
        <v>0</v>
      </c>
      <c r="J673" t="n">
        <v>0</v>
      </c>
      <c r="K673" t="n">
        <v>0</v>
      </c>
      <c r="L673" t="n">
        <v>0</v>
      </c>
      <c r="M673" t="n">
        <v>0</v>
      </c>
      <c r="N673" t="n">
        <v>0</v>
      </c>
      <c r="O673" t="n">
        <v>0</v>
      </c>
      <c r="P673" t="n">
        <v>0</v>
      </c>
      <c r="Q673" t="n">
        <v>0</v>
      </c>
      <c r="R673" s="2" t="inlineStr"/>
    </row>
    <row r="674" ht="15" customHeight="1">
      <c r="A674" t="inlineStr">
        <is>
          <t>A 31065-2025</t>
        </is>
      </c>
      <c r="B674" s="1" t="n">
        <v>45832.57571759259</v>
      </c>
      <c r="C674" s="1" t="n">
        <v>45993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31612-2025</t>
        </is>
      </c>
      <c r="B675" s="1" t="n">
        <v>45833.80056712963</v>
      </c>
      <c r="C675" s="1" t="n">
        <v>45993</v>
      </c>
      <c r="D675" t="inlineStr">
        <is>
          <t>VÄSTMANLANDS LÄN</t>
        </is>
      </c>
      <c r="E675" t="inlineStr">
        <is>
          <t>SALA</t>
        </is>
      </c>
      <c r="G675" t="n">
        <v>6.3</v>
      </c>
      <c r="H675" t="n">
        <v>0</v>
      </c>
      <c r="I675" t="n">
        <v>0</v>
      </c>
      <c r="J675" t="n">
        <v>0</v>
      </c>
      <c r="K675" t="n">
        <v>0</v>
      </c>
      <c r="L675" t="n">
        <v>0</v>
      </c>
      <c r="M675" t="n">
        <v>0</v>
      </c>
      <c r="N675" t="n">
        <v>0</v>
      </c>
      <c r="O675" t="n">
        <v>0</v>
      </c>
      <c r="P675" t="n">
        <v>0</v>
      </c>
      <c r="Q675" t="n">
        <v>0</v>
      </c>
      <c r="R675" s="2" t="inlineStr"/>
    </row>
    <row r="676" ht="15" customHeight="1">
      <c r="A676" t="inlineStr">
        <is>
          <t>A 31748-2025</t>
        </is>
      </c>
      <c r="B676" s="1" t="n">
        <v>45834</v>
      </c>
      <c r="C676" s="1" t="n">
        <v>45993</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31288-2025</t>
        </is>
      </c>
      <c r="B677" s="1" t="n">
        <v>45833</v>
      </c>
      <c r="C677" s="1" t="n">
        <v>45993</v>
      </c>
      <c r="D677" t="inlineStr">
        <is>
          <t>VÄSTMANLANDS LÄN</t>
        </is>
      </c>
      <c r="E677" t="inlineStr">
        <is>
          <t>SALA</t>
        </is>
      </c>
      <c r="G677" t="n">
        <v>3.1</v>
      </c>
      <c r="H677" t="n">
        <v>0</v>
      </c>
      <c r="I677" t="n">
        <v>0</v>
      </c>
      <c r="J677" t="n">
        <v>0</v>
      </c>
      <c r="K677" t="n">
        <v>0</v>
      </c>
      <c r="L677" t="n">
        <v>0</v>
      </c>
      <c r="M677" t="n">
        <v>0</v>
      </c>
      <c r="N677" t="n">
        <v>0</v>
      </c>
      <c r="O677" t="n">
        <v>0</v>
      </c>
      <c r="P677" t="n">
        <v>0</v>
      </c>
      <c r="Q677" t="n">
        <v>0</v>
      </c>
      <c r="R677" s="2" t="inlineStr"/>
    </row>
    <row r="678" ht="15" customHeight="1">
      <c r="A678" t="inlineStr">
        <is>
          <t>A 31771-2025</t>
        </is>
      </c>
      <c r="B678" s="1" t="n">
        <v>45834.50910879629</v>
      </c>
      <c r="C678" s="1" t="n">
        <v>45993</v>
      </c>
      <c r="D678" t="inlineStr">
        <is>
          <t>VÄSTMANLANDS LÄN</t>
        </is>
      </c>
      <c r="E678" t="inlineStr">
        <is>
          <t>SALA</t>
        </is>
      </c>
      <c r="G678" t="n">
        <v>5.1</v>
      </c>
      <c r="H678" t="n">
        <v>0</v>
      </c>
      <c r="I678" t="n">
        <v>0</v>
      </c>
      <c r="J678" t="n">
        <v>0</v>
      </c>
      <c r="K678" t="n">
        <v>0</v>
      </c>
      <c r="L678" t="n">
        <v>0</v>
      </c>
      <c r="M678" t="n">
        <v>0</v>
      </c>
      <c r="N678" t="n">
        <v>0</v>
      </c>
      <c r="O678" t="n">
        <v>0</v>
      </c>
      <c r="P678" t="n">
        <v>0</v>
      </c>
      <c r="Q678" t="n">
        <v>0</v>
      </c>
      <c r="R678" s="2" t="inlineStr"/>
    </row>
    <row r="679" ht="15" customHeight="1">
      <c r="A679" t="inlineStr">
        <is>
          <t>A 31554-2025</t>
        </is>
      </c>
      <c r="B679" s="1" t="n">
        <v>45833</v>
      </c>
      <c r="C679" s="1" t="n">
        <v>45993</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31762-2025</t>
        </is>
      </c>
      <c r="B680" s="1" t="n">
        <v>45834.49288194445</v>
      </c>
      <c r="C680" s="1" t="n">
        <v>45993</v>
      </c>
      <c r="D680" t="inlineStr">
        <is>
          <t>VÄSTMANLANDS LÄN</t>
        </is>
      </c>
      <c r="E680" t="inlineStr">
        <is>
          <t>SALA</t>
        </is>
      </c>
      <c r="G680" t="n">
        <v>5.9</v>
      </c>
      <c r="H680" t="n">
        <v>0</v>
      </c>
      <c r="I680" t="n">
        <v>0</v>
      </c>
      <c r="J680" t="n">
        <v>0</v>
      </c>
      <c r="K680" t="n">
        <v>0</v>
      </c>
      <c r="L680" t="n">
        <v>0</v>
      </c>
      <c r="M680" t="n">
        <v>0</v>
      </c>
      <c r="N680" t="n">
        <v>0</v>
      </c>
      <c r="O680" t="n">
        <v>0</v>
      </c>
      <c r="P680" t="n">
        <v>0</v>
      </c>
      <c r="Q680" t="n">
        <v>0</v>
      </c>
      <c r="R680" s="2" t="inlineStr"/>
    </row>
    <row r="681" ht="15" customHeight="1">
      <c r="A681" t="inlineStr">
        <is>
          <t>A 31608-2025</t>
        </is>
      </c>
      <c r="B681" s="1" t="n">
        <v>45833</v>
      </c>
      <c r="C681" s="1" t="n">
        <v>45993</v>
      </c>
      <c r="D681" t="inlineStr">
        <is>
          <t>VÄSTMANLANDS LÄN</t>
        </is>
      </c>
      <c r="E681" t="inlineStr">
        <is>
          <t>SALA</t>
        </is>
      </c>
      <c r="G681" t="n">
        <v>6.1</v>
      </c>
      <c r="H681" t="n">
        <v>0</v>
      </c>
      <c r="I681" t="n">
        <v>0</v>
      </c>
      <c r="J681" t="n">
        <v>0</v>
      </c>
      <c r="K681" t="n">
        <v>0</v>
      </c>
      <c r="L681" t="n">
        <v>0</v>
      </c>
      <c r="M681" t="n">
        <v>0</v>
      </c>
      <c r="N681" t="n">
        <v>0</v>
      </c>
      <c r="O681" t="n">
        <v>0</v>
      </c>
      <c r="P681" t="n">
        <v>0</v>
      </c>
      <c r="Q681" t="n">
        <v>0</v>
      </c>
      <c r="R681" s="2" t="inlineStr"/>
    </row>
    <row r="682" ht="15" customHeight="1">
      <c r="A682" t="inlineStr">
        <is>
          <t>A 31610-2025</t>
        </is>
      </c>
      <c r="B682" s="1" t="n">
        <v>45833.78650462963</v>
      </c>
      <c r="C682" s="1" t="n">
        <v>45993</v>
      </c>
      <c r="D682" t="inlineStr">
        <is>
          <t>VÄSTMANLANDS LÄN</t>
        </is>
      </c>
      <c r="E682" t="inlineStr">
        <is>
          <t>SALA</t>
        </is>
      </c>
      <c r="G682" t="n">
        <v>8</v>
      </c>
      <c r="H682" t="n">
        <v>0</v>
      </c>
      <c r="I682" t="n">
        <v>0</v>
      </c>
      <c r="J682" t="n">
        <v>0</v>
      </c>
      <c r="K682" t="n">
        <v>0</v>
      </c>
      <c r="L682" t="n">
        <v>0</v>
      </c>
      <c r="M682" t="n">
        <v>0</v>
      </c>
      <c r="N682" t="n">
        <v>0</v>
      </c>
      <c r="O682" t="n">
        <v>0</v>
      </c>
      <c r="P682" t="n">
        <v>0</v>
      </c>
      <c r="Q682" t="n">
        <v>0</v>
      </c>
      <c r="R682" s="2" t="inlineStr"/>
    </row>
    <row r="683" ht="15" customHeight="1">
      <c r="A683" t="inlineStr">
        <is>
          <t>A 31296-2025</t>
        </is>
      </c>
      <c r="B683" s="1" t="n">
        <v>45833.36765046296</v>
      </c>
      <c r="C683" s="1" t="n">
        <v>45993</v>
      </c>
      <c r="D683" t="inlineStr">
        <is>
          <t>VÄSTMANLANDS LÄN</t>
        </is>
      </c>
      <c r="E683" t="inlineStr">
        <is>
          <t>SALA</t>
        </is>
      </c>
      <c r="G683" t="n">
        <v>3.7</v>
      </c>
      <c r="H683" t="n">
        <v>0</v>
      </c>
      <c r="I683" t="n">
        <v>0</v>
      </c>
      <c r="J683" t="n">
        <v>0</v>
      </c>
      <c r="K683" t="n">
        <v>0</v>
      </c>
      <c r="L683" t="n">
        <v>0</v>
      </c>
      <c r="M683" t="n">
        <v>0</v>
      </c>
      <c r="N683" t="n">
        <v>0</v>
      </c>
      <c r="O683" t="n">
        <v>0</v>
      </c>
      <c r="P683" t="n">
        <v>0</v>
      </c>
      <c r="Q683" t="n">
        <v>0</v>
      </c>
      <c r="R683" s="2" t="inlineStr"/>
    </row>
    <row r="684" ht="15" customHeight="1">
      <c r="A684" t="inlineStr">
        <is>
          <t>A 31573-2025</t>
        </is>
      </c>
      <c r="B684" s="1" t="n">
        <v>45833</v>
      </c>
      <c r="C684" s="1" t="n">
        <v>45993</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32201-2025</t>
        </is>
      </c>
      <c r="B685" s="1" t="n">
        <v>45835</v>
      </c>
      <c r="C685" s="1" t="n">
        <v>45993</v>
      </c>
      <c r="D685" t="inlineStr">
        <is>
          <t>VÄSTMANLANDS LÄN</t>
        </is>
      </c>
      <c r="E685" t="inlineStr">
        <is>
          <t>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32205-2025</t>
        </is>
      </c>
      <c r="B686" s="1" t="n">
        <v>45835</v>
      </c>
      <c r="C686" s="1" t="n">
        <v>45993</v>
      </c>
      <c r="D686" t="inlineStr">
        <is>
          <t>VÄSTMANLANDS LÄN</t>
        </is>
      </c>
      <c r="E686" t="inlineStr">
        <is>
          <t>SALA</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32210-2025</t>
        </is>
      </c>
      <c r="B687" s="1" t="n">
        <v>45835</v>
      </c>
      <c r="C687" s="1" t="n">
        <v>45993</v>
      </c>
      <c r="D687" t="inlineStr">
        <is>
          <t>VÄSTMANLANDS LÄN</t>
        </is>
      </c>
      <c r="E687" t="inlineStr">
        <is>
          <t>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32286-2025</t>
        </is>
      </c>
      <c r="B688" s="1" t="n">
        <v>45835</v>
      </c>
      <c r="C688" s="1" t="n">
        <v>45993</v>
      </c>
      <c r="D688" t="inlineStr">
        <is>
          <t>VÄSTMANLANDS LÄN</t>
        </is>
      </c>
      <c r="E688" t="inlineStr">
        <is>
          <t>SALA</t>
        </is>
      </c>
      <c r="G688" t="n">
        <v>6.4</v>
      </c>
      <c r="H688" t="n">
        <v>0</v>
      </c>
      <c r="I688" t="n">
        <v>0</v>
      </c>
      <c r="J688" t="n">
        <v>0</v>
      </c>
      <c r="K688" t="n">
        <v>0</v>
      </c>
      <c r="L688" t="n">
        <v>0</v>
      </c>
      <c r="M688" t="n">
        <v>0</v>
      </c>
      <c r="N688" t="n">
        <v>0</v>
      </c>
      <c r="O688" t="n">
        <v>0</v>
      </c>
      <c r="P688" t="n">
        <v>0</v>
      </c>
      <c r="Q688" t="n">
        <v>0</v>
      </c>
      <c r="R688" s="2" t="inlineStr"/>
    </row>
    <row r="689" ht="15" customHeight="1">
      <c r="A689" t="inlineStr">
        <is>
          <t>A 32207-2025</t>
        </is>
      </c>
      <c r="B689" s="1" t="n">
        <v>45835</v>
      </c>
      <c r="C689" s="1" t="n">
        <v>45993</v>
      </c>
      <c r="D689" t="inlineStr">
        <is>
          <t>VÄSTMANLANDS LÄN</t>
        </is>
      </c>
      <c r="E689" t="inlineStr">
        <is>
          <t>SALA</t>
        </is>
      </c>
      <c r="F689" t="inlineStr">
        <is>
          <t>Bergvik skog öst AB</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32902-2025</t>
        </is>
      </c>
      <c r="B690" s="1" t="n">
        <v>45839</v>
      </c>
      <c r="C690" s="1" t="n">
        <v>45993</v>
      </c>
      <c r="D690" t="inlineStr">
        <is>
          <t>VÄSTMANLANDS LÄN</t>
        </is>
      </c>
      <c r="E690" t="inlineStr">
        <is>
          <t>SALA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34069-2025</t>
        </is>
      </c>
      <c r="B691" s="1" t="n">
        <v>45845.43560185185</v>
      </c>
      <c r="C691" s="1" t="n">
        <v>45993</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c r="U691">
        <f>HYPERLINK("https://klasma.github.io/Logging_1981/knärot/A 34069-2025 karta knärot.png", "A 34069-2025")</f>
        <v/>
      </c>
      <c r="V691">
        <f>HYPERLINK("https://klasma.github.io/Logging_1981/klagomål/A 34069-2025 FSC-klagomål.docx", "A 34069-2025")</f>
        <v/>
      </c>
      <c r="W691">
        <f>HYPERLINK("https://klasma.github.io/Logging_1981/klagomålsmail/A 34069-2025 FSC-klagomål mail.docx", "A 34069-2025")</f>
        <v/>
      </c>
      <c r="X691">
        <f>HYPERLINK("https://klasma.github.io/Logging_1981/tillsyn/A 34069-2025 tillsynsbegäran.docx", "A 34069-2025")</f>
        <v/>
      </c>
      <c r="Y691">
        <f>HYPERLINK("https://klasma.github.io/Logging_1981/tillsynsmail/A 34069-2025 tillsynsbegäran mail.docx", "A 34069-2025")</f>
        <v/>
      </c>
    </row>
    <row r="692" ht="15" customHeight="1">
      <c r="A692" t="inlineStr">
        <is>
          <t>A 15744-2025</t>
        </is>
      </c>
      <c r="B692" s="1" t="n">
        <v>45748</v>
      </c>
      <c r="C692" s="1" t="n">
        <v>45993</v>
      </c>
      <c r="D692" t="inlineStr">
        <is>
          <t>VÄSTMANLANDS LÄN</t>
        </is>
      </c>
      <c r="E692" t="inlineStr">
        <is>
          <t>SALA</t>
        </is>
      </c>
      <c r="G692" t="n">
        <v>1.6</v>
      </c>
      <c r="H692" t="n">
        <v>0</v>
      </c>
      <c r="I692" t="n">
        <v>0</v>
      </c>
      <c r="J692" t="n">
        <v>0</v>
      </c>
      <c r="K692" t="n">
        <v>0</v>
      </c>
      <c r="L692" t="n">
        <v>0</v>
      </c>
      <c r="M692" t="n">
        <v>0</v>
      </c>
      <c r="N692" t="n">
        <v>0</v>
      </c>
      <c r="O692" t="n">
        <v>0</v>
      </c>
      <c r="P692" t="n">
        <v>0</v>
      </c>
      <c r="Q692" t="n">
        <v>0</v>
      </c>
      <c r="R692" s="2" t="inlineStr"/>
    </row>
    <row r="693" ht="15" customHeight="1">
      <c r="A693" t="inlineStr">
        <is>
          <t>A 35715-2025</t>
        </is>
      </c>
      <c r="B693" s="1" t="n">
        <v>45860.42148148148</v>
      </c>
      <c r="C693" s="1" t="n">
        <v>45993</v>
      </c>
      <c r="D693" t="inlineStr">
        <is>
          <t>VÄSTMANLANDS LÄN</t>
        </is>
      </c>
      <c r="E693" t="inlineStr">
        <is>
          <t>SALA</t>
        </is>
      </c>
      <c r="G693" t="n">
        <v>3.8</v>
      </c>
      <c r="H693" t="n">
        <v>0</v>
      </c>
      <c r="I693" t="n">
        <v>0</v>
      </c>
      <c r="J693" t="n">
        <v>0</v>
      </c>
      <c r="K693" t="n">
        <v>0</v>
      </c>
      <c r="L693" t="n">
        <v>0</v>
      </c>
      <c r="M693" t="n">
        <v>0</v>
      </c>
      <c r="N693" t="n">
        <v>0</v>
      </c>
      <c r="O693" t="n">
        <v>0</v>
      </c>
      <c r="P693" t="n">
        <v>0</v>
      </c>
      <c r="Q693" t="n">
        <v>0</v>
      </c>
      <c r="R693" s="2" t="inlineStr"/>
    </row>
    <row r="694" ht="15" customHeight="1">
      <c r="A694" t="inlineStr">
        <is>
          <t>A 35651-2025</t>
        </is>
      </c>
      <c r="B694" s="1" t="n">
        <v>45859.52435185185</v>
      </c>
      <c r="C694" s="1" t="n">
        <v>45993</v>
      </c>
      <c r="D694" t="inlineStr">
        <is>
          <t>VÄSTMANLANDS LÄN</t>
        </is>
      </c>
      <c r="E694" t="inlineStr">
        <is>
          <t>SALA</t>
        </is>
      </c>
      <c r="G694" t="n">
        <v>6.3</v>
      </c>
      <c r="H694" t="n">
        <v>0</v>
      </c>
      <c r="I694" t="n">
        <v>0</v>
      </c>
      <c r="J694" t="n">
        <v>0</v>
      </c>
      <c r="K694" t="n">
        <v>0</v>
      </c>
      <c r="L694" t="n">
        <v>0</v>
      </c>
      <c r="M694" t="n">
        <v>0</v>
      </c>
      <c r="N694" t="n">
        <v>0</v>
      </c>
      <c r="O694" t="n">
        <v>0</v>
      </c>
      <c r="P694" t="n">
        <v>0</v>
      </c>
      <c r="Q694" t="n">
        <v>0</v>
      </c>
      <c r="R694" s="2" t="inlineStr"/>
    </row>
    <row r="695" ht="15" customHeight="1">
      <c r="A695" t="inlineStr">
        <is>
          <t>A 35775-2025</t>
        </is>
      </c>
      <c r="B695" s="1" t="n">
        <v>45860</v>
      </c>
      <c r="C695" s="1" t="n">
        <v>45993</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35774-2025</t>
        </is>
      </c>
      <c r="B696" s="1" t="n">
        <v>45860.68780092592</v>
      </c>
      <c r="C696" s="1" t="n">
        <v>45993</v>
      </c>
      <c r="D696" t="inlineStr">
        <is>
          <t>VÄSTMANLANDS LÄN</t>
        </is>
      </c>
      <c r="E696" t="inlineStr">
        <is>
          <t>SALA</t>
        </is>
      </c>
      <c r="G696" t="n">
        <v>6.5</v>
      </c>
      <c r="H696" t="n">
        <v>0</v>
      </c>
      <c r="I696" t="n">
        <v>0</v>
      </c>
      <c r="J696" t="n">
        <v>0</v>
      </c>
      <c r="K696" t="n">
        <v>0</v>
      </c>
      <c r="L696" t="n">
        <v>0</v>
      </c>
      <c r="M696" t="n">
        <v>0</v>
      </c>
      <c r="N696" t="n">
        <v>0</v>
      </c>
      <c r="O696" t="n">
        <v>0</v>
      </c>
      <c r="P696" t="n">
        <v>0</v>
      </c>
      <c r="Q696" t="n">
        <v>0</v>
      </c>
      <c r="R696" s="2" t="inlineStr"/>
    </row>
    <row r="697" ht="15" customHeight="1">
      <c r="A697" t="inlineStr">
        <is>
          <t>A 35776-2025</t>
        </is>
      </c>
      <c r="B697" s="1" t="n">
        <v>45860.69211805556</v>
      </c>
      <c r="C697" s="1" t="n">
        <v>45993</v>
      </c>
      <c r="D697" t="inlineStr">
        <is>
          <t>VÄSTMANLANDS LÄN</t>
        </is>
      </c>
      <c r="E697" t="inlineStr">
        <is>
          <t>SALA</t>
        </is>
      </c>
      <c r="G697" t="n">
        <v>14.2</v>
      </c>
      <c r="H697" t="n">
        <v>0</v>
      </c>
      <c r="I697" t="n">
        <v>0</v>
      </c>
      <c r="J697" t="n">
        <v>0</v>
      </c>
      <c r="K697" t="n">
        <v>0</v>
      </c>
      <c r="L697" t="n">
        <v>0</v>
      </c>
      <c r="M697" t="n">
        <v>0</v>
      </c>
      <c r="N697" t="n">
        <v>0</v>
      </c>
      <c r="O697" t="n">
        <v>0</v>
      </c>
      <c r="P697" t="n">
        <v>0</v>
      </c>
      <c r="Q697" t="n">
        <v>0</v>
      </c>
      <c r="R697" s="2" t="inlineStr"/>
    </row>
    <row r="698" ht="15" customHeight="1">
      <c r="A698" t="inlineStr">
        <is>
          <t>A 35779-2025</t>
        </is>
      </c>
      <c r="B698" s="1" t="n">
        <v>45860.69495370371</v>
      </c>
      <c r="C698" s="1" t="n">
        <v>45993</v>
      </c>
      <c r="D698" t="inlineStr">
        <is>
          <t>VÄSTMANLANDS LÄN</t>
        </is>
      </c>
      <c r="E698" t="inlineStr">
        <is>
          <t>SALA</t>
        </is>
      </c>
      <c r="G698" t="n">
        <v>2.4</v>
      </c>
      <c r="H698" t="n">
        <v>0</v>
      </c>
      <c r="I698" t="n">
        <v>0</v>
      </c>
      <c r="J698" t="n">
        <v>0</v>
      </c>
      <c r="K698" t="n">
        <v>0</v>
      </c>
      <c r="L698" t="n">
        <v>0</v>
      </c>
      <c r="M698" t="n">
        <v>0</v>
      </c>
      <c r="N698" t="n">
        <v>0</v>
      </c>
      <c r="O698" t="n">
        <v>0</v>
      </c>
      <c r="P698" t="n">
        <v>0</v>
      </c>
      <c r="Q698" t="n">
        <v>0</v>
      </c>
      <c r="R698" s="2" t="inlineStr"/>
    </row>
    <row r="699" ht="15" customHeight="1">
      <c r="A699" t="inlineStr">
        <is>
          <t>A 36049-2025</t>
        </is>
      </c>
      <c r="B699" s="1" t="n">
        <v>45866.37065972222</v>
      </c>
      <c r="C699" s="1" t="n">
        <v>45993</v>
      </c>
      <c r="D699" t="inlineStr">
        <is>
          <t>VÄSTMANLANDS LÄN</t>
        </is>
      </c>
      <c r="E699" t="inlineStr">
        <is>
          <t>SALA</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36031-2025</t>
        </is>
      </c>
      <c r="B700" s="1" t="n">
        <v>45865.46111111111</v>
      </c>
      <c r="C700" s="1" t="n">
        <v>45993</v>
      </c>
      <c r="D700" t="inlineStr">
        <is>
          <t>VÄSTMANLANDS LÄN</t>
        </is>
      </c>
      <c r="E700" t="inlineStr">
        <is>
          <t>SALA</t>
        </is>
      </c>
      <c r="G700" t="n">
        <v>7.2</v>
      </c>
      <c r="H700" t="n">
        <v>0</v>
      </c>
      <c r="I700" t="n">
        <v>0</v>
      </c>
      <c r="J700" t="n">
        <v>0</v>
      </c>
      <c r="K700" t="n">
        <v>0</v>
      </c>
      <c r="L700" t="n">
        <v>0</v>
      </c>
      <c r="M700" t="n">
        <v>0</v>
      </c>
      <c r="N700" t="n">
        <v>0</v>
      </c>
      <c r="O700" t="n">
        <v>0</v>
      </c>
      <c r="P700" t="n">
        <v>0</v>
      </c>
      <c r="Q700" t="n">
        <v>0</v>
      </c>
      <c r="R700" s="2" t="inlineStr"/>
    </row>
    <row r="701" ht="15" customHeight="1">
      <c r="A701" t="inlineStr">
        <is>
          <t>A 36060-2025</t>
        </is>
      </c>
      <c r="B701" s="1" t="n">
        <v>45866.39469907407</v>
      </c>
      <c r="C701" s="1" t="n">
        <v>45993</v>
      </c>
      <c r="D701" t="inlineStr">
        <is>
          <t>VÄSTMANLANDS LÄN</t>
        </is>
      </c>
      <c r="E701" t="inlineStr">
        <is>
          <t>SALA</t>
        </is>
      </c>
      <c r="F701" t="inlineStr">
        <is>
          <t>Kommuner</t>
        </is>
      </c>
      <c r="G701" t="n">
        <v>4.3</v>
      </c>
      <c r="H701" t="n">
        <v>0</v>
      </c>
      <c r="I701" t="n">
        <v>0</v>
      </c>
      <c r="J701" t="n">
        <v>0</v>
      </c>
      <c r="K701" t="n">
        <v>0</v>
      </c>
      <c r="L701" t="n">
        <v>0</v>
      </c>
      <c r="M701" t="n">
        <v>0</v>
      </c>
      <c r="N701" t="n">
        <v>0</v>
      </c>
      <c r="O701" t="n">
        <v>0</v>
      </c>
      <c r="P701" t="n">
        <v>0</v>
      </c>
      <c r="Q701" t="n">
        <v>0</v>
      </c>
      <c r="R701" s="2" t="inlineStr"/>
    </row>
    <row r="702" ht="15" customHeight="1">
      <c r="A702" t="inlineStr">
        <is>
          <t>A 36032-2025</t>
        </is>
      </c>
      <c r="B702" s="1" t="n">
        <v>45865.48740740741</v>
      </c>
      <c r="C702" s="1" t="n">
        <v>45993</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36043-2025</t>
        </is>
      </c>
      <c r="B703" s="1" t="n">
        <v>45866.35333333333</v>
      </c>
      <c r="C703" s="1" t="n">
        <v>45993</v>
      </c>
      <c r="D703" t="inlineStr">
        <is>
          <t>VÄSTMANLANDS LÄN</t>
        </is>
      </c>
      <c r="E703" t="inlineStr">
        <is>
          <t>SALA</t>
        </is>
      </c>
      <c r="F703" t="inlineStr">
        <is>
          <t>Kommuner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36045-2025</t>
        </is>
      </c>
      <c r="B704" s="1" t="n">
        <v>45866.36200231482</v>
      </c>
      <c r="C704" s="1" t="n">
        <v>45993</v>
      </c>
      <c r="D704" t="inlineStr">
        <is>
          <t>VÄSTMANLANDS LÄN</t>
        </is>
      </c>
      <c r="E704" t="inlineStr">
        <is>
          <t>SALA</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17985-2025</t>
        </is>
      </c>
      <c r="B705" s="1" t="n">
        <v>45761</v>
      </c>
      <c r="C705" s="1" t="n">
        <v>45993</v>
      </c>
      <c r="D705" t="inlineStr">
        <is>
          <t>VÄSTMANLANDS LÄN</t>
        </is>
      </c>
      <c r="E705" t="inlineStr">
        <is>
          <t>SALA</t>
        </is>
      </c>
      <c r="G705" t="n">
        <v>12.5</v>
      </c>
      <c r="H705" t="n">
        <v>0</v>
      </c>
      <c r="I705" t="n">
        <v>0</v>
      </c>
      <c r="J705" t="n">
        <v>0</v>
      </c>
      <c r="K705" t="n">
        <v>0</v>
      </c>
      <c r="L705" t="n">
        <v>0</v>
      </c>
      <c r="M705" t="n">
        <v>0</v>
      </c>
      <c r="N705" t="n">
        <v>0</v>
      </c>
      <c r="O705" t="n">
        <v>0</v>
      </c>
      <c r="P705" t="n">
        <v>0</v>
      </c>
      <c r="Q705" t="n">
        <v>0</v>
      </c>
      <c r="R705" s="2" t="inlineStr"/>
    </row>
    <row r="706" ht="15" customHeight="1">
      <c r="A706" t="inlineStr">
        <is>
          <t>A 31869-2025</t>
        </is>
      </c>
      <c r="B706" s="1" t="n">
        <v>45834.64555555556</v>
      </c>
      <c r="C706" s="1" t="n">
        <v>45993</v>
      </c>
      <c r="D706" t="inlineStr">
        <is>
          <t>VÄSTMANLANDS LÄN</t>
        </is>
      </c>
      <c r="E706" t="inlineStr">
        <is>
          <t>SALA</t>
        </is>
      </c>
      <c r="G706" t="n">
        <v>17.5</v>
      </c>
      <c r="H706" t="n">
        <v>0</v>
      </c>
      <c r="I706" t="n">
        <v>0</v>
      </c>
      <c r="J706" t="n">
        <v>0</v>
      </c>
      <c r="K706" t="n">
        <v>0</v>
      </c>
      <c r="L706" t="n">
        <v>0</v>
      </c>
      <c r="M706" t="n">
        <v>0</v>
      </c>
      <c r="N706" t="n">
        <v>0</v>
      </c>
      <c r="O706" t="n">
        <v>0</v>
      </c>
      <c r="P706" t="n">
        <v>0</v>
      </c>
      <c r="Q706" t="n">
        <v>0</v>
      </c>
      <c r="R706" s="2" t="inlineStr"/>
    </row>
    <row r="707" ht="15" customHeight="1">
      <c r="A707" t="inlineStr">
        <is>
          <t>A 31863-2025</t>
        </is>
      </c>
      <c r="B707" s="1" t="n">
        <v>45834.63303240741</v>
      </c>
      <c r="C707" s="1" t="n">
        <v>45993</v>
      </c>
      <c r="D707" t="inlineStr">
        <is>
          <t>VÄSTMANLANDS LÄN</t>
        </is>
      </c>
      <c r="E707" t="inlineStr">
        <is>
          <t>SALA</t>
        </is>
      </c>
      <c r="G707" t="n">
        <v>2.5</v>
      </c>
      <c r="H707" t="n">
        <v>0</v>
      </c>
      <c r="I707" t="n">
        <v>0</v>
      </c>
      <c r="J707" t="n">
        <v>0</v>
      </c>
      <c r="K707" t="n">
        <v>0</v>
      </c>
      <c r="L707" t="n">
        <v>0</v>
      </c>
      <c r="M707" t="n">
        <v>0</v>
      </c>
      <c r="N707" t="n">
        <v>0</v>
      </c>
      <c r="O707" t="n">
        <v>0</v>
      </c>
      <c r="P707" t="n">
        <v>0</v>
      </c>
      <c r="Q707" t="n">
        <v>0</v>
      </c>
      <c r="R707" s="2" t="inlineStr"/>
    </row>
    <row r="708" ht="15" customHeight="1">
      <c r="A708" t="inlineStr">
        <is>
          <t>A 17766-2025</t>
        </is>
      </c>
      <c r="B708" s="1" t="n">
        <v>45758</v>
      </c>
      <c r="C708" s="1" t="n">
        <v>45993</v>
      </c>
      <c r="D708" t="inlineStr">
        <is>
          <t>VÄSTMANLANDS LÄN</t>
        </is>
      </c>
      <c r="E708" t="inlineStr">
        <is>
          <t>SALA</t>
        </is>
      </c>
      <c r="G708" t="n">
        <v>16.5</v>
      </c>
      <c r="H708" t="n">
        <v>0</v>
      </c>
      <c r="I708" t="n">
        <v>0</v>
      </c>
      <c r="J708" t="n">
        <v>0</v>
      </c>
      <c r="K708" t="n">
        <v>0</v>
      </c>
      <c r="L708" t="n">
        <v>0</v>
      </c>
      <c r="M708" t="n">
        <v>0</v>
      </c>
      <c r="N708" t="n">
        <v>0</v>
      </c>
      <c r="O708" t="n">
        <v>0</v>
      </c>
      <c r="P708" t="n">
        <v>0</v>
      </c>
      <c r="Q708" t="n">
        <v>0</v>
      </c>
      <c r="R708" s="2" t="inlineStr"/>
    </row>
    <row r="709" ht="15" customHeight="1">
      <c r="A709" t="inlineStr">
        <is>
          <t>A 7664-2023</t>
        </is>
      </c>
      <c r="B709" s="1" t="n">
        <v>44972</v>
      </c>
      <c r="C709" s="1" t="n">
        <v>45993</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c r="A710" t="inlineStr">
        <is>
          <t>A 3546-2025</t>
        </is>
      </c>
      <c r="B710" s="1" t="n">
        <v>45680</v>
      </c>
      <c r="C710" s="1" t="n">
        <v>45993</v>
      </c>
      <c r="D710" t="inlineStr">
        <is>
          <t>VÄSTMANLANDS LÄN</t>
        </is>
      </c>
      <c r="E710" t="inlineStr">
        <is>
          <t>SALA</t>
        </is>
      </c>
      <c r="G710" t="n">
        <v>0.4</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2025-12-02T10:23:41Z</dcterms:created>
  <dcterms:modified xmlns:dcterms="http://purl.org/dc/terms/" xmlns:xsi="http://www.w3.org/2001/XMLSchema-instance" xsi:type="dcterms:W3CDTF">2025-12-02T10:23:42Z</dcterms:modified>
</cp:coreProperties>
</file>