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46046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46046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34752-2023</t>
        </is>
      </c>
      <c r="B11" s="1" t="n">
        <v>45141</v>
      </c>
      <c r="C11" s="1" t="n">
        <v>46046</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27488-2023</t>
        </is>
      </c>
      <c r="B12" s="1" t="n">
        <v>45097</v>
      </c>
      <c r="C12" s="1" t="n">
        <v>46046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53009-2024</t>
        </is>
      </c>
      <c r="B13" s="1" t="n">
        <v>45610</v>
      </c>
      <c r="C13" s="1" t="n">
        <v>46046</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46046</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46046</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26571-2021</t>
        </is>
      </c>
      <c r="B16" s="1" t="n">
        <v>44348</v>
      </c>
      <c r="C16" s="1" t="n">
        <v>46046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46046</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40493-2024</t>
        </is>
      </c>
      <c r="B18" s="1" t="n">
        <v>45555</v>
      </c>
      <c r="C18" s="1" t="n">
        <v>46046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3567-2024</t>
        </is>
      </c>
      <c r="B19" s="1" t="n">
        <v>45320.63706018519</v>
      </c>
      <c r="C19" s="1" t="n">
        <v>46046</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34065-2025</t>
        </is>
      </c>
      <c r="B20" s="1" t="n">
        <v>45845.42806712963</v>
      </c>
      <c r="C20" s="1" t="n">
        <v>46046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46046</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46046</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40895-2025</t>
        </is>
      </c>
      <c r="B23" s="1" t="n">
        <v>45897.61241898148</v>
      </c>
      <c r="C23" s="1" t="n">
        <v>46046</v>
      </c>
      <c r="D23" t="inlineStr">
        <is>
          <t>VÄSTMANLANDS LÄN</t>
        </is>
      </c>
      <c r="E23" t="inlineStr">
        <is>
          <t>SALA</t>
        </is>
      </c>
      <c r="G23" t="n">
        <v>1.5</v>
      </c>
      <c r="H23" t="n">
        <v>2</v>
      </c>
      <c r="I23" t="n">
        <v>1</v>
      </c>
      <c r="J23" t="n">
        <v>0</v>
      </c>
      <c r="K23" t="n">
        <v>1</v>
      </c>
      <c r="L23" t="n">
        <v>0</v>
      </c>
      <c r="M23" t="n">
        <v>0</v>
      </c>
      <c r="N23" t="n">
        <v>0</v>
      </c>
      <c r="O23" t="n">
        <v>1</v>
      </c>
      <c r="P23" t="n">
        <v>1</v>
      </c>
      <c r="Q23" t="n">
        <v>3</v>
      </c>
      <c r="R23" s="2" t="inlineStr">
        <is>
          <t>Knärot
Dropptaggsvamp
Kungsfågel</t>
        </is>
      </c>
      <c r="S23">
        <f>HYPERLINK("https://klasma.github.io/Logging_1981/artfynd/A 40895-2025 artfynd.xlsx", "A 40895-2025")</f>
        <v/>
      </c>
      <c r="T23">
        <f>HYPERLINK("https://klasma.github.io/Logging_1981/kartor/A 40895-2025 karta.png", "A 40895-2025")</f>
        <v/>
      </c>
      <c r="U23">
        <f>HYPERLINK("https://klasma.github.io/Logging_1981/knärot/A 40895-2025 karta knärot.png", "A 40895-2025")</f>
        <v/>
      </c>
      <c r="V23">
        <f>HYPERLINK("https://klasma.github.io/Logging_1981/klagomål/A 40895-2025 FSC-klagomål.docx", "A 40895-2025")</f>
        <v/>
      </c>
      <c r="W23">
        <f>HYPERLINK("https://klasma.github.io/Logging_1981/klagomålsmail/A 40895-2025 FSC-klagomål mail.docx", "A 40895-2025")</f>
        <v/>
      </c>
      <c r="X23">
        <f>HYPERLINK("https://klasma.github.io/Logging_1981/tillsyn/A 40895-2025 tillsynsbegäran.docx", "A 40895-2025")</f>
        <v/>
      </c>
      <c r="Y23">
        <f>HYPERLINK("https://klasma.github.io/Logging_1981/tillsynsmail/A 40895-2025 tillsynsbegäran mail.docx", "A 40895-2025")</f>
        <v/>
      </c>
      <c r="Z23">
        <f>HYPERLINK("https://klasma.github.io/Logging_1981/fåglar/A 40895-2025 prioriterade fågelarter.docx", "A 40895-2025")</f>
        <v/>
      </c>
    </row>
    <row r="24" ht="15" customHeight="1">
      <c r="A24" t="inlineStr">
        <is>
          <t>A 35461-2024</t>
        </is>
      </c>
      <c r="B24" s="1" t="n">
        <v>45531</v>
      </c>
      <c r="C24" s="1" t="n">
        <v>46046</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46046</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3930-2026</t>
        </is>
      </c>
      <c r="B26" s="1" t="n">
        <v>46043</v>
      </c>
      <c r="C26" s="1" t="n">
        <v>46046</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52909-2022</t>
        </is>
      </c>
      <c r="B27" s="1" t="n">
        <v>44875</v>
      </c>
      <c r="C27" s="1" t="n">
        <v>46046</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46046</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15102-2025</t>
        </is>
      </c>
      <c r="B29" s="1" t="n">
        <v>45744.34585648148</v>
      </c>
      <c r="C29" s="1" t="n">
        <v>46046</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24872-2025</t>
        </is>
      </c>
      <c r="B30" s="1" t="n">
        <v>45799.49038194444</v>
      </c>
      <c r="C30" s="1" t="n">
        <v>46046</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46046</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11846-2024</t>
        </is>
      </c>
      <c r="B32" s="1" t="n">
        <v>45376.4047337963</v>
      </c>
      <c r="C32" s="1" t="n">
        <v>46046</v>
      </c>
      <c r="D32" t="inlineStr">
        <is>
          <t>VÄSTMANLANDS LÄN</t>
        </is>
      </c>
      <c r="E32" t="inlineStr">
        <is>
          <t>SALA</t>
        </is>
      </c>
      <c r="G32" t="n">
        <v>8</v>
      </c>
      <c r="H32" t="n">
        <v>0</v>
      </c>
      <c r="I32" t="n">
        <v>2</v>
      </c>
      <c r="J32" t="n">
        <v>0</v>
      </c>
      <c r="K32" t="n">
        <v>0</v>
      </c>
      <c r="L32" t="n">
        <v>0</v>
      </c>
      <c r="M32" t="n">
        <v>0</v>
      </c>
      <c r="N32" t="n">
        <v>0</v>
      </c>
      <c r="O32" t="n">
        <v>0</v>
      </c>
      <c r="P32" t="n">
        <v>0</v>
      </c>
      <c r="Q32" t="n">
        <v>2</v>
      </c>
      <c r="R32" s="2" t="inlineStr">
        <is>
          <t>Bronshjon
Vågbandad barkbock</t>
        </is>
      </c>
      <c r="S32">
        <f>HYPERLINK("https://klasma.github.io/Logging_1981/artfynd/A 11846-2024 artfynd.xlsx", "A 11846-2024")</f>
        <v/>
      </c>
      <c r="T32">
        <f>HYPERLINK("https://klasma.github.io/Logging_1981/kartor/A 11846-2024 karta.png", "A 11846-2024")</f>
        <v/>
      </c>
      <c r="V32">
        <f>HYPERLINK("https://klasma.github.io/Logging_1981/klagomål/A 11846-2024 FSC-klagomål.docx", "A 11846-2024")</f>
        <v/>
      </c>
      <c r="W32">
        <f>HYPERLINK("https://klasma.github.io/Logging_1981/klagomålsmail/A 11846-2024 FSC-klagomål mail.docx", "A 11846-2024")</f>
        <v/>
      </c>
      <c r="X32">
        <f>HYPERLINK("https://klasma.github.io/Logging_1981/tillsyn/A 11846-2024 tillsynsbegäran.docx", "A 11846-2024")</f>
        <v/>
      </c>
      <c r="Y32">
        <f>HYPERLINK("https://klasma.github.io/Logging_1981/tillsynsmail/A 11846-2024 tillsynsbegäran mail.docx", "A 11846-2024")</f>
        <v/>
      </c>
    </row>
    <row r="33" ht="15" customHeight="1">
      <c r="A33" t="inlineStr">
        <is>
          <t>A 1500-2022</t>
        </is>
      </c>
      <c r="B33" s="1" t="n">
        <v>44573.54357638889</v>
      </c>
      <c r="C33" s="1" t="n">
        <v>46046</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12444-2024</t>
        </is>
      </c>
      <c r="B34" s="1" t="n">
        <v>45379.46285879629</v>
      </c>
      <c r="C34" s="1" t="n">
        <v>46046</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53048-2025</t>
        </is>
      </c>
      <c r="B35" s="1" t="n">
        <v>45958.36018518519</v>
      </c>
      <c r="C35" s="1" t="n">
        <v>46046</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63584-2025</t>
        </is>
      </c>
      <c r="B36" s="1" t="n">
        <v>46013.77002314815</v>
      </c>
      <c r="C36" s="1" t="n">
        <v>46046</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59826-2025</t>
        </is>
      </c>
      <c r="B37" s="1" t="n">
        <v>45992.65416666667</v>
      </c>
      <c r="C37" s="1" t="n">
        <v>46046</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44970-2021</t>
        </is>
      </c>
      <c r="B38" s="1" t="n">
        <v>44438.74399305556</v>
      </c>
      <c r="C38" s="1" t="n">
        <v>46046</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46046</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46046</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19361-2025</t>
        </is>
      </c>
      <c r="B41" s="1" t="n">
        <v>45769.63357638889</v>
      </c>
      <c r="C41" s="1" t="n">
        <v>46046</v>
      </c>
      <c r="D41" t="inlineStr">
        <is>
          <t>VÄSTMANLANDS LÄN</t>
        </is>
      </c>
      <c r="E41" t="inlineStr">
        <is>
          <t>SALA</t>
        </is>
      </c>
      <c r="F41" t="inlineStr">
        <is>
          <t>Bergvik skog öst AB</t>
        </is>
      </c>
      <c r="G41" t="n">
        <v>8.9</v>
      </c>
      <c r="H41" t="n">
        <v>0</v>
      </c>
      <c r="I41" t="n">
        <v>0</v>
      </c>
      <c r="J41" t="n">
        <v>1</v>
      </c>
      <c r="K41" t="n">
        <v>0</v>
      </c>
      <c r="L41" t="n">
        <v>0</v>
      </c>
      <c r="M41" t="n">
        <v>0</v>
      </c>
      <c r="N41" t="n">
        <v>0</v>
      </c>
      <c r="O41" t="n">
        <v>1</v>
      </c>
      <c r="P41" t="n">
        <v>0</v>
      </c>
      <c r="Q41" t="n">
        <v>1</v>
      </c>
      <c r="R41" s="2" t="inlineStr">
        <is>
          <t>Garnlav</t>
        </is>
      </c>
      <c r="S41">
        <f>HYPERLINK("https://klasma.github.io/Logging_1981/artfynd/A 19361-2025 artfynd.xlsx", "A 19361-2025")</f>
        <v/>
      </c>
      <c r="T41">
        <f>HYPERLINK("https://klasma.github.io/Logging_1981/kartor/A 19361-2025 karta.png", "A 19361-2025")</f>
        <v/>
      </c>
      <c r="V41">
        <f>HYPERLINK("https://klasma.github.io/Logging_1981/klagomål/A 19361-2025 FSC-klagomål.docx", "A 19361-2025")</f>
        <v/>
      </c>
      <c r="W41">
        <f>HYPERLINK("https://klasma.github.io/Logging_1981/klagomålsmail/A 19361-2025 FSC-klagomål mail.docx", "A 19361-2025")</f>
        <v/>
      </c>
      <c r="X41">
        <f>HYPERLINK("https://klasma.github.io/Logging_1981/tillsyn/A 19361-2025 tillsynsbegäran.docx", "A 19361-2025")</f>
        <v/>
      </c>
      <c r="Y41">
        <f>HYPERLINK("https://klasma.github.io/Logging_1981/tillsynsmail/A 19361-2025 tillsynsbegäran mail.docx", "A 19361-2025")</f>
        <v/>
      </c>
    </row>
    <row r="42" ht="15" customHeight="1">
      <c r="A42" t="inlineStr">
        <is>
          <t>A 41570-2021</t>
        </is>
      </c>
      <c r="B42" s="1" t="n">
        <v>44425</v>
      </c>
      <c r="C42" s="1" t="n">
        <v>46046</v>
      </c>
      <c r="D42" t="inlineStr">
        <is>
          <t>VÄSTMANLANDS LÄN</t>
        </is>
      </c>
      <c r="E42" t="inlineStr">
        <is>
          <t>SALA</t>
        </is>
      </c>
      <c r="G42" t="n">
        <v>1.4</v>
      </c>
      <c r="H42" t="n">
        <v>0</v>
      </c>
      <c r="I42" t="n">
        <v>0</v>
      </c>
      <c r="J42" t="n">
        <v>1</v>
      </c>
      <c r="K42" t="n">
        <v>0</v>
      </c>
      <c r="L42" t="n">
        <v>0</v>
      </c>
      <c r="M42" t="n">
        <v>0</v>
      </c>
      <c r="N42" t="n">
        <v>0</v>
      </c>
      <c r="O42" t="n">
        <v>1</v>
      </c>
      <c r="P42" t="n">
        <v>0</v>
      </c>
      <c r="Q42" t="n">
        <v>1</v>
      </c>
      <c r="R42" s="2" t="inlineStr">
        <is>
          <t>Vedtrappmossa</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21738-2025</t>
        </is>
      </c>
      <c r="B43" s="1" t="n">
        <v>45783.59173611111</v>
      </c>
      <c r="C43" s="1" t="n">
        <v>46046</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37166-2024</t>
        </is>
      </c>
      <c r="B44" s="1" t="n">
        <v>45539</v>
      </c>
      <c r="C44" s="1" t="n">
        <v>46046</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43175-2023</t>
        </is>
      </c>
      <c r="B45" s="1" t="n">
        <v>45183</v>
      </c>
      <c r="C45" s="1" t="n">
        <v>46046</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22950-2025</t>
        </is>
      </c>
      <c r="B46" s="1" t="n">
        <v>45790.50728009259</v>
      </c>
      <c r="C46" s="1" t="n">
        <v>46046</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29727-2023</t>
        </is>
      </c>
      <c r="B47" s="1" t="n">
        <v>45107</v>
      </c>
      <c r="C47" s="1" t="n">
        <v>46046</v>
      </c>
      <c r="D47" t="inlineStr">
        <is>
          <t>VÄSTMANLANDS LÄN</t>
        </is>
      </c>
      <c r="E47" t="inlineStr">
        <is>
          <t>SALA</t>
        </is>
      </c>
      <c r="G47" t="n">
        <v>1.9</v>
      </c>
      <c r="H47" t="n">
        <v>0</v>
      </c>
      <c r="I47" t="n">
        <v>0</v>
      </c>
      <c r="J47" t="n">
        <v>1</v>
      </c>
      <c r="K47" t="n">
        <v>0</v>
      </c>
      <c r="L47" t="n">
        <v>0</v>
      </c>
      <c r="M47" t="n">
        <v>0</v>
      </c>
      <c r="N47" t="n">
        <v>0</v>
      </c>
      <c r="O47" t="n">
        <v>1</v>
      </c>
      <c r="P47" t="n">
        <v>0</v>
      </c>
      <c r="Q47" t="n">
        <v>1</v>
      </c>
      <c r="R47" s="2" t="inlineStr">
        <is>
          <t>Vedtrappmossa</t>
        </is>
      </c>
      <c r="S47">
        <f>HYPERLINK("https://klasma.github.io/Logging_1981/artfynd/A 29727-2023 artfynd.xlsx", "A 29727-2023")</f>
        <v/>
      </c>
      <c r="T47">
        <f>HYPERLINK("https://klasma.github.io/Logging_1981/kartor/A 29727-2023 karta.png", "A 29727-2023")</f>
        <v/>
      </c>
      <c r="V47">
        <f>HYPERLINK("https://klasma.github.io/Logging_1981/klagomål/A 29727-2023 FSC-klagomål.docx", "A 29727-2023")</f>
        <v/>
      </c>
      <c r="W47">
        <f>HYPERLINK("https://klasma.github.io/Logging_1981/klagomålsmail/A 29727-2023 FSC-klagomål mail.docx", "A 29727-2023")</f>
        <v/>
      </c>
      <c r="X47">
        <f>HYPERLINK("https://klasma.github.io/Logging_1981/tillsyn/A 29727-2023 tillsynsbegäran.docx", "A 29727-2023")</f>
        <v/>
      </c>
      <c r="Y47">
        <f>HYPERLINK("https://klasma.github.io/Logging_1981/tillsynsmail/A 29727-2023 tillsynsbegäran mail.docx", "A 29727-2023")</f>
        <v/>
      </c>
    </row>
    <row r="48" ht="15" customHeight="1">
      <c r="A48" t="inlineStr">
        <is>
          <t>A 55550-2023</t>
        </is>
      </c>
      <c r="B48" s="1" t="n">
        <v>45232</v>
      </c>
      <c r="C48" s="1" t="n">
        <v>46046</v>
      </c>
      <c r="D48" t="inlineStr">
        <is>
          <t>VÄSTMANLANDS LÄN</t>
        </is>
      </c>
      <c r="E48" t="inlineStr">
        <is>
          <t>SALA</t>
        </is>
      </c>
      <c r="G48" t="n">
        <v>9.9</v>
      </c>
      <c r="H48" t="n">
        <v>1</v>
      </c>
      <c r="I48" t="n">
        <v>0</v>
      </c>
      <c r="J48" t="n">
        <v>0</v>
      </c>
      <c r="K48" t="n">
        <v>1</v>
      </c>
      <c r="L48" t="n">
        <v>0</v>
      </c>
      <c r="M48" t="n">
        <v>0</v>
      </c>
      <c r="N48" t="n">
        <v>0</v>
      </c>
      <c r="O48" t="n">
        <v>1</v>
      </c>
      <c r="P48" t="n">
        <v>1</v>
      </c>
      <c r="Q48" t="n">
        <v>1</v>
      </c>
      <c r="R48" s="2" t="inlineStr">
        <is>
          <t>Knärot</t>
        </is>
      </c>
      <c r="S48">
        <f>HYPERLINK("https://klasma.github.io/Logging_1981/artfynd/A 55550-2023 artfynd.xlsx", "A 55550-2023")</f>
        <v/>
      </c>
      <c r="T48">
        <f>HYPERLINK("https://klasma.github.io/Logging_1981/kartor/A 55550-2023 karta.png", "A 55550-2023")</f>
        <v/>
      </c>
      <c r="U48">
        <f>HYPERLINK("https://klasma.github.io/Logging_1981/knärot/A 55550-2023 karta knärot.png", "A 55550-2023")</f>
        <v/>
      </c>
      <c r="V48">
        <f>HYPERLINK("https://klasma.github.io/Logging_1981/klagomål/A 55550-2023 FSC-klagomål.docx", "A 55550-2023")</f>
        <v/>
      </c>
      <c r="W48">
        <f>HYPERLINK("https://klasma.github.io/Logging_1981/klagomålsmail/A 55550-2023 FSC-klagomål mail.docx", "A 55550-2023")</f>
        <v/>
      </c>
      <c r="X48">
        <f>HYPERLINK("https://klasma.github.io/Logging_1981/tillsyn/A 55550-2023 tillsynsbegäran.docx", "A 55550-2023")</f>
        <v/>
      </c>
      <c r="Y48">
        <f>HYPERLINK("https://klasma.github.io/Logging_1981/tillsynsmail/A 55550-2023 tillsynsbegäran mail.docx", "A 55550-2023")</f>
        <v/>
      </c>
    </row>
    <row r="49" ht="15" customHeight="1">
      <c r="A49" t="inlineStr">
        <is>
          <t>A 14775-2023</t>
        </is>
      </c>
      <c r="B49" s="1" t="n">
        <v>45014</v>
      </c>
      <c r="C49" s="1" t="n">
        <v>46046</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46046</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32594-2025</t>
        </is>
      </c>
      <c r="B51" s="1" t="n">
        <v>45838</v>
      </c>
      <c r="C51" s="1" t="n">
        <v>46046</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22350-2024</t>
        </is>
      </c>
      <c r="B52" s="1" t="n">
        <v>45446</v>
      </c>
      <c r="C52" s="1" t="n">
        <v>46046</v>
      </c>
      <c r="D52" t="inlineStr">
        <is>
          <t>VÄSTMANLANDS LÄN</t>
        </is>
      </c>
      <c r="E52" t="inlineStr">
        <is>
          <t>SALA</t>
        </is>
      </c>
      <c r="G52" t="n">
        <v>1.2</v>
      </c>
      <c r="H52" t="n">
        <v>1</v>
      </c>
      <c r="I52" t="n">
        <v>0</v>
      </c>
      <c r="J52" t="n">
        <v>0</v>
      </c>
      <c r="K52" t="n">
        <v>0</v>
      </c>
      <c r="L52" t="n">
        <v>0</v>
      </c>
      <c r="M52" t="n">
        <v>0</v>
      </c>
      <c r="N52" t="n">
        <v>0</v>
      </c>
      <c r="O52" t="n">
        <v>0</v>
      </c>
      <c r="P52" t="n">
        <v>0</v>
      </c>
      <c r="Q52" t="n">
        <v>1</v>
      </c>
      <c r="R52" s="2" t="inlineStr">
        <is>
          <t>Blåsippa</t>
        </is>
      </c>
      <c r="S52">
        <f>HYPERLINK("https://klasma.github.io/Logging_1981/artfynd/A 22350-2024 artfynd.xlsx", "A 22350-2024")</f>
        <v/>
      </c>
      <c r="T52">
        <f>HYPERLINK("https://klasma.github.io/Logging_1981/kartor/A 22350-2024 karta.png", "A 22350-2024")</f>
        <v/>
      </c>
      <c r="V52">
        <f>HYPERLINK("https://klasma.github.io/Logging_1981/klagomål/A 22350-2024 FSC-klagomål.docx", "A 22350-2024")</f>
        <v/>
      </c>
      <c r="W52">
        <f>HYPERLINK("https://klasma.github.io/Logging_1981/klagomålsmail/A 22350-2024 FSC-klagomål mail.docx", "A 22350-2024")</f>
        <v/>
      </c>
      <c r="X52">
        <f>HYPERLINK("https://klasma.github.io/Logging_1981/tillsyn/A 22350-2024 tillsynsbegäran.docx", "A 22350-2024")</f>
        <v/>
      </c>
      <c r="Y52">
        <f>HYPERLINK("https://klasma.github.io/Logging_1981/tillsynsmail/A 22350-2024 tillsynsbegäran mail.docx", "A 22350-2024")</f>
        <v/>
      </c>
    </row>
    <row r="53" ht="15" customHeight="1">
      <c r="A53" t="inlineStr">
        <is>
          <t>A 41270-2024</t>
        </is>
      </c>
      <c r="B53" s="1" t="n">
        <v>45559</v>
      </c>
      <c r="C53" s="1" t="n">
        <v>46046</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60852-2024</t>
        </is>
      </c>
      <c r="B54" s="1" t="n">
        <v>45644</v>
      </c>
      <c r="C54" s="1" t="n">
        <v>46046</v>
      </c>
      <c r="D54" t="inlineStr">
        <is>
          <t>VÄSTMANLANDS LÄN</t>
        </is>
      </c>
      <c r="E54" t="inlineStr">
        <is>
          <t>SALA</t>
        </is>
      </c>
      <c r="G54" t="n">
        <v>7.6</v>
      </c>
      <c r="H54" t="n">
        <v>1</v>
      </c>
      <c r="I54" t="n">
        <v>0</v>
      </c>
      <c r="J54" t="n">
        <v>0</v>
      </c>
      <c r="K54" t="n">
        <v>0</v>
      </c>
      <c r="L54" t="n">
        <v>0</v>
      </c>
      <c r="M54" t="n">
        <v>0</v>
      </c>
      <c r="N54" t="n">
        <v>0</v>
      </c>
      <c r="O54" t="n">
        <v>0</v>
      </c>
      <c r="P54" t="n">
        <v>0</v>
      </c>
      <c r="Q54" t="n">
        <v>1</v>
      </c>
      <c r="R54" s="2" t="inlineStr">
        <is>
          <t>Blåsippa</t>
        </is>
      </c>
      <c r="S54">
        <f>HYPERLINK("https://klasma.github.io/Logging_1981/artfynd/A 60852-2024 artfynd.xlsx", "A 60852-2024")</f>
        <v/>
      </c>
      <c r="T54">
        <f>HYPERLINK("https://klasma.github.io/Logging_1981/kartor/A 60852-2024 karta.png", "A 60852-2024")</f>
        <v/>
      </c>
      <c r="V54">
        <f>HYPERLINK("https://klasma.github.io/Logging_1981/klagomål/A 60852-2024 FSC-klagomål.docx", "A 60852-2024")</f>
        <v/>
      </c>
      <c r="W54">
        <f>HYPERLINK("https://klasma.github.io/Logging_1981/klagomålsmail/A 60852-2024 FSC-klagomål mail.docx", "A 60852-2024")</f>
        <v/>
      </c>
      <c r="X54">
        <f>HYPERLINK("https://klasma.github.io/Logging_1981/tillsyn/A 60852-2024 tillsynsbegäran.docx", "A 60852-2024")</f>
        <v/>
      </c>
      <c r="Y54">
        <f>HYPERLINK("https://klasma.github.io/Logging_1981/tillsynsmail/A 60852-2024 tillsynsbegäran mail.docx", "A 60852-2024")</f>
        <v/>
      </c>
    </row>
    <row r="55" ht="15" customHeight="1">
      <c r="A55" t="inlineStr">
        <is>
          <t>A 38255-2025</t>
        </is>
      </c>
      <c r="B55" s="1" t="n">
        <v>45883.38020833334</v>
      </c>
      <c r="C55" s="1" t="n">
        <v>46046</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43068-2024</t>
        </is>
      </c>
      <c r="B56" s="1" t="n">
        <v>45567</v>
      </c>
      <c r="C56" s="1" t="n">
        <v>46046</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7919-2022</t>
        </is>
      </c>
      <c r="B57" s="1" t="n">
        <v>44608</v>
      </c>
      <c r="C57" s="1" t="n">
        <v>46046</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29985-2022</t>
        </is>
      </c>
      <c r="B58" s="1" t="n">
        <v>44756</v>
      </c>
      <c r="C58" s="1" t="n">
        <v>46046</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46046</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46046</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48705-2025</t>
        </is>
      </c>
      <c r="B61" s="1" t="n">
        <v>45936.62290509259</v>
      </c>
      <c r="C61" s="1" t="n">
        <v>46046</v>
      </c>
      <c r="D61" t="inlineStr">
        <is>
          <t>VÄSTMANLANDS LÄN</t>
        </is>
      </c>
      <c r="E61" t="inlineStr">
        <is>
          <t>SALA</t>
        </is>
      </c>
      <c r="G61" t="n">
        <v>4.4</v>
      </c>
      <c r="H61" t="n">
        <v>1</v>
      </c>
      <c r="I61" t="n">
        <v>1</v>
      </c>
      <c r="J61" t="n">
        <v>0</v>
      </c>
      <c r="K61" t="n">
        <v>0</v>
      </c>
      <c r="L61" t="n">
        <v>0</v>
      </c>
      <c r="M61" t="n">
        <v>0</v>
      </c>
      <c r="N61" t="n">
        <v>0</v>
      </c>
      <c r="O61" t="n">
        <v>0</v>
      </c>
      <c r="P61" t="n">
        <v>0</v>
      </c>
      <c r="Q61" t="n">
        <v>1</v>
      </c>
      <c r="R61" s="2" t="inlineStr">
        <is>
          <t>Plattlummer</t>
        </is>
      </c>
      <c r="S61">
        <f>HYPERLINK("https://klasma.github.io/Logging_1981/artfynd/A 48705-2025 artfynd.xlsx", "A 48705-2025")</f>
        <v/>
      </c>
      <c r="T61">
        <f>HYPERLINK("https://klasma.github.io/Logging_1981/kartor/A 48705-2025 karta.png", "A 48705-2025")</f>
        <v/>
      </c>
      <c r="V61">
        <f>HYPERLINK("https://klasma.github.io/Logging_1981/klagomål/A 48705-2025 FSC-klagomål.docx", "A 48705-2025")</f>
        <v/>
      </c>
      <c r="W61">
        <f>HYPERLINK("https://klasma.github.io/Logging_1981/klagomålsmail/A 48705-2025 FSC-klagomål mail.docx", "A 48705-2025")</f>
        <v/>
      </c>
      <c r="X61">
        <f>HYPERLINK("https://klasma.github.io/Logging_1981/tillsyn/A 48705-2025 tillsynsbegäran.docx", "A 48705-2025")</f>
        <v/>
      </c>
      <c r="Y61">
        <f>HYPERLINK("https://klasma.github.io/Logging_1981/tillsynsmail/A 48705-2025 tillsynsbegäran mail.docx", "A 48705-2025")</f>
        <v/>
      </c>
    </row>
    <row r="62" ht="15" customHeight="1">
      <c r="A62" t="inlineStr">
        <is>
          <t>A 50268-2025</t>
        </is>
      </c>
      <c r="B62" s="1" t="n">
        <v>45944.35162037037</v>
      </c>
      <c r="C62" s="1" t="n">
        <v>46046</v>
      </c>
      <c r="D62" t="inlineStr">
        <is>
          <t>VÄSTMANLANDS LÄN</t>
        </is>
      </c>
      <c r="E62" t="inlineStr">
        <is>
          <t>SALA</t>
        </is>
      </c>
      <c r="G62" t="n">
        <v>0.7</v>
      </c>
      <c r="H62" t="n">
        <v>1</v>
      </c>
      <c r="I62" t="n">
        <v>0</v>
      </c>
      <c r="J62" t="n">
        <v>0</v>
      </c>
      <c r="K62" t="n">
        <v>0</v>
      </c>
      <c r="L62" t="n">
        <v>0</v>
      </c>
      <c r="M62" t="n">
        <v>0</v>
      </c>
      <c r="N62" t="n">
        <v>0</v>
      </c>
      <c r="O62" t="n">
        <v>0</v>
      </c>
      <c r="P62" t="n">
        <v>0</v>
      </c>
      <c r="Q62" t="n">
        <v>1</v>
      </c>
      <c r="R62" s="2" t="inlineStr">
        <is>
          <t>Fläcknycklar</t>
        </is>
      </c>
      <c r="S62">
        <f>HYPERLINK("https://klasma.github.io/Logging_1981/artfynd/A 50268-2025 artfynd.xlsx", "A 50268-2025")</f>
        <v/>
      </c>
      <c r="T62">
        <f>HYPERLINK("https://klasma.github.io/Logging_1981/kartor/A 50268-2025 karta.png", "A 50268-2025")</f>
        <v/>
      </c>
      <c r="V62">
        <f>HYPERLINK("https://klasma.github.io/Logging_1981/klagomål/A 50268-2025 FSC-klagomål.docx", "A 50268-2025")</f>
        <v/>
      </c>
      <c r="W62">
        <f>HYPERLINK("https://klasma.github.io/Logging_1981/klagomålsmail/A 50268-2025 FSC-klagomål mail.docx", "A 50268-2025")</f>
        <v/>
      </c>
      <c r="X62">
        <f>HYPERLINK("https://klasma.github.io/Logging_1981/tillsyn/A 50268-2025 tillsynsbegäran.docx", "A 50268-2025")</f>
        <v/>
      </c>
      <c r="Y62">
        <f>HYPERLINK("https://klasma.github.io/Logging_1981/tillsynsmail/A 50268-2025 tillsynsbegäran mail.docx", "A 50268-2025")</f>
        <v/>
      </c>
    </row>
    <row r="63" ht="15" customHeight="1">
      <c r="A63" t="inlineStr">
        <is>
          <t>A 53052-2025</t>
        </is>
      </c>
      <c r="B63" s="1" t="n">
        <v>45958.36266203703</v>
      </c>
      <c r="C63" s="1" t="n">
        <v>46046</v>
      </c>
      <c r="D63" t="inlineStr">
        <is>
          <t>VÄSTMANLANDS LÄN</t>
        </is>
      </c>
      <c r="E63" t="inlineStr">
        <is>
          <t>SALA</t>
        </is>
      </c>
      <c r="F63" t="inlineStr">
        <is>
          <t>Sveaskog</t>
        </is>
      </c>
      <c r="G63" t="n">
        <v>1.1</v>
      </c>
      <c r="H63" t="n">
        <v>0</v>
      </c>
      <c r="I63" t="n">
        <v>0</v>
      </c>
      <c r="J63" t="n">
        <v>1</v>
      </c>
      <c r="K63" t="n">
        <v>0</v>
      </c>
      <c r="L63" t="n">
        <v>0</v>
      </c>
      <c r="M63" t="n">
        <v>0</v>
      </c>
      <c r="N63" t="n">
        <v>0</v>
      </c>
      <c r="O63" t="n">
        <v>1</v>
      </c>
      <c r="P63" t="n">
        <v>0</v>
      </c>
      <c r="Q63" t="n">
        <v>1</v>
      </c>
      <c r="R63" s="2" t="inlineStr">
        <is>
          <t>Motaggsvamp</t>
        </is>
      </c>
      <c r="S63">
        <f>HYPERLINK("https://klasma.github.io/Logging_1981/artfynd/A 53052-2025 artfynd.xlsx", "A 53052-2025")</f>
        <v/>
      </c>
      <c r="T63">
        <f>HYPERLINK("https://klasma.github.io/Logging_1981/kartor/A 53052-2025 karta.png", "A 53052-2025")</f>
        <v/>
      </c>
      <c r="V63">
        <f>HYPERLINK("https://klasma.github.io/Logging_1981/klagomål/A 53052-2025 FSC-klagomål.docx", "A 53052-2025")</f>
        <v/>
      </c>
      <c r="W63">
        <f>HYPERLINK("https://klasma.github.io/Logging_1981/klagomålsmail/A 53052-2025 FSC-klagomål mail.docx", "A 53052-2025")</f>
        <v/>
      </c>
      <c r="X63">
        <f>HYPERLINK("https://klasma.github.io/Logging_1981/tillsyn/A 53052-2025 tillsynsbegäran.docx", "A 53052-2025")</f>
        <v/>
      </c>
      <c r="Y63">
        <f>HYPERLINK("https://klasma.github.io/Logging_1981/tillsynsmail/A 53052-2025 tillsynsbegäran mail.docx", "A 53052-2025")</f>
        <v/>
      </c>
    </row>
    <row r="64" ht="15" customHeight="1">
      <c r="A64" t="inlineStr">
        <is>
          <t>A 55995-2025</t>
        </is>
      </c>
      <c r="B64" s="1" t="n">
        <v>45973.56733796297</v>
      </c>
      <c r="C64" s="1" t="n">
        <v>46046</v>
      </c>
      <c r="D64" t="inlineStr">
        <is>
          <t>VÄSTMANLANDS LÄN</t>
        </is>
      </c>
      <c r="E64" t="inlineStr">
        <is>
          <t>SALA</t>
        </is>
      </c>
      <c r="F64" t="inlineStr">
        <is>
          <t>Sveaskog</t>
        </is>
      </c>
      <c r="G64" t="n">
        <v>4.5</v>
      </c>
      <c r="H64" t="n">
        <v>1</v>
      </c>
      <c r="I64" t="n">
        <v>0</v>
      </c>
      <c r="J64" t="n">
        <v>0</v>
      </c>
      <c r="K64" t="n">
        <v>0</v>
      </c>
      <c r="L64" t="n">
        <v>0</v>
      </c>
      <c r="M64" t="n">
        <v>0</v>
      </c>
      <c r="N64" t="n">
        <v>0</v>
      </c>
      <c r="O64" t="n">
        <v>0</v>
      </c>
      <c r="P64" t="n">
        <v>0</v>
      </c>
      <c r="Q64" t="n">
        <v>1</v>
      </c>
      <c r="R64" s="2" t="inlineStr">
        <is>
          <t>Fläcknycklar</t>
        </is>
      </c>
      <c r="S64">
        <f>HYPERLINK("https://klasma.github.io/Logging_1981/artfynd/A 55995-2025 artfynd.xlsx", "A 55995-2025")</f>
        <v/>
      </c>
      <c r="T64">
        <f>HYPERLINK("https://klasma.github.io/Logging_1981/kartor/A 55995-2025 karta.png", "A 55995-2025")</f>
        <v/>
      </c>
      <c r="V64">
        <f>HYPERLINK("https://klasma.github.io/Logging_1981/klagomål/A 55995-2025 FSC-klagomål.docx", "A 55995-2025")</f>
        <v/>
      </c>
      <c r="W64">
        <f>HYPERLINK("https://klasma.github.io/Logging_1981/klagomålsmail/A 55995-2025 FSC-klagomål mail.docx", "A 55995-2025")</f>
        <v/>
      </c>
      <c r="X64">
        <f>HYPERLINK("https://klasma.github.io/Logging_1981/tillsyn/A 55995-2025 tillsynsbegäran.docx", "A 55995-2025")</f>
        <v/>
      </c>
      <c r="Y64">
        <f>HYPERLINK("https://klasma.github.io/Logging_1981/tillsynsmail/A 55995-2025 tillsynsbegäran mail.docx", "A 55995-2025")</f>
        <v/>
      </c>
    </row>
    <row r="65" ht="15" customHeight="1">
      <c r="A65" t="inlineStr">
        <is>
          <t>A 66561-2021</t>
        </is>
      </c>
      <c r="B65" s="1" t="n">
        <v>44519.41648148148</v>
      </c>
      <c r="C65" s="1" t="n">
        <v>46046</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46046</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46046</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73788-2021</t>
        </is>
      </c>
      <c r="B68" s="1" t="n">
        <v>44552</v>
      </c>
      <c r="C68" s="1" t="n">
        <v>46046</v>
      </c>
      <c r="D68" t="inlineStr">
        <is>
          <t>VÄSTMANLANDS LÄN</t>
        </is>
      </c>
      <c r="E68" t="inlineStr">
        <is>
          <t>SALA</t>
        </is>
      </c>
      <c r="G68" t="n">
        <v>0.8</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46046</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46046</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46046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46046</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46046</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46046</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46046</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10083-2022</t>
        </is>
      </c>
      <c r="B76" s="1" t="n">
        <v>44621.66173611111</v>
      </c>
      <c r="C76" s="1" t="n">
        <v>46046</v>
      </c>
      <c r="D76" t="inlineStr">
        <is>
          <t>VÄSTMANLANDS LÄN</t>
        </is>
      </c>
      <c r="E76" t="inlineStr">
        <is>
          <t>SALA</t>
        </is>
      </c>
      <c r="G76" t="n">
        <v>7.8</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46046</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46046</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46046</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46046</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46046</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46046</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46046</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46046</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46046</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33762-2021</t>
        </is>
      </c>
      <c r="B87" s="1" t="n">
        <v>44378</v>
      </c>
      <c r="C87" s="1" t="n">
        <v>46046</v>
      </c>
      <c r="D87" t="inlineStr">
        <is>
          <t>VÄSTMANLANDS LÄN</t>
        </is>
      </c>
      <c r="E87" t="inlineStr">
        <is>
          <t>SALA</t>
        </is>
      </c>
      <c r="G87" t="n">
        <v>3.4</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46046</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46046</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46046</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46046</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46046</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46046</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46046</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46046</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46046</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46046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46046</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46046</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46046</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46046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46046</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46046</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46046</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46046</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46046</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46046</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46046</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61897-2021</t>
        </is>
      </c>
      <c r="B109" s="1" t="n">
        <v>44502</v>
      </c>
      <c r="C109" s="1" t="n">
        <v>46046</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44217-2022</t>
        </is>
      </c>
      <c r="B110" s="1" t="n">
        <v>44839.49953703704</v>
      </c>
      <c r="C110" s="1" t="n">
        <v>46046</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46046</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46046</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51596-2022</t>
        </is>
      </c>
      <c r="B113" s="1" t="n">
        <v>44871</v>
      </c>
      <c r="C113" s="1" t="n">
        <v>46046</v>
      </c>
      <c r="D113" t="inlineStr">
        <is>
          <t>VÄSTMANLANDS LÄN</t>
        </is>
      </c>
      <c r="E113" t="inlineStr">
        <is>
          <t>SALA</t>
        </is>
      </c>
      <c r="F113" t="inlineStr">
        <is>
          <t>Bergvik skog öst AB</t>
        </is>
      </c>
      <c r="G113" t="n">
        <v>1.2</v>
      </c>
      <c r="H113" t="n">
        <v>0</v>
      </c>
      <c r="I113" t="n">
        <v>0</v>
      </c>
      <c r="J113" t="n">
        <v>0</v>
      </c>
      <c r="K113" t="n">
        <v>0</v>
      </c>
      <c r="L113" t="n">
        <v>0</v>
      </c>
      <c r="M113" t="n">
        <v>0</v>
      </c>
      <c r="N113" t="n">
        <v>0</v>
      </c>
      <c r="O113" t="n">
        <v>0</v>
      </c>
      <c r="P113" t="n">
        <v>0</v>
      </c>
      <c r="Q113" t="n">
        <v>0</v>
      </c>
      <c r="R113" s="2" t="inlineStr"/>
    </row>
    <row r="114" ht="15" customHeight="1">
      <c r="A114" t="inlineStr">
        <is>
          <t>A 66508-2021</t>
        </is>
      </c>
      <c r="B114" s="1" t="n">
        <v>44519.33401620371</v>
      </c>
      <c r="C114" s="1" t="n">
        <v>46046</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30170-2021</t>
        </is>
      </c>
      <c r="B115" s="1" t="n">
        <v>44363</v>
      </c>
      <c r="C115" s="1" t="n">
        <v>46046</v>
      </c>
      <c r="D115" t="inlineStr">
        <is>
          <t>VÄSTMANLANDS LÄN</t>
        </is>
      </c>
      <c r="E115" t="inlineStr">
        <is>
          <t>SALA</t>
        </is>
      </c>
      <c r="G115" t="n">
        <v>7.2</v>
      </c>
      <c r="H115" t="n">
        <v>0</v>
      </c>
      <c r="I115" t="n">
        <v>0</v>
      </c>
      <c r="J115" t="n">
        <v>0</v>
      </c>
      <c r="K115" t="n">
        <v>0</v>
      </c>
      <c r="L115" t="n">
        <v>0</v>
      </c>
      <c r="M115" t="n">
        <v>0</v>
      </c>
      <c r="N115" t="n">
        <v>0</v>
      </c>
      <c r="O115" t="n">
        <v>0</v>
      </c>
      <c r="P115" t="n">
        <v>0</v>
      </c>
      <c r="Q115" t="n">
        <v>0</v>
      </c>
      <c r="R115" s="2" t="inlineStr"/>
    </row>
    <row r="116" ht="15" customHeight="1">
      <c r="A116" t="inlineStr">
        <is>
          <t>A 31452-2021</t>
        </is>
      </c>
      <c r="B116" s="1" t="n">
        <v>44369</v>
      </c>
      <c r="C116" s="1" t="n">
        <v>46046</v>
      </c>
      <c r="D116" t="inlineStr">
        <is>
          <t>VÄSTMANLANDS LÄN</t>
        </is>
      </c>
      <c r="E116" t="inlineStr">
        <is>
          <t>SALA</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22811-2022</t>
        </is>
      </c>
      <c r="B117" s="1" t="n">
        <v>44715</v>
      </c>
      <c r="C117" s="1" t="n">
        <v>46046</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65213-2021</t>
        </is>
      </c>
      <c r="B118" s="1" t="n">
        <v>44515</v>
      </c>
      <c r="C118" s="1" t="n">
        <v>46046</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23181-2022</t>
        </is>
      </c>
      <c r="B119" s="1" t="n">
        <v>44719.79537037037</v>
      </c>
      <c r="C119" s="1" t="n">
        <v>46046</v>
      </c>
      <c r="D119" t="inlineStr">
        <is>
          <t>VÄSTMANLANDS LÄN</t>
        </is>
      </c>
      <c r="E119" t="inlineStr">
        <is>
          <t>SALA</t>
        </is>
      </c>
      <c r="G119" t="n">
        <v>0.8</v>
      </c>
      <c r="H119" t="n">
        <v>0</v>
      </c>
      <c r="I119" t="n">
        <v>0</v>
      </c>
      <c r="J119" t="n">
        <v>0</v>
      </c>
      <c r="K119" t="n">
        <v>0</v>
      </c>
      <c r="L119" t="n">
        <v>0</v>
      </c>
      <c r="M119" t="n">
        <v>0</v>
      </c>
      <c r="N119" t="n">
        <v>0</v>
      </c>
      <c r="O119" t="n">
        <v>0</v>
      </c>
      <c r="P119" t="n">
        <v>0</v>
      </c>
      <c r="Q119" t="n">
        <v>0</v>
      </c>
      <c r="R119" s="2" t="inlineStr"/>
    </row>
    <row r="120" ht="15" customHeight="1">
      <c r="A120" t="inlineStr">
        <is>
          <t>A 65860-2021</t>
        </is>
      </c>
      <c r="B120" s="1" t="n">
        <v>44517.38163194444</v>
      </c>
      <c r="C120" s="1" t="n">
        <v>46046</v>
      </c>
      <c r="D120" t="inlineStr">
        <is>
          <t>VÄSTMANLANDS LÄN</t>
        </is>
      </c>
      <c r="E120" t="inlineStr">
        <is>
          <t>SALA</t>
        </is>
      </c>
      <c r="G120" t="n">
        <v>0.9</v>
      </c>
      <c r="H120" t="n">
        <v>0</v>
      </c>
      <c r="I120" t="n">
        <v>0</v>
      </c>
      <c r="J120" t="n">
        <v>0</v>
      </c>
      <c r="K120" t="n">
        <v>0</v>
      </c>
      <c r="L120" t="n">
        <v>0</v>
      </c>
      <c r="M120" t="n">
        <v>0</v>
      </c>
      <c r="N120" t="n">
        <v>0</v>
      </c>
      <c r="O120" t="n">
        <v>0</v>
      </c>
      <c r="P120" t="n">
        <v>0</v>
      </c>
      <c r="Q120" t="n">
        <v>0</v>
      </c>
      <c r="R120" s="2" t="inlineStr"/>
    </row>
    <row r="121" ht="15" customHeight="1">
      <c r="A121" t="inlineStr">
        <is>
          <t>A 18378-2021</t>
        </is>
      </c>
      <c r="B121" s="1" t="n">
        <v>44305</v>
      </c>
      <c r="C121" s="1" t="n">
        <v>46046</v>
      </c>
      <c r="D121" t="inlineStr">
        <is>
          <t>VÄSTMANLANDS LÄN</t>
        </is>
      </c>
      <c r="E121" t="inlineStr">
        <is>
          <t>SALA</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18189-2021</t>
        </is>
      </c>
      <c r="B122" s="1" t="n">
        <v>44302.67659722222</v>
      </c>
      <c r="C122" s="1" t="n">
        <v>46046</v>
      </c>
      <c r="D122" t="inlineStr">
        <is>
          <t>VÄSTMANLANDS LÄN</t>
        </is>
      </c>
      <c r="E122" t="inlineStr">
        <is>
          <t>SALA</t>
        </is>
      </c>
      <c r="G122" t="n">
        <v>0.7</v>
      </c>
      <c r="H122" t="n">
        <v>0</v>
      </c>
      <c r="I122" t="n">
        <v>0</v>
      </c>
      <c r="J122" t="n">
        <v>0</v>
      </c>
      <c r="K122" t="n">
        <v>0</v>
      </c>
      <c r="L122" t="n">
        <v>0</v>
      </c>
      <c r="M122" t="n">
        <v>0</v>
      </c>
      <c r="N122" t="n">
        <v>0</v>
      </c>
      <c r="O122" t="n">
        <v>0</v>
      </c>
      <c r="P122" t="n">
        <v>0</v>
      </c>
      <c r="Q122" t="n">
        <v>0</v>
      </c>
      <c r="R122" s="2" t="inlineStr"/>
    </row>
    <row r="123" ht="15" customHeight="1">
      <c r="A123" t="inlineStr">
        <is>
          <t>A 18951-2021</t>
        </is>
      </c>
      <c r="B123" s="1" t="n">
        <v>44308</v>
      </c>
      <c r="C123" s="1" t="n">
        <v>46046</v>
      </c>
      <c r="D123" t="inlineStr">
        <is>
          <t>VÄSTMANLANDS LÄN</t>
        </is>
      </c>
      <c r="E123" t="inlineStr">
        <is>
          <t>SALA</t>
        </is>
      </c>
      <c r="G123" t="n">
        <v>0.3</v>
      </c>
      <c r="H123" t="n">
        <v>0</v>
      </c>
      <c r="I123" t="n">
        <v>0</v>
      </c>
      <c r="J123" t="n">
        <v>0</v>
      </c>
      <c r="K123" t="n">
        <v>0</v>
      </c>
      <c r="L123" t="n">
        <v>0</v>
      </c>
      <c r="M123" t="n">
        <v>0</v>
      </c>
      <c r="N123" t="n">
        <v>0</v>
      </c>
      <c r="O123" t="n">
        <v>0</v>
      </c>
      <c r="P123" t="n">
        <v>0</v>
      </c>
      <c r="Q123" t="n">
        <v>0</v>
      </c>
      <c r="R123" s="2" t="inlineStr"/>
    </row>
    <row r="124" ht="15" customHeight="1">
      <c r="A124" t="inlineStr">
        <is>
          <t>A 18259-2021</t>
        </is>
      </c>
      <c r="B124" s="1" t="n">
        <v>44305</v>
      </c>
      <c r="C124" s="1" t="n">
        <v>46046</v>
      </c>
      <c r="D124" t="inlineStr">
        <is>
          <t>VÄSTMANLANDS LÄN</t>
        </is>
      </c>
      <c r="E124" t="inlineStr">
        <is>
          <t>SALA</t>
        </is>
      </c>
      <c r="G124" t="n">
        <v>0</v>
      </c>
      <c r="H124" t="n">
        <v>0</v>
      </c>
      <c r="I124" t="n">
        <v>0</v>
      </c>
      <c r="J124" t="n">
        <v>0</v>
      </c>
      <c r="K124" t="n">
        <v>0</v>
      </c>
      <c r="L124" t="n">
        <v>0</v>
      </c>
      <c r="M124" t="n">
        <v>0</v>
      </c>
      <c r="N124" t="n">
        <v>0</v>
      </c>
      <c r="O124" t="n">
        <v>0</v>
      </c>
      <c r="P124" t="n">
        <v>0</v>
      </c>
      <c r="Q124" t="n">
        <v>0</v>
      </c>
      <c r="R124" s="2" t="inlineStr"/>
    </row>
    <row r="125" ht="15" customHeight="1">
      <c r="A125" t="inlineStr">
        <is>
          <t>A 8130-2022</t>
        </is>
      </c>
      <c r="B125" s="1" t="n">
        <v>44609.5984837963</v>
      </c>
      <c r="C125" s="1" t="n">
        <v>46046</v>
      </c>
      <c r="D125" t="inlineStr">
        <is>
          <t>VÄSTMANLANDS LÄN</t>
        </is>
      </c>
      <c r="E125" t="inlineStr">
        <is>
          <t>SALA</t>
        </is>
      </c>
      <c r="G125" t="n">
        <v>3.5</v>
      </c>
      <c r="H125" t="n">
        <v>0</v>
      </c>
      <c r="I125" t="n">
        <v>0</v>
      </c>
      <c r="J125" t="n">
        <v>0</v>
      </c>
      <c r="K125" t="n">
        <v>0</v>
      </c>
      <c r="L125" t="n">
        <v>0</v>
      </c>
      <c r="M125" t="n">
        <v>0</v>
      </c>
      <c r="N125" t="n">
        <v>0</v>
      </c>
      <c r="O125" t="n">
        <v>0</v>
      </c>
      <c r="P125" t="n">
        <v>0</v>
      </c>
      <c r="Q125" t="n">
        <v>0</v>
      </c>
      <c r="R125" s="2" t="inlineStr"/>
    </row>
    <row r="126" ht="15" customHeight="1">
      <c r="A126" t="inlineStr">
        <is>
          <t>A 35921-2021</t>
        </is>
      </c>
      <c r="B126" s="1" t="n">
        <v>44388.37549768519</v>
      </c>
      <c r="C126" s="1" t="n">
        <v>46046</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65818-2021</t>
        </is>
      </c>
      <c r="B127" s="1" t="n">
        <v>44517</v>
      </c>
      <c r="C127" s="1" t="n">
        <v>46046</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46046</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46046</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46046</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9050-2022</t>
        </is>
      </c>
      <c r="B131" s="1" t="n">
        <v>44615.45451388889</v>
      </c>
      <c r="C131" s="1" t="n">
        <v>46046</v>
      </c>
      <c r="D131" t="inlineStr">
        <is>
          <t>VÄSTMANLANDS LÄN</t>
        </is>
      </c>
      <c r="E131" t="inlineStr">
        <is>
          <t>SALA</t>
        </is>
      </c>
      <c r="G131" t="n">
        <v>3.1</v>
      </c>
      <c r="H131" t="n">
        <v>0</v>
      </c>
      <c r="I131" t="n">
        <v>0</v>
      </c>
      <c r="J131" t="n">
        <v>0</v>
      </c>
      <c r="K131" t="n">
        <v>0</v>
      </c>
      <c r="L131" t="n">
        <v>0</v>
      </c>
      <c r="M131" t="n">
        <v>0</v>
      </c>
      <c r="N131" t="n">
        <v>0</v>
      </c>
      <c r="O131" t="n">
        <v>0</v>
      </c>
      <c r="P131" t="n">
        <v>0</v>
      </c>
      <c r="Q131" t="n">
        <v>0</v>
      </c>
      <c r="R131" s="2" t="inlineStr"/>
    </row>
    <row r="132" ht="15" customHeight="1">
      <c r="A132" t="inlineStr">
        <is>
          <t>A 49254-2022</t>
        </is>
      </c>
      <c r="B132" s="1" t="n">
        <v>44861</v>
      </c>
      <c r="C132" s="1" t="n">
        <v>46046</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44728.56488425926</v>
      </c>
      <c r="C133" s="1" t="n">
        <v>46046</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37856-2021</t>
        </is>
      </c>
      <c r="B134" s="1" t="n">
        <v>44403</v>
      </c>
      <c r="C134" s="1" t="n">
        <v>46046</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37872-2021</t>
        </is>
      </c>
      <c r="B135" s="1" t="n">
        <v>44403</v>
      </c>
      <c r="C135" s="1" t="n">
        <v>46046</v>
      </c>
      <c r="D135" t="inlineStr">
        <is>
          <t>VÄSTMANLANDS LÄN</t>
        </is>
      </c>
      <c r="E135" t="inlineStr">
        <is>
          <t>SALA</t>
        </is>
      </c>
      <c r="G135" t="n">
        <v>1.9</v>
      </c>
      <c r="H135" t="n">
        <v>0</v>
      </c>
      <c r="I135" t="n">
        <v>0</v>
      </c>
      <c r="J135" t="n">
        <v>0</v>
      </c>
      <c r="K135" t="n">
        <v>0</v>
      </c>
      <c r="L135" t="n">
        <v>0</v>
      </c>
      <c r="M135" t="n">
        <v>0</v>
      </c>
      <c r="N135" t="n">
        <v>0</v>
      </c>
      <c r="O135" t="n">
        <v>0</v>
      </c>
      <c r="P135" t="n">
        <v>0</v>
      </c>
      <c r="Q135" t="n">
        <v>0</v>
      </c>
      <c r="R135" s="2" t="inlineStr"/>
    </row>
    <row r="136" ht="15" customHeight="1">
      <c r="A136" t="inlineStr">
        <is>
          <t>A 65835-2021</t>
        </is>
      </c>
      <c r="B136" s="1" t="n">
        <v>44517</v>
      </c>
      <c r="C136" s="1" t="n">
        <v>46046</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46046</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31904-2021</t>
        </is>
      </c>
      <c r="B138" s="1" t="n">
        <v>44370.46853009259</v>
      </c>
      <c r="C138" s="1" t="n">
        <v>46046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23757-2022</t>
        </is>
      </c>
      <c r="B139" s="1" t="n">
        <v>44722.37339120371</v>
      </c>
      <c r="C139" s="1" t="n">
        <v>46046</v>
      </c>
      <c r="D139" t="inlineStr">
        <is>
          <t>VÄSTMANLANDS LÄN</t>
        </is>
      </c>
      <c r="E139" t="inlineStr">
        <is>
          <t>SALA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73606-2021</t>
        </is>
      </c>
      <c r="B140" s="1" t="n">
        <v>44552</v>
      </c>
      <c r="C140" s="1" t="n">
        <v>46046</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53735-2022</t>
        </is>
      </c>
      <c r="B141" s="1" t="n">
        <v>44880.42752314815</v>
      </c>
      <c r="C141" s="1" t="n">
        <v>46046</v>
      </c>
      <c r="D141" t="inlineStr">
        <is>
          <t>VÄSTMANLANDS LÄN</t>
        </is>
      </c>
      <c r="E141" t="inlineStr">
        <is>
          <t>SALA</t>
        </is>
      </c>
      <c r="F141" t="inlineStr">
        <is>
          <t>Bergvik skog öst AB</t>
        </is>
      </c>
      <c r="G141" t="n">
        <v>1.8</v>
      </c>
      <c r="H141" t="n">
        <v>0</v>
      </c>
      <c r="I141" t="n">
        <v>0</v>
      </c>
      <c r="J141" t="n">
        <v>0</v>
      </c>
      <c r="K141" t="n">
        <v>0</v>
      </c>
      <c r="L141" t="n">
        <v>0</v>
      </c>
      <c r="M141" t="n">
        <v>0</v>
      </c>
      <c r="N141" t="n">
        <v>0</v>
      </c>
      <c r="O141" t="n">
        <v>0</v>
      </c>
      <c r="P141" t="n">
        <v>0</v>
      </c>
      <c r="Q141" t="n">
        <v>0</v>
      </c>
      <c r="R141" s="2" t="inlineStr"/>
    </row>
    <row r="142" ht="15" customHeight="1">
      <c r="A142" t="inlineStr">
        <is>
          <t>A 30915-2021</t>
        </is>
      </c>
      <c r="B142" s="1" t="n">
        <v>44365</v>
      </c>
      <c r="C142" s="1" t="n">
        <v>46046</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30918-2021</t>
        </is>
      </c>
      <c r="B143" s="1" t="n">
        <v>44365.60569444444</v>
      </c>
      <c r="C143" s="1" t="n">
        <v>46046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67962-2021</t>
        </is>
      </c>
      <c r="B144" s="1" t="n">
        <v>44525</v>
      </c>
      <c r="C144" s="1" t="n">
        <v>46046</v>
      </c>
      <c r="D144" t="inlineStr">
        <is>
          <t>VÄSTMANLANDS LÄN</t>
        </is>
      </c>
      <c r="E144" t="inlineStr">
        <is>
          <t>SALA</t>
        </is>
      </c>
      <c r="G144" t="n">
        <v>1.4</v>
      </c>
      <c r="H144" t="n">
        <v>0</v>
      </c>
      <c r="I144" t="n">
        <v>0</v>
      </c>
      <c r="J144" t="n">
        <v>0</v>
      </c>
      <c r="K144" t="n">
        <v>0</v>
      </c>
      <c r="L144" t="n">
        <v>0</v>
      </c>
      <c r="M144" t="n">
        <v>0</v>
      </c>
      <c r="N144" t="n">
        <v>0</v>
      </c>
      <c r="O144" t="n">
        <v>0</v>
      </c>
      <c r="P144" t="n">
        <v>0</v>
      </c>
      <c r="Q144" t="n">
        <v>0</v>
      </c>
      <c r="R144" s="2" t="inlineStr"/>
    </row>
    <row r="145" ht="15" customHeight="1">
      <c r="A145" t="inlineStr">
        <is>
          <t>A 22562-2022</t>
        </is>
      </c>
      <c r="B145" s="1" t="n">
        <v>44713</v>
      </c>
      <c r="C145" s="1" t="n">
        <v>46046</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30904-2021</t>
        </is>
      </c>
      <c r="B146" s="1" t="n">
        <v>44365.5983449074</v>
      </c>
      <c r="C146" s="1" t="n">
        <v>46046</v>
      </c>
      <c r="D146" t="inlineStr">
        <is>
          <t>VÄSTMANLANDS LÄN</t>
        </is>
      </c>
      <c r="E146" t="inlineStr">
        <is>
          <t>SALA</t>
        </is>
      </c>
      <c r="G146" t="n">
        <v>1.9</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46046</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46046</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46046</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46046</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73519-2021</t>
        </is>
      </c>
      <c r="B151" s="1" t="n">
        <v>44551</v>
      </c>
      <c r="C151" s="1" t="n">
        <v>46046</v>
      </c>
      <c r="D151" t="inlineStr">
        <is>
          <t>VÄSTMANLANDS LÄN</t>
        </is>
      </c>
      <c r="E151" t="inlineStr">
        <is>
          <t>SALA</t>
        </is>
      </c>
      <c r="G151" t="n">
        <v>0.3</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46046</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37881-2021</t>
        </is>
      </c>
      <c r="B153" s="1" t="n">
        <v>44403</v>
      </c>
      <c r="C153" s="1" t="n">
        <v>46046</v>
      </c>
      <c r="D153" t="inlineStr">
        <is>
          <t>VÄSTMANLANDS LÄN</t>
        </is>
      </c>
      <c r="E153" t="inlineStr">
        <is>
          <t>SALA</t>
        </is>
      </c>
      <c r="G153" t="n">
        <v>4.6</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46046</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72805-2021</t>
        </is>
      </c>
      <c r="B155" s="1" t="n">
        <v>44546</v>
      </c>
      <c r="C155" s="1" t="n">
        <v>46046</v>
      </c>
      <c r="D155" t="inlineStr">
        <is>
          <t>VÄSTMANLANDS LÄN</t>
        </is>
      </c>
      <c r="E155" t="inlineStr">
        <is>
          <t>SALA</t>
        </is>
      </c>
      <c r="G155" t="n">
        <v>7.8</v>
      </c>
      <c r="H155" t="n">
        <v>0</v>
      </c>
      <c r="I155" t="n">
        <v>0</v>
      </c>
      <c r="J155" t="n">
        <v>0</v>
      </c>
      <c r="K155" t="n">
        <v>0</v>
      </c>
      <c r="L155" t="n">
        <v>0</v>
      </c>
      <c r="M155" t="n">
        <v>0</v>
      </c>
      <c r="N155" t="n">
        <v>0</v>
      </c>
      <c r="O155" t="n">
        <v>0</v>
      </c>
      <c r="P155" t="n">
        <v>0</v>
      </c>
      <c r="Q155" t="n">
        <v>0</v>
      </c>
      <c r="R155" s="2" t="inlineStr"/>
    </row>
    <row r="156" ht="15" customHeight="1">
      <c r="A156" t="inlineStr">
        <is>
          <t>A 72808-2021</t>
        </is>
      </c>
      <c r="B156" s="1" t="n">
        <v>44546</v>
      </c>
      <c r="C156" s="1" t="n">
        <v>46046</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46046</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14047-2021</t>
        </is>
      </c>
      <c r="B158" s="1" t="n">
        <v>44277</v>
      </c>
      <c r="C158" s="1" t="n">
        <v>46046</v>
      </c>
      <c r="D158" t="inlineStr">
        <is>
          <t>VÄSTMANLANDS LÄN</t>
        </is>
      </c>
      <c r="E158" t="inlineStr">
        <is>
          <t>SALA</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23847-2022</t>
        </is>
      </c>
      <c r="B159" s="1" t="n">
        <v>44722</v>
      </c>
      <c r="C159" s="1" t="n">
        <v>46046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53630-2022</t>
        </is>
      </c>
      <c r="B160" s="1" t="n">
        <v>44879.87533564815</v>
      </c>
      <c r="C160" s="1" t="n">
        <v>46046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40113-2022</t>
        </is>
      </c>
      <c r="B161" s="1" t="n">
        <v>44819</v>
      </c>
      <c r="C161" s="1" t="n">
        <v>46046</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70218-2021</t>
        </is>
      </c>
      <c r="B162" s="1" t="n">
        <v>44535.6571412037</v>
      </c>
      <c r="C162" s="1" t="n">
        <v>46046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3204-2022</t>
        </is>
      </c>
      <c r="B163" s="1" t="n">
        <v>44582</v>
      </c>
      <c r="C163" s="1" t="n">
        <v>46046</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46046</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46046</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46046</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26570-2021</t>
        </is>
      </c>
      <c r="B167" s="1" t="n">
        <v>44348</v>
      </c>
      <c r="C167" s="1" t="n">
        <v>46046</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54910-2023</t>
        </is>
      </c>
      <c r="B168" s="1" t="n">
        <v>45229</v>
      </c>
      <c r="C168" s="1" t="n">
        <v>46046</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29233-2022</t>
        </is>
      </c>
      <c r="B169" s="1" t="n">
        <v>44750</v>
      </c>
      <c r="C169" s="1" t="n">
        <v>46046</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62449-2023</t>
        </is>
      </c>
      <c r="B170" s="1" t="n">
        <v>45268.49008101852</v>
      </c>
      <c r="C170" s="1" t="n">
        <v>46046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17458-2024</t>
        </is>
      </c>
      <c r="B171" s="1" t="n">
        <v>45415</v>
      </c>
      <c r="C171" s="1" t="n">
        <v>46046</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56543-2024</t>
        </is>
      </c>
      <c r="B172" s="1" t="n">
        <v>45625</v>
      </c>
      <c r="C172" s="1" t="n">
        <v>46046</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46046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31950-2023</t>
        </is>
      </c>
      <c r="B174" s="1" t="n">
        <v>45107</v>
      </c>
      <c r="C174" s="1" t="n">
        <v>46046</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41876-2022</t>
        </is>
      </c>
      <c r="B175" s="1" t="n">
        <v>44829.97008101852</v>
      </c>
      <c r="C175" s="1" t="n">
        <v>46046</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67958-2021</t>
        </is>
      </c>
      <c r="B176" s="1" t="n">
        <v>44525</v>
      </c>
      <c r="C176" s="1" t="n">
        <v>46046</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67965-2021</t>
        </is>
      </c>
      <c r="B177" s="1" t="n">
        <v>44525</v>
      </c>
      <c r="C177" s="1" t="n">
        <v>46046</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9075-2022</t>
        </is>
      </c>
      <c r="B178" s="1" t="n">
        <v>44615.47800925926</v>
      </c>
      <c r="C178" s="1" t="n">
        <v>46046</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46046</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46046</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48710-2024</t>
        </is>
      </c>
      <c r="B181" s="1" t="n">
        <v>45593.53636574074</v>
      </c>
      <c r="C181" s="1" t="n">
        <v>46046</v>
      </c>
      <c r="D181" t="inlineStr">
        <is>
          <t>VÄSTMANLANDS LÄN</t>
        </is>
      </c>
      <c r="E181" t="inlineStr">
        <is>
          <t>SALA</t>
        </is>
      </c>
      <c r="G181" t="n">
        <v>6.5</v>
      </c>
      <c r="H181" t="n">
        <v>0</v>
      </c>
      <c r="I181" t="n">
        <v>0</v>
      </c>
      <c r="J181" t="n">
        <v>0</v>
      </c>
      <c r="K181" t="n">
        <v>0</v>
      </c>
      <c r="L181" t="n">
        <v>0</v>
      </c>
      <c r="M181" t="n">
        <v>0</v>
      </c>
      <c r="N181" t="n">
        <v>0</v>
      </c>
      <c r="O181" t="n">
        <v>0</v>
      </c>
      <c r="P181" t="n">
        <v>0</v>
      </c>
      <c r="Q181" t="n">
        <v>0</v>
      </c>
      <c r="R181" s="2" t="inlineStr"/>
    </row>
    <row r="182" ht="15" customHeight="1">
      <c r="A182" t="inlineStr">
        <is>
          <t>A 16404-2022</t>
        </is>
      </c>
      <c r="B182" s="1" t="n">
        <v>44671</v>
      </c>
      <c r="C182" s="1" t="n">
        <v>46046</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16767-2024</t>
        </is>
      </c>
      <c r="B183" s="1" t="n">
        <v>45411.38171296296</v>
      </c>
      <c r="C183" s="1" t="n">
        <v>46046</v>
      </c>
      <c r="D183" t="inlineStr">
        <is>
          <t>VÄSTMANLANDS LÄN</t>
        </is>
      </c>
      <c r="E183" t="inlineStr">
        <is>
          <t>SALA</t>
        </is>
      </c>
      <c r="G183" t="n">
        <v>2.5</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46046</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6097-2022</t>
        </is>
      </c>
      <c r="B185" s="1" t="n">
        <v>44599</v>
      </c>
      <c r="C185" s="1" t="n">
        <v>46046</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29002-2022</t>
        </is>
      </c>
      <c r="B186" s="1" t="n">
        <v>44749</v>
      </c>
      <c r="C186" s="1" t="n">
        <v>46046</v>
      </c>
      <c r="D186" t="inlineStr">
        <is>
          <t>VÄSTMANLANDS LÄN</t>
        </is>
      </c>
      <c r="E186" t="inlineStr">
        <is>
          <t>SALA</t>
        </is>
      </c>
      <c r="G186" t="n">
        <v>5.4</v>
      </c>
      <c r="H186" t="n">
        <v>0</v>
      </c>
      <c r="I186" t="n">
        <v>0</v>
      </c>
      <c r="J186" t="n">
        <v>0</v>
      </c>
      <c r="K186" t="n">
        <v>0</v>
      </c>
      <c r="L186" t="n">
        <v>0</v>
      </c>
      <c r="M186" t="n">
        <v>0</v>
      </c>
      <c r="N186" t="n">
        <v>0</v>
      </c>
      <c r="O186" t="n">
        <v>0</v>
      </c>
      <c r="P186" t="n">
        <v>0</v>
      </c>
      <c r="Q186" t="n">
        <v>0</v>
      </c>
      <c r="R186" s="2" t="inlineStr"/>
    </row>
    <row r="187" ht="15" customHeight="1">
      <c r="A187" t="inlineStr">
        <is>
          <t>A 24248-2023</t>
        </is>
      </c>
      <c r="B187" s="1" t="n">
        <v>45079</v>
      </c>
      <c r="C187" s="1" t="n">
        <v>46046</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46046</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4853-2023</t>
        </is>
      </c>
      <c r="B189" s="1" t="n">
        <v>44957.73234953704</v>
      </c>
      <c r="C189" s="1" t="n">
        <v>46046</v>
      </c>
      <c r="D189" t="inlineStr">
        <is>
          <t>VÄSTMANLANDS LÄN</t>
        </is>
      </c>
      <c r="E189" t="inlineStr">
        <is>
          <t>SALA</t>
        </is>
      </c>
      <c r="G189" t="n">
        <v>2.7</v>
      </c>
      <c r="H189" t="n">
        <v>0</v>
      </c>
      <c r="I189" t="n">
        <v>0</v>
      </c>
      <c r="J189" t="n">
        <v>0</v>
      </c>
      <c r="K189" t="n">
        <v>0</v>
      </c>
      <c r="L189" t="n">
        <v>0</v>
      </c>
      <c r="M189" t="n">
        <v>0</v>
      </c>
      <c r="N189" t="n">
        <v>0</v>
      </c>
      <c r="O189" t="n">
        <v>0</v>
      </c>
      <c r="P189" t="n">
        <v>0</v>
      </c>
      <c r="Q189" t="n">
        <v>0</v>
      </c>
      <c r="R189" s="2" t="inlineStr"/>
    </row>
    <row r="190" ht="15" customHeight="1">
      <c r="A190" t="inlineStr">
        <is>
          <t>A 58107-2021</t>
        </is>
      </c>
      <c r="B190" s="1" t="n">
        <v>44487</v>
      </c>
      <c r="C190" s="1" t="n">
        <v>46046</v>
      </c>
      <c r="D190" t="inlineStr">
        <is>
          <t>VÄSTMANLANDS LÄN</t>
        </is>
      </c>
      <c r="E190" t="inlineStr">
        <is>
          <t>SALA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46046</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10559-2024</t>
        </is>
      </c>
      <c r="B192" s="1" t="n">
        <v>45366</v>
      </c>
      <c r="C192" s="1" t="n">
        <v>46046</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66830-2021</t>
        </is>
      </c>
      <c r="B193" s="1" t="n">
        <v>44522.40886574074</v>
      </c>
      <c r="C193" s="1" t="n">
        <v>46046</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40214-2023</t>
        </is>
      </c>
      <c r="B194" s="1" t="n">
        <v>45169.45173611111</v>
      </c>
      <c r="C194" s="1" t="n">
        <v>46046</v>
      </c>
      <c r="D194" t="inlineStr">
        <is>
          <t>VÄSTMANLANDS LÄN</t>
        </is>
      </c>
      <c r="E194" t="inlineStr">
        <is>
          <t>SALA</t>
        </is>
      </c>
      <c r="G194" t="n">
        <v>5.5</v>
      </c>
      <c r="H194" t="n">
        <v>0</v>
      </c>
      <c r="I194" t="n">
        <v>0</v>
      </c>
      <c r="J194" t="n">
        <v>0</v>
      </c>
      <c r="K194" t="n">
        <v>0</v>
      </c>
      <c r="L194" t="n">
        <v>0</v>
      </c>
      <c r="M194" t="n">
        <v>0</v>
      </c>
      <c r="N194" t="n">
        <v>0</v>
      </c>
      <c r="O194" t="n">
        <v>0</v>
      </c>
      <c r="P194" t="n">
        <v>0</v>
      </c>
      <c r="Q194" t="n">
        <v>0</v>
      </c>
      <c r="R194" s="2" t="inlineStr"/>
    </row>
    <row r="195" ht="15" customHeight="1">
      <c r="A195" t="inlineStr">
        <is>
          <t>A 9856-2022</t>
        </is>
      </c>
      <c r="B195" s="1" t="n">
        <v>44620</v>
      </c>
      <c r="C195" s="1" t="n">
        <v>46046</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35462-2024</t>
        </is>
      </c>
      <c r="B196" s="1" t="n">
        <v>45531</v>
      </c>
      <c r="C196" s="1" t="n">
        <v>46046</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14024-2025</t>
        </is>
      </c>
      <c r="B197" s="1" t="n">
        <v>45740.34650462963</v>
      </c>
      <c r="C197" s="1" t="n">
        <v>46046</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18100-2023</t>
        </is>
      </c>
      <c r="B198" s="1" t="n">
        <v>45040</v>
      </c>
      <c r="C198" s="1" t="n">
        <v>46046</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28402-2022</t>
        </is>
      </c>
      <c r="B199" s="1" t="n">
        <v>44747</v>
      </c>
      <c r="C199" s="1" t="n">
        <v>46046</v>
      </c>
      <c r="D199" t="inlineStr">
        <is>
          <t>VÄSTMANLANDS LÄN</t>
        </is>
      </c>
      <c r="E199" t="inlineStr">
        <is>
          <t>SALA</t>
        </is>
      </c>
      <c r="G199" t="n">
        <v>0.6</v>
      </c>
      <c r="H199" t="n">
        <v>0</v>
      </c>
      <c r="I199" t="n">
        <v>0</v>
      </c>
      <c r="J199" t="n">
        <v>0</v>
      </c>
      <c r="K199" t="n">
        <v>0</v>
      </c>
      <c r="L199" t="n">
        <v>0</v>
      </c>
      <c r="M199" t="n">
        <v>0</v>
      </c>
      <c r="N199" t="n">
        <v>0</v>
      </c>
      <c r="O199" t="n">
        <v>0</v>
      </c>
      <c r="P199" t="n">
        <v>0</v>
      </c>
      <c r="Q199" t="n">
        <v>0</v>
      </c>
      <c r="R199" s="2" t="inlineStr"/>
    </row>
    <row r="200" ht="15" customHeight="1">
      <c r="A200" t="inlineStr">
        <is>
          <t>A 26692-2023</t>
        </is>
      </c>
      <c r="B200" s="1" t="n">
        <v>45093.360625</v>
      </c>
      <c r="C200" s="1" t="n">
        <v>46046</v>
      </c>
      <c r="D200" t="inlineStr">
        <is>
          <t>VÄSTMANLANDS LÄN</t>
        </is>
      </c>
      <c r="E200" t="inlineStr">
        <is>
          <t>SALA</t>
        </is>
      </c>
      <c r="G200" t="n">
        <v>1.8</v>
      </c>
      <c r="H200" t="n">
        <v>0</v>
      </c>
      <c r="I200" t="n">
        <v>0</v>
      </c>
      <c r="J200" t="n">
        <v>0</v>
      </c>
      <c r="K200" t="n">
        <v>0</v>
      </c>
      <c r="L200" t="n">
        <v>0</v>
      </c>
      <c r="M200" t="n">
        <v>0</v>
      </c>
      <c r="N200" t="n">
        <v>0</v>
      </c>
      <c r="O200" t="n">
        <v>0</v>
      </c>
      <c r="P200" t="n">
        <v>0</v>
      </c>
      <c r="Q200" t="n">
        <v>0</v>
      </c>
      <c r="R200" s="2" t="inlineStr"/>
    </row>
    <row r="201" ht="15" customHeight="1">
      <c r="A201" t="inlineStr">
        <is>
          <t>A 42447-2022</t>
        </is>
      </c>
      <c r="B201" s="1" t="n">
        <v>44831</v>
      </c>
      <c r="C201" s="1" t="n">
        <v>46046</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13188-2025</t>
        </is>
      </c>
      <c r="B202" s="1" t="n">
        <v>45735.39246527778</v>
      </c>
      <c r="C202" s="1" t="n">
        <v>46046</v>
      </c>
      <c r="D202" t="inlineStr">
        <is>
          <t>VÄSTMANLANDS LÄN</t>
        </is>
      </c>
      <c r="E202" t="inlineStr">
        <is>
          <t>SALA</t>
        </is>
      </c>
      <c r="F202" t="inlineStr">
        <is>
          <t>Naturvårdsverket</t>
        </is>
      </c>
      <c r="G202" t="n">
        <v>18.4</v>
      </c>
      <c r="H202" t="n">
        <v>0</v>
      </c>
      <c r="I202" t="n">
        <v>0</v>
      </c>
      <c r="J202" t="n">
        <v>0</v>
      </c>
      <c r="K202" t="n">
        <v>0</v>
      </c>
      <c r="L202" t="n">
        <v>0</v>
      </c>
      <c r="M202" t="n">
        <v>0</v>
      </c>
      <c r="N202" t="n">
        <v>0</v>
      </c>
      <c r="O202" t="n">
        <v>0</v>
      </c>
      <c r="P202" t="n">
        <v>0</v>
      </c>
      <c r="Q202" t="n">
        <v>0</v>
      </c>
      <c r="R202" s="2" t="inlineStr"/>
    </row>
    <row r="203" ht="15" customHeight="1">
      <c r="A203" t="inlineStr">
        <is>
          <t>A 33732-2023</t>
        </is>
      </c>
      <c r="B203" s="1" t="n">
        <v>45133.32409722222</v>
      </c>
      <c r="C203" s="1" t="n">
        <v>46046</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59909-2024</t>
        </is>
      </c>
      <c r="B204" s="1" t="n">
        <v>45641</v>
      </c>
      <c r="C204" s="1" t="n">
        <v>46046</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41292-2021</t>
        </is>
      </c>
      <c r="B205" s="1" t="n">
        <v>44424</v>
      </c>
      <c r="C205" s="1" t="n">
        <v>46046</v>
      </c>
      <c r="D205" t="inlineStr">
        <is>
          <t>VÄSTMANLANDS LÄN</t>
        </is>
      </c>
      <c r="E205" t="inlineStr">
        <is>
          <t>SALA</t>
        </is>
      </c>
      <c r="G205" t="n">
        <v>0.3</v>
      </c>
      <c r="H205" t="n">
        <v>0</v>
      </c>
      <c r="I205" t="n">
        <v>0</v>
      </c>
      <c r="J205" t="n">
        <v>0</v>
      </c>
      <c r="K205" t="n">
        <v>0</v>
      </c>
      <c r="L205" t="n">
        <v>0</v>
      </c>
      <c r="M205" t="n">
        <v>0</v>
      </c>
      <c r="N205" t="n">
        <v>0</v>
      </c>
      <c r="O205" t="n">
        <v>0</v>
      </c>
      <c r="P205" t="n">
        <v>0</v>
      </c>
      <c r="Q205" t="n">
        <v>0</v>
      </c>
      <c r="R205" s="2" t="inlineStr"/>
    </row>
    <row r="206" ht="15" customHeight="1">
      <c r="A206" t="inlineStr">
        <is>
          <t>A 23374-2023</t>
        </is>
      </c>
      <c r="B206" s="1" t="n">
        <v>45076.4399537037</v>
      </c>
      <c r="C206" s="1" t="n">
        <v>46046</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46046</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48117-2024</t>
        </is>
      </c>
      <c r="B208" s="1" t="n">
        <v>45589</v>
      </c>
      <c r="C208" s="1" t="n">
        <v>46046</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51464-2024</t>
        </is>
      </c>
      <c r="B209" s="1" t="n">
        <v>45604.49768518518</v>
      </c>
      <c r="C209" s="1" t="n">
        <v>46046</v>
      </c>
      <c r="D209" t="inlineStr">
        <is>
          <t>VÄSTMANLANDS LÄN</t>
        </is>
      </c>
      <c r="E209" t="inlineStr">
        <is>
          <t>SALA</t>
        </is>
      </c>
      <c r="G209" t="n">
        <v>3.9</v>
      </c>
      <c r="H209" t="n">
        <v>0</v>
      </c>
      <c r="I209" t="n">
        <v>0</v>
      </c>
      <c r="J209" t="n">
        <v>0</v>
      </c>
      <c r="K209" t="n">
        <v>0</v>
      </c>
      <c r="L209" t="n">
        <v>0</v>
      </c>
      <c r="M209" t="n">
        <v>0</v>
      </c>
      <c r="N209" t="n">
        <v>0</v>
      </c>
      <c r="O209" t="n">
        <v>0</v>
      </c>
      <c r="P209" t="n">
        <v>0</v>
      </c>
      <c r="Q209" t="n">
        <v>0</v>
      </c>
      <c r="R209" s="2" t="inlineStr"/>
    </row>
    <row r="210" ht="15" customHeight="1">
      <c r="A210" t="inlineStr">
        <is>
          <t>A 54603-2024</t>
        </is>
      </c>
      <c r="B210" s="1" t="n">
        <v>45617.68224537037</v>
      </c>
      <c r="C210" s="1" t="n">
        <v>46046</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23431-2024</t>
        </is>
      </c>
      <c r="B211" s="1" t="n">
        <v>45453</v>
      </c>
      <c r="C211" s="1" t="n">
        <v>46046</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13752-2025</t>
        </is>
      </c>
      <c r="B212" s="1" t="n">
        <v>45737.41416666667</v>
      </c>
      <c r="C212" s="1" t="n">
        <v>46046</v>
      </c>
      <c r="D212" t="inlineStr">
        <is>
          <t>VÄSTMANLANDS LÄN</t>
        </is>
      </c>
      <c r="E212" t="inlineStr">
        <is>
          <t>SALA</t>
        </is>
      </c>
      <c r="G212" t="n">
        <v>0.4</v>
      </c>
      <c r="H212" t="n">
        <v>0</v>
      </c>
      <c r="I212" t="n">
        <v>0</v>
      </c>
      <c r="J212" t="n">
        <v>0</v>
      </c>
      <c r="K212" t="n">
        <v>0</v>
      </c>
      <c r="L212" t="n">
        <v>0</v>
      </c>
      <c r="M212" t="n">
        <v>0</v>
      </c>
      <c r="N212" t="n">
        <v>0</v>
      </c>
      <c r="O212" t="n">
        <v>0</v>
      </c>
      <c r="P212" t="n">
        <v>0</v>
      </c>
      <c r="Q212" t="n">
        <v>0</v>
      </c>
      <c r="R212" s="2" t="inlineStr"/>
    </row>
    <row r="213" ht="15" customHeight="1">
      <c r="A213" t="inlineStr">
        <is>
          <t>A 31082-2021</t>
        </is>
      </c>
      <c r="B213" s="1" t="n">
        <v>44368</v>
      </c>
      <c r="C213" s="1" t="n">
        <v>46046</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69232-2021</t>
        </is>
      </c>
      <c r="B214" s="1" t="n">
        <v>44531.39696759259</v>
      </c>
      <c r="C214" s="1" t="n">
        <v>46046</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21168-2025</t>
        </is>
      </c>
      <c r="B215" s="1" t="n">
        <v>45777</v>
      </c>
      <c r="C215" s="1" t="n">
        <v>46046</v>
      </c>
      <c r="D215" t="inlineStr">
        <is>
          <t>VÄSTMANLANDS LÄN</t>
        </is>
      </c>
      <c r="E215" t="inlineStr">
        <is>
          <t>SALA</t>
        </is>
      </c>
      <c r="G215" t="n">
        <v>4.5</v>
      </c>
      <c r="H215" t="n">
        <v>0</v>
      </c>
      <c r="I215" t="n">
        <v>0</v>
      </c>
      <c r="J215" t="n">
        <v>0</v>
      </c>
      <c r="K215" t="n">
        <v>0</v>
      </c>
      <c r="L215" t="n">
        <v>0</v>
      </c>
      <c r="M215" t="n">
        <v>0</v>
      </c>
      <c r="N215" t="n">
        <v>0</v>
      </c>
      <c r="O215" t="n">
        <v>0</v>
      </c>
      <c r="P215" t="n">
        <v>0</v>
      </c>
      <c r="Q215" t="n">
        <v>0</v>
      </c>
      <c r="R215" s="2" t="inlineStr"/>
    </row>
    <row r="216" ht="15" customHeight="1">
      <c r="A216" t="inlineStr">
        <is>
          <t>A 19398-2025</t>
        </is>
      </c>
      <c r="B216" s="1" t="n">
        <v>45769</v>
      </c>
      <c r="C216" s="1" t="n">
        <v>46046</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31470-2021</t>
        </is>
      </c>
      <c r="B217" s="1" t="n">
        <v>44369</v>
      </c>
      <c r="C217" s="1" t="n">
        <v>46046</v>
      </c>
      <c r="D217" t="inlineStr">
        <is>
          <t>VÄSTMANLANDS LÄN</t>
        </is>
      </c>
      <c r="E217" t="inlineStr">
        <is>
          <t>SALA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4797-2023</t>
        </is>
      </c>
      <c r="B218" s="1" t="n">
        <v>44957</v>
      </c>
      <c r="C218" s="1" t="n">
        <v>46046</v>
      </c>
      <c r="D218" t="inlineStr">
        <is>
          <t>VÄSTMANLANDS LÄN</t>
        </is>
      </c>
      <c r="E218" t="inlineStr">
        <is>
          <t>SALA</t>
        </is>
      </c>
      <c r="G218" t="n">
        <v>5.7</v>
      </c>
      <c r="H218" t="n">
        <v>0</v>
      </c>
      <c r="I218" t="n">
        <v>0</v>
      </c>
      <c r="J218" t="n">
        <v>0</v>
      </c>
      <c r="K218" t="n">
        <v>0</v>
      </c>
      <c r="L218" t="n">
        <v>0</v>
      </c>
      <c r="M218" t="n">
        <v>0</v>
      </c>
      <c r="N218" t="n">
        <v>0</v>
      </c>
      <c r="O218" t="n">
        <v>0</v>
      </c>
      <c r="P218" t="n">
        <v>0</v>
      </c>
      <c r="Q218" t="n">
        <v>0</v>
      </c>
      <c r="R218" s="2" t="inlineStr"/>
    </row>
    <row r="219" ht="15" customHeight="1">
      <c r="A219" t="inlineStr">
        <is>
          <t>A 61517-2024</t>
        </is>
      </c>
      <c r="B219" s="1" t="n">
        <v>45645</v>
      </c>
      <c r="C219" s="1" t="n">
        <v>46046</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24175-2024</t>
        </is>
      </c>
      <c r="B220" s="1" t="n">
        <v>45456</v>
      </c>
      <c r="C220" s="1" t="n">
        <v>46046</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2927-2024</t>
        </is>
      </c>
      <c r="B221" s="1" t="n">
        <v>45315.58989583333</v>
      </c>
      <c r="C221" s="1" t="n">
        <v>46046</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28328-2023</t>
        </is>
      </c>
      <c r="B222" s="1" t="n">
        <v>45099.71063657408</v>
      </c>
      <c r="C222" s="1" t="n">
        <v>46046</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1638-2023</t>
        </is>
      </c>
      <c r="B223" s="1" t="n">
        <v>44937</v>
      </c>
      <c r="C223" s="1" t="n">
        <v>46046</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21754-2025</t>
        </is>
      </c>
      <c r="B224" s="1" t="n">
        <v>45783.61837962963</v>
      </c>
      <c r="C224" s="1" t="n">
        <v>46046</v>
      </c>
      <c r="D224" t="inlineStr">
        <is>
          <t>VÄSTMANLANDS LÄN</t>
        </is>
      </c>
      <c r="E224" t="inlineStr">
        <is>
          <t>SALA</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21751-2025</t>
        </is>
      </c>
      <c r="B225" s="1" t="n">
        <v>45783.61372685185</v>
      </c>
      <c r="C225" s="1" t="n">
        <v>46046</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61715-2024</t>
        </is>
      </c>
      <c r="B226" s="1" t="n">
        <v>45648.89519675926</v>
      </c>
      <c r="C226" s="1" t="n">
        <v>46046</v>
      </c>
      <c r="D226" t="inlineStr">
        <is>
          <t>VÄSTMANLANDS LÄN</t>
        </is>
      </c>
      <c r="E226" t="inlineStr">
        <is>
          <t>SALA</t>
        </is>
      </c>
      <c r="G226" t="n">
        <v>2.5</v>
      </c>
      <c r="H226" t="n">
        <v>0</v>
      </c>
      <c r="I226" t="n">
        <v>0</v>
      </c>
      <c r="J226" t="n">
        <v>0</v>
      </c>
      <c r="K226" t="n">
        <v>0</v>
      </c>
      <c r="L226" t="n">
        <v>0</v>
      </c>
      <c r="M226" t="n">
        <v>0</v>
      </c>
      <c r="N226" t="n">
        <v>0</v>
      </c>
      <c r="O226" t="n">
        <v>0</v>
      </c>
      <c r="P226" t="n">
        <v>0</v>
      </c>
      <c r="Q226" t="n">
        <v>0</v>
      </c>
      <c r="R226" s="2" t="inlineStr"/>
    </row>
    <row r="227" ht="15" customHeight="1">
      <c r="A227" t="inlineStr">
        <is>
          <t>A 26854-2024</t>
        </is>
      </c>
      <c r="B227" s="1" t="n">
        <v>45470</v>
      </c>
      <c r="C227" s="1" t="n">
        <v>46046</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15972-2024</t>
        </is>
      </c>
      <c r="B228" s="1" t="n">
        <v>45405.56498842593</v>
      </c>
      <c r="C228" s="1" t="n">
        <v>46046</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38195-2021</t>
        </is>
      </c>
      <c r="B229" s="1" t="n">
        <v>44405</v>
      </c>
      <c r="C229" s="1" t="n">
        <v>46046</v>
      </c>
      <c r="D229" t="inlineStr">
        <is>
          <t>VÄSTMANLANDS LÄN</t>
        </is>
      </c>
      <c r="E229" t="inlineStr">
        <is>
          <t>SALA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37958-2024</t>
        </is>
      </c>
      <c r="B230" s="1" t="n">
        <v>45544</v>
      </c>
      <c r="C230" s="1" t="n">
        <v>46046</v>
      </c>
      <c r="D230" t="inlineStr">
        <is>
          <t>VÄSTMANLANDS LÄN</t>
        </is>
      </c>
      <c r="E230" t="inlineStr">
        <is>
          <t>SALA</t>
        </is>
      </c>
      <c r="G230" t="n">
        <v>5.6</v>
      </c>
      <c r="H230" t="n">
        <v>0</v>
      </c>
      <c r="I230" t="n">
        <v>0</v>
      </c>
      <c r="J230" t="n">
        <v>0</v>
      </c>
      <c r="K230" t="n">
        <v>0</v>
      </c>
      <c r="L230" t="n">
        <v>0</v>
      </c>
      <c r="M230" t="n">
        <v>0</v>
      </c>
      <c r="N230" t="n">
        <v>0</v>
      </c>
      <c r="O230" t="n">
        <v>0</v>
      </c>
      <c r="P230" t="n">
        <v>0</v>
      </c>
      <c r="Q230" t="n">
        <v>0</v>
      </c>
      <c r="R230" s="2" t="inlineStr"/>
    </row>
    <row r="231" ht="15" customHeight="1">
      <c r="A231" t="inlineStr">
        <is>
          <t>A 37587-2024</t>
        </is>
      </c>
      <c r="B231" s="1" t="n">
        <v>45541</v>
      </c>
      <c r="C231" s="1" t="n">
        <v>46046</v>
      </c>
      <c r="D231" t="inlineStr">
        <is>
          <t>VÄSTMANLANDS LÄN</t>
        </is>
      </c>
      <c r="E231" t="inlineStr">
        <is>
          <t>SALA</t>
        </is>
      </c>
      <c r="G231" t="n">
        <v>1.2</v>
      </c>
      <c r="H231" t="n">
        <v>0</v>
      </c>
      <c r="I231" t="n">
        <v>0</v>
      </c>
      <c r="J231" t="n">
        <v>0</v>
      </c>
      <c r="K231" t="n">
        <v>0</v>
      </c>
      <c r="L231" t="n">
        <v>0</v>
      </c>
      <c r="M231" t="n">
        <v>0</v>
      </c>
      <c r="N231" t="n">
        <v>0</v>
      </c>
      <c r="O231" t="n">
        <v>0</v>
      </c>
      <c r="P231" t="n">
        <v>0</v>
      </c>
      <c r="Q231" t="n">
        <v>0</v>
      </c>
      <c r="R231" s="2" t="inlineStr"/>
    </row>
    <row r="232" ht="15" customHeight="1">
      <c r="A232" t="inlineStr">
        <is>
          <t>A 6132-2025</t>
        </is>
      </c>
      <c r="B232" s="1" t="n">
        <v>45698</v>
      </c>
      <c r="C232" s="1" t="n">
        <v>46046</v>
      </c>
      <c r="D232" t="inlineStr">
        <is>
          <t>VÄSTMANLANDS LÄN</t>
        </is>
      </c>
      <c r="E232" t="inlineStr">
        <is>
          <t>SALA</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21777-2022</t>
        </is>
      </c>
      <c r="B233" s="1" t="n">
        <v>44708.48194444444</v>
      </c>
      <c r="C233" s="1" t="n">
        <v>46046</v>
      </c>
      <c r="D233" t="inlineStr">
        <is>
          <t>VÄSTMANLANDS LÄN</t>
        </is>
      </c>
      <c r="E233" t="inlineStr">
        <is>
          <t>SALA</t>
        </is>
      </c>
      <c r="G233" t="n">
        <v>0.7</v>
      </c>
      <c r="H233" t="n">
        <v>0</v>
      </c>
      <c r="I233" t="n">
        <v>0</v>
      </c>
      <c r="J233" t="n">
        <v>0</v>
      </c>
      <c r="K233" t="n">
        <v>0</v>
      </c>
      <c r="L233" t="n">
        <v>0</v>
      </c>
      <c r="M233" t="n">
        <v>0</v>
      </c>
      <c r="N233" t="n">
        <v>0</v>
      </c>
      <c r="O233" t="n">
        <v>0</v>
      </c>
      <c r="P233" t="n">
        <v>0</v>
      </c>
      <c r="Q233" t="n">
        <v>0</v>
      </c>
      <c r="R233" s="2" t="inlineStr"/>
    </row>
    <row r="234" ht="15" customHeight="1">
      <c r="A234" t="inlineStr">
        <is>
          <t>A 1555-2024</t>
        </is>
      </c>
      <c r="B234" s="1" t="n">
        <v>45306</v>
      </c>
      <c r="C234" s="1" t="n">
        <v>46046</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64724-2023</t>
        </is>
      </c>
      <c r="B235" s="1" t="n">
        <v>45281.7602662037</v>
      </c>
      <c r="C235" s="1" t="n">
        <v>46046</v>
      </c>
      <c r="D235" t="inlineStr">
        <is>
          <t>VÄSTMANLANDS LÄN</t>
        </is>
      </c>
      <c r="E235" t="inlineStr">
        <is>
          <t>SALA</t>
        </is>
      </c>
      <c r="G235" t="n">
        <v>2.3</v>
      </c>
      <c r="H235" t="n">
        <v>0</v>
      </c>
      <c r="I235" t="n">
        <v>0</v>
      </c>
      <c r="J235" t="n">
        <v>0</v>
      </c>
      <c r="K235" t="n">
        <v>0</v>
      </c>
      <c r="L235" t="n">
        <v>0</v>
      </c>
      <c r="M235" t="n">
        <v>0</v>
      </c>
      <c r="N235" t="n">
        <v>0</v>
      </c>
      <c r="O235" t="n">
        <v>0</v>
      </c>
      <c r="P235" t="n">
        <v>0</v>
      </c>
      <c r="Q235" t="n">
        <v>0</v>
      </c>
      <c r="R235" s="2" t="inlineStr"/>
    </row>
    <row r="236" ht="15" customHeight="1">
      <c r="A236" t="inlineStr">
        <is>
          <t>A 11389-2024</t>
        </is>
      </c>
      <c r="B236" s="1" t="n">
        <v>45372.45016203704</v>
      </c>
      <c r="C236" s="1" t="n">
        <v>46046</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7176-2023</t>
        </is>
      </c>
      <c r="B237" s="1" t="n">
        <v>44970</v>
      </c>
      <c r="C237" s="1" t="n">
        <v>46046</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43600-2024</t>
        </is>
      </c>
      <c r="B238" s="1" t="n">
        <v>45569</v>
      </c>
      <c r="C238" s="1" t="n">
        <v>46046</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31405-2024</t>
        </is>
      </c>
      <c r="B239" s="1" t="n">
        <v>45505.5490625</v>
      </c>
      <c r="C239" s="1" t="n">
        <v>46046</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2925-2024</t>
        </is>
      </c>
      <c r="B240" s="1" t="n">
        <v>45315.58909722222</v>
      </c>
      <c r="C240" s="1" t="n">
        <v>46046</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15756-2025</t>
        </is>
      </c>
      <c r="B241" s="1" t="n">
        <v>45748.56810185185</v>
      </c>
      <c r="C241" s="1" t="n">
        <v>46046</v>
      </c>
      <c r="D241" t="inlineStr">
        <is>
          <t>VÄSTMANLANDS LÄN</t>
        </is>
      </c>
      <c r="E241" t="inlineStr">
        <is>
          <t>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22616-2025</t>
        </is>
      </c>
      <c r="B242" s="1" t="n">
        <v>45789.42752314815</v>
      </c>
      <c r="C242" s="1" t="n">
        <v>46046</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22353-2025</t>
        </is>
      </c>
      <c r="B243" s="1" t="n">
        <v>45786</v>
      </c>
      <c r="C243" s="1" t="n">
        <v>46046</v>
      </c>
      <c r="D243" t="inlineStr">
        <is>
          <t>VÄSTMANLANDS LÄN</t>
        </is>
      </c>
      <c r="E243" t="inlineStr">
        <is>
          <t>SALA</t>
        </is>
      </c>
      <c r="G243" t="n">
        <v>2.5</v>
      </c>
      <c r="H243" t="n">
        <v>0</v>
      </c>
      <c r="I243" t="n">
        <v>0</v>
      </c>
      <c r="J243" t="n">
        <v>0</v>
      </c>
      <c r="K243" t="n">
        <v>0</v>
      </c>
      <c r="L243" t="n">
        <v>0</v>
      </c>
      <c r="M243" t="n">
        <v>0</v>
      </c>
      <c r="N243" t="n">
        <v>0</v>
      </c>
      <c r="O243" t="n">
        <v>0</v>
      </c>
      <c r="P243" t="n">
        <v>0</v>
      </c>
      <c r="Q243" t="n">
        <v>0</v>
      </c>
      <c r="R243" s="2" t="inlineStr"/>
    </row>
    <row r="244" ht="15" customHeight="1">
      <c r="A244" t="inlineStr">
        <is>
          <t>A 31000-2022</t>
        </is>
      </c>
      <c r="B244" s="1" t="n">
        <v>44768</v>
      </c>
      <c r="C244" s="1" t="n">
        <v>46046</v>
      </c>
      <c r="D244" t="inlineStr">
        <is>
          <t>VÄSTMANLANDS LÄN</t>
        </is>
      </c>
      <c r="E244" t="inlineStr">
        <is>
          <t>SALA</t>
        </is>
      </c>
      <c r="G244" t="n">
        <v>5.7</v>
      </c>
      <c r="H244" t="n">
        <v>0</v>
      </c>
      <c r="I244" t="n">
        <v>0</v>
      </c>
      <c r="J244" t="n">
        <v>0</v>
      </c>
      <c r="K244" t="n">
        <v>0</v>
      </c>
      <c r="L244" t="n">
        <v>0</v>
      </c>
      <c r="M244" t="n">
        <v>0</v>
      </c>
      <c r="N244" t="n">
        <v>0</v>
      </c>
      <c r="O244" t="n">
        <v>0</v>
      </c>
      <c r="P244" t="n">
        <v>0</v>
      </c>
      <c r="Q244" t="n">
        <v>0</v>
      </c>
      <c r="R244" s="2" t="inlineStr"/>
    </row>
    <row r="245" ht="15" customHeight="1">
      <c r="A245" t="inlineStr">
        <is>
          <t>A 22383-2025</t>
        </is>
      </c>
      <c r="B245" s="1" t="n">
        <v>45786</v>
      </c>
      <c r="C245" s="1" t="n">
        <v>46046</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37183-2024</t>
        </is>
      </c>
      <c r="B246" s="1" t="n">
        <v>45539</v>
      </c>
      <c r="C246" s="1" t="n">
        <v>46046</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39439-2021</t>
        </is>
      </c>
      <c r="B247" s="1" t="n">
        <v>44414</v>
      </c>
      <c r="C247" s="1" t="n">
        <v>46046</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22624-2025</t>
        </is>
      </c>
      <c r="B248" s="1" t="n">
        <v>45789.43327546296</v>
      </c>
      <c r="C248" s="1" t="n">
        <v>46046</v>
      </c>
      <c r="D248" t="inlineStr">
        <is>
          <t>VÄSTMANLANDS LÄN</t>
        </is>
      </c>
      <c r="E248" t="inlineStr">
        <is>
          <t>SALA</t>
        </is>
      </c>
      <c r="G248" t="n">
        <v>1.5</v>
      </c>
      <c r="H248" t="n">
        <v>0</v>
      </c>
      <c r="I248" t="n">
        <v>0</v>
      </c>
      <c r="J248" t="n">
        <v>0</v>
      </c>
      <c r="K248" t="n">
        <v>0</v>
      </c>
      <c r="L248" t="n">
        <v>0</v>
      </c>
      <c r="M248" t="n">
        <v>0</v>
      </c>
      <c r="N248" t="n">
        <v>0</v>
      </c>
      <c r="O248" t="n">
        <v>0</v>
      </c>
      <c r="P248" t="n">
        <v>0</v>
      </c>
      <c r="Q248" t="n">
        <v>0</v>
      </c>
      <c r="R248" s="2" t="inlineStr"/>
    </row>
    <row r="249" ht="15" customHeight="1">
      <c r="A249" t="inlineStr">
        <is>
          <t>A 27229-2022</t>
        </is>
      </c>
      <c r="B249" s="1" t="n">
        <v>44741</v>
      </c>
      <c r="C249" s="1" t="n">
        <v>46046</v>
      </c>
      <c r="D249" t="inlineStr">
        <is>
          <t>VÄSTMANLANDS LÄN</t>
        </is>
      </c>
      <c r="E249" t="inlineStr">
        <is>
          <t>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22370-2025</t>
        </is>
      </c>
      <c r="B250" s="1" t="n">
        <v>45786</v>
      </c>
      <c r="C250" s="1" t="n">
        <v>46046</v>
      </c>
      <c r="D250" t="inlineStr">
        <is>
          <t>VÄSTMANLANDS LÄN</t>
        </is>
      </c>
      <c r="E250" t="inlineStr">
        <is>
          <t>SALA</t>
        </is>
      </c>
      <c r="G250" t="n">
        <v>3.2</v>
      </c>
      <c r="H250" t="n">
        <v>0</v>
      </c>
      <c r="I250" t="n">
        <v>0</v>
      </c>
      <c r="J250" t="n">
        <v>0</v>
      </c>
      <c r="K250" t="n">
        <v>0</v>
      </c>
      <c r="L250" t="n">
        <v>0</v>
      </c>
      <c r="M250" t="n">
        <v>0</v>
      </c>
      <c r="N250" t="n">
        <v>0</v>
      </c>
      <c r="O250" t="n">
        <v>0</v>
      </c>
      <c r="P250" t="n">
        <v>0</v>
      </c>
      <c r="Q250" t="n">
        <v>0</v>
      </c>
      <c r="R250" s="2" t="inlineStr"/>
    </row>
    <row r="251" ht="15" customHeight="1">
      <c r="A251" t="inlineStr">
        <is>
          <t>A 1793-2023</t>
        </is>
      </c>
      <c r="B251" s="1" t="n">
        <v>44937</v>
      </c>
      <c r="C251" s="1" t="n">
        <v>46046</v>
      </c>
      <c r="D251" t="inlineStr">
        <is>
          <t>VÄSTMANLANDS LÄN</t>
        </is>
      </c>
      <c r="E251" t="inlineStr">
        <is>
          <t>SALA</t>
        </is>
      </c>
      <c r="G251" t="n">
        <v>2.6</v>
      </c>
      <c r="H251" t="n">
        <v>0</v>
      </c>
      <c r="I251" t="n">
        <v>0</v>
      </c>
      <c r="J251" t="n">
        <v>0</v>
      </c>
      <c r="K251" t="n">
        <v>0</v>
      </c>
      <c r="L251" t="n">
        <v>0</v>
      </c>
      <c r="M251" t="n">
        <v>0</v>
      </c>
      <c r="N251" t="n">
        <v>0</v>
      </c>
      <c r="O251" t="n">
        <v>0</v>
      </c>
      <c r="P251" t="n">
        <v>0</v>
      </c>
      <c r="Q251" t="n">
        <v>0</v>
      </c>
      <c r="R251" s="2" t="inlineStr"/>
    </row>
    <row r="252" ht="15" customHeight="1">
      <c r="A252" t="inlineStr">
        <is>
          <t>A 48570-2024</t>
        </is>
      </c>
      <c r="B252" s="1" t="n">
        <v>45591</v>
      </c>
      <c r="C252" s="1" t="n">
        <v>46046</v>
      </c>
      <c r="D252" t="inlineStr">
        <is>
          <t>VÄSTMANLANDS LÄN</t>
        </is>
      </c>
      <c r="E252" t="inlineStr">
        <is>
          <t>SALA</t>
        </is>
      </c>
      <c r="G252" t="n">
        <v>3</v>
      </c>
      <c r="H252" t="n">
        <v>0</v>
      </c>
      <c r="I252" t="n">
        <v>0</v>
      </c>
      <c r="J252" t="n">
        <v>0</v>
      </c>
      <c r="K252" t="n">
        <v>0</v>
      </c>
      <c r="L252" t="n">
        <v>0</v>
      </c>
      <c r="M252" t="n">
        <v>0</v>
      </c>
      <c r="N252" t="n">
        <v>0</v>
      </c>
      <c r="O252" t="n">
        <v>0</v>
      </c>
      <c r="P252" t="n">
        <v>0</v>
      </c>
      <c r="Q252" t="n">
        <v>0</v>
      </c>
      <c r="R252" s="2" t="inlineStr"/>
    </row>
    <row r="253" ht="15" customHeight="1">
      <c r="A253" t="inlineStr">
        <is>
          <t>A 3332-2024</t>
        </is>
      </c>
      <c r="B253" s="1" t="n">
        <v>45317</v>
      </c>
      <c r="C253" s="1" t="n">
        <v>46046</v>
      </c>
      <c r="D253" t="inlineStr">
        <is>
          <t>VÄSTMANLANDS LÄN</t>
        </is>
      </c>
      <c r="E253" t="inlineStr">
        <is>
          <t>SALA</t>
        </is>
      </c>
      <c r="G253" t="n">
        <v>2</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46046</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29248-2022</t>
        </is>
      </c>
      <c r="B255" s="1" t="n">
        <v>44750</v>
      </c>
      <c r="C255" s="1" t="n">
        <v>46046</v>
      </c>
      <c r="D255" t="inlineStr">
        <is>
          <t>VÄSTMANLANDS LÄN</t>
        </is>
      </c>
      <c r="E255" t="inlineStr">
        <is>
          <t>SALA</t>
        </is>
      </c>
      <c r="G255" t="n">
        <v>1.6</v>
      </c>
      <c r="H255" t="n">
        <v>0</v>
      </c>
      <c r="I255" t="n">
        <v>0</v>
      </c>
      <c r="J255" t="n">
        <v>0</v>
      </c>
      <c r="K255" t="n">
        <v>0</v>
      </c>
      <c r="L255" t="n">
        <v>0</v>
      </c>
      <c r="M255" t="n">
        <v>0</v>
      </c>
      <c r="N255" t="n">
        <v>0</v>
      </c>
      <c r="O255" t="n">
        <v>0</v>
      </c>
      <c r="P255" t="n">
        <v>0</v>
      </c>
      <c r="Q255" t="n">
        <v>0</v>
      </c>
      <c r="R255" s="2" t="inlineStr"/>
    </row>
    <row r="256" ht="15" customHeight="1">
      <c r="A256" t="inlineStr">
        <is>
          <t>A 13130-2025</t>
        </is>
      </c>
      <c r="B256" s="1" t="n">
        <v>45734</v>
      </c>
      <c r="C256" s="1" t="n">
        <v>46046</v>
      </c>
      <c r="D256" t="inlineStr">
        <is>
          <t>VÄSTMANLANDS LÄN</t>
        </is>
      </c>
      <c r="E256" t="inlineStr">
        <is>
          <t>SALA</t>
        </is>
      </c>
      <c r="G256" t="n">
        <v>1.5</v>
      </c>
      <c r="H256" t="n">
        <v>0</v>
      </c>
      <c r="I256" t="n">
        <v>0</v>
      </c>
      <c r="J256" t="n">
        <v>0</v>
      </c>
      <c r="K256" t="n">
        <v>0</v>
      </c>
      <c r="L256" t="n">
        <v>0</v>
      </c>
      <c r="M256" t="n">
        <v>0</v>
      </c>
      <c r="N256" t="n">
        <v>0</v>
      </c>
      <c r="O256" t="n">
        <v>0</v>
      </c>
      <c r="P256" t="n">
        <v>0</v>
      </c>
      <c r="Q256" t="n">
        <v>0</v>
      </c>
      <c r="R256" s="2" t="inlineStr"/>
    </row>
    <row r="257" ht="15" customHeight="1">
      <c r="A257" t="inlineStr">
        <is>
          <t>A 2529-2022</t>
        </is>
      </c>
      <c r="B257" s="1" t="n">
        <v>44579.86452546297</v>
      </c>
      <c r="C257" s="1" t="n">
        <v>46046</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57883-2024</t>
        </is>
      </c>
      <c r="B258" s="1" t="n">
        <v>45630</v>
      </c>
      <c r="C258" s="1" t="n">
        <v>46046</v>
      </c>
      <c r="D258" t="inlineStr">
        <is>
          <t>VÄSTMANLANDS LÄN</t>
        </is>
      </c>
      <c r="E258" t="inlineStr">
        <is>
          <t>SALA</t>
        </is>
      </c>
      <c r="G258" t="n">
        <v>5.4</v>
      </c>
      <c r="H258" t="n">
        <v>0</v>
      </c>
      <c r="I258" t="n">
        <v>0</v>
      </c>
      <c r="J258" t="n">
        <v>0</v>
      </c>
      <c r="K258" t="n">
        <v>0</v>
      </c>
      <c r="L258" t="n">
        <v>0</v>
      </c>
      <c r="M258" t="n">
        <v>0</v>
      </c>
      <c r="N258" t="n">
        <v>0</v>
      </c>
      <c r="O258" t="n">
        <v>0</v>
      </c>
      <c r="P258" t="n">
        <v>0</v>
      </c>
      <c r="Q258" t="n">
        <v>0</v>
      </c>
      <c r="R258" s="2" t="inlineStr"/>
    </row>
    <row r="259" ht="15" customHeight="1">
      <c r="A259" t="inlineStr">
        <is>
          <t>A 22397-2022</t>
        </is>
      </c>
      <c r="B259" s="1" t="n">
        <v>44713</v>
      </c>
      <c r="C259" s="1" t="n">
        <v>46046</v>
      </c>
      <c r="D259" t="inlineStr">
        <is>
          <t>VÄSTMANLANDS LÄN</t>
        </is>
      </c>
      <c r="E259" t="inlineStr">
        <is>
          <t>SALA</t>
        </is>
      </c>
      <c r="G259" t="n">
        <v>2.1</v>
      </c>
      <c r="H259" t="n">
        <v>0</v>
      </c>
      <c r="I259" t="n">
        <v>0</v>
      </c>
      <c r="J259" t="n">
        <v>0</v>
      </c>
      <c r="K259" t="n">
        <v>0</v>
      </c>
      <c r="L259" t="n">
        <v>0</v>
      </c>
      <c r="M259" t="n">
        <v>0</v>
      </c>
      <c r="N259" t="n">
        <v>0</v>
      </c>
      <c r="O259" t="n">
        <v>0</v>
      </c>
      <c r="P259" t="n">
        <v>0</v>
      </c>
      <c r="Q259" t="n">
        <v>0</v>
      </c>
      <c r="R259" s="2" t="inlineStr"/>
    </row>
    <row r="260" ht="15" customHeight="1">
      <c r="A260" t="inlineStr">
        <is>
          <t>A 13471-2025</t>
        </is>
      </c>
      <c r="B260" s="1" t="n">
        <v>45736.40579861111</v>
      </c>
      <c r="C260" s="1" t="n">
        <v>46046</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15681-2025</t>
        </is>
      </c>
      <c r="B261" s="1" t="n">
        <v>45748.45454861111</v>
      </c>
      <c r="C261" s="1" t="n">
        <v>46046</v>
      </c>
      <c r="D261" t="inlineStr">
        <is>
          <t>VÄSTMANLANDS LÄN</t>
        </is>
      </c>
      <c r="E261" t="inlineStr">
        <is>
          <t>SALA</t>
        </is>
      </c>
      <c r="F261" t="inlineStr">
        <is>
          <t>Bergvik skog öst AB</t>
        </is>
      </c>
      <c r="G261" t="n">
        <v>4.3</v>
      </c>
      <c r="H261" t="n">
        <v>0</v>
      </c>
      <c r="I261" t="n">
        <v>0</v>
      </c>
      <c r="J261" t="n">
        <v>0</v>
      </c>
      <c r="K261" t="n">
        <v>0</v>
      </c>
      <c r="L261" t="n">
        <v>0</v>
      </c>
      <c r="M261" t="n">
        <v>0</v>
      </c>
      <c r="N261" t="n">
        <v>0</v>
      </c>
      <c r="O261" t="n">
        <v>0</v>
      </c>
      <c r="P261" t="n">
        <v>0</v>
      </c>
      <c r="Q261" t="n">
        <v>0</v>
      </c>
      <c r="R261" s="2" t="inlineStr"/>
    </row>
    <row r="262" ht="15" customHeight="1">
      <c r="A262" t="inlineStr">
        <is>
          <t>A 28863-2022</t>
        </is>
      </c>
      <c r="B262" s="1" t="n">
        <v>44749.50649305555</v>
      </c>
      <c r="C262" s="1" t="n">
        <v>46046</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18431-2023</t>
        </is>
      </c>
      <c r="B263" s="1" t="n">
        <v>45042</v>
      </c>
      <c r="C263" s="1" t="n">
        <v>46046</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16769-2024</t>
        </is>
      </c>
      <c r="B264" s="1" t="n">
        <v>45411.38738425926</v>
      </c>
      <c r="C264" s="1" t="n">
        <v>46046</v>
      </c>
      <c r="D264" t="inlineStr">
        <is>
          <t>VÄSTMANLANDS LÄN</t>
        </is>
      </c>
      <c r="E264" t="inlineStr">
        <is>
          <t>SALA</t>
        </is>
      </c>
      <c r="G264" t="n">
        <v>12</v>
      </c>
      <c r="H264" t="n">
        <v>0</v>
      </c>
      <c r="I264" t="n">
        <v>0</v>
      </c>
      <c r="J264" t="n">
        <v>0</v>
      </c>
      <c r="K264" t="n">
        <v>0</v>
      </c>
      <c r="L264" t="n">
        <v>0</v>
      </c>
      <c r="M264" t="n">
        <v>0</v>
      </c>
      <c r="N264" t="n">
        <v>0</v>
      </c>
      <c r="O264" t="n">
        <v>0</v>
      </c>
      <c r="P264" t="n">
        <v>0</v>
      </c>
      <c r="Q264" t="n">
        <v>0</v>
      </c>
      <c r="R264" s="2" t="inlineStr"/>
    </row>
    <row r="265" ht="15" customHeight="1">
      <c r="A265" t="inlineStr">
        <is>
          <t>A 27424-2023</t>
        </is>
      </c>
      <c r="B265" s="1" t="n">
        <v>45097.37690972222</v>
      </c>
      <c r="C265" s="1" t="n">
        <v>46046</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18877-2023</t>
        </is>
      </c>
      <c r="B266" s="1" t="n">
        <v>45044</v>
      </c>
      <c r="C266" s="1" t="n">
        <v>46046</v>
      </c>
      <c r="D266" t="inlineStr">
        <is>
          <t>VÄSTMANLANDS LÄN</t>
        </is>
      </c>
      <c r="E266" t="inlineStr">
        <is>
          <t>SALA</t>
        </is>
      </c>
      <c r="F266" t="inlineStr">
        <is>
          <t>Kommuner</t>
        </is>
      </c>
      <c r="G266" t="n">
        <v>4.4</v>
      </c>
      <c r="H266" t="n">
        <v>0</v>
      </c>
      <c r="I266" t="n">
        <v>0</v>
      </c>
      <c r="J266" t="n">
        <v>0</v>
      </c>
      <c r="K266" t="n">
        <v>0</v>
      </c>
      <c r="L266" t="n">
        <v>0</v>
      </c>
      <c r="M266" t="n">
        <v>0</v>
      </c>
      <c r="N266" t="n">
        <v>0</v>
      </c>
      <c r="O266" t="n">
        <v>0</v>
      </c>
      <c r="P266" t="n">
        <v>0</v>
      </c>
      <c r="Q266" t="n">
        <v>0</v>
      </c>
      <c r="R266" s="2" t="inlineStr"/>
    </row>
    <row r="267" ht="15" customHeight="1">
      <c r="A267" t="inlineStr">
        <is>
          <t>A 58701-2021</t>
        </is>
      </c>
      <c r="B267" s="1" t="n">
        <v>44489.46454861111</v>
      </c>
      <c r="C267" s="1" t="n">
        <v>46046</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11244-2024</t>
        </is>
      </c>
      <c r="B268" s="1" t="n">
        <v>45371</v>
      </c>
      <c r="C268" s="1" t="n">
        <v>46046</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23804-2025</t>
        </is>
      </c>
      <c r="B269" s="1" t="n">
        <v>45793.55995370371</v>
      </c>
      <c r="C269" s="1" t="n">
        <v>46046</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22126-2025</t>
        </is>
      </c>
      <c r="B270" s="1" t="n">
        <v>45785</v>
      </c>
      <c r="C270" s="1" t="n">
        <v>46046</v>
      </c>
      <c r="D270" t="inlineStr">
        <is>
          <t>VÄSTMANLANDS LÄN</t>
        </is>
      </c>
      <c r="E270" t="inlineStr">
        <is>
          <t>SALA</t>
        </is>
      </c>
      <c r="G270" t="n">
        <v>10.6</v>
      </c>
      <c r="H270" t="n">
        <v>0</v>
      </c>
      <c r="I270" t="n">
        <v>0</v>
      </c>
      <c r="J270" t="n">
        <v>0</v>
      </c>
      <c r="K270" t="n">
        <v>0</v>
      </c>
      <c r="L270" t="n">
        <v>0</v>
      </c>
      <c r="M270" t="n">
        <v>0</v>
      </c>
      <c r="N270" t="n">
        <v>0</v>
      </c>
      <c r="O270" t="n">
        <v>0</v>
      </c>
      <c r="P270" t="n">
        <v>0</v>
      </c>
      <c r="Q270" t="n">
        <v>0</v>
      </c>
      <c r="R270" s="2" t="inlineStr"/>
    </row>
    <row r="271" ht="15" customHeight="1">
      <c r="A271" t="inlineStr">
        <is>
          <t>A 19297-2025</t>
        </is>
      </c>
      <c r="B271" s="1" t="n">
        <v>45769.56261574074</v>
      </c>
      <c r="C271" s="1" t="n">
        <v>46046</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23810-2025</t>
        </is>
      </c>
      <c r="B272" s="1" t="n">
        <v>45793.56989583333</v>
      </c>
      <c r="C272" s="1" t="n">
        <v>46046</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12225-2023</t>
        </is>
      </c>
      <c r="B273" s="1" t="n">
        <v>44995</v>
      </c>
      <c r="C273" s="1" t="n">
        <v>46046</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7681-2021</t>
        </is>
      </c>
      <c r="B274" s="1" t="n">
        <v>44242</v>
      </c>
      <c r="C274" s="1" t="n">
        <v>46046</v>
      </c>
      <c r="D274" t="inlineStr">
        <is>
          <t>VÄSTMANLANDS LÄN</t>
        </is>
      </c>
      <c r="E274" t="inlineStr">
        <is>
          <t>SALA</t>
        </is>
      </c>
      <c r="F274" t="inlineStr">
        <is>
          <t>Sveaskog</t>
        </is>
      </c>
      <c r="G274" t="n">
        <v>16.1</v>
      </c>
      <c r="H274" t="n">
        <v>0</v>
      </c>
      <c r="I274" t="n">
        <v>0</v>
      </c>
      <c r="J274" t="n">
        <v>0</v>
      </c>
      <c r="K274" t="n">
        <v>0</v>
      </c>
      <c r="L274" t="n">
        <v>0</v>
      </c>
      <c r="M274" t="n">
        <v>0</v>
      </c>
      <c r="N274" t="n">
        <v>0</v>
      </c>
      <c r="O274" t="n">
        <v>0</v>
      </c>
      <c r="P274" t="n">
        <v>0</v>
      </c>
      <c r="Q274" t="n">
        <v>0</v>
      </c>
      <c r="R274" s="2" t="inlineStr"/>
    </row>
    <row r="275" ht="15" customHeight="1">
      <c r="A275" t="inlineStr">
        <is>
          <t>A 14919-2025</t>
        </is>
      </c>
      <c r="B275" s="1" t="n">
        <v>45743.54256944444</v>
      </c>
      <c r="C275" s="1" t="n">
        <v>46046</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14920-2025</t>
        </is>
      </c>
      <c r="B276" s="1" t="n">
        <v>45743</v>
      </c>
      <c r="C276" s="1" t="n">
        <v>46046</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40398-2021</t>
        </is>
      </c>
      <c r="B277" s="1" t="n">
        <v>44419</v>
      </c>
      <c r="C277" s="1" t="n">
        <v>46046</v>
      </c>
      <c r="D277" t="inlineStr">
        <is>
          <t>VÄSTMANLANDS LÄN</t>
        </is>
      </c>
      <c r="E277" t="inlineStr">
        <is>
          <t>SALA</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44544-2024</t>
        </is>
      </c>
      <c r="B278" s="1" t="n">
        <v>45574.46119212963</v>
      </c>
      <c r="C278" s="1" t="n">
        <v>46046</v>
      </c>
      <c r="D278" t="inlineStr">
        <is>
          <t>VÄSTMANLANDS LÄN</t>
        </is>
      </c>
      <c r="E278" t="inlineStr">
        <is>
          <t>SALA</t>
        </is>
      </c>
      <c r="G278" t="n">
        <v>3.3</v>
      </c>
      <c r="H278" t="n">
        <v>0</v>
      </c>
      <c r="I278" t="n">
        <v>0</v>
      </c>
      <c r="J278" t="n">
        <v>0</v>
      </c>
      <c r="K278" t="n">
        <v>0</v>
      </c>
      <c r="L278" t="n">
        <v>0</v>
      </c>
      <c r="M278" t="n">
        <v>0</v>
      </c>
      <c r="N278" t="n">
        <v>0</v>
      </c>
      <c r="O278" t="n">
        <v>0</v>
      </c>
      <c r="P278" t="n">
        <v>0</v>
      </c>
      <c r="Q278" t="n">
        <v>0</v>
      </c>
      <c r="R278" s="2" t="inlineStr"/>
    </row>
    <row r="279" ht="15" customHeight="1">
      <c r="A279" t="inlineStr">
        <is>
          <t>A 61874-2021</t>
        </is>
      </c>
      <c r="B279" s="1" t="n">
        <v>44502</v>
      </c>
      <c r="C279" s="1" t="n">
        <v>46046</v>
      </c>
      <c r="D279" t="inlineStr">
        <is>
          <t>VÄSTMANLANDS LÄN</t>
        </is>
      </c>
      <c r="E279" t="inlineStr">
        <is>
          <t>SALA</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43362-2023</t>
        </is>
      </c>
      <c r="B280" s="1" t="n">
        <v>45183</v>
      </c>
      <c r="C280" s="1" t="n">
        <v>46046</v>
      </c>
      <c r="D280" t="inlineStr">
        <is>
          <t>VÄSTMANLANDS LÄN</t>
        </is>
      </c>
      <c r="E280" t="inlineStr">
        <is>
          <t>SALA</t>
        </is>
      </c>
      <c r="G280" t="n">
        <v>2</v>
      </c>
      <c r="H280" t="n">
        <v>0</v>
      </c>
      <c r="I280" t="n">
        <v>0</v>
      </c>
      <c r="J280" t="n">
        <v>0</v>
      </c>
      <c r="K280" t="n">
        <v>0</v>
      </c>
      <c r="L280" t="n">
        <v>0</v>
      </c>
      <c r="M280" t="n">
        <v>0</v>
      </c>
      <c r="N280" t="n">
        <v>0</v>
      </c>
      <c r="O280" t="n">
        <v>0</v>
      </c>
      <c r="P280" t="n">
        <v>0</v>
      </c>
      <c r="Q280" t="n">
        <v>0</v>
      </c>
      <c r="R280" s="2" t="inlineStr"/>
    </row>
    <row r="281" ht="15" customHeight="1">
      <c r="A281" t="inlineStr">
        <is>
          <t>A 60379-2022</t>
        </is>
      </c>
      <c r="B281" s="1" t="n">
        <v>44910</v>
      </c>
      <c r="C281" s="1" t="n">
        <v>46046</v>
      </c>
      <c r="D281" t="inlineStr">
        <is>
          <t>VÄSTMANLANDS LÄN</t>
        </is>
      </c>
      <c r="E281" t="inlineStr">
        <is>
          <t>SALA</t>
        </is>
      </c>
      <c r="F281" t="inlineStr">
        <is>
          <t>Kyrkan</t>
        </is>
      </c>
      <c r="G281" t="n">
        <v>2.5</v>
      </c>
      <c r="H281" t="n">
        <v>0</v>
      </c>
      <c r="I281" t="n">
        <v>0</v>
      </c>
      <c r="J281" t="n">
        <v>0</v>
      </c>
      <c r="K281" t="n">
        <v>0</v>
      </c>
      <c r="L281" t="n">
        <v>0</v>
      </c>
      <c r="M281" t="n">
        <v>0</v>
      </c>
      <c r="N281" t="n">
        <v>0</v>
      </c>
      <c r="O281" t="n">
        <v>0</v>
      </c>
      <c r="P281" t="n">
        <v>0</v>
      </c>
      <c r="Q281" t="n">
        <v>0</v>
      </c>
      <c r="R281" s="2" t="inlineStr"/>
    </row>
    <row r="282" ht="15" customHeight="1">
      <c r="A282" t="inlineStr">
        <is>
          <t>A 56547-2022</t>
        </is>
      </c>
      <c r="B282" s="1" t="n">
        <v>44893.48284722222</v>
      </c>
      <c r="C282" s="1" t="n">
        <v>46046</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24169-2025</t>
        </is>
      </c>
      <c r="B283" s="1" t="n">
        <v>45796</v>
      </c>
      <c r="C283" s="1" t="n">
        <v>46046</v>
      </c>
      <c r="D283" t="inlineStr">
        <is>
          <t>VÄSTMANLANDS LÄN</t>
        </is>
      </c>
      <c r="E283" t="inlineStr">
        <is>
          <t>SALA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2900-2023</t>
        </is>
      </c>
      <c r="B284" s="1" t="n">
        <v>44943</v>
      </c>
      <c r="C284" s="1" t="n">
        <v>46046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29542-2023</t>
        </is>
      </c>
      <c r="B285" s="1" t="n">
        <v>45098</v>
      </c>
      <c r="C285" s="1" t="n">
        <v>46046</v>
      </c>
      <c r="D285" t="inlineStr">
        <is>
          <t>VÄSTMANLANDS LÄN</t>
        </is>
      </c>
      <c r="E285" t="inlineStr">
        <is>
          <t>SALA</t>
        </is>
      </c>
      <c r="G285" t="n">
        <v>4.8</v>
      </c>
      <c r="H285" t="n">
        <v>0</v>
      </c>
      <c r="I285" t="n">
        <v>0</v>
      </c>
      <c r="J285" t="n">
        <v>0</v>
      </c>
      <c r="K285" t="n">
        <v>0</v>
      </c>
      <c r="L285" t="n">
        <v>0</v>
      </c>
      <c r="M285" t="n">
        <v>0</v>
      </c>
      <c r="N285" t="n">
        <v>0</v>
      </c>
      <c r="O285" t="n">
        <v>0</v>
      </c>
      <c r="P285" t="n">
        <v>0</v>
      </c>
      <c r="Q285" t="n">
        <v>0</v>
      </c>
      <c r="R285" s="2" t="inlineStr"/>
    </row>
    <row r="286" ht="15" customHeight="1">
      <c r="A286" t="inlineStr">
        <is>
          <t>A 11210-2025</t>
        </is>
      </c>
      <c r="B286" s="1" t="n">
        <v>45726</v>
      </c>
      <c r="C286" s="1" t="n">
        <v>46046</v>
      </c>
      <c r="D286" t="inlineStr">
        <is>
          <t>VÄSTMANLANDS LÄN</t>
        </is>
      </c>
      <c r="E286" t="inlineStr">
        <is>
          <t>SALA</t>
        </is>
      </c>
      <c r="G286" t="n">
        <v>4.1</v>
      </c>
      <c r="H286" t="n">
        <v>0</v>
      </c>
      <c r="I286" t="n">
        <v>0</v>
      </c>
      <c r="J286" t="n">
        <v>0</v>
      </c>
      <c r="K286" t="n">
        <v>0</v>
      </c>
      <c r="L286" t="n">
        <v>0</v>
      </c>
      <c r="M286" t="n">
        <v>0</v>
      </c>
      <c r="N286" t="n">
        <v>0</v>
      </c>
      <c r="O286" t="n">
        <v>0</v>
      </c>
      <c r="P286" t="n">
        <v>0</v>
      </c>
      <c r="Q286" t="n">
        <v>0</v>
      </c>
      <c r="R286" s="2" t="inlineStr"/>
    </row>
    <row r="287" ht="15" customHeight="1">
      <c r="A287" t="inlineStr">
        <is>
          <t>A 6030-2024</t>
        </is>
      </c>
      <c r="B287" s="1" t="n">
        <v>45336.62782407407</v>
      </c>
      <c r="C287" s="1" t="n">
        <v>46046</v>
      </c>
      <c r="D287" t="inlineStr">
        <is>
          <t>VÄSTMANLANDS LÄN</t>
        </is>
      </c>
      <c r="E287" t="inlineStr">
        <is>
          <t>SALA</t>
        </is>
      </c>
      <c r="G287" t="n">
        <v>3.9</v>
      </c>
      <c r="H287" t="n">
        <v>0</v>
      </c>
      <c r="I287" t="n">
        <v>0</v>
      </c>
      <c r="J287" t="n">
        <v>0</v>
      </c>
      <c r="K287" t="n">
        <v>0</v>
      </c>
      <c r="L287" t="n">
        <v>0</v>
      </c>
      <c r="M287" t="n">
        <v>0</v>
      </c>
      <c r="N287" t="n">
        <v>0</v>
      </c>
      <c r="O287" t="n">
        <v>0</v>
      </c>
      <c r="P287" t="n">
        <v>0</v>
      </c>
      <c r="Q287" t="n">
        <v>0</v>
      </c>
      <c r="R287" s="2" t="inlineStr"/>
    </row>
    <row r="288" ht="15" customHeight="1">
      <c r="A288" t="inlineStr">
        <is>
          <t>A 52630-2022</t>
        </is>
      </c>
      <c r="B288" s="1" t="n">
        <v>44874</v>
      </c>
      <c r="C288" s="1" t="n">
        <v>46046</v>
      </c>
      <c r="D288" t="inlineStr">
        <is>
          <t>VÄSTMANLANDS LÄN</t>
        </is>
      </c>
      <c r="E288" t="inlineStr">
        <is>
          <t>SALA</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62651-2022</t>
        </is>
      </c>
      <c r="B289" s="1" t="n">
        <v>44917</v>
      </c>
      <c r="C289" s="1" t="n">
        <v>46046</v>
      </c>
      <c r="D289" t="inlineStr">
        <is>
          <t>VÄSTMANLANDS LÄN</t>
        </is>
      </c>
      <c r="E289" t="inlineStr">
        <is>
          <t>SALA</t>
        </is>
      </c>
      <c r="G289" t="n">
        <v>0.4</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46046</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15968-2024</t>
        </is>
      </c>
      <c r="B291" s="1" t="n">
        <v>45405.56021990741</v>
      </c>
      <c r="C291" s="1" t="n">
        <v>46046</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60730-2023</t>
        </is>
      </c>
      <c r="B292" s="1" t="n">
        <v>45260</v>
      </c>
      <c r="C292" s="1" t="n">
        <v>46046</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60731-2023</t>
        </is>
      </c>
      <c r="B293" s="1" t="n">
        <v>45260</v>
      </c>
      <c r="C293" s="1" t="n">
        <v>46046</v>
      </c>
      <c r="D293" t="inlineStr">
        <is>
          <t>VÄSTMANLANDS LÄN</t>
        </is>
      </c>
      <c r="E293" t="inlineStr">
        <is>
          <t>SALA</t>
        </is>
      </c>
      <c r="G293" t="n">
        <v>1</v>
      </c>
      <c r="H293" t="n">
        <v>0</v>
      </c>
      <c r="I293" t="n">
        <v>0</v>
      </c>
      <c r="J293" t="n">
        <v>0</v>
      </c>
      <c r="K293" t="n">
        <v>0</v>
      </c>
      <c r="L293" t="n">
        <v>0</v>
      </c>
      <c r="M293" t="n">
        <v>0</v>
      </c>
      <c r="N293" t="n">
        <v>0</v>
      </c>
      <c r="O293" t="n">
        <v>0</v>
      </c>
      <c r="P293" t="n">
        <v>0</v>
      </c>
      <c r="Q293" t="n">
        <v>0</v>
      </c>
      <c r="R293" s="2" t="inlineStr"/>
    </row>
    <row r="294" ht="15" customHeight="1">
      <c r="A294" t="inlineStr">
        <is>
          <t>A 16638-2023</t>
        </is>
      </c>
      <c r="B294" s="1" t="n">
        <v>45027</v>
      </c>
      <c r="C294" s="1" t="n">
        <v>46046</v>
      </c>
      <c r="D294" t="inlineStr">
        <is>
          <t>VÄSTMANLANDS LÄN</t>
        </is>
      </c>
      <c r="E294" t="inlineStr">
        <is>
          <t>SALA</t>
        </is>
      </c>
      <c r="G294" t="n">
        <v>14.8</v>
      </c>
      <c r="H294" t="n">
        <v>0</v>
      </c>
      <c r="I294" t="n">
        <v>0</v>
      </c>
      <c r="J294" t="n">
        <v>0</v>
      </c>
      <c r="K294" t="n">
        <v>0</v>
      </c>
      <c r="L294" t="n">
        <v>0</v>
      </c>
      <c r="M294" t="n">
        <v>0</v>
      </c>
      <c r="N294" t="n">
        <v>0</v>
      </c>
      <c r="O294" t="n">
        <v>0</v>
      </c>
      <c r="P294" t="n">
        <v>0</v>
      </c>
      <c r="Q294" t="n">
        <v>0</v>
      </c>
      <c r="R294" s="2" t="inlineStr"/>
    </row>
    <row r="295" ht="15" customHeight="1">
      <c r="A295" t="inlineStr">
        <is>
          <t>A 14690-2025</t>
        </is>
      </c>
      <c r="B295" s="1" t="n">
        <v>45742.58212962963</v>
      </c>
      <c r="C295" s="1" t="n">
        <v>46046</v>
      </c>
      <c r="D295" t="inlineStr">
        <is>
          <t>VÄSTMANLANDS LÄN</t>
        </is>
      </c>
      <c r="E295" t="inlineStr">
        <is>
          <t>SALA</t>
        </is>
      </c>
      <c r="G295" t="n">
        <v>3.4</v>
      </c>
      <c r="H295" t="n">
        <v>0</v>
      </c>
      <c r="I295" t="n">
        <v>0</v>
      </c>
      <c r="J295" t="n">
        <v>0</v>
      </c>
      <c r="K295" t="n">
        <v>0</v>
      </c>
      <c r="L295" t="n">
        <v>0</v>
      </c>
      <c r="M295" t="n">
        <v>0</v>
      </c>
      <c r="N295" t="n">
        <v>0</v>
      </c>
      <c r="O295" t="n">
        <v>0</v>
      </c>
      <c r="P295" t="n">
        <v>0</v>
      </c>
      <c r="Q295" t="n">
        <v>0</v>
      </c>
      <c r="R295" s="2" t="inlineStr"/>
    </row>
    <row r="296" ht="15" customHeight="1">
      <c r="A296" t="inlineStr">
        <is>
          <t>A 37190-2024</t>
        </is>
      </c>
      <c r="B296" s="1" t="n">
        <v>45539</v>
      </c>
      <c r="C296" s="1" t="n">
        <v>46046</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18461-2024</t>
        </is>
      </c>
      <c r="B297" s="1" t="n">
        <v>45425.47435185185</v>
      </c>
      <c r="C297" s="1" t="n">
        <v>46046</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4663-2022</t>
        </is>
      </c>
      <c r="B298" s="1" t="n">
        <v>44592.45429398148</v>
      </c>
      <c r="C298" s="1" t="n">
        <v>46046</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2521-2025</t>
        </is>
      </c>
      <c r="B299" s="1" t="n">
        <v>45674</v>
      </c>
      <c r="C299" s="1" t="n">
        <v>46046</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4736-2021</t>
        </is>
      </c>
      <c r="B300" s="1" t="n">
        <v>44225</v>
      </c>
      <c r="C300" s="1" t="n">
        <v>46046</v>
      </c>
      <c r="D300" t="inlineStr">
        <is>
          <t>VÄSTMANLANDS LÄN</t>
        </is>
      </c>
      <c r="E300" t="inlineStr">
        <is>
          <t>SALA</t>
        </is>
      </c>
      <c r="G300" t="n">
        <v>4.2</v>
      </c>
      <c r="H300" t="n">
        <v>0</v>
      </c>
      <c r="I300" t="n">
        <v>0</v>
      </c>
      <c r="J300" t="n">
        <v>0</v>
      </c>
      <c r="K300" t="n">
        <v>0</v>
      </c>
      <c r="L300" t="n">
        <v>0</v>
      </c>
      <c r="M300" t="n">
        <v>0</v>
      </c>
      <c r="N300" t="n">
        <v>0</v>
      </c>
      <c r="O300" t="n">
        <v>0</v>
      </c>
      <c r="P300" t="n">
        <v>0</v>
      </c>
      <c r="Q300" t="n">
        <v>0</v>
      </c>
      <c r="R300" s="2" t="inlineStr"/>
    </row>
    <row r="301" ht="15" customHeight="1">
      <c r="A301" t="inlineStr">
        <is>
          <t>A 23222-2023</t>
        </is>
      </c>
      <c r="B301" s="1" t="n">
        <v>45075</v>
      </c>
      <c r="C301" s="1" t="n">
        <v>46046</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23224-2023</t>
        </is>
      </c>
      <c r="B302" s="1" t="n">
        <v>45075.65040509259</v>
      </c>
      <c r="C302" s="1" t="n">
        <v>46046</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24460-2025</t>
        </is>
      </c>
      <c r="B303" s="1" t="n">
        <v>45798</v>
      </c>
      <c r="C303" s="1" t="n">
        <v>46046</v>
      </c>
      <c r="D303" t="inlineStr">
        <is>
          <t>VÄSTMANLANDS LÄN</t>
        </is>
      </c>
      <c r="E303" t="inlineStr">
        <is>
          <t>SALA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6032-2025</t>
        </is>
      </c>
      <c r="B304" s="1" t="n">
        <v>45695.6371875</v>
      </c>
      <c r="C304" s="1" t="n">
        <v>46046</v>
      </c>
      <c r="D304" t="inlineStr">
        <is>
          <t>VÄSTMANLANDS LÄN</t>
        </is>
      </c>
      <c r="E304" t="inlineStr">
        <is>
          <t>SALA</t>
        </is>
      </c>
      <c r="F304" t="inlineStr">
        <is>
          <t>Bergvik skog öst AB</t>
        </is>
      </c>
      <c r="G304" t="n">
        <v>8.1</v>
      </c>
      <c r="H304" t="n">
        <v>0</v>
      </c>
      <c r="I304" t="n">
        <v>0</v>
      </c>
      <c r="J304" t="n">
        <v>0</v>
      </c>
      <c r="K304" t="n">
        <v>0</v>
      </c>
      <c r="L304" t="n">
        <v>0</v>
      </c>
      <c r="M304" t="n">
        <v>0</v>
      </c>
      <c r="N304" t="n">
        <v>0</v>
      </c>
      <c r="O304" t="n">
        <v>0</v>
      </c>
      <c r="P304" t="n">
        <v>0</v>
      </c>
      <c r="Q304" t="n">
        <v>0</v>
      </c>
      <c r="R304" s="2" t="inlineStr"/>
    </row>
    <row r="305" ht="15" customHeight="1">
      <c r="A305" t="inlineStr">
        <is>
          <t>A 60548-2024</t>
        </is>
      </c>
      <c r="B305" s="1" t="n">
        <v>45643.80978009259</v>
      </c>
      <c r="C305" s="1" t="n">
        <v>46046</v>
      </c>
      <c r="D305" t="inlineStr">
        <is>
          <t>VÄSTMANLANDS LÄN</t>
        </is>
      </c>
      <c r="E305" t="inlineStr">
        <is>
          <t>SALA</t>
        </is>
      </c>
      <c r="G305" t="n">
        <v>1.6</v>
      </c>
      <c r="H305" t="n">
        <v>0</v>
      </c>
      <c r="I305" t="n">
        <v>0</v>
      </c>
      <c r="J305" t="n">
        <v>0</v>
      </c>
      <c r="K305" t="n">
        <v>0</v>
      </c>
      <c r="L305" t="n">
        <v>0</v>
      </c>
      <c r="M305" t="n">
        <v>0</v>
      </c>
      <c r="N305" t="n">
        <v>0</v>
      </c>
      <c r="O305" t="n">
        <v>0</v>
      </c>
      <c r="P305" t="n">
        <v>0</v>
      </c>
      <c r="Q305" t="n">
        <v>0</v>
      </c>
      <c r="R305" s="2" t="inlineStr"/>
    </row>
    <row r="306" ht="15" customHeight="1">
      <c r="A306" t="inlineStr">
        <is>
          <t>A 24463-2025</t>
        </is>
      </c>
      <c r="B306" s="1" t="n">
        <v>45798</v>
      </c>
      <c r="C306" s="1" t="n">
        <v>46046</v>
      </c>
      <c r="D306" t="inlineStr">
        <is>
          <t>VÄSTMANLANDS LÄN</t>
        </is>
      </c>
      <c r="E306" t="inlineStr">
        <is>
          <t>SALA</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22026-2021</t>
        </is>
      </c>
      <c r="B307" s="1" t="n">
        <v>44323</v>
      </c>
      <c r="C307" s="1" t="n">
        <v>46046</v>
      </c>
      <c r="D307" t="inlineStr">
        <is>
          <t>VÄSTMANLANDS LÄN</t>
        </is>
      </c>
      <c r="E307" t="inlineStr">
        <is>
          <t>SALA</t>
        </is>
      </c>
      <c r="G307" t="n">
        <v>2.9</v>
      </c>
      <c r="H307" t="n">
        <v>0</v>
      </c>
      <c r="I307" t="n">
        <v>0</v>
      </c>
      <c r="J307" t="n">
        <v>0</v>
      </c>
      <c r="K307" t="n">
        <v>0</v>
      </c>
      <c r="L307" t="n">
        <v>0</v>
      </c>
      <c r="M307" t="n">
        <v>0</v>
      </c>
      <c r="N307" t="n">
        <v>0</v>
      </c>
      <c r="O307" t="n">
        <v>0</v>
      </c>
      <c r="P307" t="n">
        <v>0</v>
      </c>
      <c r="Q307" t="n">
        <v>0</v>
      </c>
      <c r="R307" s="2" t="inlineStr"/>
    </row>
    <row r="308" ht="15" customHeight="1">
      <c r="A308" t="inlineStr">
        <is>
          <t>A 26761-2023</t>
        </is>
      </c>
      <c r="B308" s="1" t="n">
        <v>45093</v>
      </c>
      <c r="C308" s="1" t="n">
        <v>46046</v>
      </c>
      <c r="D308" t="inlineStr">
        <is>
          <t>VÄSTMANLANDS LÄN</t>
        </is>
      </c>
      <c r="E308" t="inlineStr">
        <is>
          <t>SALA</t>
        </is>
      </c>
      <c r="G308" t="n">
        <v>4.3</v>
      </c>
      <c r="H308" t="n">
        <v>0</v>
      </c>
      <c r="I308" t="n">
        <v>0</v>
      </c>
      <c r="J308" t="n">
        <v>0</v>
      </c>
      <c r="K308" t="n">
        <v>0</v>
      </c>
      <c r="L308" t="n">
        <v>0</v>
      </c>
      <c r="M308" t="n">
        <v>0</v>
      </c>
      <c r="N308" t="n">
        <v>0</v>
      </c>
      <c r="O308" t="n">
        <v>0</v>
      </c>
      <c r="P308" t="n">
        <v>0</v>
      </c>
      <c r="Q308" t="n">
        <v>0</v>
      </c>
      <c r="R308" s="2" t="inlineStr"/>
    </row>
    <row r="309" ht="15" customHeight="1">
      <c r="A309" t="inlineStr">
        <is>
          <t>A 68864-2021</t>
        </is>
      </c>
      <c r="B309" s="1" t="n">
        <v>44530</v>
      </c>
      <c r="C309" s="1" t="n">
        <v>46046</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55065-2024</t>
        </is>
      </c>
      <c r="B310" s="1" t="n">
        <v>45618</v>
      </c>
      <c r="C310" s="1" t="n">
        <v>46046</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55035-2023</t>
        </is>
      </c>
      <c r="B311" s="1" t="n">
        <v>45229</v>
      </c>
      <c r="C311" s="1" t="n">
        <v>46046</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19065-2022</t>
        </is>
      </c>
      <c r="B312" s="1" t="n">
        <v>44691.44309027777</v>
      </c>
      <c r="C312" s="1" t="n">
        <v>46046</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24907-2025</t>
        </is>
      </c>
      <c r="B313" s="1" t="n">
        <v>45799</v>
      </c>
      <c r="C313" s="1" t="n">
        <v>46046</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24910-2025</t>
        </is>
      </c>
      <c r="B314" s="1" t="n">
        <v>45799.53775462963</v>
      </c>
      <c r="C314" s="1" t="n">
        <v>46046</v>
      </c>
      <c r="D314" t="inlineStr">
        <is>
          <t>VÄSTMANLANDS LÄN</t>
        </is>
      </c>
      <c r="E314" t="inlineStr">
        <is>
          <t>SALA</t>
        </is>
      </c>
      <c r="G314" t="n">
        <v>3.5</v>
      </c>
      <c r="H314" t="n">
        <v>0</v>
      </c>
      <c r="I314" t="n">
        <v>0</v>
      </c>
      <c r="J314" t="n">
        <v>0</v>
      </c>
      <c r="K314" t="n">
        <v>0</v>
      </c>
      <c r="L314" t="n">
        <v>0</v>
      </c>
      <c r="M314" t="n">
        <v>0</v>
      </c>
      <c r="N314" t="n">
        <v>0</v>
      </c>
      <c r="O314" t="n">
        <v>0</v>
      </c>
      <c r="P314" t="n">
        <v>0</v>
      </c>
      <c r="Q314" t="n">
        <v>0</v>
      </c>
      <c r="R314" s="2" t="inlineStr"/>
    </row>
    <row r="315" ht="15" customHeight="1">
      <c r="A315" t="inlineStr">
        <is>
          <t>A 2766-2024</t>
        </is>
      </c>
      <c r="B315" s="1" t="n">
        <v>45314.60950231482</v>
      </c>
      <c r="C315" s="1" t="n">
        <v>46046</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60249-2023</t>
        </is>
      </c>
      <c r="B316" s="1" t="n">
        <v>45258</v>
      </c>
      <c r="C316" s="1" t="n">
        <v>46046</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37612-2024</t>
        </is>
      </c>
      <c r="B317" s="1" t="n">
        <v>45541</v>
      </c>
      <c r="C317" s="1" t="n">
        <v>46046</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37615-2024</t>
        </is>
      </c>
      <c r="B318" s="1" t="n">
        <v>45541.50673611111</v>
      </c>
      <c r="C318" s="1" t="n">
        <v>46046</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18158-2025</t>
        </is>
      </c>
      <c r="B319" s="1" t="n">
        <v>45761</v>
      </c>
      <c r="C319" s="1" t="n">
        <v>46046</v>
      </c>
      <c r="D319" t="inlineStr">
        <is>
          <t>VÄSTMANLANDS LÄN</t>
        </is>
      </c>
      <c r="E319" t="inlineStr">
        <is>
          <t>SALA</t>
        </is>
      </c>
      <c r="F319" t="inlineStr">
        <is>
          <t>Bergvik skog öst AB</t>
        </is>
      </c>
      <c r="G319" t="n">
        <v>1.6</v>
      </c>
      <c r="H319" t="n">
        <v>0</v>
      </c>
      <c r="I319" t="n">
        <v>0</v>
      </c>
      <c r="J319" t="n">
        <v>0</v>
      </c>
      <c r="K319" t="n">
        <v>0</v>
      </c>
      <c r="L319" t="n">
        <v>0</v>
      </c>
      <c r="M319" t="n">
        <v>0</v>
      </c>
      <c r="N319" t="n">
        <v>0</v>
      </c>
      <c r="O319" t="n">
        <v>0</v>
      </c>
      <c r="P319" t="n">
        <v>0</v>
      </c>
      <c r="Q319" t="n">
        <v>0</v>
      </c>
      <c r="R319" s="2" t="inlineStr"/>
    </row>
    <row r="320" ht="15" customHeight="1">
      <c r="A320" t="inlineStr">
        <is>
          <t>A 6351-2023</t>
        </is>
      </c>
      <c r="B320" s="1" t="n">
        <v>44965</v>
      </c>
      <c r="C320" s="1" t="n">
        <v>46046</v>
      </c>
      <c r="D320" t="inlineStr">
        <is>
          <t>VÄSTMANLANDS LÄN</t>
        </is>
      </c>
      <c r="E320" t="inlineStr">
        <is>
          <t>SALA</t>
        </is>
      </c>
      <c r="F320" t="inlineStr">
        <is>
          <t>Kommuner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45187-2024</t>
        </is>
      </c>
      <c r="B321" s="1" t="n">
        <v>45575</v>
      </c>
      <c r="C321" s="1" t="n">
        <v>46046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9962-2025</t>
        </is>
      </c>
      <c r="B322" s="1" t="n">
        <v>45719.37072916667</v>
      </c>
      <c r="C322" s="1" t="n">
        <v>46046</v>
      </c>
      <c r="D322" t="inlineStr">
        <is>
          <t>VÄSTMANLANDS LÄN</t>
        </is>
      </c>
      <c r="E322" t="inlineStr">
        <is>
          <t>SALA</t>
        </is>
      </c>
      <c r="G322" t="n">
        <v>4.5</v>
      </c>
      <c r="H322" t="n">
        <v>0</v>
      </c>
      <c r="I322" t="n">
        <v>0</v>
      </c>
      <c r="J322" t="n">
        <v>0</v>
      </c>
      <c r="K322" t="n">
        <v>0</v>
      </c>
      <c r="L322" t="n">
        <v>0</v>
      </c>
      <c r="M322" t="n">
        <v>0</v>
      </c>
      <c r="N322" t="n">
        <v>0</v>
      </c>
      <c r="O322" t="n">
        <v>0</v>
      </c>
      <c r="P322" t="n">
        <v>0</v>
      </c>
      <c r="Q322" t="n">
        <v>0</v>
      </c>
      <c r="R322" s="2" t="inlineStr"/>
    </row>
    <row r="323" ht="15" customHeight="1">
      <c r="A323" t="inlineStr">
        <is>
          <t>A 33527-2023</t>
        </is>
      </c>
      <c r="B323" s="1" t="n">
        <v>45131</v>
      </c>
      <c r="C323" s="1" t="n">
        <v>46046</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7377-2023</t>
        </is>
      </c>
      <c r="B324" s="1" t="n">
        <v>44971</v>
      </c>
      <c r="C324" s="1" t="n">
        <v>46046</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6308-2021</t>
        </is>
      </c>
      <c r="B325" s="1" t="n">
        <v>44235</v>
      </c>
      <c r="C325" s="1" t="n">
        <v>46046</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37602-2024</t>
        </is>
      </c>
      <c r="B326" s="1" t="n">
        <v>45541</v>
      </c>
      <c r="C326" s="1" t="n">
        <v>46046</v>
      </c>
      <c r="D326" t="inlineStr">
        <is>
          <t>VÄSTMANLANDS LÄN</t>
        </is>
      </c>
      <c r="E326" t="inlineStr">
        <is>
          <t>SALA</t>
        </is>
      </c>
      <c r="G326" t="n">
        <v>1.5</v>
      </c>
      <c r="H326" t="n">
        <v>0</v>
      </c>
      <c r="I326" t="n">
        <v>0</v>
      </c>
      <c r="J326" t="n">
        <v>0</v>
      </c>
      <c r="K326" t="n">
        <v>0</v>
      </c>
      <c r="L326" t="n">
        <v>0</v>
      </c>
      <c r="M326" t="n">
        <v>0</v>
      </c>
      <c r="N326" t="n">
        <v>0</v>
      </c>
      <c r="O326" t="n">
        <v>0</v>
      </c>
      <c r="P326" t="n">
        <v>0</v>
      </c>
      <c r="Q326" t="n">
        <v>0</v>
      </c>
      <c r="R326" s="2" t="inlineStr"/>
    </row>
    <row r="327" ht="15" customHeight="1">
      <c r="A327" t="inlineStr">
        <is>
          <t>A 31597-2024</t>
        </is>
      </c>
      <c r="B327" s="1" t="n">
        <v>45506</v>
      </c>
      <c r="C327" s="1" t="n">
        <v>46046</v>
      </c>
      <c r="D327" t="inlineStr">
        <is>
          <t>VÄSTMANLANDS LÄN</t>
        </is>
      </c>
      <c r="E327" t="inlineStr">
        <is>
          <t>SALA</t>
        </is>
      </c>
      <c r="G327" t="n">
        <v>2.4</v>
      </c>
      <c r="H327" t="n">
        <v>0</v>
      </c>
      <c r="I327" t="n">
        <v>0</v>
      </c>
      <c r="J327" t="n">
        <v>0</v>
      </c>
      <c r="K327" t="n">
        <v>0</v>
      </c>
      <c r="L327" t="n">
        <v>0</v>
      </c>
      <c r="M327" t="n">
        <v>0</v>
      </c>
      <c r="N327" t="n">
        <v>0</v>
      </c>
      <c r="O327" t="n">
        <v>0</v>
      </c>
      <c r="P327" t="n">
        <v>0</v>
      </c>
      <c r="Q327" t="n">
        <v>0</v>
      </c>
      <c r="R327" s="2" t="inlineStr"/>
    </row>
    <row r="328" ht="15" customHeight="1">
      <c r="A328" t="inlineStr">
        <is>
          <t>A 31599-2024</t>
        </is>
      </c>
      <c r="B328" s="1" t="n">
        <v>45506</v>
      </c>
      <c r="C328" s="1" t="n">
        <v>46046</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31601-2024</t>
        </is>
      </c>
      <c r="B329" s="1" t="n">
        <v>45506</v>
      </c>
      <c r="C329" s="1" t="n">
        <v>46046</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31608-2024</t>
        </is>
      </c>
      <c r="B330" s="1" t="n">
        <v>45506</v>
      </c>
      <c r="C330" s="1" t="n">
        <v>46046</v>
      </c>
      <c r="D330" t="inlineStr">
        <is>
          <t>VÄSTMANLANDS LÄN</t>
        </is>
      </c>
      <c r="E330" t="inlineStr">
        <is>
          <t>SALA</t>
        </is>
      </c>
      <c r="G330" t="n">
        <v>1.7</v>
      </c>
      <c r="H330" t="n">
        <v>0</v>
      </c>
      <c r="I330" t="n">
        <v>0</v>
      </c>
      <c r="J330" t="n">
        <v>0</v>
      </c>
      <c r="K330" t="n">
        <v>0</v>
      </c>
      <c r="L330" t="n">
        <v>0</v>
      </c>
      <c r="M330" t="n">
        <v>0</v>
      </c>
      <c r="N330" t="n">
        <v>0</v>
      </c>
      <c r="O330" t="n">
        <v>0</v>
      </c>
      <c r="P330" t="n">
        <v>0</v>
      </c>
      <c r="Q330" t="n">
        <v>0</v>
      </c>
      <c r="R330" s="2" t="inlineStr"/>
    </row>
    <row r="331" ht="15" customHeight="1">
      <c r="A331" t="inlineStr">
        <is>
          <t>A 31612-2024</t>
        </is>
      </c>
      <c r="B331" s="1" t="n">
        <v>45506</v>
      </c>
      <c r="C331" s="1" t="n">
        <v>46046</v>
      </c>
      <c r="D331" t="inlineStr">
        <is>
          <t>VÄSTMANLANDS LÄN</t>
        </is>
      </c>
      <c r="E331" t="inlineStr">
        <is>
          <t>SALA</t>
        </is>
      </c>
      <c r="G331" t="n">
        <v>3.2</v>
      </c>
      <c r="H331" t="n">
        <v>0</v>
      </c>
      <c r="I331" t="n">
        <v>0</v>
      </c>
      <c r="J331" t="n">
        <v>0</v>
      </c>
      <c r="K331" t="n">
        <v>0</v>
      </c>
      <c r="L331" t="n">
        <v>0</v>
      </c>
      <c r="M331" t="n">
        <v>0</v>
      </c>
      <c r="N331" t="n">
        <v>0</v>
      </c>
      <c r="O331" t="n">
        <v>0</v>
      </c>
      <c r="P331" t="n">
        <v>0</v>
      </c>
      <c r="Q331" t="n">
        <v>0</v>
      </c>
      <c r="R331" s="2" t="inlineStr"/>
    </row>
    <row r="332" ht="15" customHeight="1">
      <c r="A332" t="inlineStr">
        <is>
          <t>A 21159-2022</t>
        </is>
      </c>
      <c r="B332" s="1" t="n">
        <v>44704</v>
      </c>
      <c r="C332" s="1" t="n">
        <v>46046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52500-2024</t>
        </is>
      </c>
      <c r="B333" s="1" t="n">
        <v>45609</v>
      </c>
      <c r="C333" s="1" t="n">
        <v>46046</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18762-2024</t>
        </is>
      </c>
      <c r="B334" s="1" t="n">
        <v>45426.55240740741</v>
      </c>
      <c r="C334" s="1" t="n">
        <v>46046</v>
      </c>
      <c r="D334" t="inlineStr">
        <is>
          <t>VÄSTMANLANDS LÄN</t>
        </is>
      </c>
      <c r="E334" t="inlineStr">
        <is>
          <t>SALA</t>
        </is>
      </c>
      <c r="G334" t="n">
        <v>6.2</v>
      </c>
      <c r="H334" t="n">
        <v>0</v>
      </c>
      <c r="I334" t="n">
        <v>0</v>
      </c>
      <c r="J334" t="n">
        <v>0</v>
      </c>
      <c r="K334" t="n">
        <v>0</v>
      </c>
      <c r="L334" t="n">
        <v>0</v>
      </c>
      <c r="M334" t="n">
        <v>0</v>
      </c>
      <c r="N334" t="n">
        <v>0</v>
      </c>
      <c r="O334" t="n">
        <v>0</v>
      </c>
      <c r="P334" t="n">
        <v>0</v>
      </c>
      <c r="Q334" t="n">
        <v>0</v>
      </c>
      <c r="R334" s="2" t="inlineStr"/>
    </row>
    <row r="335" ht="15" customHeight="1">
      <c r="A335" t="inlineStr">
        <is>
          <t>A 10909-2024</t>
        </is>
      </c>
      <c r="B335" s="1" t="n">
        <v>45370</v>
      </c>
      <c r="C335" s="1" t="n">
        <v>46046</v>
      </c>
      <c r="D335" t="inlineStr">
        <is>
          <t>VÄSTMANLANDS LÄN</t>
        </is>
      </c>
      <c r="E335" t="inlineStr">
        <is>
          <t>SALA</t>
        </is>
      </c>
      <c r="G335" t="n">
        <v>3.3</v>
      </c>
      <c r="H335" t="n">
        <v>0</v>
      </c>
      <c r="I335" t="n">
        <v>0</v>
      </c>
      <c r="J335" t="n">
        <v>0</v>
      </c>
      <c r="K335" t="n">
        <v>0</v>
      </c>
      <c r="L335" t="n">
        <v>0</v>
      </c>
      <c r="M335" t="n">
        <v>0</v>
      </c>
      <c r="N335" t="n">
        <v>0</v>
      </c>
      <c r="O335" t="n">
        <v>0</v>
      </c>
      <c r="P335" t="n">
        <v>0</v>
      </c>
      <c r="Q335" t="n">
        <v>0</v>
      </c>
      <c r="R335" s="2" t="inlineStr"/>
    </row>
    <row r="336" ht="15" customHeight="1">
      <c r="A336" t="inlineStr">
        <is>
          <t>A 56688-2024</t>
        </is>
      </c>
      <c r="B336" s="1" t="n">
        <v>45627.66478009259</v>
      </c>
      <c r="C336" s="1" t="n">
        <v>46046</v>
      </c>
      <c r="D336" t="inlineStr">
        <is>
          <t>VÄSTMANLANDS LÄN</t>
        </is>
      </c>
      <c r="E336" t="inlineStr">
        <is>
          <t>SALA</t>
        </is>
      </c>
      <c r="G336" t="n">
        <v>0.9</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46046</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16159-2024</t>
        </is>
      </c>
      <c r="B338" s="1" t="n">
        <v>45406</v>
      </c>
      <c r="C338" s="1" t="n">
        <v>46046</v>
      </c>
      <c r="D338" t="inlineStr">
        <is>
          <t>VÄSTMANLANDS LÄN</t>
        </is>
      </c>
      <c r="E338" t="inlineStr">
        <is>
          <t>SALA</t>
        </is>
      </c>
      <c r="G338" t="n">
        <v>0.4</v>
      </c>
      <c r="H338" t="n">
        <v>0</v>
      </c>
      <c r="I338" t="n">
        <v>0</v>
      </c>
      <c r="J338" t="n">
        <v>0</v>
      </c>
      <c r="K338" t="n">
        <v>0</v>
      </c>
      <c r="L338" t="n">
        <v>0</v>
      </c>
      <c r="M338" t="n">
        <v>0</v>
      </c>
      <c r="N338" t="n">
        <v>0</v>
      </c>
      <c r="O338" t="n">
        <v>0</v>
      </c>
      <c r="P338" t="n">
        <v>0</v>
      </c>
      <c r="Q338" t="n">
        <v>0</v>
      </c>
      <c r="R338" s="2" t="inlineStr"/>
    </row>
    <row r="339" ht="15" customHeight="1">
      <c r="A339" t="inlineStr">
        <is>
          <t>A 39011-2023</t>
        </is>
      </c>
      <c r="B339" s="1" t="n">
        <v>45162</v>
      </c>
      <c r="C339" s="1" t="n">
        <v>46046</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96-2024</t>
        </is>
      </c>
      <c r="B340" s="1" t="n">
        <v>45293.85872685185</v>
      </c>
      <c r="C340" s="1" t="n">
        <v>46046</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54118-2023</t>
        </is>
      </c>
      <c r="B341" s="1" t="n">
        <v>45232</v>
      </c>
      <c r="C341" s="1" t="n">
        <v>46046</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66307-2021</t>
        </is>
      </c>
      <c r="B342" s="1" t="n">
        <v>44518.48670138889</v>
      </c>
      <c r="C342" s="1" t="n">
        <v>46046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27262-2024</t>
        </is>
      </c>
      <c r="B343" s="1" t="n">
        <v>45471</v>
      </c>
      <c r="C343" s="1" t="n">
        <v>46046</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34814-2021</t>
        </is>
      </c>
      <c r="B344" s="1" t="n">
        <v>44383</v>
      </c>
      <c r="C344" s="1" t="n">
        <v>46046</v>
      </c>
      <c r="D344" t="inlineStr">
        <is>
          <t>VÄSTMANLANDS LÄN</t>
        </is>
      </c>
      <c r="E344" t="inlineStr">
        <is>
          <t>SALA</t>
        </is>
      </c>
      <c r="F344" t="inlineStr">
        <is>
          <t>Sveaskog</t>
        </is>
      </c>
      <c r="G344" t="n">
        <v>0.5</v>
      </c>
      <c r="H344" t="n">
        <v>0</v>
      </c>
      <c r="I344" t="n">
        <v>0</v>
      </c>
      <c r="J344" t="n">
        <v>0</v>
      </c>
      <c r="K344" t="n">
        <v>0</v>
      </c>
      <c r="L344" t="n">
        <v>0</v>
      </c>
      <c r="M344" t="n">
        <v>0</v>
      </c>
      <c r="N344" t="n">
        <v>0</v>
      </c>
      <c r="O344" t="n">
        <v>0</v>
      </c>
      <c r="P344" t="n">
        <v>0</v>
      </c>
      <c r="Q344" t="n">
        <v>0</v>
      </c>
      <c r="R344" s="2" t="inlineStr"/>
    </row>
    <row r="345" ht="15" customHeight="1">
      <c r="A345" t="inlineStr">
        <is>
          <t>A 10913-2025</t>
        </is>
      </c>
      <c r="B345" s="1" t="n">
        <v>45722.73423611111</v>
      </c>
      <c r="C345" s="1" t="n">
        <v>46046</v>
      </c>
      <c r="D345" t="inlineStr">
        <is>
          <t>VÄSTMANLANDS LÄN</t>
        </is>
      </c>
      <c r="E345" t="inlineStr">
        <is>
          <t>SALA</t>
        </is>
      </c>
      <c r="G345" t="n">
        <v>7.6</v>
      </c>
      <c r="H345" t="n">
        <v>0</v>
      </c>
      <c r="I345" t="n">
        <v>0</v>
      </c>
      <c r="J345" t="n">
        <v>0</v>
      </c>
      <c r="K345" t="n">
        <v>0</v>
      </c>
      <c r="L345" t="n">
        <v>0</v>
      </c>
      <c r="M345" t="n">
        <v>0</v>
      </c>
      <c r="N345" t="n">
        <v>0</v>
      </c>
      <c r="O345" t="n">
        <v>0</v>
      </c>
      <c r="P345" t="n">
        <v>0</v>
      </c>
      <c r="Q345" t="n">
        <v>0</v>
      </c>
      <c r="R345" s="2" t="inlineStr"/>
    </row>
    <row r="346" ht="15" customHeight="1">
      <c r="A346" t="inlineStr">
        <is>
          <t>A 25748-2022</t>
        </is>
      </c>
      <c r="B346" s="1" t="n">
        <v>44732</v>
      </c>
      <c r="C346" s="1" t="n">
        <v>46046</v>
      </c>
      <c r="D346" t="inlineStr">
        <is>
          <t>VÄSTMANLANDS LÄN</t>
        </is>
      </c>
      <c r="E346" t="inlineStr">
        <is>
          <t>SALA</t>
        </is>
      </c>
      <c r="G346" t="n">
        <v>7.7</v>
      </c>
      <c r="H346" t="n">
        <v>0</v>
      </c>
      <c r="I346" t="n">
        <v>0</v>
      </c>
      <c r="J346" t="n">
        <v>0</v>
      </c>
      <c r="K346" t="n">
        <v>0</v>
      </c>
      <c r="L346" t="n">
        <v>0</v>
      </c>
      <c r="M346" t="n">
        <v>0</v>
      </c>
      <c r="N346" t="n">
        <v>0</v>
      </c>
      <c r="O346" t="n">
        <v>0</v>
      </c>
      <c r="P346" t="n">
        <v>0</v>
      </c>
      <c r="Q346" t="n">
        <v>0</v>
      </c>
      <c r="R346" s="2" t="inlineStr"/>
    </row>
    <row r="347" ht="15" customHeight="1">
      <c r="A347" t="inlineStr">
        <is>
          <t>A 46352-2023</t>
        </is>
      </c>
      <c r="B347" s="1" t="n">
        <v>45192</v>
      </c>
      <c r="C347" s="1" t="n">
        <v>46046</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3733-2023</t>
        </is>
      </c>
      <c r="B348" s="1" t="n">
        <v>44951.42501157407</v>
      </c>
      <c r="C348" s="1" t="n">
        <v>46046</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6136-2025</t>
        </is>
      </c>
      <c r="B349" s="1" t="n">
        <v>45698.37601851852</v>
      </c>
      <c r="C349" s="1" t="n">
        <v>46046</v>
      </c>
      <c r="D349" t="inlineStr">
        <is>
          <t>VÄSTMANLANDS LÄN</t>
        </is>
      </c>
      <c r="E349" t="inlineStr">
        <is>
          <t>SALA</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6190-2025</t>
        </is>
      </c>
      <c r="B350" s="1" t="n">
        <v>45698</v>
      </c>
      <c r="C350" s="1" t="n">
        <v>46046</v>
      </c>
      <c r="D350" t="inlineStr">
        <is>
          <t>VÄSTMANLANDS LÄN</t>
        </is>
      </c>
      <c r="E350" t="inlineStr">
        <is>
          <t>SALA</t>
        </is>
      </c>
      <c r="F350" t="inlineStr">
        <is>
          <t>Bergvik skog öst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35410-2022</t>
        </is>
      </c>
      <c r="B351" s="1" t="n">
        <v>44798.62576388889</v>
      </c>
      <c r="C351" s="1" t="n">
        <v>46046</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1118-2024</t>
        </is>
      </c>
      <c r="B352" s="1" t="n">
        <v>45302</v>
      </c>
      <c r="C352" s="1" t="n">
        <v>46046</v>
      </c>
      <c r="D352" t="inlineStr">
        <is>
          <t>VÄSTMANLANDS LÄN</t>
        </is>
      </c>
      <c r="E352" t="inlineStr">
        <is>
          <t>SALA</t>
        </is>
      </c>
      <c r="G352" t="n">
        <v>1.9</v>
      </c>
      <c r="H352" t="n">
        <v>0</v>
      </c>
      <c r="I352" t="n">
        <v>0</v>
      </c>
      <c r="J352" t="n">
        <v>0</v>
      </c>
      <c r="K352" t="n">
        <v>0</v>
      </c>
      <c r="L352" t="n">
        <v>0</v>
      </c>
      <c r="M352" t="n">
        <v>0</v>
      </c>
      <c r="N352" t="n">
        <v>0</v>
      </c>
      <c r="O352" t="n">
        <v>0</v>
      </c>
      <c r="P352" t="n">
        <v>0</v>
      </c>
      <c r="Q352" t="n">
        <v>0</v>
      </c>
      <c r="R352" s="2" t="inlineStr"/>
    </row>
    <row r="353" ht="15" customHeight="1">
      <c r="A353" t="inlineStr">
        <is>
          <t>A 16760-2024</t>
        </is>
      </c>
      <c r="B353" s="1" t="n">
        <v>45411</v>
      </c>
      <c r="C353" s="1" t="n">
        <v>46046</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43751-2021</t>
        </is>
      </c>
      <c r="B354" s="1" t="n">
        <v>44433</v>
      </c>
      <c r="C354" s="1" t="n">
        <v>46046</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26661-2025</t>
        </is>
      </c>
      <c r="B355" s="1" t="n">
        <v>45810</v>
      </c>
      <c r="C355" s="1" t="n">
        <v>46046</v>
      </c>
      <c r="D355" t="inlineStr">
        <is>
          <t>VÄSTMANLANDS LÄN</t>
        </is>
      </c>
      <c r="E355" t="inlineStr">
        <is>
          <t>SALA</t>
        </is>
      </c>
      <c r="G355" t="n">
        <v>3.5</v>
      </c>
      <c r="H355" t="n">
        <v>0</v>
      </c>
      <c r="I355" t="n">
        <v>0</v>
      </c>
      <c r="J355" t="n">
        <v>0</v>
      </c>
      <c r="K355" t="n">
        <v>0</v>
      </c>
      <c r="L355" t="n">
        <v>0</v>
      </c>
      <c r="M355" t="n">
        <v>0</v>
      </c>
      <c r="N355" t="n">
        <v>0</v>
      </c>
      <c r="O355" t="n">
        <v>0</v>
      </c>
      <c r="P355" t="n">
        <v>0</v>
      </c>
      <c r="Q355" t="n">
        <v>0</v>
      </c>
      <c r="R355" s="2" t="inlineStr"/>
    </row>
    <row r="356" ht="15" customHeight="1">
      <c r="A356" t="inlineStr">
        <is>
          <t>A 53864-2022</t>
        </is>
      </c>
      <c r="B356" s="1" t="n">
        <v>44880.64016203704</v>
      </c>
      <c r="C356" s="1" t="n">
        <v>46046</v>
      </c>
      <c r="D356" t="inlineStr">
        <is>
          <t>VÄSTMANLANDS LÄN</t>
        </is>
      </c>
      <c r="E356" t="inlineStr">
        <is>
          <t>SALA</t>
        </is>
      </c>
      <c r="G356" t="n">
        <v>5.9</v>
      </c>
      <c r="H356" t="n">
        <v>0</v>
      </c>
      <c r="I356" t="n">
        <v>0</v>
      </c>
      <c r="J356" t="n">
        <v>0</v>
      </c>
      <c r="K356" t="n">
        <v>0</v>
      </c>
      <c r="L356" t="n">
        <v>0</v>
      </c>
      <c r="M356" t="n">
        <v>0</v>
      </c>
      <c r="N356" t="n">
        <v>0</v>
      </c>
      <c r="O356" t="n">
        <v>0</v>
      </c>
      <c r="P356" t="n">
        <v>0</v>
      </c>
      <c r="Q356" t="n">
        <v>0</v>
      </c>
      <c r="R356" s="2" t="inlineStr"/>
    </row>
    <row r="357" ht="15" customHeight="1">
      <c r="A357" t="inlineStr">
        <is>
          <t>A 1128-2025</t>
        </is>
      </c>
      <c r="B357" s="1" t="n">
        <v>45666.68469907407</v>
      </c>
      <c r="C357" s="1" t="n">
        <v>46046</v>
      </c>
      <c r="D357" t="inlineStr">
        <is>
          <t>VÄSTMANLANDS LÄN</t>
        </is>
      </c>
      <c r="E357" t="inlineStr">
        <is>
          <t>SALA</t>
        </is>
      </c>
      <c r="G357" t="n">
        <v>2.5</v>
      </c>
      <c r="H357" t="n">
        <v>0</v>
      </c>
      <c r="I357" t="n">
        <v>0</v>
      </c>
      <c r="J357" t="n">
        <v>0</v>
      </c>
      <c r="K357" t="n">
        <v>0</v>
      </c>
      <c r="L357" t="n">
        <v>0</v>
      </c>
      <c r="M357" t="n">
        <v>0</v>
      </c>
      <c r="N357" t="n">
        <v>0</v>
      </c>
      <c r="O357" t="n">
        <v>0</v>
      </c>
      <c r="P357" t="n">
        <v>0</v>
      </c>
      <c r="Q357" t="n">
        <v>0</v>
      </c>
      <c r="R357" s="2" t="inlineStr"/>
    </row>
    <row r="358" ht="15" customHeight="1">
      <c r="A358" t="inlineStr">
        <is>
          <t>A 40085-2024</t>
        </is>
      </c>
      <c r="B358" s="1" t="n">
        <v>45554</v>
      </c>
      <c r="C358" s="1" t="n">
        <v>46046</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6127-2025</t>
        </is>
      </c>
      <c r="B359" s="1" t="n">
        <v>45698</v>
      </c>
      <c r="C359" s="1" t="n">
        <v>46046</v>
      </c>
      <c r="D359" t="inlineStr">
        <is>
          <t>VÄSTMANLANDS LÄN</t>
        </is>
      </c>
      <c r="E359" t="inlineStr">
        <is>
          <t>SALA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3551-2024</t>
        </is>
      </c>
      <c r="B360" s="1" t="n">
        <v>45320.61099537037</v>
      </c>
      <c r="C360" s="1" t="n">
        <v>46046</v>
      </c>
      <c r="D360" t="inlineStr">
        <is>
          <t>VÄSTMANLANDS LÄN</t>
        </is>
      </c>
      <c r="E360" t="inlineStr">
        <is>
          <t>SALA</t>
        </is>
      </c>
      <c r="F360" t="inlineStr">
        <is>
          <t>Kommuner</t>
        </is>
      </c>
      <c r="G360" t="n">
        <v>6</v>
      </c>
      <c r="H360" t="n">
        <v>0</v>
      </c>
      <c r="I360" t="n">
        <v>0</v>
      </c>
      <c r="J360" t="n">
        <v>0</v>
      </c>
      <c r="K360" t="n">
        <v>0</v>
      </c>
      <c r="L360" t="n">
        <v>0</v>
      </c>
      <c r="M360" t="n">
        <v>0</v>
      </c>
      <c r="N360" t="n">
        <v>0</v>
      </c>
      <c r="O360" t="n">
        <v>0</v>
      </c>
      <c r="P360" t="n">
        <v>0</v>
      </c>
      <c r="Q360" t="n">
        <v>0</v>
      </c>
      <c r="R360" s="2" t="inlineStr"/>
    </row>
    <row r="361" ht="15" customHeight="1">
      <c r="A361" t="inlineStr">
        <is>
          <t>A 988-2025</t>
        </is>
      </c>
      <c r="B361" s="1" t="n">
        <v>45666.44038194444</v>
      </c>
      <c r="C361" s="1" t="n">
        <v>46046</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60328-2024</t>
        </is>
      </c>
      <c r="B362" s="1" t="n">
        <v>45643.38416666666</v>
      </c>
      <c r="C362" s="1" t="n">
        <v>46046</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46046</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46046</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46046</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22961-2023</t>
        </is>
      </c>
      <c r="B366" s="1" t="n">
        <v>45072</v>
      </c>
      <c r="C366" s="1" t="n">
        <v>46046</v>
      </c>
      <c r="D366" t="inlineStr">
        <is>
          <t>VÄSTMANLANDS LÄN</t>
        </is>
      </c>
      <c r="E366" t="inlineStr">
        <is>
          <t>SALA</t>
        </is>
      </c>
      <c r="G366" t="n">
        <v>2.7</v>
      </c>
      <c r="H366" t="n">
        <v>0</v>
      </c>
      <c r="I366" t="n">
        <v>0</v>
      </c>
      <c r="J366" t="n">
        <v>0</v>
      </c>
      <c r="K366" t="n">
        <v>0</v>
      </c>
      <c r="L366" t="n">
        <v>0</v>
      </c>
      <c r="M366" t="n">
        <v>0</v>
      </c>
      <c r="N366" t="n">
        <v>0</v>
      </c>
      <c r="O366" t="n">
        <v>0</v>
      </c>
      <c r="P366" t="n">
        <v>0</v>
      </c>
      <c r="Q366" t="n">
        <v>0</v>
      </c>
      <c r="R366" s="2" t="inlineStr"/>
    </row>
    <row r="367" ht="15" customHeight="1">
      <c r="A367" t="inlineStr">
        <is>
          <t>A 22963-2023</t>
        </is>
      </c>
      <c r="B367" s="1" t="n">
        <v>45072</v>
      </c>
      <c r="C367" s="1" t="n">
        <v>46046</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57371-2022</t>
        </is>
      </c>
      <c r="B368" s="1" t="n">
        <v>44896.43832175926</v>
      </c>
      <c r="C368" s="1" t="n">
        <v>46046</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22019-2021</t>
        </is>
      </c>
      <c r="B369" s="1" t="n">
        <v>44323</v>
      </c>
      <c r="C369" s="1" t="n">
        <v>46046</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54960-2024</t>
        </is>
      </c>
      <c r="B370" s="1" t="n">
        <v>45619.85208333333</v>
      </c>
      <c r="C370" s="1" t="n">
        <v>46046</v>
      </c>
      <c r="D370" t="inlineStr">
        <is>
          <t>VÄSTMANLANDS LÄN</t>
        </is>
      </c>
      <c r="E370" t="inlineStr">
        <is>
          <t>SALA</t>
        </is>
      </c>
      <c r="G370" t="n">
        <v>2.6</v>
      </c>
      <c r="H370" t="n">
        <v>0</v>
      </c>
      <c r="I370" t="n">
        <v>0</v>
      </c>
      <c r="J370" t="n">
        <v>0</v>
      </c>
      <c r="K370" t="n">
        <v>0</v>
      </c>
      <c r="L370" t="n">
        <v>0</v>
      </c>
      <c r="M370" t="n">
        <v>0</v>
      </c>
      <c r="N370" t="n">
        <v>0</v>
      </c>
      <c r="O370" t="n">
        <v>0</v>
      </c>
      <c r="P370" t="n">
        <v>0</v>
      </c>
      <c r="Q370" t="n">
        <v>0</v>
      </c>
      <c r="R370" s="2" t="inlineStr"/>
    </row>
    <row r="371" ht="15" customHeight="1">
      <c r="A371" t="inlineStr">
        <is>
          <t>A 55784-2024</t>
        </is>
      </c>
      <c r="B371" s="1" t="n">
        <v>45623</v>
      </c>
      <c r="C371" s="1" t="n">
        <v>46046</v>
      </c>
      <c r="D371" t="inlineStr">
        <is>
          <t>VÄSTMANLANDS LÄN</t>
        </is>
      </c>
      <c r="E371" t="inlineStr">
        <is>
          <t>SALA</t>
        </is>
      </c>
      <c r="F371" t="inlineStr">
        <is>
          <t>Bergvik skog öst AB</t>
        </is>
      </c>
      <c r="G371" t="n">
        <v>28.4</v>
      </c>
      <c r="H371" t="n">
        <v>0</v>
      </c>
      <c r="I371" t="n">
        <v>0</v>
      </c>
      <c r="J371" t="n">
        <v>0</v>
      </c>
      <c r="K371" t="n">
        <v>0</v>
      </c>
      <c r="L371" t="n">
        <v>0</v>
      </c>
      <c r="M371" t="n">
        <v>0</v>
      </c>
      <c r="N371" t="n">
        <v>0</v>
      </c>
      <c r="O371" t="n">
        <v>0</v>
      </c>
      <c r="P371" t="n">
        <v>0</v>
      </c>
      <c r="Q371" t="n">
        <v>0</v>
      </c>
      <c r="R371" s="2" t="inlineStr"/>
    </row>
    <row r="372" ht="15" customHeight="1">
      <c r="A372" t="inlineStr">
        <is>
          <t>A 16651-2021</t>
        </is>
      </c>
      <c r="B372" s="1" t="n">
        <v>44294.50096064815</v>
      </c>
      <c r="C372" s="1" t="n">
        <v>46046</v>
      </c>
      <c r="D372" t="inlineStr">
        <is>
          <t>VÄSTMANLANDS LÄN</t>
        </is>
      </c>
      <c r="E372" t="inlineStr">
        <is>
          <t>SALA</t>
        </is>
      </c>
      <c r="G372" t="n">
        <v>7.7</v>
      </c>
      <c r="H372" t="n">
        <v>0</v>
      </c>
      <c r="I372" t="n">
        <v>0</v>
      </c>
      <c r="J372" t="n">
        <v>0</v>
      </c>
      <c r="K372" t="n">
        <v>0</v>
      </c>
      <c r="L372" t="n">
        <v>0</v>
      </c>
      <c r="M372" t="n">
        <v>0</v>
      </c>
      <c r="N372" t="n">
        <v>0</v>
      </c>
      <c r="O372" t="n">
        <v>0</v>
      </c>
      <c r="P372" t="n">
        <v>0</v>
      </c>
      <c r="Q372" t="n">
        <v>0</v>
      </c>
      <c r="R372" s="2" t="inlineStr"/>
    </row>
    <row r="373" ht="15" customHeight="1">
      <c r="A373" t="inlineStr">
        <is>
          <t>A 27228-2023</t>
        </is>
      </c>
      <c r="B373" s="1" t="n">
        <v>45096.59189814814</v>
      </c>
      <c r="C373" s="1" t="n">
        <v>46046</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26507-2023</t>
        </is>
      </c>
      <c r="B374" s="1" t="n">
        <v>45092</v>
      </c>
      <c r="C374" s="1" t="n">
        <v>46046</v>
      </c>
      <c r="D374" t="inlineStr">
        <is>
          <t>VÄSTMANLANDS LÄN</t>
        </is>
      </c>
      <c r="E374" t="inlineStr">
        <is>
          <t>SALA</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27989-2025</t>
        </is>
      </c>
      <c r="B375" s="1" t="n">
        <v>45817.58716435185</v>
      </c>
      <c r="C375" s="1" t="n">
        <v>46046</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27981-2025</t>
        </is>
      </c>
      <c r="B376" s="1" t="n">
        <v>45817.57471064815</v>
      </c>
      <c r="C376" s="1" t="n">
        <v>46046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6183-2025</t>
        </is>
      </c>
      <c r="B377" s="1" t="n">
        <v>45698</v>
      </c>
      <c r="C377" s="1" t="n">
        <v>46046</v>
      </c>
      <c r="D377" t="inlineStr">
        <is>
          <t>VÄSTMANLANDS LÄN</t>
        </is>
      </c>
      <c r="E377" t="inlineStr">
        <is>
          <t>SALA</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16543-2023</t>
        </is>
      </c>
      <c r="B378" s="1" t="n">
        <v>45029</v>
      </c>
      <c r="C378" s="1" t="n">
        <v>46046</v>
      </c>
      <c r="D378" t="inlineStr">
        <is>
          <t>VÄSTMANLANDS LÄN</t>
        </is>
      </c>
      <c r="E378" t="inlineStr">
        <is>
          <t>SALA</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19803-2024</t>
        </is>
      </c>
      <c r="B379" s="1" t="n">
        <v>45432</v>
      </c>
      <c r="C379" s="1" t="n">
        <v>46046</v>
      </c>
      <c r="D379" t="inlineStr">
        <is>
          <t>VÄSTMANLANDS LÄN</t>
        </is>
      </c>
      <c r="E379" t="inlineStr">
        <is>
          <t>SALA</t>
        </is>
      </c>
      <c r="G379" t="n">
        <v>3.1</v>
      </c>
      <c r="H379" t="n">
        <v>0</v>
      </c>
      <c r="I379" t="n">
        <v>0</v>
      </c>
      <c r="J379" t="n">
        <v>0</v>
      </c>
      <c r="K379" t="n">
        <v>0</v>
      </c>
      <c r="L379" t="n">
        <v>0</v>
      </c>
      <c r="M379" t="n">
        <v>0</v>
      </c>
      <c r="N379" t="n">
        <v>0</v>
      </c>
      <c r="O379" t="n">
        <v>0</v>
      </c>
      <c r="P379" t="n">
        <v>0</v>
      </c>
      <c r="Q379" t="n">
        <v>0</v>
      </c>
      <c r="R379" s="2" t="inlineStr"/>
    </row>
    <row r="380" ht="15" customHeight="1">
      <c r="A380" t="inlineStr">
        <is>
          <t>A 28193-2025</t>
        </is>
      </c>
      <c r="B380" s="1" t="n">
        <v>45818.425625</v>
      </c>
      <c r="C380" s="1" t="n">
        <v>46046</v>
      </c>
      <c r="D380" t="inlineStr">
        <is>
          <t>VÄSTMANLANDS LÄN</t>
        </is>
      </c>
      <c r="E380" t="inlineStr">
        <is>
          <t>SALA</t>
        </is>
      </c>
      <c r="G380" t="n">
        <v>1.8</v>
      </c>
      <c r="H380" t="n">
        <v>0</v>
      </c>
      <c r="I380" t="n">
        <v>0</v>
      </c>
      <c r="J380" t="n">
        <v>0</v>
      </c>
      <c r="K380" t="n">
        <v>0</v>
      </c>
      <c r="L380" t="n">
        <v>0</v>
      </c>
      <c r="M380" t="n">
        <v>0</v>
      </c>
      <c r="N380" t="n">
        <v>0</v>
      </c>
      <c r="O380" t="n">
        <v>0</v>
      </c>
      <c r="P380" t="n">
        <v>0</v>
      </c>
      <c r="Q380" t="n">
        <v>0</v>
      </c>
      <c r="R380" s="2" t="inlineStr"/>
    </row>
    <row r="381" ht="15" customHeight="1">
      <c r="A381" t="inlineStr">
        <is>
          <t>A 43176-2023</t>
        </is>
      </c>
      <c r="B381" s="1" t="n">
        <v>45183</v>
      </c>
      <c r="C381" s="1" t="n">
        <v>46046</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37624-2024</t>
        </is>
      </c>
      <c r="B382" s="1" t="n">
        <v>45541</v>
      </c>
      <c r="C382" s="1" t="n">
        <v>46046</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57895-2024</t>
        </is>
      </c>
      <c r="B383" s="1" t="n">
        <v>45631</v>
      </c>
      <c r="C383" s="1" t="n">
        <v>46046</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47086-2022</t>
        </is>
      </c>
      <c r="B384" s="1" t="n">
        <v>44852</v>
      </c>
      <c r="C384" s="1" t="n">
        <v>46046</v>
      </c>
      <c r="D384" t="inlineStr">
        <is>
          <t>VÄSTMANLANDS LÄN</t>
        </is>
      </c>
      <c r="E384" t="inlineStr">
        <is>
          <t>SALA</t>
        </is>
      </c>
      <c r="G384" t="n">
        <v>12.5</v>
      </c>
      <c r="H384" t="n">
        <v>0</v>
      </c>
      <c r="I384" t="n">
        <v>0</v>
      </c>
      <c r="J384" t="n">
        <v>0</v>
      </c>
      <c r="K384" t="n">
        <v>0</v>
      </c>
      <c r="L384" t="n">
        <v>0</v>
      </c>
      <c r="M384" t="n">
        <v>0</v>
      </c>
      <c r="N384" t="n">
        <v>0</v>
      </c>
      <c r="O384" t="n">
        <v>0</v>
      </c>
      <c r="P384" t="n">
        <v>0</v>
      </c>
      <c r="Q384" t="n">
        <v>0</v>
      </c>
      <c r="R384" s="2" t="inlineStr"/>
    </row>
    <row r="385" ht="15" customHeight="1">
      <c r="A385" t="inlineStr">
        <is>
          <t>A 28284-2025</t>
        </is>
      </c>
      <c r="B385" s="1" t="n">
        <v>45818.58893518519</v>
      </c>
      <c r="C385" s="1" t="n">
        <v>46046</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7196-2025</t>
        </is>
      </c>
      <c r="B386" s="1" t="n">
        <v>45702</v>
      </c>
      <c r="C386" s="1" t="n">
        <v>46046</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28278-2025</t>
        </is>
      </c>
      <c r="B387" s="1" t="n">
        <v>45818.58454861111</v>
      </c>
      <c r="C387" s="1" t="n">
        <v>46046</v>
      </c>
      <c r="D387" t="inlineStr">
        <is>
          <t>VÄSTMANLANDS LÄN</t>
        </is>
      </c>
      <c r="E387" t="inlineStr">
        <is>
          <t>SALA</t>
        </is>
      </c>
      <c r="G387" t="n">
        <v>7.6</v>
      </c>
      <c r="H387" t="n">
        <v>0</v>
      </c>
      <c r="I387" t="n">
        <v>0</v>
      </c>
      <c r="J387" t="n">
        <v>0</v>
      </c>
      <c r="K387" t="n">
        <v>0</v>
      </c>
      <c r="L387" t="n">
        <v>0</v>
      </c>
      <c r="M387" t="n">
        <v>0</v>
      </c>
      <c r="N387" t="n">
        <v>0</v>
      </c>
      <c r="O387" t="n">
        <v>0</v>
      </c>
      <c r="P387" t="n">
        <v>0</v>
      </c>
      <c r="Q387" t="n">
        <v>0</v>
      </c>
      <c r="R387" s="2" t="inlineStr"/>
    </row>
    <row r="388" ht="15" customHeight="1">
      <c r="A388" t="inlineStr">
        <is>
          <t>A 14010-2021</t>
        </is>
      </c>
      <c r="B388" s="1" t="n">
        <v>44277.63396990741</v>
      </c>
      <c r="C388" s="1" t="n">
        <v>46046</v>
      </c>
      <c r="D388" t="inlineStr">
        <is>
          <t>VÄSTMANLANDS LÄN</t>
        </is>
      </c>
      <c r="E388" t="inlineStr">
        <is>
          <t>SALA</t>
        </is>
      </c>
      <c r="G388" t="n">
        <v>3.5</v>
      </c>
      <c r="H388" t="n">
        <v>0</v>
      </c>
      <c r="I388" t="n">
        <v>0</v>
      </c>
      <c r="J388" t="n">
        <v>0</v>
      </c>
      <c r="K388" t="n">
        <v>0</v>
      </c>
      <c r="L388" t="n">
        <v>0</v>
      </c>
      <c r="M388" t="n">
        <v>0</v>
      </c>
      <c r="N388" t="n">
        <v>0</v>
      </c>
      <c r="O388" t="n">
        <v>0</v>
      </c>
      <c r="P388" t="n">
        <v>0</v>
      </c>
      <c r="Q388" t="n">
        <v>0</v>
      </c>
      <c r="R388" s="2" t="inlineStr"/>
    </row>
    <row r="389" ht="15" customHeight="1">
      <c r="A389" t="inlineStr">
        <is>
          <t>A 28628-2025</t>
        </is>
      </c>
      <c r="B389" s="1" t="n">
        <v>45819.62158564815</v>
      </c>
      <c r="C389" s="1" t="n">
        <v>46046</v>
      </c>
      <c r="D389" t="inlineStr">
        <is>
          <t>VÄSTMANLANDS LÄN</t>
        </is>
      </c>
      <c r="E389" t="inlineStr">
        <is>
          <t>SALA</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40597-2022</t>
        </is>
      </c>
      <c r="B390" s="1" t="n">
        <v>44823.84862268518</v>
      </c>
      <c r="C390" s="1" t="n">
        <v>46046</v>
      </c>
      <c r="D390" t="inlineStr">
        <is>
          <t>VÄSTMANLANDS LÄN</t>
        </is>
      </c>
      <c r="E390" t="inlineStr">
        <is>
          <t>SALA</t>
        </is>
      </c>
      <c r="G390" t="n">
        <v>3.5</v>
      </c>
      <c r="H390" t="n">
        <v>0</v>
      </c>
      <c r="I390" t="n">
        <v>0</v>
      </c>
      <c r="J390" t="n">
        <v>0</v>
      </c>
      <c r="K390" t="n">
        <v>0</v>
      </c>
      <c r="L390" t="n">
        <v>0</v>
      </c>
      <c r="M390" t="n">
        <v>0</v>
      </c>
      <c r="N390" t="n">
        <v>0</v>
      </c>
      <c r="O390" t="n">
        <v>0</v>
      </c>
      <c r="P390" t="n">
        <v>0</v>
      </c>
      <c r="Q390" t="n">
        <v>0</v>
      </c>
      <c r="R390" s="2" t="inlineStr"/>
    </row>
    <row r="391" ht="15" customHeight="1">
      <c r="A391" t="inlineStr">
        <is>
          <t>A 28632-2025</t>
        </is>
      </c>
      <c r="B391" s="1" t="n">
        <v>45819.62344907408</v>
      </c>
      <c r="C391" s="1" t="n">
        <v>46046</v>
      </c>
      <c r="D391" t="inlineStr">
        <is>
          <t>VÄSTMANLANDS LÄN</t>
        </is>
      </c>
      <c r="E391" t="inlineStr">
        <is>
          <t>SALA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46046</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46046</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46046</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56687-2024</t>
        </is>
      </c>
      <c r="B395" s="1" t="n">
        <v>45627.63271990741</v>
      </c>
      <c r="C395" s="1" t="n">
        <v>46046</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31950-2023</t>
        </is>
      </c>
      <c r="B396" s="1" t="n">
        <v>45107</v>
      </c>
      <c r="C396" s="1" t="n">
        <v>46046</v>
      </c>
      <c r="D396" t="inlineStr">
        <is>
          <t>VÄSTMANLANDS LÄN</t>
        </is>
      </c>
      <c r="E396" t="inlineStr">
        <is>
          <t>SALA</t>
        </is>
      </c>
      <c r="G396" t="n">
        <v>0.1</v>
      </c>
      <c r="H396" t="n">
        <v>0</v>
      </c>
      <c r="I396" t="n">
        <v>0</v>
      </c>
      <c r="J396" t="n">
        <v>0</v>
      </c>
      <c r="K396" t="n">
        <v>0</v>
      </c>
      <c r="L396" t="n">
        <v>0</v>
      </c>
      <c r="M396" t="n">
        <v>0</v>
      </c>
      <c r="N396" t="n">
        <v>0</v>
      </c>
      <c r="O396" t="n">
        <v>0</v>
      </c>
      <c r="P396" t="n">
        <v>0</v>
      </c>
      <c r="Q396" t="n">
        <v>0</v>
      </c>
      <c r="R396" s="2" t="inlineStr"/>
    </row>
    <row r="397" ht="15" customHeight="1">
      <c r="A397" t="inlineStr">
        <is>
          <t>A 54347-2024</t>
        </is>
      </c>
      <c r="B397" s="1" t="n">
        <v>45617.39325231482</v>
      </c>
      <c r="C397" s="1" t="n">
        <v>46046</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46046</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64925-2023</t>
        </is>
      </c>
      <c r="B399" s="1" t="n">
        <v>45282</v>
      </c>
      <c r="C399" s="1" t="n">
        <v>46046</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64693-2023</t>
        </is>
      </c>
      <c r="B400" s="1" t="n">
        <v>45281.63850694444</v>
      </c>
      <c r="C400" s="1" t="n">
        <v>46046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64695-2023</t>
        </is>
      </c>
      <c r="B401" s="1" t="n">
        <v>45281.64099537037</v>
      </c>
      <c r="C401" s="1" t="n">
        <v>46046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23406-2024</t>
        </is>
      </c>
      <c r="B402" s="1" t="n">
        <v>45453.58296296297</v>
      </c>
      <c r="C402" s="1" t="n">
        <v>46046</v>
      </c>
      <c r="D402" t="inlineStr">
        <is>
          <t>VÄSTMANLANDS LÄN</t>
        </is>
      </c>
      <c r="E402" t="inlineStr">
        <is>
          <t>SALA</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27486-2022</t>
        </is>
      </c>
      <c r="B403" s="1" t="n">
        <v>44742.60846064815</v>
      </c>
      <c r="C403" s="1" t="n">
        <v>46046</v>
      </c>
      <c r="D403" t="inlineStr">
        <is>
          <t>VÄSTMANLANDS LÄN</t>
        </is>
      </c>
      <c r="E403" t="inlineStr">
        <is>
          <t>SALA</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29691-2025</t>
        </is>
      </c>
      <c r="B404" s="1" t="n">
        <v>45825.53645833334</v>
      </c>
      <c r="C404" s="1" t="n">
        <v>46046</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60541-2024</t>
        </is>
      </c>
      <c r="B405" s="1" t="n">
        <v>45643</v>
      </c>
      <c r="C405" s="1" t="n">
        <v>46046</v>
      </c>
      <c r="D405" t="inlineStr">
        <is>
          <t>VÄSTMANLANDS LÄN</t>
        </is>
      </c>
      <c r="E405" t="inlineStr">
        <is>
          <t>SALA</t>
        </is>
      </c>
      <c r="G405" t="n">
        <v>10.6</v>
      </c>
      <c r="H405" t="n">
        <v>0</v>
      </c>
      <c r="I405" t="n">
        <v>0</v>
      </c>
      <c r="J405" t="n">
        <v>0</v>
      </c>
      <c r="K405" t="n">
        <v>0</v>
      </c>
      <c r="L405" t="n">
        <v>0</v>
      </c>
      <c r="M405" t="n">
        <v>0</v>
      </c>
      <c r="N405" t="n">
        <v>0</v>
      </c>
      <c r="O405" t="n">
        <v>0</v>
      </c>
      <c r="P405" t="n">
        <v>0</v>
      </c>
      <c r="Q405" t="n">
        <v>0</v>
      </c>
      <c r="R405" s="2" t="inlineStr"/>
    </row>
    <row r="406" ht="15" customHeight="1">
      <c r="A406" t="inlineStr">
        <is>
          <t>A 16133-2025</t>
        </is>
      </c>
      <c r="B406" s="1" t="n">
        <v>45750</v>
      </c>
      <c r="C406" s="1" t="n">
        <v>46046</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35003-2024</t>
        </is>
      </c>
      <c r="B407" s="1" t="n">
        <v>45527.56790509259</v>
      </c>
      <c r="C407" s="1" t="n">
        <v>46046</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15099-2025</t>
        </is>
      </c>
      <c r="B408" s="1" t="n">
        <v>45744.3434837963</v>
      </c>
      <c r="C408" s="1" t="n">
        <v>46046</v>
      </c>
      <c r="D408" t="inlineStr">
        <is>
          <t>VÄSTMANLANDS LÄN</t>
        </is>
      </c>
      <c r="E408" t="inlineStr">
        <is>
          <t>SALA</t>
        </is>
      </c>
      <c r="F408" t="inlineStr">
        <is>
          <t>Sveaskog</t>
        </is>
      </c>
      <c r="G408" t="n">
        <v>14.4</v>
      </c>
      <c r="H408" t="n">
        <v>0</v>
      </c>
      <c r="I408" t="n">
        <v>0</v>
      </c>
      <c r="J408" t="n">
        <v>0</v>
      </c>
      <c r="K408" t="n">
        <v>0</v>
      </c>
      <c r="L408" t="n">
        <v>0</v>
      </c>
      <c r="M408" t="n">
        <v>0</v>
      </c>
      <c r="N408" t="n">
        <v>0</v>
      </c>
      <c r="O408" t="n">
        <v>0</v>
      </c>
      <c r="P408" t="n">
        <v>0</v>
      </c>
      <c r="Q408" t="n">
        <v>0</v>
      </c>
      <c r="R408" s="2" t="inlineStr"/>
    </row>
    <row r="409" ht="15" customHeight="1">
      <c r="A409" t="inlineStr">
        <is>
          <t>A 56540-2024</t>
        </is>
      </c>
      <c r="B409" s="1" t="n">
        <v>45625</v>
      </c>
      <c r="C409" s="1" t="n">
        <v>46046</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6116-2023</t>
        </is>
      </c>
      <c r="B410" s="1" t="n">
        <v>44964</v>
      </c>
      <c r="C410" s="1" t="n">
        <v>46046</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60036-2024</t>
        </is>
      </c>
      <c r="B411" s="1" t="n">
        <v>45642.46434027778</v>
      </c>
      <c r="C411" s="1" t="n">
        <v>46046</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52827-2024</t>
        </is>
      </c>
      <c r="B412" s="1" t="n">
        <v>45610</v>
      </c>
      <c r="C412" s="1" t="n">
        <v>46046</v>
      </c>
      <c r="D412" t="inlineStr">
        <is>
          <t>VÄSTMANLANDS LÄN</t>
        </is>
      </c>
      <c r="E412" t="inlineStr">
        <is>
          <t>SALA</t>
        </is>
      </c>
      <c r="G412" t="n">
        <v>0.2</v>
      </c>
      <c r="H412" t="n">
        <v>0</v>
      </c>
      <c r="I412" t="n">
        <v>0</v>
      </c>
      <c r="J412" t="n">
        <v>0</v>
      </c>
      <c r="K412" t="n">
        <v>0</v>
      </c>
      <c r="L412" t="n">
        <v>0</v>
      </c>
      <c r="M412" t="n">
        <v>0</v>
      </c>
      <c r="N412" t="n">
        <v>0</v>
      </c>
      <c r="O412" t="n">
        <v>0</v>
      </c>
      <c r="P412" t="n">
        <v>0</v>
      </c>
      <c r="Q412" t="n">
        <v>0</v>
      </c>
      <c r="R412" s="2" t="inlineStr"/>
    </row>
    <row r="413" ht="15" customHeight="1">
      <c r="A413" t="inlineStr">
        <is>
          <t>A 29826-2025</t>
        </is>
      </c>
      <c r="B413" s="1" t="n">
        <v>45825.85761574074</v>
      </c>
      <c r="C413" s="1" t="n">
        <v>46046</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48688-2024</t>
        </is>
      </c>
      <c r="B414" s="1" t="n">
        <v>45593.50541666667</v>
      </c>
      <c r="C414" s="1" t="n">
        <v>46046</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15354-2021</t>
        </is>
      </c>
      <c r="B415" s="1" t="n">
        <v>44284</v>
      </c>
      <c r="C415" s="1" t="n">
        <v>46046</v>
      </c>
      <c r="D415" t="inlineStr">
        <is>
          <t>VÄSTMANLANDS LÄN</t>
        </is>
      </c>
      <c r="E415" t="inlineStr">
        <is>
          <t>SALA</t>
        </is>
      </c>
      <c r="F415" t="inlineStr">
        <is>
          <t>Kyrkan</t>
        </is>
      </c>
      <c r="G415" t="n">
        <v>8.5</v>
      </c>
      <c r="H415" t="n">
        <v>0</v>
      </c>
      <c r="I415" t="n">
        <v>0</v>
      </c>
      <c r="J415" t="n">
        <v>0</v>
      </c>
      <c r="K415" t="n">
        <v>0</v>
      </c>
      <c r="L415" t="n">
        <v>0</v>
      </c>
      <c r="M415" t="n">
        <v>0</v>
      </c>
      <c r="N415" t="n">
        <v>0</v>
      </c>
      <c r="O415" t="n">
        <v>0</v>
      </c>
      <c r="P415" t="n">
        <v>0</v>
      </c>
      <c r="Q415" t="n">
        <v>0</v>
      </c>
      <c r="R415" s="2" t="inlineStr"/>
    </row>
    <row r="416" ht="15" customHeight="1">
      <c r="A416" t="inlineStr">
        <is>
          <t>A 63933-2023</t>
        </is>
      </c>
      <c r="B416" s="1" t="n">
        <v>45278</v>
      </c>
      <c r="C416" s="1" t="n">
        <v>46046</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16328-2025</t>
        </is>
      </c>
      <c r="B417" s="1" t="n">
        <v>45751</v>
      </c>
      <c r="C417" s="1" t="n">
        <v>46046</v>
      </c>
      <c r="D417" t="inlineStr">
        <is>
          <t>VÄSTMANLANDS LÄN</t>
        </is>
      </c>
      <c r="E417" t="inlineStr">
        <is>
          <t>SALA</t>
        </is>
      </c>
      <c r="G417" t="n">
        <v>2.9</v>
      </c>
      <c r="H417" t="n">
        <v>0</v>
      </c>
      <c r="I417" t="n">
        <v>0</v>
      </c>
      <c r="J417" t="n">
        <v>0</v>
      </c>
      <c r="K417" t="n">
        <v>0</v>
      </c>
      <c r="L417" t="n">
        <v>0</v>
      </c>
      <c r="M417" t="n">
        <v>0</v>
      </c>
      <c r="N417" t="n">
        <v>0</v>
      </c>
      <c r="O417" t="n">
        <v>0</v>
      </c>
      <c r="P417" t="n">
        <v>0</v>
      </c>
      <c r="Q417" t="n">
        <v>0</v>
      </c>
      <c r="R417" s="2" t="inlineStr"/>
    </row>
    <row r="418" ht="15" customHeight="1">
      <c r="A418" t="inlineStr">
        <is>
          <t>A 44746-2024</t>
        </is>
      </c>
      <c r="B418" s="1" t="n">
        <v>45574.59813657407</v>
      </c>
      <c r="C418" s="1" t="n">
        <v>46046</v>
      </c>
      <c r="D418" t="inlineStr">
        <is>
          <t>VÄSTMANLANDS LÄN</t>
        </is>
      </c>
      <c r="E418" t="inlineStr">
        <is>
          <t>SALA</t>
        </is>
      </c>
      <c r="G418" t="n">
        <v>6.7</v>
      </c>
      <c r="H418" t="n">
        <v>0</v>
      </c>
      <c r="I418" t="n">
        <v>0</v>
      </c>
      <c r="J418" t="n">
        <v>0</v>
      </c>
      <c r="K418" t="n">
        <v>0</v>
      </c>
      <c r="L418" t="n">
        <v>0</v>
      </c>
      <c r="M418" t="n">
        <v>0</v>
      </c>
      <c r="N418" t="n">
        <v>0</v>
      </c>
      <c r="O418" t="n">
        <v>0</v>
      </c>
      <c r="P418" t="n">
        <v>0</v>
      </c>
      <c r="Q418" t="n">
        <v>0</v>
      </c>
      <c r="R418" s="2" t="inlineStr"/>
    </row>
    <row r="419" ht="15" customHeight="1">
      <c r="A419" t="inlineStr">
        <is>
          <t>A 33273-2023</t>
        </is>
      </c>
      <c r="B419" s="1" t="n">
        <v>45127</v>
      </c>
      <c r="C419" s="1" t="n">
        <v>46046</v>
      </c>
      <c r="D419" t="inlineStr">
        <is>
          <t>VÄSTMANLANDS LÄN</t>
        </is>
      </c>
      <c r="E419" t="inlineStr">
        <is>
          <t>SALA</t>
        </is>
      </c>
      <c r="G419" t="n">
        <v>2.6</v>
      </c>
      <c r="H419" t="n">
        <v>0</v>
      </c>
      <c r="I419" t="n">
        <v>0</v>
      </c>
      <c r="J419" t="n">
        <v>0</v>
      </c>
      <c r="K419" t="n">
        <v>0</v>
      </c>
      <c r="L419" t="n">
        <v>0</v>
      </c>
      <c r="M419" t="n">
        <v>0</v>
      </c>
      <c r="N419" t="n">
        <v>0</v>
      </c>
      <c r="O419" t="n">
        <v>0</v>
      </c>
      <c r="P419" t="n">
        <v>0</v>
      </c>
      <c r="Q419" t="n">
        <v>0</v>
      </c>
      <c r="R419" s="2" t="inlineStr"/>
    </row>
    <row r="420" ht="15" customHeight="1">
      <c r="A420" t="inlineStr">
        <is>
          <t>A 11696-2025</t>
        </is>
      </c>
      <c r="B420" s="1" t="n">
        <v>45727</v>
      </c>
      <c r="C420" s="1" t="n">
        <v>46046</v>
      </c>
      <c r="D420" t="inlineStr">
        <is>
          <t>VÄSTMANLANDS LÄN</t>
        </is>
      </c>
      <c r="E420" t="inlineStr">
        <is>
          <t>SALA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66908-2021</t>
        </is>
      </c>
      <c r="B421" s="1" t="n">
        <v>44522</v>
      </c>
      <c r="C421" s="1" t="n">
        <v>46046</v>
      </c>
      <c r="D421" t="inlineStr">
        <is>
          <t>VÄSTMANLANDS LÄN</t>
        </is>
      </c>
      <c r="E421" t="inlineStr">
        <is>
          <t>SALA</t>
        </is>
      </c>
      <c r="G421" t="n">
        <v>2.6</v>
      </c>
      <c r="H421" t="n">
        <v>0</v>
      </c>
      <c r="I421" t="n">
        <v>0</v>
      </c>
      <c r="J421" t="n">
        <v>0</v>
      </c>
      <c r="K421" t="n">
        <v>0</v>
      </c>
      <c r="L421" t="n">
        <v>0</v>
      </c>
      <c r="M421" t="n">
        <v>0</v>
      </c>
      <c r="N421" t="n">
        <v>0</v>
      </c>
      <c r="O421" t="n">
        <v>0</v>
      </c>
      <c r="P421" t="n">
        <v>0</v>
      </c>
      <c r="Q421" t="n">
        <v>0</v>
      </c>
      <c r="R421" s="2" t="inlineStr"/>
    </row>
    <row r="422" ht="15" customHeight="1">
      <c r="A422" t="inlineStr">
        <is>
          <t>A 25860-2024</t>
        </is>
      </c>
      <c r="B422" s="1" t="n">
        <v>45467.46278935186</v>
      </c>
      <c r="C422" s="1" t="n">
        <v>46046</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46046</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3810-2023</t>
        </is>
      </c>
      <c r="B424" s="1" t="n">
        <v>44951.60454861111</v>
      </c>
      <c r="C424" s="1" t="n">
        <v>46046</v>
      </c>
      <c r="D424" t="inlineStr">
        <is>
          <t>VÄSTMANLANDS LÄN</t>
        </is>
      </c>
      <c r="E424" t="inlineStr">
        <is>
          <t>SALA</t>
        </is>
      </c>
      <c r="G424" t="n">
        <v>4.2</v>
      </c>
      <c r="H424" t="n">
        <v>0</v>
      </c>
      <c r="I424" t="n">
        <v>0</v>
      </c>
      <c r="J424" t="n">
        <v>0</v>
      </c>
      <c r="K424" t="n">
        <v>0</v>
      </c>
      <c r="L424" t="n">
        <v>0</v>
      </c>
      <c r="M424" t="n">
        <v>0</v>
      </c>
      <c r="N424" t="n">
        <v>0</v>
      </c>
      <c r="O424" t="n">
        <v>0</v>
      </c>
      <c r="P424" t="n">
        <v>0</v>
      </c>
      <c r="Q424" t="n">
        <v>0</v>
      </c>
      <c r="R424" s="2" t="inlineStr"/>
    </row>
    <row r="425" ht="15" customHeight="1">
      <c r="A425" t="inlineStr">
        <is>
          <t>A 10154-2021</t>
        </is>
      </c>
      <c r="B425" s="1" t="n">
        <v>44256</v>
      </c>
      <c r="C425" s="1" t="n">
        <v>46046</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31608-2025</t>
        </is>
      </c>
      <c r="B426" s="1" t="n">
        <v>45833</v>
      </c>
      <c r="C426" s="1" t="n">
        <v>46046</v>
      </c>
      <c r="D426" t="inlineStr">
        <is>
          <t>VÄSTMANLANDS LÄN</t>
        </is>
      </c>
      <c r="E426" t="inlineStr">
        <is>
          <t>SALA</t>
        </is>
      </c>
      <c r="G426" t="n">
        <v>6.1</v>
      </c>
      <c r="H426" t="n">
        <v>0</v>
      </c>
      <c r="I426" t="n">
        <v>0</v>
      </c>
      <c r="J426" t="n">
        <v>0</v>
      </c>
      <c r="K426" t="n">
        <v>0</v>
      </c>
      <c r="L426" t="n">
        <v>0</v>
      </c>
      <c r="M426" t="n">
        <v>0</v>
      </c>
      <c r="N426" t="n">
        <v>0</v>
      </c>
      <c r="O426" t="n">
        <v>0</v>
      </c>
      <c r="P426" t="n">
        <v>0</v>
      </c>
      <c r="Q426" t="n">
        <v>0</v>
      </c>
      <c r="R426" s="2" t="inlineStr"/>
    </row>
    <row r="427" ht="15" customHeight="1">
      <c r="A427" t="inlineStr">
        <is>
          <t>A 60545-2024</t>
        </is>
      </c>
      <c r="B427" s="1" t="n">
        <v>45643</v>
      </c>
      <c r="C427" s="1" t="n">
        <v>46046</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60547-2024</t>
        </is>
      </c>
      <c r="B428" s="1" t="n">
        <v>45643</v>
      </c>
      <c r="C428" s="1" t="n">
        <v>46046</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30866-2025</t>
        </is>
      </c>
      <c r="B429" s="1" t="n">
        <v>45832.3246875</v>
      </c>
      <c r="C429" s="1" t="n">
        <v>46046</v>
      </c>
      <c r="D429" t="inlineStr">
        <is>
          <t>VÄSTMANLANDS LÄN</t>
        </is>
      </c>
      <c r="E429" t="inlineStr">
        <is>
          <t>SALA</t>
        </is>
      </c>
      <c r="G429" t="n">
        <v>14.3</v>
      </c>
      <c r="H429" t="n">
        <v>0</v>
      </c>
      <c r="I429" t="n">
        <v>0</v>
      </c>
      <c r="J429" t="n">
        <v>0</v>
      </c>
      <c r="K429" t="n">
        <v>0</v>
      </c>
      <c r="L429" t="n">
        <v>0</v>
      </c>
      <c r="M429" t="n">
        <v>0</v>
      </c>
      <c r="N429" t="n">
        <v>0</v>
      </c>
      <c r="O429" t="n">
        <v>0</v>
      </c>
      <c r="P429" t="n">
        <v>0</v>
      </c>
      <c r="Q429" t="n">
        <v>0</v>
      </c>
      <c r="R429" s="2" t="inlineStr"/>
    </row>
    <row r="430" ht="15" customHeight="1">
      <c r="A430" t="inlineStr">
        <is>
          <t>A 30874-2025</t>
        </is>
      </c>
      <c r="B430" s="1" t="n">
        <v>45832.34430555555</v>
      </c>
      <c r="C430" s="1" t="n">
        <v>46046</v>
      </c>
      <c r="D430" t="inlineStr">
        <is>
          <t>VÄSTMANLANDS LÄN</t>
        </is>
      </c>
      <c r="E430" t="inlineStr">
        <is>
          <t>SALA</t>
        </is>
      </c>
      <c r="G430" t="n">
        <v>8.4</v>
      </c>
      <c r="H430" t="n">
        <v>0</v>
      </c>
      <c r="I430" t="n">
        <v>0</v>
      </c>
      <c r="J430" t="n">
        <v>0</v>
      </c>
      <c r="K430" t="n">
        <v>0</v>
      </c>
      <c r="L430" t="n">
        <v>0</v>
      </c>
      <c r="M430" t="n">
        <v>0</v>
      </c>
      <c r="N430" t="n">
        <v>0</v>
      </c>
      <c r="O430" t="n">
        <v>0</v>
      </c>
      <c r="P430" t="n">
        <v>0</v>
      </c>
      <c r="Q430" t="n">
        <v>0</v>
      </c>
      <c r="R430" s="2" t="inlineStr"/>
    </row>
    <row r="431" ht="15" customHeight="1">
      <c r="A431" t="inlineStr">
        <is>
          <t>A 31573-2025</t>
        </is>
      </c>
      <c r="B431" s="1" t="n">
        <v>45833</v>
      </c>
      <c r="C431" s="1" t="n">
        <v>46046</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31288-2025</t>
        </is>
      </c>
      <c r="B432" s="1" t="n">
        <v>45833</v>
      </c>
      <c r="C432" s="1" t="n">
        <v>46046</v>
      </c>
      <c r="D432" t="inlineStr">
        <is>
          <t>VÄSTMANLANDS LÄN</t>
        </is>
      </c>
      <c r="E432" t="inlineStr">
        <is>
          <t>SALA</t>
        </is>
      </c>
      <c r="G432" t="n">
        <v>3.1</v>
      </c>
      <c r="H432" t="n">
        <v>0</v>
      </c>
      <c r="I432" t="n">
        <v>0</v>
      </c>
      <c r="J432" t="n">
        <v>0</v>
      </c>
      <c r="K432" t="n">
        <v>0</v>
      </c>
      <c r="L432" t="n">
        <v>0</v>
      </c>
      <c r="M432" t="n">
        <v>0</v>
      </c>
      <c r="N432" t="n">
        <v>0</v>
      </c>
      <c r="O432" t="n">
        <v>0</v>
      </c>
      <c r="P432" t="n">
        <v>0</v>
      </c>
      <c r="Q432" t="n">
        <v>0</v>
      </c>
      <c r="R432" s="2" t="inlineStr"/>
    </row>
    <row r="433" ht="15" customHeight="1">
      <c r="A433" t="inlineStr">
        <is>
          <t>A 31554-2025</t>
        </is>
      </c>
      <c r="B433" s="1" t="n">
        <v>45833</v>
      </c>
      <c r="C433" s="1" t="n">
        <v>46046</v>
      </c>
      <c r="D433" t="inlineStr">
        <is>
          <t>VÄSTMANLANDS LÄN</t>
        </is>
      </c>
      <c r="E433" t="inlineStr">
        <is>
          <t>SALA</t>
        </is>
      </c>
      <c r="G433" t="n">
        <v>1.5</v>
      </c>
      <c r="H433" t="n">
        <v>0</v>
      </c>
      <c r="I433" t="n">
        <v>0</v>
      </c>
      <c r="J433" t="n">
        <v>0</v>
      </c>
      <c r="K433" t="n">
        <v>0</v>
      </c>
      <c r="L433" t="n">
        <v>0</v>
      </c>
      <c r="M433" t="n">
        <v>0</v>
      </c>
      <c r="N433" t="n">
        <v>0</v>
      </c>
      <c r="O433" t="n">
        <v>0</v>
      </c>
      <c r="P433" t="n">
        <v>0</v>
      </c>
      <c r="Q433" t="n">
        <v>0</v>
      </c>
      <c r="R433" s="2" t="inlineStr"/>
    </row>
    <row r="434" ht="15" customHeight="1">
      <c r="A434" t="inlineStr">
        <is>
          <t>A 30899-2025</t>
        </is>
      </c>
      <c r="B434" s="1" t="n">
        <v>45832.35767361111</v>
      </c>
      <c r="C434" s="1" t="n">
        <v>46046</v>
      </c>
      <c r="D434" t="inlineStr">
        <is>
          <t>VÄSTMANLANDS LÄN</t>
        </is>
      </c>
      <c r="E434" t="inlineStr">
        <is>
          <t>SALA</t>
        </is>
      </c>
      <c r="G434" t="n">
        <v>3.1</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46046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27261-2024</t>
        </is>
      </c>
      <c r="B436" s="1" t="n">
        <v>45471</v>
      </c>
      <c r="C436" s="1" t="n">
        <v>46046</v>
      </c>
      <c r="D436" t="inlineStr">
        <is>
          <t>VÄSTMANLANDS LÄN</t>
        </is>
      </c>
      <c r="E436" t="inlineStr">
        <is>
          <t>SALA</t>
        </is>
      </c>
      <c r="G436" t="n">
        <v>6.1</v>
      </c>
      <c r="H436" t="n">
        <v>0</v>
      </c>
      <c r="I436" t="n">
        <v>0</v>
      </c>
      <c r="J436" t="n">
        <v>0</v>
      </c>
      <c r="K436" t="n">
        <v>0</v>
      </c>
      <c r="L436" t="n">
        <v>0</v>
      </c>
      <c r="M436" t="n">
        <v>0</v>
      </c>
      <c r="N436" t="n">
        <v>0</v>
      </c>
      <c r="O436" t="n">
        <v>0</v>
      </c>
      <c r="P436" t="n">
        <v>0</v>
      </c>
      <c r="Q436" t="n">
        <v>0</v>
      </c>
      <c r="R436" s="2" t="inlineStr"/>
    </row>
    <row r="437" ht="15" customHeight="1">
      <c r="A437" t="inlineStr">
        <is>
          <t>A 31065-2025</t>
        </is>
      </c>
      <c r="B437" s="1" t="n">
        <v>45832.57571759259</v>
      </c>
      <c r="C437" s="1" t="n">
        <v>46046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56916-2022</t>
        </is>
      </c>
      <c r="B438" s="1" t="n">
        <v>44888</v>
      </c>
      <c r="C438" s="1" t="n">
        <v>46046</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12252-2023</t>
        </is>
      </c>
      <c r="B439" s="1" t="n">
        <v>44995</v>
      </c>
      <c r="C439" s="1" t="n">
        <v>46046</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31296-2025</t>
        </is>
      </c>
      <c r="B440" s="1" t="n">
        <v>45833.36765046296</v>
      </c>
      <c r="C440" s="1" t="n">
        <v>46046</v>
      </c>
      <c r="D440" t="inlineStr">
        <is>
          <t>VÄSTMANLANDS LÄN</t>
        </is>
      </c>
      <c r="E440" t="inlineStr">
        <is>
          <t>SALA</t>
        </is>
      </c>
      <c r="G440" t="n">
        <v>3.7</v>
      </c>
      <c r="H440" t="n">
        <v>0</v>
      </c>
      <c r="I440" t="n">
        <v>0</v>
      </c>
      <c r="J440" t="n">
        <v>0</v>
      </c>
      <c r="K440" t="n">
        <v>0</v>
      </c>
      <c r="L440" t="n">
        <v>0</v>
      </c>
      <c r="M440" t="n">
        <v>0</v>
      </c>
      <c r="N440" t="n">
        <v>0</v>
      </c>
      <c r="O440" t="n">
        <v>0</v>
      </c>
      <c r="P440" t="n">
        <v>0</v>
      </c>
      <c r="Q440" t="n">
        <v>0</v>
      </c>
      <c r="R440" s="2" t="inlineStr"/>
    </row>
    <row r="441" ht="15" customHeight="1">
      <c r="A441" t="inlineStr">
        <is>
          <t>A 35976-2024</t>
        </is>
      </c>
      <c r="B441" s="1" t="n">
        <v>45533.49555555556</v>
      </c>
      <c r="C441" s="1" t="n">
        <v>46046</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31748-2025</t>
        </is>
      </c>
      <c r="B442" s="1" t="n">
        <v>45834</v>
      </c>
      <c r="C442" s="1" t="n">
        <v>46046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32210-2025</t>
        </is>
      </c>
      <c r="B443" s="1" t="n">
        <v>45835</v>
      </c>
      <c r="C443" s="1" t="n">
        <v>46046</v>
      </c>
      <c r="D443" t="inlineStr">
        <is>
          <t>VÄSTMANLANDS LÄN</t>
        </is>
      </c>
      <c r="E443" t="inlineStr">
        <is>
          <t>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55556-2023</t>
        </is>
      </c>
      <c r="B444" s="1" t="n">
        <v>45232</v>
      </c>
      <c r="C444" s="1" t="n">
        <v>46046</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57650-2024</t>
        </is>
      </c>
      <c r="B445" s="1" t="n">
        <v>45630</v>
      </c>
      <c r="C445" s="1" t="n">
        <v>46046</v>
      </c>
      <c r="D445" t="inlineStr">
        <is>
          <t>VÄSTMANLANDS LÄN</t>
        </is>
      </c>
      <c r="E445" t="inlineStr">
        <is>
          <t>SALA</t>
        </is>
      </c>
      <c r="G445" t="n">
        <v>0.6</v>
      </c>
      <c r="H445" t="n">
        <v>0</v>
      </c>
      <c r="I445" t="n">
        <v>0</v>
      </c>
      <c r="J445" t="n">
        <v>0</v>
      </c>
      <c r="K445" t="n">
        <v>0</v>
      </c>
      <c r="L445" t="n">
        <v>0</v>
      </c>
      <c r="M445" t="n">
        <v>0</v>
      </c>
      <c r="N445" t="n">
        <v>0</v>
      </c>
      <c r="O445" t="n">
        <v>0</v>
      </c>
      <c r="P445" t="n">
        <v>0</v>
      </c>
      <c r="Q445" t="n">
        <v>0</v>
      </c>
      <c r="R445" s="2" t="inlineStr"/>
    </row>
    <row r="446" ht="15" customHeight="1">
      <c r="A446" t="inlineStr">
        <is>
          <t>A 50479-2022</t>
        </is>
      </c>
      <c r="B446" s="1" t="n">
        <v>44861</v>
      </c>
      <c r="C446" s="1" t="n">
        <v>46046</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31610-2025</t>
        </is>
      </c>
      <c r="B447" s="1" t="n">
        <v>45833.78650462963</v>
      </c>
      <c r="C447" s="1" t="n">
        <v>46046</v>
      </c>
      <c r="D447" t="inlineStr">
        <is>
          <t>VÄSTMANLANDS LÄN</t>
        </is>
      </c>
      <c r="E447" t="inlineStr">
        <is>
          <t>SALA</t>
        </is>
      </c>
      <c r="G447" t="n">
        <v>8</v>
      </c>
      <c r="H447" t="n">
        <v>0</v>
      </c>
      <c r="I447" t="n">
        <v>0</v>
      </c>
      <c r="J447" t="n">
        <v>0</v>
      </c>
      <c r="K447" t="n">
        <v>0</v>
      </c>
      <c r="L447" t="n">
        <v>0</v>
      </c>
      <c r="M447" t="n">
        <v>0</v>
      </c>
      <c r="N447" t="n">
        <v>0</v>
      </c>
      <c r="O447" t="n">
        <v>0</v>
      </c>
      <c r="P447" t="n">
        <v>0</v>
      </c>
      <c r="Q447" t="n">
        <v>0</v>
      </c>
      <c r="R447" s="2" t="inlineStr"/>
    </row>
    <row r="448" ht="15" customHeight="1">
      <c r="A448" t="inlineStr">
        <is>
          <t>A 32201-2025</t>
        </is>
      </c>
      <c r="B448" s="1" t="n">
        <v>45835</v>
      </c>
      <c r="C448" s="1" t="n">
        <v>46046</v>
      </c>
      <c r="D448" t="inlineStr">
        <is>
          <t>VÄSTMANLANDS LÄN</t>
        </is>
      </c>
      <c r="E448" t="inlineStr">
        <is>
          <t>SALA</t>
        </is>
      </c>
      <c r="F448" t="inlineStr">
        <is>
          <t>Bergvik skog öst AB</t>
        </is>
      </c>
      <c r="G448" t="n">
        <v>1.8</v>
      </c>
      <c r="H448" t="n">
        <v>0</v>
      </c>
      <c r="I448" t="n">
        <v>0</v>
      </c>
      <c r="J448" t="n">
        <v>0</v>
      </c>
      <c r="K448" t="n">
        <v>0</v>
      </c>
      <c r="L448" t="n">
        <v>0</v>
      </c>
      <c r="M448" t="n">
        <v>0</v>
      </c>
      <c r="N448" t="n">
        <v>0</v>
      </c>
      <c r="O448" t="n">
        <v>0</v>
      </c>
      <c r="P448" t="n">
        <v>0</v>
      </c>
      <c r="Q448" t="n">
        <v>0</v>
      </c>
      <c r="R448" s="2" t="inlineStr"/>
    </row>
    <row r="449" ht="15" customHeight="1">
      <c r="A449" t="inlineStr">
        <is>
          <t>A 31612-2025</t>
        </is>
      </c>
      <c r="B449" s="1" t="n">
        <v>45833.80056712963</v>
      </c>
      <c r="C449" s="1" t="n">
        <v>46046</v>
      </c>
      <c r="D449" t="inlineStr">
        <is>
          <t>VÄSTMANLANDS LÄN</t>
        </is>
      </c>
      <c r="E449" t="inlineStr">
        <is>
          <t>SALA</t>
        </is>
      </c>
      <c r="G449" t="n">
        <v>6.3</v>
      </c>
      <c r="H449" t="n">
        <v>0</v>
      </c>
      <c r="I449" t="n">
        <v>0</v>
      </c>
      <c r="J449" t="n">
        <v>0</v>
      </c>
      <c r="K449" t="n">
        <v>0</v>
      </c>
      <c r="L449" t="n">
        <v>0</v>
      </c>
      <c r="M449" t="n">
        <v>0</v>
      </c>
      <c r="N449" t="n">
        <v>0</v>
      </c>
      <c r="O449" t="n">
        <v>0</v>
      </c>
      <c r="P449" t="n">
        <v>0</v>
      </c>
      <c r="Q449" t="n">
        <v>0</v>
      </c>
      <c r="R449" s="2" t="inlineStr"/>
    </row>
    <row r="450" ht="15" customHeight="1">
      <c r="A450" t="inlineStr">
        <is>
          <t>A 25260-2023</t>
        </is>
      </c>
      <c r="B450" s="1" t="n">
        <v>45086</v>
      </c>
      <c r="C450" s="1" t="n">
        <v>46046</v>
      </c>
      <c r="D450" t="inlineStr">
        <is>
          <t>VÄSTMANLANDS LÄN</t>
        </is>
      </c>
      <c r="E450" t="inlineStr">
        <is>
          <t>SALA</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45790-2023</t>
        </is>
      </c>
      <c r="B451" s="1" t="n">
        <v>45195.45958333334</v>
      </c>
      <c r="C451" s="1" t="n">
        <v>46046</v>
      </c>
      <c r="D451" t="inlineStr">
        <is>
          <t>VÄSTMANLANDS LÄN</t>
        </is>
      </c>
      <c r="E451" t="inlineStr">
        <is>
          <t>SALA</t>
        </is>
      </c>
      <c r="G451" t="n">
        <v>5.7</v>
      </c>
      <c r="H451" t="n">
        <v>0</v>
      </c>
      <c r="I451" t="n">
        <v>0</v>
      </c>
      <c r="J451" t="n">
        <v>0</v>
      </c>
      <c r="K451" t="n">
        <v>0</v>
      </c>
      <c r="L451" t="n">
        <v>0</v>
      </c>
      <c r="M451" t="n">
        <v>0</v>
      </c>
      <c r="N451" t="n">
        <v>0</v>
      </c>
      <c r="O451" t="n">
        <v>0</v>
      </c>
      <c r="P451" t="n">
        <v>0</v>
      </c>
      <c r="Q451" t="n">
        <v>0</v>
      </c>
      <c r="R451" s="2" t="inlineStr"/>
    </row>
    <row r="452" ht="15" customHeight="1">
      <c r="A452" t="inlineStr">
        <is>
          <t>A 32207-2025</t>
        </is>
      </c>
      <c r="B452" s="1" t="n">
        <v>45835</v>
      </c>
      <c r="C452" s="1" t="n">
        <v>46046</v>
      </c>
      <c r="D452" t="inlineStr">
        <is>
          <t>VÄSTMANLANDS LÄN</t>
        </is>
      </c>
      <c r="E452" t="inlineStr">
        <is>
          <t>SALA</t>
        </is>
      </c>
      <c r="F452" t="inlineStr">
        <is>
          <t>Bergvik skog öst AB</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31762-2025</t>
        </is>
      </c>
      <c r="B453" s="1" t="n">
        <v>45834.49288194445</v>
      </c>
      <c r="C453" s="1" t="n">
        <v>46046</v>
      </c>
      <c r="D453" t="inlineStr">
        <is>
          <t>VÄSTMANLANDS LÄN</t>
        </is>
      </c>
      <c r="E453" t="inlineStr">
        <is>
          <t>SALA</t>
        </is>
      </c>
      <c r="G453" t="n">
        <v>5.9</v>
      </c>
      <c r="H453" t="n">
        <v>0</v>
      </c>
      <c r="I453" t="n">
        <v>0</v>
      </c>
      <c r="J453" t="n">
        <v>0</v>
      </c>
      <c r="K453" t="n">
        <v>0</v>
      </c>
      <c r="L453" t="n">
        <v>0</v>
      </c>
      <c r="M453" t="n">
        <v>0</v>
      </c>
      <c r="N453" t="n">
        <v>0</v>
      </c>
      <c r="O453" t="n">
        <v>0</v>
      </c>
      <c r="P453" t="n">
        <v>0</v>
      </c>
      <c r="Q453" t="n">
        <v>0</v>
      </c>
      <c r="R453" s="2" t="inlineStr"/>
    </row>
    <row r="454" ht="15" customHeight="1">
      <c r="A454" t="inlineStr">
        <is>
          <t>A 31771-2025</t>
        </is>
      </c>
      <c r="B454" s="1" t="n">
        <v>45834.50910879629</v>
      </c>
      <c r="C454" s="1" t="n">
        <v>46046</v>
      </c>
      <c r="D454" t="inlineStr">
        <is>
          <t>VÄSTMANLANDS LÄN</t>
        </is>
      </c>
      <c r="E454" t="inlineStr">
        <is>
          <t>SALA</t>
        </is>
      </c>
      <c r="G454" t="n">
        <v>5.1</v>
      </c>
      <c r="H454" t="n">
        <v>0</v>
      </c>
      <c r="I454" t="n">
        <v>0</v>
      </c>
      <c r="J454" t="n">
        <v>0</v>
      </c>
      <c r="K454" t="n">
        <v>0</v>
      </c>
      <c r="L454" t="n">
        <v>0</v>
      </c>
      <c r="M454" t="n">
        <v>0</v>
      </c>
      <c r="N454" t="n">
        <v>0</v>
      </c>
      <c r="O454" t="n">
        <v>0</v>
      </c>
      <c r="P454" t="n">
        <v>0</v>
      </c>
      <c r="Q454" t="n">
        <v>0</v>
      </c>
      <c r="R454" s="2" t="inlineStr"/>
    </row>
    <row r="455" ht="15" customHeight="1">
      <c r="A455" t="inlineStr">
        <is>
          <t>A 32205-2025</t>
        </is>
      </c>
      <c r="B455" s="1" t="n">
        <v>45835</v>
      </c>
      <c r="C455" s="1" t="n">
        <v>46046</v>
      </c>
      <c r="D455" t="inlineStr">
        <is>
          <t>VÄSTMANLANDS LÄN</t>
        </is>
      </c>
      <c r="E455" t="inlineStr">
        <is>
          <t>SALA</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32286-2025</t>
        </is>
      </c>
      <c r="B456" s="1" t="n">
        <v>45835</v>
      </c>
      <c r="C456" s="1" t="n">
        <v>46046</v>
      </c>
      <c r="D456" t="inlineStr">
        <is>
          <t>VÄSTMANLANDS LÄN</t>
        </is>
      </c>
      <c r="E456" t="inlineStr">
        <is>
          <t>SALA</t>
        </is>
      </c>
      <c r="G456" t="n">
        <v>6.4</v>
      </c>
      <c r="H456" t="n">
        <v>0</v>
      </c>
      <c r="I456" t="n">
        <v>0</v>
      </c>
      <c r="J456" t="n">
        <v>0</v>
      </c>
      <c r="K456" t="n">
        <v>0</v>
      </c>
      <c r="L456" t="n">
        <v>0</v>
      </c>
      <c r="M456" t="n">
        <v>0</v>
      </c>
      <c r="N456" t="n">
        <v>0</v>
      </c>
      <c r="O456" t="n">
        <v>0</v>
      </c>
      <c r="P456" t="n">
        <v>0</v>
      </c>
      <c r="Q456" t="n">
        <v>0</v>
      </c>
      <c r="R456" s="2" t="inlineStr"/>
    </row>
    <row r="457" ht="15" customHeight="1">
      <c r="A457" t="inlineStr">
        <is>
          <t>A 57404-2024</t>
        </is>
      </c>
      <c r="B457" s="1" t="n">
        <v>45629.71967592592</v>
      </c>
      <c r="C457" s="1" t="n">
        <v>46046</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13128-2023</t>
        </is>
      </c>
      <c r="B458" s="1" t="n">
        <v>45002</v>
      </c>
      <c r="C458" s="1" t="n">
        <v>46046</v>
      </c>
      <c r="D458" t="inlineStr">
        <is>
          <t>VÄSTMANLANDS LÄN</t>
        </is>
      </c>
      <c r="E458" t="inlineStr">
        <is>
          <t>SALA</t>
        </is>
      </c>
      <c r="G458" t="n">
        <v>7.9</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46046</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2928-2024</t>
        </is>
      </c>
      <c r="B460" s="1" t="n">
        <v>45315.59041666667</v>
      </c>
      <c r="C460" s="1" t="n">
        <v>46046</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73673-2021</t>
        </is>
      </c>
      <c r="B461" s="1" t="n">
        <v>44552.46501157407</v>
      </c>
      <c r="C461" s="1" t="n">
        <v>46046</v>
      </c>
      <c r="D461" t="inlineStr">
        <is>
          <t>VÄSTMANLANDS LÄN</t>
        </is>
      </c>
      <c r="E461" t="inlineStr">
        <is>
          <t>SALA</t>
        </is>
      </c>
      <c r="G461" t="n">
        <v>11.4</v>
      </c>
      <c r="H461" t="n">
        <v>0</v>
      </c>
      <c r="I461" t="n">
        <v>0</v>
      </c>
      <c r="J461" t="n">
        <v>0</v>
      </c>
      <c r="K461" t="n">
        <v>0</v>
      </c>
      <c r="L461" t="n">
        <v>0</v>
      </c>
      <c r="M461" t="n">
        <v>0</v>
      </c>
      <c r="N461" t="n">
        <v>0</v>
      </c>
      <c r="O461" t="n">
        <v>0</v>
      </c>
      <c r="P461" t="n">
        <v>0</v>
      </c>
      <c r="Q461" t="n">
        <v>0</v>
      </c>
      <c r="R461" s="2" t="inlineStr"/>
    </row>
    <row r="462" ht="15" customHeight="1">
      <c r="A462" t="inlineStr">
        <is>
          <t>A 71471-2021</t>
        </is>
      </c>
      <c r="B462" s="1" t="n">
        <v>44540.53421296296</v>
      </c>
      <c r="C462" s="1" t="n">
        <v>46046</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40871-2021</t>
        </is>
      </c>
      <c r="B463" s="1" t="n">
        <v>44421</v>
      </c>
      <c r="C463" s="1" t="n">
        <v>46046</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14271-2025</t>
        </is>
      </c>
      <c r="B464" s="1" t="n">
        <v>45740.64129629629</v>
      </c>
      <c r="C464" s="1" t="n">
        <v>46046</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24864-2024</t>
        </is>
      </c>
      <c r="B465" s="1" t="n">
        <v>45461.48888888889</v>
      </c>
      <c r="C465" s="1" t="n">
        <v>46046</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13987-2023</t>
        </is>
      </c>
      <c r="B466" s="1" t="n">
        <v>45007</v>
      </c>
      <c r="C466" s="1" t="n">
        <v>46046</v>
      </c>
      <c r="D466" t="inlineStr">
        <is>
          <t>VÄSTMANLANDS LÄN</t>
        </is>
      </c>
      <c r="E466" t="inlineStr">
        <is>
          <t>SALA</t>
        </is>
      </c>
      <c r="G466" t="n">
        <v>3.2</v>
      </c>
      <c r="H466" t="n">
        <v>0</v>
      </c>
      <c r="I466" t="n">
        <v>0</v>
      </c>
      <c r="J466" t="n">
        <v>0</v>
      </c>
      <c r="K466" t="n">
        <v>0</v>
      </c>
      <c r="L466" t="n">
        <v>0</v>
      </c>
      <c r="M466" t="n">
        <v>0</v>
      </c>
      <c r="N466" t="n">
        <v>0</v>
      </c>
      <c r="O466" t="n">
        <v>0</v>
      </c>
      <c r="P466" t="n">
        <v>0</v>
      </c>
      <c r="Q466" t="n">
        <v>0</v>
      </c>
      <c r="R466" s="2" t="inlineStr"/>
    </row>
    <row r="467" ht="15" customHeight="1">
      <c r="A467" t="inlineStr">
        <is>
          <t>A 13990-2023</t>
        </is>
      </c>
      <c r="B467" s="1" t="n">
        <v>45007</v>
      </c>
      <c r="C467" s="1" t="n">
        <v>46046</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54199-2024</t>
        </is>
      </c>
      <c r="B468" s="1" t="n">
        <v>45616.64703703704</v>
      </c>
      <c r="C468" s="1" t="n">
        <v>46046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24755-2021</t>
        </is>
      </c>
      <c r="B469" s="1" t="n">
        <v>44340</v>
      </c>
      <c r="C469" s="1" t="n">
        <v>46046</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6312-2025</t>
        </is>
      </c>
      <c r="B470" s="1" t="n">
        <v>45698</v>
      </c>
      <c r="C470" s="1" t="n">
        <v>46046</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44857-2023</t>
        </is>
      </c>
      <c r="B471" s="1" t="n">
        <v>45190.58479166667</v>
      </c>
      <c r="C471" s="1" t="n">
        <v>46046</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34069-2025</t>
        </is>
      </c>
      <c r="B472" s="1" t="n">
        <v>45845.43560185185</v>
      </c>
      <c r="C472" s="1" t="n">
        <v>46046</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c r="U472">
        <f>HYPERLINK("https://klasma.github.io/Logging_1981/knärot/A 34069-2025 karta knärot.png", "A 34069-2025")</f>
        <v/>
      </c>
      <c r="V472">
        <f>HYPERLINK("https://klasma.github.io/Logging_1981/klagomål/A 34069-2025 FSC-klagomål.docx", "A 34069-2025")</f>
        <v/>
      </c>
      <c r="W472">
        <f>HYPERLINK("https://klasma.github.io/Logging_1981/klagomålsmail/A 34069-2025 FSC-klagomål mail.docx", "A 34069-2025")</f>
        <v/>
      </c>
      <c r="X472">
        <f>HYPERLINK("https://klasma.github.io/Logging_1981/tillsyn/A 34069-2025 tillsynsbegäran.docx", "A 34069-2025")</f>
        <v/>
      </c>
      <c r="Y472">
        <f>HYPERLINK("https://klasma.github.io/Logging_1981/tillsynsmail/A 34069-2025 tillsynsbegäran mail.docx", "A 34069-2025")</f>
        <v/>
      </c>
    </row>
    <row r="473" ht="15" customHeight="1">
      <c r="A473" t="inlineStr">
        <is>
          <t>A 62654-2022</t>
        </is>
      </c>
      <c r="B473" s="1" t="n">
        <v>44917</v>
      </c>
      <c r="C473" s="1" t="n">
        <v>46046</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43188-2023</t>
        </is>
      </c>
      <c r="B474" s="1" t="n">
        <v>45183</v>
      </c>
      <c r="C474" s="1" t="n">
        <v>46046</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43205-2023</t>
        </is>
      </c>
      <c r="B475" s="1" t="n">
        <v>45183</v>
      </c>
      <c r="C475" s="1" t="n">
        <v>46046</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61892-2021</t>
        </is>
      </c>
      <c r="B476" s="1" t="n">
        <v>44502</v>
      </c>
      <c r="C476" s="1" t="n">
        <v>46046</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29213-2022</t>
        </is>
      </c>
      <c r="B477" s="1" t="n">
        <v>44750.57474537037</v>
      </c>
      <c r="C477" s="1" t="n">
        <v>46046</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59483-2022</t>
        </is>
      </c>
      <c r="B478" s="1" t="n">
        <v>44907.45679398148</v>
      </c>
      <c r="C478" s="1" t="n">
        <v>46046</v>
      </c>
      <c r="D478" t="inlineStr">
        <is>
          <t>VÄSTMANLANDS LÄN</t>
        </is>
      </c>
      <c r="E478" t="inlineStr">
        <is>
          <t>SALA</t>
        </is>
      </c>
      <c r="G478" t="n">
        <v>5.2</v>
      </c>
      <c r="H478" t="n">
        <v>0</v>
      </c>
      <c r="I478" t="n">
        <v>0</v>
      </c>
      <c r="J478" t="n">
        <v>0</v>
      </c>
      <c r="K478" t="n">
        <v>0</v>
      </c>
      <c r="L478" t="n">
        <v>0</v>
      </c>
      <c r="M478" t="n">
        <v>0</v>
      </c>
      <c r="N478" t="n">
        <v>0</v>
      </c>
      <c r="O478" t="n">
        <v>0</v>
      </c>
      <c r="P478" t="n">
        <v>0</v>
      </c>
      <c r="Q478" t="n">
        <v>0</v>
      </c>
      <c r="R478" s="2" t="inlineStr"/>
    </row>
    <row r="479" ht="15" customHeight="1">
      <c r="A479" t="inlineStr">
        <is>
          <t>A 15744-2025</t>
        </is>
      </c>
      <c r="B479" s="1" t="n">
        <v>45748</v>
      </c>
      <c r="C479" s="1" t="n">
        <v>46046</v>
      </c>
      <c r="D479" t="inlineStr">
        <is>
          <t>VÄSTMANLANDS LÄN</t>
        </is>
      </c>
      <c r="E479" t="inlineStr">
        <is>
          <t>SALA</t>
        </is>
      </c>
      <c r="G479" t="n">
        <v>1.6</v>
      </c>
      <c r="H479" t="n">
        <v>0</v>
      </c>
      <c r="I479" t="n">
        <v>0</v>
      </c>
      <c r="J479" t="n">
        <v>0</v>
      </c>
      <c r="K479" t="n">
        <v>0</v>
      </c>
      <c r="L479" t="n">
        <v>0</v>
      </c>
      <c r="M479" t="n">
        <v>0</v>
      </c>
      <c r="N479" t="n">
        <v>0</v>
      </c>
      <c r="O479" t="n">
        <v>0</v>
      </c>
      <c r="P479" t="n">
        <v>0</v>
      </c>
      <c r="Q479" t="n">
        <v>0</v>
      </c>
      <c r="R479" s="2" t="inlineStr"/>
    </row>
    <row r="480" ht="15" customHeight="1">
      <c r="A480" t="inlineStr">
        <is>
          <t>A 16160-2024</t>
        </is>
      </c>
      <c r="B480" s="1" t="n">
        <v>45406</v>
      </c>
      <c r="C480" s="1" t="n">
        <v>46046</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28696-2023</t>
        </is>
      </c>
      <c r="B481" s="1" t="n">
        <v>45103.71759259259</v>
      </c>
      <c r="C481" s="1" t="n">
        <v>46046</v>
      </c>
      <c r="D481" t="inlineStr">
        <is>
          <t>VÄSTMANLANDS LÄN</t>
        </is>
      </c>
      <c r="E481" t="inlineStr">
        <is>
          <t>SALA</t>
        </is>
      </c>
      <c r="F481" t="inlineStr">
        <is>
          <t>Kommuner</t>
        </is>
      </c>
      <c r="G481" t="n">
        <v>5.9</v>
      </c>
      <c r="H481" t="n">
        <v>0</v>
      </c>
      <c r="I481" t="n">
        <v>0</v>
      </c>
      <c r="J481" t="n">
        <v>0</v>
      </c>
      <c r="K481" t="n">
        <v>0</v>
      </c>
      <c r="L481" t="n">
        <v>0</v>
      </c>
      <c r="M481" t="n">
        <v>0</v>
      </c>
      <c r="N481" t="n">
        <v>0</v>
      </c>
      <c r="O481" t="n">
        <v>0</v>
      </c>
      <c r="P481" t="n">
        <v>0</v>
      </c>
      <c r="Q481" t="n">
        <v>0</v>
      </c>
      <c r="R481" s="2" t="inlineStr"/>
    </row>
    <row r="482" ht="15" customHeight="1">
      <c r="A482" t="inlineStr">
        <is>
          <t>A 1993-2022</t>
        </is>
      </c>
      <c r="B482" s="1" t="n">
        <v>44575</v>
      </c>
      <c r="C482" s="1" t="n">
        <v>46046</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6691-2025</t>
        </is>
      </c>
      <c r="B483" s="1" t="n">
        <v>45700.50625</v>
      </c>
      <c r="C483" s="1" t="n">
        <v>46046</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17051-2025</t>
        </is>
      </c>
      <c r="B484" s="1" t="n">
        <v>45755</v>
      </c>
      <c r="C484" s="1" t="n">
        <v>46046</v>
      </c>
      <c r="D484" t="inlineStr">
        <is>
          <t>VÄSTMANLANDS LÄN</t>
        </is>
      </c>
      <c r="E484" t="inlineStr">
        <is>
          <t>SALA</t>
        </is>
      </c>
      <c r="G484" t="n">
        <v>2.9</v>
      </c>
      <c r="H484" t="n">
        <v>0</v>
      </c>
      <c r="I484" t="n">
        <v>0</v>
      </c>
      <c r="J484" t="n">
        <v>0</v>
      </c>
      <c r="K484" t="n">
        <v>0</v>
      </c>
      <c r="L484" t="n">
        <v>0</v>
      </c>
      <c r="M484" t="n">
        <v>0</v>
      </c>
      <c r="N484" t="n">
        <v>0</v>
      </c>
      <c r="O484" t="n">
        <v>0</v>
      </c>
      <c r="P484" t="n">
        <v>0</v>
      </c>
      <c r="Q484" t="n">
        <v>0</v>
      </c>
      <c r="R484" s="2" t="inlineStr"/>
    </row>
    <row r="485" ht="15" customHeight="1">
      <c r="A485" t="inlineStr">
        <is>
          <t>A 1934-2023</t>
        </is>
      </c>
      <c r="B485" s="1" t="n">
        <v>44939.43024305555</v>
      </c>
      <c r="C485" s="1" t="n">
        <v>46046</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35519-2024</t>
        </is>
      </c>
      <c r="B486" s="1" t="n">
        <v>45531</v>
      </c>
      <c r="C486" s="1" t="n">
        <v>46046</v>
      </c>
      <c r="D486" t="inlineStr">
        <is>
          <t>VÄSTMANLANDS LÄN</t>
        </is>
      </c>
      <c r="E486" t="inlineStr">
        <is>
          <t>SALA</t>
        </is>
      </c>
      <c r="G486" t="n">
        <v>1.8</v>
      </c>
      <c r="H486" t="n">
        <v>0</v>
      </c>
      <c r="I486" t="n">
        <v>0</v>
      </c>
      <c r="J486" t="n">
        <v>0</v>
      </c>
      <c r="K486" t="n">
        <v>0</v>
      </c>
      <c r="L486" t="n">
        <v>0</v>
      </c>
      <c r="M486" t="n">
        <v>0</v>
      </c>
      <c r="N486" t="n">
        <v>0</v>
      </c>
      <c r="O486" t="n">
        <v>0</v>
      </c>
      <c r="P486" t="n">
        <v>0</v>
      </c>
      <c r="Q486" t="n">
        <v>0</v>
      </c>
      <c r="R486" s="2" t="inlineStr"/>
    </row>
    <row r="487" ht="15" customHeight="1">
      <c r="A487" t="inlineStr">
        <is>
          <t>A 43509-2021</t>
        </is>
      </c>
      <c r="B487" s="1" t="n">
        <v>44433</v>
      </c>
      <c r="C487" s="1" t="n">
        <v>46046</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39597-2022</t>
        </is>
      </c>
      <c r="B488" s="1" t="n">
        <v>44818</v>
      </c>
      <c r="C488" s="1" t="n">
        <v>46046</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54959-2024</t>
        </is>
      </c>
      <c r="B489" s="1" t="n">
        <v>45619</v>
      </c>
      <c r="C489" s="1" t="n">
        <v>46046</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22921-2023</t>
        </is>
      </c>
      <c r="B490" s="1" t="n">
        <v>45070</v>
      </c>
      <c r="C490" s="1" t="n">
        <v>46046</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56964-2023</t>
        </is>
      </c>
      <c r="B491" s="1" t="n">
        <v>45244.63140046296</v>
      </c>
      <c r="C491" s="1" t="n">
        <v>46046</v>
      </c>
      <c r="D491" t="inlineStr">
        <is>
          <t>VÄSTMANLANDS LÄN</t>
        </is>
      </c>
      <c r="E491" t="inlineStr">
        <is>
          <t>SALA</t>
        </is>
      </c>
      <c r="G491" t="n">
        <v>4.6</v>
      </c>
      <c r="H491" t="n">
        <v>0</v>
      </c>
      <c r="I491" t="n">
        <v>0</v>
      </c>
      <c r="J491" t="n">
        <v>0</v>
      </c>
      <c r="K491" t="n">
        <v>0</v>
      </c>
      <c r="L491" t="n">
        <v>0</v>
      </c>
      <c r="M491" t="n">
        <v>0</v>
      </c>
      <c r="N491" t="n">
        <v>0</v>
      </c>
      <c r="O491" t="n">
        <v>0</v>
      </c>
      <c r="P491" t="n">
        <v>0</v>
      </c>
      <c r="Q491" t="n">
        <v>0</v>
      </c>
      <c r="R491" s="2" t="inlineStr"/>
    </row>
    <row r="492" ht="15" customHeight="1">
      <c r="A492" t="inlineStr">
        <is>
          <t>A 37337-2024</t>
        </is>
      </c>
      <c r="B492" s="1" t="n">
        <v>45540</v>
      </c>
      <c r="C492" s="1" t="n">
        <v>46046</v>
      </c>
      <c r="D492" t="inlineStr">
        <is>
          <t>VÄSTMANLANDS LÄN</t>
        </is>
      </c>
      <c r="E492" t="inlineStr">
        <is>
          <t>SALA</t>
        </is>
      </c>
      <c r="G492" t="n">
        <v>6.5</v>
      </c>
      <c r="H492" t="n">
        <v>0</v>
      </c>
      <c r="I492" t="n">
        <v>0</v>
      </c>
      <c r="J492" t="n">
        <v>0</v>
      </c>
      <c r="K492" t="n">
        <v>0</v>
      </c>
      <c r="L492" t="n">
        <v>0</v>
      </c>
      <c r="M492" t="n">
        <v>0</v>
      </c>
      <c r="N492" t="n">
        <v>0</v>
      </c>
      <c r="O492" t="n">
        <v>0</v>
      </c>
      <c r="P492" t="n">
        <v>0</v>
      </c>
      <c r="Q492" t="n">
        <v>0</v>
      </c>
      <c r="R492" s="2" t="inlineStr"/>
    </row>
    <row r="493" ht="15" customHeight="1">
      <c r="A493" t="inlineStr">
        <is>
          <t>A 50241-2023</t>
        </is>
      </c>
      <c r="B493" s="1" t="n">
        <v>45216</v>
      </c>
      <c r="C493" s="1" t="n">
        <v>46046</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30971-2022</t>
        </is>
      </c>
      <c r="B494" s="1" t="n">
        <v>44768.46725694444</v>
      </c>
      <c r="C494" s="1" t="n">
        <v>46046</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36858-2023</t>
        </is>
      </c>
      <c r="B495" s="1" t="n">
        <v>45154.55184027777</v>
      </c>
      <c r="C495" s="1" t="n">
        <v>46046</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55024-2023</t>
        </is>
      </c>
      <c r="B496" s="1" t="n">
        <v>45229</v>
      </c>
      <c r="C496" s="1" t="n">
        <v>46046</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55032-2023</t>
        </is>
      </c>
      <c r="B497" s="1" t="n">
        <v>45229</v>
      </c>
      <c r="C497" s="1" t="n">
        <v>46046</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35637-2022</t>
        </is>
      </c>
      <c r="B498" s="1" t="n">
        <v>44799.55194444444</v>
      </c>
      <c r="C498" s="1" t="n">
        <v>46046</v>
      </c>
      <c r="D498" t="inlineStr">
        <is>
          <t>VÄSTMANLANDS LÄN</t>
        </is>
      </c>
      <c r="E498" t="inlineStr">
        <is>
          <t>SALA</t>
        </is>
      </c>
      <c r="G498" t="n">
        <v>1</v>
      </c>
      <c r="H498" t="n">
        <v>0</v>
      </c>
      <c r="I498" t="n">
        <v>0</v>
      </c>
      <c r="J498" t="n">
        <v>0</v>
      </c>
      <c r="K498" t="n">
        <v>0</v>
      </c>
      <c r="L498" t="n">
        <v>0</v>
      </c>
      <c r="M498" t="n">
        <v>0</v>
      </c>
      <c r="N498" t="n">
        <v>0</v>
      </c>
      <c r="O498" t="n">
        <v>0</v>
      </c>
      <c r="P498" t="n">
        <v>0</v>
      </c>
      <c r="Q498" t="n">
        <v>0</v>
      </c>
      <c r="R498" s="2" t="inlineStr"/>
    </row>
    <row r="499" ht="15" customHeight="1">
      <c r="A499" t="inlineStr">
        <is>
          <t>A 17120-2023</t>
        </is>
      </c>
      <c r="B499" s="1" t="n">
        <v>45034</v>
      </c>
      <c r="C499" s="1" t="n">
        <v>46046</v>
      </c>
      <c r="D499" t="inlineStr">
        <is>
          <t>VÄSTMANLANDS LÄN</t>
        </is>
      </c>
      <c r="E499" t="inlineStr">
        <is>
          <t>SALA</t>
        </is>
      </c>
      <c r="G499" t="n">
        <v>0.1</v>
      </c>
      <c r="H499" t="n">
        <v>0</v>
      </c>
      <c r="I499" t="n">
        <v>0</v>
      </c>
      <c r="J499" t="n">
        <v>0</v>
      </c>
      <c r="K499" t="n">
        <v>0</v>
      </c>
      <c r="L499" t="n">
        <v>0</v>
      </c>
      <c r="M499" t="n">
        <v>0</v>
      </c>
      <c r="N499" t="n">
        <v>0</v>
      </c>
      <c r="O499" t="n">
        <v>0</v>
      </c>
      <c r="P499" t="n">
        <v>0</v>
      </c>
      <c r="Q499" t="n">
        <v>0</v>
      </c>
      <c r="R499" s="2" t="inlineStr"/>
    </row>
    <row r="500" ht="15" customHeight="1">
      <c r="A500" t="inlineStr">
        <is>
          <t>A 35775-2025</t>
        </is>
      </c>
      <c r="B500" s="1" t="n">
        <v>45860</v>
      </c>
      <c r="C500" s="1" t="n">
        <v>46046</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35779-2025</t>
        </is>
      </c>
      <c r="B501" s="1" t="n">
        <v>45860.69495370371</v>
      </c>
      <c r="C501" s="1" t="n">
        <v>46046</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19304-2025</t>
        </is>
      </c>
      <c r="B502" s="1" t="n">
        <v>45769</v>
      </c>
      <c r="C502" s="1" t="n">
        <v>46046</v>
      </c>
      <c r="D502" t="inlineStr">
        <is>
          <t>VÄSTMANLANDS LÄN</t>
        </is>
      </c>
      <c r="E502" t="inlineStr">
        <is>
          <t>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20352-2022</t>
        </is>
      </c>
      <c r="B503" s="1" t="n">
        <v>44699.37318287037</v>
      </c>
      <c r="C503" s="1" t="n">
        <v>46046</v>
      </c>
      <c r="D503" t="inlineStr">
        <is>
          <t>VÄSTMANLANDS LÄN</t>
        </is>
      </c>
      <c r="E503" t="inlineStr">
        <is>
          <t>SALA</t>
        </is>
      </c>
      <c r="G503" t="n">
        <v>1.3</v>
      </c>
      <c r="H503" t="n">
        <v>0</v>
      </c>
      <c r="I503" t="n">
        <v>0</v>
      </c>
      <c r="J503" t="n">
        <v>0</v>
      </c>
      <c r="K503" t="n">
        <v>0</v>
      </c>
      <c r="L503" t="n">
        <v>0</v>
      </c>
      <c r="M503" t="n">
        <v>0</v>
      </c>
      <c r="N503" t="n">
        <v>0</v>
      </c>
      <c r="O503" t="n">
        <v>0</v>
      </c>
      <c r="P503" t="n">
        <v>0</v>
      </c>
      <c r="Q503" t="n">
        <v>0</v>
      </c>
      <c r="R503" s="2" t="inlineStr"/>
    </row>
    <row r="504" ht="15" customHeight="1">
      <c r="A504" t="inlineStr">
        <is>
          <t>A 35776-2025</t>
        </is>
      </c>
      <c r="B504" s="1" t="n">
        <v>45860.69211805556</v>
      </c>
      <c r="C504" s="1" t="n">
        <v>46046</v>
      </c>
      <c r="D504" t="inlineStr">
        <is>
          <t>VÄSTMANLANDS LÄN</t>
        </is>
      </c>
      <c r="E504" t="inlineStr">
        <is>
          <t>SALA</t>
        </is>
      </c>
      <c r="G504" t="n">
        <v>14.2</v>
      </c>
      <c r="H504" t="n">
        <v>0</v>
      </c>
      <c r="I504" t="n">
        <v>0</v>
      </c>
      <c r="J504" t="n">
        <v>0</v>
      </c>
      <c r="K504" t="n">
        <v>0</v>
      </c>
      <c r="L504" t="n">
        <v>0</v>
      </c>
      <c r="M504" t="n">
        <v>0</v>
      </c>
      <c r="N504" t="n">
        <v>0</v>
      </c>
      <c r="O504" t="n">
        <v>0</v>
      </c>
      <c r="P504" t="n">
        <v>0</v>
      </c>
      <c r="Q504" t="n">
        <v>0</v>
      </c>
      <c r="R504" s="2" t="inlineStr"/>
    </row>
    <row r="505" ht="15" customHeight="1">
      <c r="A505" t="inlineStr">
        <is>
          <t>A 5032-2025</t>
        </is>
      </c>
      <c r="B505" s="1" t="n">
        <v>45691</v>
      </c>
      <c r="C505" s="1" t="n">
        <v>46046</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35715-2025</t>
        </is>
      </c>
      <c r="B506" s="1" t="n">
        <v>45860.42148148148</v>
      </c>
      <c r="C506" s="1" t="n">
        <v>46046</v>
      </c>
      <c r="D506" t="inlineStr">
        <is>
          <t>VÄSTMANLANDS LÄN</t>
        </is>
      </c>
      <c r="E506" t="inlineStr">
        <is>
          <t>SALA</t>
        </is>
      </c>
      <c r="G506" t="n">
        <v>3.8</v>
      </c>
      <c r="H506" t="n">
        <v>0</v>
      </c>
      <c r="I506" t="n">
        <v>0</v>
      </c>
      <c r="J506" t="n">
        <v>0</v>
      </c>
      <c r="K506" t="n">
        <v>0</v>
      </c>
      <c r="L506" t="n">
        <v>0</v>
      </c>
      <c r="M506" t="n">
        <v>0</v>
      </c>
      <c r="N506" t="n">
        <v>0</v>
      </c>
      <c r="O506" t="n">
        <v>0</v>
      </c>
      <c r="P506" t="n">
        <v>0</v>
      </c>
      <c r="Q506" t="n">
        <v>0</v>
      </c>
      <c r="R506" s="2" t="inlineStr"/>
    </row>
    <row r="507" ht="15" customHeight="1">
      <c r="A507" t="inlineStr">
        <is>
          <t>A 27038-2023</t>
        </is>
      </c>
      <c r="B507" s="1" t="n">
        <v>45095</v>
      </c>
      <c r="C507" s="1" t="n">
        <v>46046</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17117-2023</t>
        </is>
      </c>
      <c r="B508" s="1" t="n">
        <v>45034</v>
      </c>
      <c r="C508" s="1" t="n">
        <v>46046</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46046</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35651-2025</t>
        </is>
      </c>
      <c r="B510" s="1" t="n">
        <v>45859.52435185185</v>
      </c>
      <c r="C510" s="1" t="n">
        <v>46046</v>
      </c>
      <c r="D510" t="inlineStr">
        <is>
          <t>VÄSTMANLANDS LÄN</t>
        </is>
      </c>
      <c r="E510" t="inlineStr">
        <is>
          <t>SALA</t>
        </is>
      </c>
      <c r="G510" t="n">
        <v>6.3</v>
      </c>
      <c r="H510" t="n">
        <v>0</v>
      </c>
      <c r="I510" t="n">
        <v>0</v>
      </c>
      <c r="J510" t="n">
        <v>0</v>
      </c>
      <c r="K510" t="n">
        <v>0</v>
      </c>
      <c r="L510" t="n">
        <v>0</v>
      </c>
      <c r="M510" t="n">
        <v>0</v>
      </c>
      <c r="N510" t="n">
        <v>0</v>
      </c>
      <c r="O510" t="n">
        <v>0</v>
      </c>
      <c r="P510" t="n">
        <v>0</v>
      </c>
      <c r="Q510" t="n">
        <v>0</v>
      </c>
      <c r="R510" s="2" t="inlineStr"/>
    </row>
    <row r="511" ht="15" customHeight="1">
      <c r="A511" t="inlineStr">
        <is>
          <t>A 35774-2025</t>
        </is>
      </c>
      <c r="B511" s="1" t="n">
        <v>45860.68780092592</v>
      </c>
      <c r="C511" s="1" t="n">
        <v>46046</v>
      </c>
      <c r="D511" t="inlineStr">
        <is>
          <t>VÄSTMANLANDS LÄN</t>
        </is>
      </c>
      <c r="E511" t="inlineStr">
        <is>
          <t>SALA</t>
        </is>
      </c>
      <c r="G511" t="n">
        <v>6.5</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44719.79707175926</v>
      </c>
      <c r="C512" s="1" t="n">
        <v>46046</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19243-2025</t>
        </is>
      </c>
      <c r="B513" s="1" t="n">
        <v>45769</v>
      </c>
      <c r="C513" s="1" t="n">
        <v>46046</v>
      </c>
      <c r="D513" t="inlineStr">
        <is>
          <t>VÄSTMANLANDS LÄN</t>
        </is>
      </c>
      <c r="E513" t="inlineStr">
        <is>
          <t>SALA</t>
        </is>
      </c>
      <c r="F513" t="inlineStr">
        <is>
          <t>Bergvik skog öst AB</t>
        </is>
      </c>
      <c r="G513" t="n">
        <v>1.5</v>
      </c>
      <c r="H513" t="n">
        <v>0</v>
      </c>
      <c r="I513" t="n">
        <v>0</v>
      </c>
      <c r="J513" t="n">
        <v>0</v>
      </c>
      <c r="K513" t="n">
        <v>0</v>
      </c>
      <c r="L513" t="n">
        <v>0</v>
      </c>
      <c r="M513" t="n">
        <v>0</v>
      </c>
      <c r="N513" t="n">
        <v>0</v>
      </c>
      <c r="O513" t="n">
        <v>0</v>
      </c>
      <c r="P513" t="n">
        <v>0</v>
      </c>
      <c r="Q513" t="n">
        <v>0</v>
      </c>
      <c r="R513" s="2" t="inlineStr"/>
    </row>
    <row r="514" ht="15" customHeight="1">
      <c r="A514" t="inlineStr">
        <is>
          <t>A 36060-2025</t>
        </is>
      </c>
      <c r="B514" s="1" t="n">
        <v>45866.39469907407</v>
      </c>
      <c r="C514" s="1" t="n">
        <v>46046</v>
      </c>
      <c r="D514" t="inlineStr">
        <is>
          <t>VÄSTMANLANDS LÄN</t>
        </is>
      </c>
      <c r="E514" t="inlineStr">
        <is>
          <t>SALA</t>
        </is>
      </c>
      <c r="F514" t="inlineStr">
        <is>
          <t>Kommuner</t>
        </is>
      </c>
      <c r="G514" t="n">
        <v>4.3</v>
      </c>
      <c r="H514" t="n">
        <v>0</v>
      </c>
      <c r="I514" t="n">
        <v>0</v>
      </c>
      <c r="J514" t="n">
        <v>0</v>
      </c>
      <c r="K514" t="n">
        <v>0</v>
      </c>
      <c r="L514" t="n">
        <v>0</v>
      </c>
      <c r="M514" t="n">
        <v>0</v>
      </c>
      <c r="N514" t="n">
        <v>0</v>
      </c>
      <c r="O514" t="n">
        <v>0</v>
      </c>
      <c r="P514" t="n">
        <v>0</v>
      </c>
      <c r="Q514" t="n">
        <v>0</v>
      </c>
      <c r="R514" s="2" t="inlineStr"/>
    </row>
    <row r="515" ht="15" customHeight="1">
      <c r="A515" t="inlineStr">
        <is>
          <t>A 36031-2025</t>
        </is>
      </c>
      <c r="B515" s="1" t="n">
        <v>45865.46111111111</v>
      </c>
      <c r="C515" s="1" t="n">
        <v>46046</v>
      </c>
      <c r="D515" t="inlineStr">
        <is>
          <t>VÄSTMANLANDS LÄN</t>
        </is>
      </c>
      <c r="E515" t="inlineStr">
        <is>
          <t>SALA</t>
        </is>
      </c>
      <c r="G515" t="n">
        <v>7.2</v>
      </c>
      <c r="H515" t="n">
        <v>0</v>
      </c>
      <c r="I515" t="n">
        <v>0</v>
      </c>
      <c r="J515" t="n">
        <v>0</v>
      </c>
      <c r="K515" t="n">
        <v>0</v>
      </c>
      <c r="L515" t="n">
        <v>0</v>
      </c>
      <c r="M515" t="n">
        <v>0</v>
      </c>
      <c r="N515" t="n">
        <v>0</v>
      </c>
      <c r="O515" t="n">
        <v>0</v>
      </c>
      <c r="P515" t="n">
        <v>0</v>
      </c>
      <c r="Q515" t="n">
        <v>0</v>
      </c>
      <c r="R515" s="2" t="inlineStr"/>
    </row>
    <row r="516" ht="15" customHeight="1">
      <c r="A516" t="inlineStr">
        <is>
          <t>A 36043-2025</t>
        </is>
      </c>
      <c r="B516" s="1" t="n">
        <v>45866.35333333333</v>
      </c>
      <c r="C516" s="1" t="n">
        <v>46046</v>
      </c>
      <c r="D516" t="inlineStr">
        <is>
          <t>VÄSTMANLANDS LÄN</t>
        </is>
      </c>
      <c r="E516" t="inlineStr">
        <is>
          <t>SALA</t>
        </is>
      </c>
      <c r="F516" t="inlineStr">
        <is>
          <t>Kommuner</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31859-2023</t>
        </is>
      </c>
      <c r="B517" s="1" t="n">
        <v>45118</v>
      </c>
      <c r="C517" s="1" t="n">
        <v>46046</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c r="U517">
        <f>HYPERLINK("https://klasma.github.io/Logging_1981/knärot/A 31859-2023 karta knärot.png", "A 31859-2023")</f>
        <v/>
      </c>
      <c r="V517">
        <f>HYPERLINK("https://klasma.github.io/Logging_1981/klagomål/A 31859-2023 FSC-klagomål.docx", "A 31859-2023")</f>
        <v/>
      </c>
      <c r="W517">
        <f>HYPERLINK("https://klasma.github.io/Logging_1981/klagomålsmail/A 31859-2023 FSC-klagomål mail.docx", "A 31859-2023")</f>
        <v/>
      </c>
      <c r="X517">
        <f>HYPERLINK("https://klasma.github.io/Logging_1981/tillsyn/A 31859-2023 tillsynsbegäran.docx", "A 31859-2023")</f>
        <v/>
      </c>
      <c r="Y517">
        <f>HYPERLINK("https://klasma.github.io/Logging_1981/tillsynsmail/A 31859-2023 tillsynsbegäran mail.docx", "A 31859-2023")</f>
        <v/>
      </c>
    </row>
    <row r="518" ht="15" customHeight="1">
      <c r="A518" t="inlineStr">
        <is>
          <t>A 36032-2025</t>
        </is>
      </c>
      <c r="B518" s="1" t="n">
        <v>45865.48740740741</v>
      </c>
      <c r="C518" s="1" t="n">
        <v>46046</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36049-2025</t>
        </is>
      </c>
      <c r="B519" s="1" t="n">
        <v>45866.37065972222</v>
      </c>
      <c r="C519" s="1" t="n">
        <v>46046</v>
      </c>
      <c r="D519" t="inlineStr">
        <is>
          <t>VÄSTMANLANDS LÄN</t>
        </is>
      </c>
      <c r="E519" t="inlineStr">
        <is>
          <t>SALA</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7469-2025</t>
        </is>
      </c>
      <c r="B520" s="1" t="n">
        <v>45705</v>
      </c>
      <c r="C520" s="1" t="n">
        <v>46046</v>
      </c>
      <c r="D520" t="inlineStr">
        <is>
          <t>VÄSTMANLANDS LÄN</t>
        </is>
      </c>
      <c r="E520" t="inlineStr">
        <is>
          <t>SALA</t>
        </is>
      </c>
      <c r="G520" t="n">
        <v>2.1</v>
      </c>
      <c r="H520" t="n">
        <v>0</v>
      </c>
      <c r="I520" t="n">
        <v>0</v>
      </c>
      <c r="J520" t="n">
        <v>0</v>
      </c>
      <c r="K520" t="n">
        <v>0</v>
      </c>
      <c r="L520" t="n">
        <v>0</v>
      </c>
      <c r="M520" t="n">
        <v>0</v>
      </c>
      <c r="N520" t="n">
        <v>0</v>
      </c>
      <c r="O520" t="n">
        <v>0</v>
      </c>
      <c r="P520" t="n">
        <v>0</v>
      </c>
      <c r="Q520" t="n">
        <v>0</v>
      </c>
      <c r="R520" s="2" t="inlineStr"/>
    </row>
    <row r="521" ht="15" customHeight="1">
      <c r="A521" t="inlineStr">
        <is>
          <t>A 36045-2025</t>
        </is>
      </c>
      <c r="B521" s="1" t="n">
        <v>45866.36200231482</v>
      </c>
      <c r="C521" s="1" t="n">
        <v>46046</v>
      </c>
      <c r="D521" t="inlineStr">
        <is>
          <t>VÄSTMANLANDS LÄN</t>
        </is>
      </c>
      <c r="E521" t="inlineStr">
        <is>
          <t>SALA</t>
        </is>
      </c>
      <c r="F521" t="inlineStr">
        <is>
          <t>Kommuner</t>
        </is>
      </c>
      <c r="G521" t="n">
        <v>1.7</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46046</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7166-2025</t>
        </is>
      </c>
      <c r="B523" s="1" t="n">
        <v>45702</v>
      </c>
      <c r="C523" s="1" t="n">
        <v>46046</v>
      </c>
      <c r="D523" t="inlineStr">
        <is>
          <t>VÄSTMANLANDS LÄN</t>
        </is>
      </c>
      <c r="E523" t="inlineStr">
        <is>
          <t>SALA</t>
        </is>
      </c>
      <c r="G523" t="n">
        <v>6.1</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46046</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46046</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26416-2023</t>
        </is>
      </c>
      <c r="B526" s="1" t="n">
        <v>45092.38087962963</v>
      </c>
      <c r="C526" s="1" t="n">
        <v>46046</v>
      </c>
      <c r="D526" t="inlineStr">
        <is>
          <t>VÄSTMANLANDS LÄN</t>
        </is>
      </c>
      <c r="E526" t="inlineStr">
        <is>
          <t>SALA</t>
        </is>
      </c>
      <c r="G526" t="n">
        <v>2.9</v>
      </c>
      <c r="H526" t="n">
        <v>0</v>
      </c>
      <c r="I526" t="n">
        <v>0</v>
      </c>
      <c r="J526" t="n">
        <v>0</v>
      </c>
      <c r="K526" t="n">
        <v>0</v>
      </c>
      <c r="L526" t="n">
        <v>0</v>
      </c>
      <c r="M526" t="n">
        <v>0</v>
      </c>
      <c r="N526" t="n">
        <v>0</v>
      </c>
      <c r="O526" t="n">
        <v>0</v>
      </c>
      <c r="P526" t="n">
        <v>0</v>
      </c>
      <c r="Q526" t="n">
        <v>0</v>
      </c>
      <c r="R526" s="2" t="inlineStr"/>
    </row>
    <row r="527" ht="15" customHeight="1">
      <c r="A527" t="inlineStr">
        <is>
          <t>A 17766-2025</t>
        </is>
      </c>
      <c r="B527" s="1" t="n">
        <v>45758</v>
      </c>
      <c r="C527" s="1" t="n">
        <v>46046</v>
      </c>
      <c r="D527" t="inlineStr">
        <is>
          <t>VÄSTMANLANDS LÄN</t>
        </is>
      </c>
      <c r="E527" t="inlineStr">
        <is>
          <t>SALA</t>
        </is>
      </c>
      <c r="G527" t="n">
        <v>16.5</v>
      </c>
      <c r="H527" t="n">
        <v>0</v>
      </c>
      <c r="I527" t="n">
        <v>0</v>
      </c>
      <c r="J527" t="n">
        <v>0</v>
      </c>
      <c r="K527" t="n">
        <v>0</v>
      </c>
      <c r="L527" t="n">
        <v>0</v>
      </c>
      <c r="M527" t="n">
        <v>0</v>
      </c>
      <c r="N527" t="n">
        <v>0</v>
      </c>
      <c r="O527" t="n">
        <v>0</v>
      </c>
      <c r="P527" t="n">
        <v>0</v>
      </c>
      <c r="Q527" t="n">
        <v>0</v>
      </c>
      <c r="R527" s="2" t="inlineStr"/>
    </row>
    <row r="528" ht="15" customHeight="1">
      <c r="A528" t="inlineStr">
        <is>
          <t>A 9335-2022</t>
        </is>
      </c>
      <c r="B528" s="1" t="n">
        <v>44616.56579861111</v>
      </c>
      <c r="C528" s="1" t="n">
        <v>46046</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45313-2024</t>
        </is>
      </c>
      <c r="B529" s="1" t="n">
        <v>45576</v>
      </c>
      <c r="C529" s="1" t="n">
        <v>46046</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31863-2025</t>
        </is>
      </c>
      <c r="B530" s="1" t="n">
        <v>45834.63303240741</v>
      </c>
      <c r="C530" s="1" t="n">
        <v>46046</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34867-2023</t>
        </is>
      </c>
      <c r="B531" s="1" t="n">
        <v>45142.33481481481</v>
      </c>
      <c r="C531" s="1" t="n">
        <v>46046</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28661-2024</t>
        </is>
      </c>
      <c r="B532" s="1" t="n">
        <v>45478</v>
      </c>
      <c r="C532" s="1" t="n">
        <v>46046</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3546-2025</t>
        </is>
      </c>
      <c r="B533" s="1" t="n">
        <v>45680</v>
      </c>
      <c r="C533" s="1" t="n">
        <v>46046</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31869-2025</t>
        </is>
      </c>
      <c r="B534" s="1" t="n">
        <v>45834.64555555556</v>
      </c>
      <c r="C534" s="1" t="n">
        <v>46046</v>
      </c>
      <c r="D534" t="inlineStr">
        <is>
          <t>VÄSTMANLANDS LÄN</t>
        </is>
      </c>
      <c r="E534" t="inlineStr">
        <is>
          <t>SALA</t>
        </is>
      </c>
      <c r="G534" t="n">
        <v>17.5</v>
      </c>
      <c r="H534" t="n">
        <v>0</v>
      </c>
      <c r="I534" t="n">
        <v>0</v>
      </c>
      <c r="J534" t="n">
        <v>0</v>
      </c>
      <c r="K534" t="n">
        <v>0</v>
      </c>
      <c r="L534" t="n">
        <v>0</v>
      </c>
      <c r="M534" t="n">
        <v>0</v>
      </c>
      <c r="N534" t="n">
        <v>0</v>
      </c>
      <c r="O534" t="n">
        <v>0</v>
      </c>
      <c r="P534" t="n">
        <v>0</v>
      </c>
      <c r="Q534" t="n">
        <v>0</v>
      </c>
      <c r="R534" s="2" t="inlineStr"/>
    </row>
    <row r="535" ht="15" customHeight="1">
      <c r="A535" t="inlineStr">
        <is>
          <t>A 11631-2023</t>
        </is>
      </c>
      <c r="B535" s="1" t="n">
        <v>44994.44001157407</v>
      </c>
      <c r="C535" s="1" t="n">
        <v>46046</v>
      </c>
      <c r="D535" t="inlineStr">
        <is>
          <t>VÄSTMANLANDS LÄN</t>
        </is>
      </c>
      <c r="E535" t="inlineStr">
        <is>
          <t>SALA</t>
        </is>
      </c>
      <c r="F535" t="inlineStr">
        <is>
          <t>Kommuner</t>
        </is>
      </c>
      <c r="G535" t="n">
        <v>1.9</v>
      </c>
      <c r="H535" t="n">
        <v>0</v>
      </c>
      <c r="I535" t="n">
        <v>0</v>
      </c>
      <c r="J535" t="n">
        <v>0</v>
      </c>
      <c r="K535" t="n">
        <v>0</v>
      </c>
      <c r="L535" t="n">
        <v>0</v>
      </c>
      <c r="M535" t="n">
        <v>0</v>
      </c>
      <c r="N535" t="n">
        <v>0</v>
      </c>
      <c r="O535" t="n">
        <v>0</v>
      </c>
      <c r="P535" t="n">
        <v>0</v>
      </c>
      <c r="Q535" t="n">
        <v>0</v>
      </c>
      <c r="R535" s="2" t="inlineStr"/>
    </row>
    <row r="536" ht="15" customHeight="1">
      <c r="A536" t="inlineStr">
        <is>
          <t>A 7664-2023</t>
        </is>
      </c>
      <c r="B536" s="1" t="n">
        <v>44972</v>
      </c>
      <c r="C536" s="1" t="n">
        <v>46046</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27255-2023</t>
        </is>
      </c>
      <c r="B537" s="1" t="n">
        <v>45096</v>
      </c>
      <c r="C537" s="1" t="n">
        <v>46046</v>
      </c>
      <c r="D537" t="inlineStr">
        <is>
          <t>VÄSTMANLANDS LÄN</t>
        </is>
      </c>
      <c r="E537" t="inlineStr">
        <is>
          <t>SALA</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23119-2022</t>
        </is>
      </c>
      <c r="B538" s="1" t="n">
        <v>44719.56697916667</v>
      </c>
      <c r="C538" s="1" t="n">
        <v>46046</v>
      </c>
      <c r="D538" t="inlineStr">
        <is>
          <t>VÄSTMANLANDS LÄN</t>
        </is>
      </c>
      <c r="E538" t="inlineStr">
        <is>
          <t>SALA</t>
        </is>
      </c>
      <c r="G538" t="n">
        <v>7</v>
      </c>
      <c r="H538" t="n">
        <v>0</v>
      </c>
      <c r="I538" t="n">
        <v>0</v>
      </c>
      <c r="J538" t="n">
        <v>0</v>
      </c>
      <c r="K538" t="n">
        <v>0</v>
      </c>
      <c r="L538" t="n">
        <v>0</v>
      </c>
      <c r="M538" t="n">
        <v>0</v>
      </c>
      <c r="N538" t="n">
        <v>0</v>
      </c>
      <c r="O538" t="n">
        <v>0</v>
      </c>
      <c r="P538" t="n">
        <v>0</v>
      </c>
      <c r="Q538" t="n">
        <v>0</v>
      </c>
      <c r="R538" s="2" t="inlineStr"/>
    </row>
    <row r="539" ht="15" customHeight="1">
      <c r="A539" t="inlineStr">
        <is>
          <t>A 17985-2025</t>
        </is>
      </c>
      <c r="B539" s="1" t="n">
        <v>45761</v>
      </c>
      <c r="C539" s="1" t="n">
        <v>46046</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37103-2025</t>
        </is>
      </c>
      <c r="B540" s="1" t="n">
        <v>45875.47743055555</v>
      </c>
      <c r="C540" s="1" t="n">
        <v>46046</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7197-2025</t>
        </is>
      </c>
      <c r="B541" s="1" t="n">
        <v>45702</v>
      </c>
      <c r="C541" s="1" t="n">
        <v>46046</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8775-2024</t>
        </is>
      </c>
      <c r="B542" s="1" t="n">
        <v>45356</v>
      </c>
      <c r="C542" s="1" t="n">
        <v>46046</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1196-2023</t>
        </is>
      </c>
      <c r="B543" s="1" t="n">
        <v>44935.82290509259</v>
      </c>
      <c r="C543" s="1" t="n">
        <v>46046</v>
      </c>
      <c r="D543" t="inlineStr">
        <is>
          <t>VÄSTMANLANDS LÄN</t>
        </is>
      </c>
      <c r="E543" t="inlineStr">
        <is>
          <t>SALA</t>
        </is>
      </c>
      <c r="G543" t="n">
        <v>4.1</v>
      </c>
      <c r="H543" t="n">
        <v>0</v>
      </c>
      <c r="I543" t="n">
        <v>0</v>
      </c>
      <c r="J543" t="n">
        <v>0</v>
      </c>
      <c r="K543" t="n">
        <v>0</v>
      </c>
      <c r="L543" t="n">
        <v>0</v>
      </c>
      <c r="M543" t="n">
        <v>0</v>
      </c>
      <c r="N543" t="n">
        <v>0</v>
      </c>
      <c r="O543" t="n">
        <v>0</v>
      </c>
      <c r="P543" t="n">
        <v>0</v>
      </c>
      <c r="Q543" t="n">
        <v>0</v>
      </c>
      <c r="R543" s="2" t="inlineStr"/>
    </row>
    <row r="544" ht="15" customHeight="1">
      <c r="A544" t="inlineStr">
        <is>
          <t>A 37017-2025</t>
        </is>
      </c>
      <c r="B544" s="1" t="n">
        <v>45874</v>
      </c>
      <c r="C544" s="1" t="n">
        <v>46046</v>
      </c>
      <c r="D544" t="inlineStr">
        <is>
          <t>VÄSTMANLANDS LÄN</t>
        </is>
      </c>
      <c r="E544" t="inlineStr">
        <is>
          <t>SALA</t>
        </is>
      </c>
      <c r="G544" t="n">
        <v>11.1</v>
      </c>
      <c r="H544" t="n">
        <v>0</v>
      </c>
      <c r="I544" t="n">
        <v>0</v>
      </c>
      <c r="J544" t="n">
        <v>0</v>
      </c>
      <c r="K544" t="n">
        <v>0</v>
      </c>
      <c r="L544" t="n">
        <v>0</v>
      </c>
      <c r="M544" t="n">
        <v>0</v>
      </c>
      <c r="N544" t="n">
        <v>0</v>
      </c>
      <c r="O544" t="n">
        <v>0</v>
      </c>
      <c r="P544" t="n">
        <v>0</v>
      </c>
      <c r="Q544" t="n">
        <v>0</v>
      </c>
      <c r="R544" s="2" t="inlineStr"/>
    </row>
    <row r="545" ht="15" customHeight="1">
      <c r="A545" t="inlineStr">
        <is>
          <t>A 37246-2025</t>
        </is>
      </c>
      <c r="B545" s="1" t="n">
        <v>45876.39435185185</v>
      </c>
      <c r="C545" s="1" t="n">
        <v>46046</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37590-2025</t>
        </is>
      </c>
      <c r="B546" s="1" t="n">
        <v>45880.41138888889</v>
      </c>
      <c r="C546" s="1" t="n">
        <v>46046</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37593-2025</t>
        </is>
      </c>
      <c r="B547" s="1" t="n">
        <v>45880.41325231481</v>
      </c>
      <c r="C547" s="1" t="n">
        <v>46046</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73673-2021</t>
        </is>
      </c>
      <c r="B548" s="1" t="n">
        <v>44552.46501157407</v>
      </c>
      <c r="C548" s="1" t="n">
        <v>46046</v>
      </c>
      <c r="D548" t="inlineStr">
        <is>
          <t>VÄSTMANLANDS LÄN</t>
        </is>
      </c>
      <c r="E548" t="inlineStr">
        <is>
          <t>SALA</t>
        </is>
      </c>
      <c r="G548" t="n">
        <v>11.4</v>
      </c>
      <c r="H548" t="n">
        <v>0</v>
      </c>
      <c r="I548" t="n">
        <v>0</v>
      </c>
      <c r="J548" t="n">
        <v>0</v>
      </c>
      <c r="K548" t="n">
        <v>0</v>
      </c>
      <c r="L548" t="n">
        <v>0</v>
      </c>
      <c r="M548" t="n">
        <v>0</v>
      </c>
      <c r="N548" t="n">
        <v>0</v>
      </c>
      <c r="O548" t="n">
        <v>0</v>
      </c>
      <c r="P548" t="n">
        <v>0</v>
      </c>
      <c r="Q548" t="n">
        <v>0</v>
      </c>
      <c r="R548" s="2" t="inlineStr"/>
    </row>
    <row r="549" ht="15" customHeight="1">
      <c r="A549" t="inlineStr">
        <is>
          <t>A 52503-2024</t>
        </is>
      </c>
      <c r="B549" s="1" t="n">
        <v>45609.58806712963</v>
      </c>
      <c r="C549" s="1" t="n">
        <v>46046</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17722-2025</t>
        </is>
      </c>
      <c r="B550" s="1" t="n">
        <v>45758</v>
      </c>
      <c r="C550" s="1" t="n">
        <v>46046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38294-2025</t>
        </is>
      </c>
      <c r="B551" s="1" t="n">
        <v>45883.44854166666</v>
      </c>
      <c r="C551" s="1" t="n">
        <v>46046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38574-2025</t>
        </is>
      </c>
      <c r="B552" s="1" t="n">
        <v>45884.46390046296</v>
      </c>
      <c r="C552" s="1" t="n">
        <v>46046</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43359-2024</t>
        </is>
      </c>
      <c r="B553" s="1" t="n">
        <v>45568.57724537037</v>
      </c>
      <c r="C553" s="1" t="n">
        <v>46046</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29972-2025</t>
        </is>
      </c>
      <c r="B554" s="1" t="n">
        <v>45826</v>
      </c>
      <c r="C554" s="1" t="n">
        <v>46046</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7953-2024</t>
        </is>
      </c>
      <c r="B555" s="1" t="n">
        <v>45350</v>
      </c>
      <c r="C555" s="1" t="n">
        <v>46046</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30028-2024</t>
        </is>
      </c>
      <c r="B556" s="1" t="n">
        <v>45485</v>
      </c>
      <c r="C556" s="1" t="n">
        <v>46046</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46046</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46279-2021</t>
        </is>
      </c>
      <c r="B558" s="1" t="n">
        <v>44442.57797453704</v>
      </c>
      <c r="C558" s="1" t="n">
        <v>46046</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27657-2023</t>
        </is>
      </c>
      <c r="B559" s="1" t="n">
        <v>45097.76631944445</v>
      </c>
      <c r="C559" s="1" t="n">
        <v>46046</v>
      </c>
      <c r="D559" t="inlineStr">
        <is>
          <t>VÄSTMANLANDS LÄN</t>
        </is>
      </c>
      <c r="E559" t="inlineStr">
        <is>
          <t>SALA</t>
        </is>
      </c>
      <c r="G559" t="n">
        <v>0.1</v>
      </c>
      <c r="H559" t="n">
        <v>0</v>
      </c>
      <c r="I559" t="n">
        <v>0</v>
      </c>
      <c r="J559" t="n">
        <v>0</v>
      </c>
      <c r="K559" t="n">
        <v>0</v>
      </c>
      <c r="L559" t="n">
        <v>0</v>
      </c>
      <c r="M559" t="n">
        <v>0</v>
      </c>
      <c r="N559" t="n">
        <v>0</v>
      </c>
      <c r="O559" t="n">
        <v>0</v>
      </c>
      <c r="P559" t="n">
        <v>0</v>
      </c>
      <c r="Q559" t="n">
        <v>0</v>
      </c>
      <c r="R559" s="2" t="inlineStr"/>
    </row>
    <row r="560" ht="15" customHeight="1">
      <c r="A560" t="inlineStr">
        <is>
          <t>A 13855-2023</t>
        </is>
      </c>
      <c r="B560" s="1" t="n">
        <v>45007</v>
      </c>
      <c r="C560" s="1" t="n">
        <v>46046</v>
      </c>
      <c r="D560" t="inlineStr">
        <is>
          <t>VÄSTMANLANDS LÄN</t>
        </is>
      </c>
      <c r="E560" t="inlineStr">
        <is>
          <t>SALA</t>
        </is>
      </c>
      <c r="G560" t="n">
        <v>2.9</v>
      </c>
      <c r="H560" t="n">
        <v>0</v>
      </c>
      <c r="I560" t="n">
        <v>0</v>
      </c>
      <c r="J560" t="n">
        <v>0</v>
      </c>
      <c r="K560" t="n">
        <v>0</v>
      </c>
      <c r="L560" t="n">
        <v>0</v>
      </c>
      <c r="M560" t="n">
        <v>0</v>
      </c>
      <c r="N560" t="n">
        <v>0</v>
      </c>
      <c r="O560" t="n">
        <v>0</v>
      </c>
      <c r="P560" t="n">
        <v>0</v>
      </c>
      <c r="Q560" t="n">
        <v>0</v>
      </c>
      <c r="R560" s="2" t="inlineStr"/>
    </row>
    <row r="561" ht="15" customHeight="1">
      <c r="A561" t="inlineStr">
        <is>
          <t>A 33309-2022</t>
        </is>
      </c>
      <c r="B561" s="1" t="n">
        <v>44788.40986111111</v>
      </c>
      <c r="C561" s="1" t="n">
        <v>46046</v>
      </c>
      <c r="D561" t="inlineStr">
        <is>
          <t>VÄSTMANLANDS LÄN</t>
        </is>
      </c>
      <c r="E561" t="inlineStr">
        <is>
          <t>SALA</t>
        </is>
      </c>
      <c r="G561" t="n">
        <v>2.6</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46046</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31864-2025</t>
        </is>
      </c>
      <c r="B563" s="1" t="n">
        <v>45834.63819444444</v>
      </c>
      <c r="C563" s="1" t="n">
        <v>46046</v>
      </c>
      <c r="D563" t="inlineStr">
        <is>
          <t>VÄSTMANLANDS LÄN</t>
        </is>
      </c>
      <c r="E563" t="inlineStr">
        <is>
          <t>SALA</t>
        </is>
      </c>
      <c r="G563" t="n">
        <v>6.3</v>
      </c>
      <c r="H563" t="n">
        <v>0</v>
      </c>
      <c r="I563" t="n">
        <v>0</v>
      </c>
      <c r="J563" t="n">
        <v>0</v>
      </c>
      <c r="K563" t="n">
        <v>0</v>
      </c>
      <c r="L563" t="n">
        <v>0</v>
      </c>
      <c r="M563" t="n">
        <v>0</v>
      </c>
      <c r="N563" t="n">
        <v>0</v>
      </c>
      <c r="O563" t="n">
        <v>0</v>
      </c>
      <c r="P563" t="n">
        <v>0</v>
      </c>
      <c r="Q563" t="n">
        <v>0</v>
      </c>
      <c r="R563" s="2" t="inlineStr"/>
    </row>
    <row r="564" ht="15" customHeight="1">
      <c r="A564" t="inlineStr">
        <is>
          <t>A 16651-2021</t>
        </is>
      </c>
      <c r="B564" s="1" t="n">
        <v>44294.50096064815</v>
      </c>
      <c r="C564" s="1" t="n">
        <v>46046</v>
      </c>
      <c r="D564" t="inlineStr">
        <is>
          <t>VÄSTMANLANDS LÄN</t>
        </is>
      </c>
      <c r="E564" t="inlineStr">
        <is>
          <t>SALA</t>
        </is>
      </c>
      <c r="G564" t="n">
        <v>7.7</v>
      </c>
      <c r="H564" t="n">
        <v>0</v>
      </c>
      <c r="I564" t="n">
        <v>0</v>
      </c>
      <c r="J564" t="n">
        <v>0</v>
      </c>
      <c r="K564" t="n">
        <v>0</v>
      </c>
      <c r="L564" t="n">
        <v>0</v>
      </c>
      <c r="M564" t="n">
        <v>0</v>
      </c>
      <c r="N564" t="n">
        <v>0</v>
      </c>
      <c r="O564" t="n">
        <v>0</v>
      </c>
      <c r="P564" t="n">
        <v>0</v>
      </c>
      <c r="Q564" t="n">
        <v>0</v>
      </c>
      <c r="R564" s="2" t="inlineStr"/>
    </row>
    <row r="565" ht="15" customHeight="1">
      <c r="A565" t="inlineStr">
        <is>
          <t>A 15272-2025</t>
        </is>
      </c>
      <c r="B565" s="1" t="n">
        <v>45744</v>
      </c>
      <c r="C565" s="1" t="n">
        <v>46046</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11183-2023</t>
        </is>
      </c>
      <c r="B566" s="1" t="n">
        <v>44992.57782407408</v>
      </c>
      <c r="C566" s="1" t="n">
        <v>46046</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11190-2023</t>
        </is>
      </c>
      <c r="B567" s="1" t="n">
        <v>44992</v>
      </c>
      <c r="C567" s="1" t="n">
        <v>46046</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53838-2022</t>
        </is>
      </c>
      <c r="B568" s="1" t="n">
        <v>44880.59363425926</v>
      </c>
      <c r="C568" s="1" t="n">
        <v>46046</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6088-2021</t>
        </is>
      </c>
      <c r="B569" s="1" t="n">
        <v>44232</v>
      </c>
      <c r="C569" s="1" t="n">
        <v>46046</v>
      </c>
      <c r="D569" t="inlineStr">
        <is>
          <t>VÄSTMANLANDS LÄN</t>
        </is>
      </c>
      <c r="E569" t="inlineStr">
        <is>
          <t>SALA</t>
        </is>
      </c>
      <c r="G569" t="n">
        <v>0.2</v>
      </c>
      <c r="H569" t="n">
        <v>0</v>
      </c>
      <c r="I569" t="n">
        <v>0</v>
      </c>
      <c r="J569" t="n">
        <v>0</v>
      </c>
      <c r="K569" t="n">
        <v>0</v>
      </c>
      <c r="L569" t="n">
        <v>0</v>
      </c>
      <c r="M569" t="n">
        <v>0</v>
      </c>
      <c r="N569" t="n">
        <v>0</v>
      </c>
      <c r="O569" t="n">
        <v>0</v>
      </c>
      <c r="P569" t="n">
        <v>0</v>
      </c>
      <c r="Q569" t="n">
        <v>0</v>
      </c>
      <c r="R569" s="2" t="inlineStr"/>
    </row>
    <row r="570" ht="15" customHeight="1">
      <c r="A570" t="inlineStr">
        <is>
          <t>A 53166-2024</t>
        </is>
      </c>
      <c r="B570" s="1" t="n">
        <v>45611</v>
      </c>
      <c r="C570" s="1" t="n">
        <v>46046</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28827-2022</t>
        </is>
      </c>
      <c r="B571" s="1" t="n">
        <v>44749.45561342593</v>
      </c>
      <c r="C571" s="1" t="n">
        <v>46046</v>
      </c>
      <c r="D571" t="inlineStr">
        <is>
          <t>VÄSTMANLANDS LÄN</t>
        </is>
      </c>
      <c r="E571" t="inlineStr">
        <is>
          <t>SALA</t>
        </is>
      </c>
      <c r="F571" t="inlineStr">
        <is>
          <t>Kommuner</t>
        </is>
      </c>
      <c r="G571" t="n">
        <v>11.9</v>
      </c>
      <c r="H571" t="n">
        <v>0</v>
      </c>
      <c r="I571" t="n">
        <v>0</v>
      </c>
      <c r="J571" t="n">
        <v>0</v>
      </c>
      <c r="K571" t="n">
        <v>0</v>
      </c>
      <c r="L571" t="n">
        <v>0</v>
      </c>
      <c r="M571" t="n">
        <v>0</v>
      </c>
      <c r="N571" t="n">
        <v>0</v>
      </c>
      <c r="O571" t="n">
        <v>0</v>
      </c>
      <c r="P571" t="n">
        <v>0</v>
      </c>
      <c r="Q571" t="n">
        <v>0</v>
      </c>
      <c r="R571" s="2" t="inlineStr"/>
    </row>
    <row r="572" ht="15" customHeight="1">
      <c r="A572" t="inlineStr">
        <is>
          <t>A 17866-2025</t>
        </is>
      </c>
      <c r="B572" s="1" t="n">
        <v>45758</v>
      </c>
      <c r="C572" s="1" t="n">
        <v>46046</v>
      </c>
      <c r="D572" t="inlineStr">
        <is>
          <t>VÄSTMANLANDS LÄN</t>
        </is>
      </c>
      <c r="E572" t="inlineStr">
        <is>
          <t>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39167-2025</t>
        </is>
      </c>
      <c r="B573" s="1" t="n">
        <v>45888</v>
      </c>
      <c r="C573" s="1" t="n">
        <v>46046</v>
      </c>
      <c r="D573" t="inlineStr">
        <is>
          <t>VÄSTMANLANDS LÄN</t>
        </is>
      </c>
      <c r="E573" t="inlineStr">
        <is>
          <t>SALA</t>
        </is>
      </c>
      <c r="G573" t="n">
        <v>5.5</v>
      </c>
      <c r="H573" t="n">
        <v>0</v>
      </c>
      <c r="I573" t="n">
        <v>0</v>
      </c>
      <c r="J573" t="n">
        <v>0</v>
      </c>
      <c r="K573" t="n">
        <v>0</v>
      </c>
      <c r="L573" t="n">
        <v>0</v>
      </c>
      <c r="M573" t="n">
        <v>0</v>
      </c>
      <c r="N573" t="n">
        <v>0</v>
      </c>
      <c r="O573" t="n">
        <v>0</v>
      </c>
      <c r="P573" t="n">
        <v>0</v>
      </c>
      <c r="Q573" t="n">
        <v>0</v>
      </c>
      <c r="R573" s="2" t="inlineStr"/>
    </row>
    <row r="574" ht="15" customHeight="1">
      <c r="A574" t="inlineStr">
        <is>
          <t>A 39182-2025</t>
        </is>
      </c>
      <c r="B574" s="1" t="n">
        <v>45888.66204861111</v>
      </c>
      <c r="C574" s="1" t="n">
        <v>46046</v>
      </c>
      <c r="D574" t="inlineStr">
        <is>
          <t>VÄSTMANLANDS LÄN</t>
        </is>
      </c>
      <c r="E574" t="inlineStr">
        <is>
          <t>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54836-2024</t>
        </is>
      </c>
      <c r="B575" s="1" t="n">
        <v>45618</v>
      </c>
      <c r="C575" s="1" t="n">
        <v>46046</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64729-2023</t>
        </is>
      </c>
      <c r="B576" s="1" t="n">
        <v>45281</v>
      </c>
      <c r="C576" s="1" t="n">
        <v>46046</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10585-2022</t>
        </is>
      </c>
      <c r="B577" s="1" t="n">
        <v>44624</v>
      </c>
      <c r="C577" s="1" t="n">
        <v>46046</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22523-2023</t>
        </is>
      </c>
      <c r="B578" s="1" t="n">
        <v>45069</v>
      </c>
      <c r="C578" s="1" t="n">
        <v>46046</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31609-2024</t>
        </is>
      </c>
      <c r="B579" s="1" t="n">
        <v>45506</v>
      </c>
      <c r="C579" s="1" t="n">
        <v>46046</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56057-2023</t>
        </is>
      </c>
      <c r="B580" s="1" t="n">
        <v>45233</v>
      </c>
      <c r="C580" s="1" t="n">
        <v>46046</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44874.50152777778</v>
      </c>
      <c r="C581" s="1" t="n">
        <v>46046</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62635-2022</t>
        </is>
      </c>
      <c r="B582" s="1" t="n">
        <v>44917</v>
      </c>
      <c r="C582" s="1" t="n">
        <v>46046</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4852-2023</t>
        </is>
      </c>
      <c r="B583" s="1" t="n">
        <v>44957.72496527778</v>
      </c>
      <c r="C583" s="1" t="n">
        <v>46046</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39714-2023</t>
        </is>
      </c>
      <c r="B584" s="1" t="n">
        <v>45167.62133101852</v>
      </c>
      <c r="C584" s="1" t="n">
        <v>46046</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42984-2023</t>
        </is>
      </c>
      <c r="B585" s="1" t="n">
        <v>45179</v>
      </c>
      <c r="C585" s="1" t="n">
        <v>46046</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44893.47173611111</v>
      </c>
      <c r="C586" s="1" t="n">
        <v>46046</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40559-2025</t>
        </is>
      </c>
      <c r="B587" s="1" t="n">
        <v>45896.45037037037</v>
      </c>
      <c r="C587" s="1" t="n">
        <v>46046</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40556-2025</t>
        </is>
      </c>
      <c r="B588" s="1" t="n">
        <v>45896.44944444444</v>
      </c>
      <c r="C588" s="1" t="n">
        <v>46046</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40620-2025</t>
        </is>
      </c>
      <c r="B589" s="1" t="n">
        <v>45896.58609953704</v>
      </c>
      <c r="C589" s="1" t="n">
        <v>46046</v>
      </c>
      <c r="D589" t="inlineStr">
        <is>
          <t>VÄSTMANLANDS LÄN</t>
        </is>
      </c>
      <c r="E589" t="inlineStr">
        <is>
          <t>SALA</t>
        </is>
      </c>
      <c r="G589" t="n">
        <v>6.7</v>
      </c>
      <c r="H589" t="n">
        <v>0</v>
      </c>
      <c r="I589" t="n">
        <v>0</v>
      </c>
      <c r="J589" t="n">
        <v>0</v>
      </c>
      <c r="K589" t="n">
        <v>0</v>
      </c>
      <c r="L589" t="n">
        <v>0</v>
      </c>
      <c r="M589" t="n">
        <v>0</v>
      </c>
      <c r="N589" t="n">
        <v>0</v>
      </c>
      <c r="O589" t="n">
        <v>0</v>
      </c>
      <c r="P589" t="n">
        <v>0</v>
      </c>
      <c r="Q589" t="n">
        <v>0</v>
      </c>
      <c r="R589" s="2" t="inlineStr"/>
    </row>
    <row r="590" ht="15" customHeight="1">
      <c r="A590" t="inlineStr">
        <is>
          <t>A 60550-2024</t>
        </is>
      </c>
      <c r="B590" s="1" t="n">
        <v>45643</v>
      </c>
      <c r="C590" s="1" t="n">
        <v>46046</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13746-2025</t>
        </is>
      </c>
      <c r="B591" s="1" t="n">
        <v>45737.40944444444</v>
      </c>
      <c r="C591" s="1" t="n">
        <v>46046</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41230-2025</t>
        </is>
      </c>
      <c r="B592" s="1" t="n">
        <v>45898</v>
      </c>
      <c r="C592" s="1" t="n">
        <v>46046</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29230-2022</t>
        </is>
      </c>
      <c r="B593" s="1" t="n">
        <v>44750</v>
      </c>
      <c r="C593" s="1" t="n">
        <v>46046</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59175-2022</t>
        </is>
      </c>
      <c r="B594" s="1" t="n">
        <v>44904.48502314815</v>
      </c>
      <c r="C594" s="1" t="n">
        <v>46046</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19381-2025</t>
        </is>
      </c>
      <c r="B595" s="1" t="n">
        <v>45769</v>
      </c>
      <c r="C595" s="1" t="n">
        <v>46046</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41414-2025</t>
        </is>
      </c>
      <c r="B596" s="1" t="n">
        <v>45901.360625</v>
      </c>
      <c r="C596" s="1" t="n">
        <v>46046</v>
      </c>
      <c r="D596" t="inlineStr">
        <is>
          <t>VÄSTMANLANDS LÄN</t>
        </is>
      </c>
      <c r="E596" t="inlineStr">
        <is>
          <t>SALA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42938-2023</t>
        </is>
      </c>
      <c r="B597" s="1" t="n">
        <v>45179</v>
      </c>
      <c r="C597" s="1" t="n">
        <v>46046</v>
      </c>
      <c r="D597" t="inlineStr">
        <is>
          <t>VÄSTMANLANDS LÄN</t>
        </is>
      </c>
      <c r="E597" t="inlineStr">
        <is>
          <t>SALA</t>
        </is>
      </c>
      <c r="G597" t="n">
        <v>10.9</v>
      </c>
      <c r="H597" t="n">
        <v>0</v>
      </c>
      <c r="I597" t="n">
        <v>0</v>
      </c>
      <c r="J597" t="n">
        <v>0</v>
      </c>
      <c r="K597" t="n">
        <v>0</v>
      </c>
      <c r="L597" t="n">
        <v>0</v>
      </c>
      <c r="M597" t="n">
        <v>0</v>
      </c>
      <c r="N597" t="n">
        <v>0</v>
      </c>
      <c r="O597" t="n">
        <v>0</v>
      </c>
      <c r="P597" t="n">
        <v>0</v>
      </c>
      <c r="Q597" t="n">
        <v>0</v>
      </c>
      <c r="R597" s="2" t="inlineStr"/>
    </row>
    <row r="598" ht="15" customHeight="1">
      <c r="A598" t="inlineStr">
        <is>
          <t>A 19222-2025</t>
        </is>
      </c>
      <c r="B598" s="1" t="n">
        <v>45769</v>
      </c>
      <c r="C598" s="1" t="n">
        <v>46046</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19241-2025</t>
        </is>
      </c>
      <c r="B599" s="1" t="n">
        <v>45769</v>
      </c>
      <c r="C599" s="1" t="n">
        <v>46046</v>
      </c>
      <c r="D599" t="inlineStr">
        <is>
          <t>VÄSTMANLANDS LÄN</t>
        </is>
      </c>
      <c r="E599" t="inlineStr">
        <is>
          <t>SALA</t>
        </is>
      </c>
      <c r="G599" t="n">
        <v>3.6</v>
      </c>
      <c r="H599" t="n">
        <v>0</v>
      </c>
      <c r="I599" t="n">
        <v>0</v>
      </c>
      <c r="J599" t="n">
        <v>0</v>
      </c>
      <c r="K599" t="n">
        <v>0</v>
      </c>
      <c r="L599" t="n">
        <v>0</v>
      </c>
      <c r="M599" t="n">
        <v>0</v>
      </c>
      <c r="N599" t="n">
        <v>0</v>
      </c>
      <c r="O599" t="n">
        <v>0</v>
      </c>
      <c r="P599" t="n">
        <v>0</v>
      </c>
      <c r="Q599" t="n">
        <v>0</v>
      </c>
      <c r="R599" s="2" t="inlineStr"/>
    </row>
    <row r="600" ht="15" customHeight="1">
      <c r="A600" t="inlineStr">
        <is>
          <t>A 61717-2024</t>
        </is>
      </c>
      <c r="B600" s="1" t="n">
        <v>45648</v>
      </c>
      <c r="C600" s="1" t="n">
        <v>46046</v>
      </c>
      <c r="D600" t="inlineStr">
        <is>
          <t>VÄSTMANLANDS LÄN</t>
        </is>
      </c>
      <c r="E600" t="inlineStr">
        <is>
          <t>SALA</t>
        </is>
      </c>
      <c r="G600" t="n">
        <v>3.7</v>
      </c>
      <c r="H600" t="n">
        <v>0</v>
      </c>
      <c r="I600" t="n">
        <v>0</v>
      </c>
      <c r="J600" t="n">
        <v>0</v>
      </c>
      <c r="K600" t="n">
        <v>0</v>
      </c>
      <c r="L600" t="n">
        <v>0</v>
      </c>
      <c r="M600" t="n">
        <v>0</v>
      </c>
      <c r="N600" t="n">
        <v>0</v>
      </c>
      <c r="O600" t="n">
        <v>0</v>
      </c>
      <c r="P600" t="n">
        <v>0</v>
      </c>
      <c r="Q600" t="n">
        <v>0</v>
      </c>
      <c r="R600" s="2" t="inlineStr"/>
    </row>
    <row r="601" ht="15" customHeight="1">
      <c r="A601" t="inlineStr">
        <is>
          <t>A 53164-2024</t>
        </is>
      </c>
      <c r="B601" s="1" t="n">
        <v>45611.64887731482</v>
      </c>
      <c r="C601" s="1" t="n">
        <v>46046</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41431-2025</t>
        </is>
      </c>
      <c r="B602" s="1" t="n">
        <v>45901.39347222223</v>
      </c>
      <c r="C602" s="1" t="n">
        <v>46046</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60823-2024</t>
        </is>
      </c>
      <c r="B603" s="1" t="n">
        <v>45644</v>
      </c>
      <c r="C603" s="1" t="n">
        <v>46046</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61681-2024</t>
        </is>
      </c>
      <c r="B604" s="1" t="n">
        <v>45647</v>
      </c>
      <c r="C604" s="1" t="n">
        <v>46046</v>
      </c>
      <c r="D604" t="inlineStr">
        <is>
          <t>VÄSTMANLANDS LÄN</t>
        </is>
      </c>
      <c r="E604" t="inlineStr">
        <is>
          <t>SALA</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21968-2024</t>
        </is>
      </c>
      <c r="B605" s="1" t="n">
        <v>45443</v>
      </c>
      <c r="C605" s="1" t="n">
        <v>46046</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49661-2024</t>
        </is>
      </c>
      <c r="B606" s="1" t="n">
        <v>45596</v>
      </c>
      <c r="C606" s="1" t="n">
        <v>46046</v>
      </c>
      <c r="D606" t="inlineStr">
        <is>
          <t>VÄSTMANLANDS LÄN</t>
        </is>
      </c>
      <c r="E606" t="inlineStr">
        <is>
          <t>SALA</t>
        </is>
      </c>
      <c r="G606" t="n">
        <v>6.7</v>
      </c>
      <c r="H606" t="n">
        <v>0</v>
      </c>
      <c r="I606" t="n">
        <v>0</v>
      </c>
      <c r="J606" t="n">
        <v>0</v>
      </c>
      <c r="K606" t="n">
        <v>0</v>
      </c>
      <c r="L606" t="n">
        <v>0</v>
      </c>
      <c r="M606" t="n">
        <v>0</v>
      </c>
      <c r="N606" t="n">
        <v>0</v>
      </c>
      <c r="O606" t="n">
        <v>0</v>
      </c>
      <c r="P606" t="n">
        <v>0</v>
      </c>
      <c r="Q606" t="n">
        <v>0</v>
      </c>
      <c r="R606" s="2" t="inlineStr"/>
    </row>
    <row r="607" ht="15" customHeight="1">
      <c r="A607" t="inlineStr">
        <is>
          <t>A 59297-2023</t>
        </is>
      </c>
      <c r="B607" s="1" t="n">
        <v>45253</v>
      </c>
      <c r="C607" s="1" t="n">
        <v>46046</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42421-2025</t>
        </is>
      </c>
      <c r="B608" s="1" t="n">
        <v>45905.40067129629</v>
      </c>
      <c r="C608" s="1" t="n">
        <v>46046</v>
      </c>
      <c r="D608" t="inlineStr">
        <is>
          <t>VÄSTMANLANDS LÄN</t>
        </is>
      </c>
      <c r="E608" t="inlineStr">
        <is>
          <t>SALA</t>
        </is>
      </c>
      <c r="G608" t="n">
        <v>1.3</v>
      </c>
      <c r="H608" t="n">
        <v>0</v>
      </c>
      <c r="I608" t="n">
        <v>0</v>
      </c>
      <c r="J608" t="n">
        <v>0</v>
      </c>
      <c r="K608" t="n">
        <v>0</v>
      </c>
      <c r="L608" t="n">
        <v>0</v>
      </c>
      <c r="M608" t="n">
        <v>0</v>
      </c>
      <c r="N608" t="n">
        <v>0</v>
      </c>
      <c r="O608" t="n">
        <v>0</v>
      </c>
      <c r="P608" t="n">
        <v>0</v>
      </c>
      <c r="Q608" t="n">
        <v>0</v>
      </c>
      <c r="R608" s="2" t="inlineStr"/>
    </row>
    <row r="609" ht="15" customHeight="1">
      <c r="A609" t="inlineStr">
        <is>
          <t>A 17495-2024</t>
        </is>
      </c>
      <c r="B609" s="1" t="n">
        <v>45415</v>
      </c>
      <c r="C609" s="1" t="n">
        <v>46046</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15965-2024</t>
        </is>
      </c>
      <c r="B610" s="1" t="n">
        <v>45405.55740740741</v>
      </c>
      <c r="C610" s="1" t="n">
        <v>46046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37263-2025</t>
        </is>
      </c>
      <c r="B611" s="1" t="n">
        <v>45876.4584837963</v>
      </c>
      <c r="C611" s="1" t="n">
        <v>46046</v>
      </c>
      <c r="D611" t="inlineStr">
        <is>
          <t>VÄSTMANLANDS LÄN</t>
        </is>
      </c>
      <c r="E611" t="inlineStr">
        <is>
          <t>SALA</t>
        </is>
      </c>
      <c r="G611" t="n">
        <v>2.3</v>
      </c>
      <c r="H611" t="n">
        <v>0</v>
      </c>
      <c r="I611" t="n">
        <v>0</v>
      </c>
      <c r="J611" t="n">
        <v>0</v>
      </c>
      <c r="K611" t="n">
        <v>0</v>
      </c>
      <c r="L611" t="n">
        <v>0</v>
      </c>
      <c r="M611" t="n">
        <v>0</v>
      </c>
      <c r="N611" t="n">
        <v>0</v>
      </c>
      <c r="O611" t="n">
        <v>0</v>
      </c>
      <c r="P611" t="n">
        <v>0</v>
      </c>
      <c r="Q611" t="n">
        <v>0</v>
      </c>
      <c r="R611" s="2" t="inlineStr"/>
    </row>
    <row r="612" ht="15" customHeight="1">
      <c r="A612" t="inlineStr">
        <is>
          <t>A 43127-2025</t>
        </is>
      </c>
      <c r="B612" s="1" t="n">
        <v>45909</v>
      </c>
      <c r="C612" s="1" t="n">
        <v>46046</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43128-2025</t>
        </is>
      </c>
      <c r="B613" s="1" t="n">
        <v>45909</v>
      </c>
      <c r="C613" s="1" t="n">
        <v>46046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40554-2025</t>
        </is>
      </c>
      <c r="B614" s="1" t="n">
        <v>45896.44506944445</v>
      </c>
      <c r="C614" s="1" t="n">
        <v>46046</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43129-2025</t>
        </is>
      </c>
      <c r="B615" s="1" t="n">
        <v>45909</v>
      </c>
      <c r="C615" s="1" t="n">
        <v>46046</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43130-2025</t>
        </is>
      </c>
      <c r="B616" s="1" t="n">
        <v>45909</v>
      </c>
      <c r="C616" s="1" t="n">
        <v>46046</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23180-2022</t>
        </is>
      </c>
      <c r="B617" s="1" t="n">
        <v>44719.79344907407</v>
      </c>
      <c r="C617" s="1" t="n">
        <v>46046</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21455-2023</t>
        </is>
      </c>
      <c r="B618" s="1" t="n">
        <v>45058</v>
      </c>
      <c r="C618" s="1" t="n">
        <v>46046</v>
      </c>
      <c r="D618" t="inlineStr">
        <is>
          <t>VÄSTMANLANDS LÄN</t>
        </is>
      </c>
      <c r="E618" t="inlineStr">
        <is>
          <t>SALA</t>
        </is>
      </c>
      <c r="G618" t="n">
        <v>6.4</v>
      </c>
      <c r="H618" t="n">
        <v>0</v>
      </c>
      <c r="I618" t="n">
        <v>0</v>
      </c>
      <c r="J618" t="n">
        <v>0</v>
      </c>
      <c r="K618" t="n">
        <v>0</v>
      </c>
      <c r="L618" t="n">
        <v>0</v>
      </c>
      <c r="M618" t="n">
        <v>0</v>
      </c>
      <c r="N618" t="n">
        <v>0</v>
      </c>
      <c r="O618" t="n">
        <v>0</v>
      </c>
      <c r="P618" t="n">
        <v>0</v>
      </c>
      <c r="Q618" t="n">
        <v>0</v>
      </c>
      <c r="R618" s="2" t="inlineStr"/>
    </row>
    <row r="619" ht="15" customHeight="1">
      <c r="A619" t="inlineStr">
        <is>
          <t>A 43028-2025</t>
        </is>
      </c>
      <c r="B619" s="1" t="n">
        <v>45909.53472222222</v>
      </c>
      <c r="C619" s="1" t="n">
        <v>46046</v>
      </c>
      <c r="D619" t="inlineStr">
        <is>
          <t>VÄSTMANLANDS LÄN</t>
        </is>
      </c>
      <c r="E619" t="inlineStr">
        <is>
          <t>SALA</t>
        </is>
      </c>
      <c r="G619" t="n">
        <v>3.8</v>
      </c>
      <c r="H619" t="n">
        <v>0</v>
      </c>
      <c r="I619" t="n">
        <v>0</v>
      </c>
      <c r="J619" t="n">
        <v>0</v>
      </c>
      <c r="K619" t="n">
        <v>0</v>
      </c>
      <c r="L619" t="n">
        <v>0</v>
      </c>
      <c r="M619" t="n">
        <v>0</v>
      </c>
      <c r="N619" t="n">
        <v>0</v>
      </c>
      <c r="O619" t="n">
        <v>0</v>
      </c>
      <c r="P619" t="n">
        <v>0</v>
      </c>
      <c r="Q619" t="n">
        <v>0</v>
      </c>
      <c r="R619" s="2" t="inlineStr"/>
    </row>
    <row r="620" ht="15" customHeight="1">
      <c r="A620" t="inlineStr">
        <is>
          <t>A 43031-2025</t>
        </is>
      </c>
      <c r="B620" s="1" t="n">
        <v>45909.53856481481</v>
      </c>
      <c r="C620" s="1" t="n">
        <v>46046</v>
      </c>
      <c r="D620" t="inlineStr">
        <is>
          <t>VÄSTMANLANDS LÄN</t>
        </is>
      </c>
      <c r="E620" t="inlineStr">
        <is>
          <t>SALA</t>
        </is>
      </c>
      <c r="G620" t="n">
        <v>0.2</v>
      </c>
      <c r="H620" t="n">
        <v>0</v>
      </c>
      <c r="I620" t="n">
        <v>0</v>
      </c>
      <c r="J620" t="n">
        <v>0</v>
      </c>
      <c r="K620" t="n">
        <v>0</v>
      </c>
      <c r="L620" t="n">
        <v>0</v>
      </c>
      <c r="M620" t="n">
        <v>0</v>
      </c>
      <c r="N620" t="n">
        <v>0</v>
      </c>
      <c r="O620" t="n">
        <v>0</v>
      </c>
      <c r="P620" t="n">
        <v>0</v>
      </c>
      <c r="Q620" t="n">
        <v>0</v>
      </c>
      <c r="R620" s="2" t="inlineStr"/>
    </row>
    <row r="621" ht="15" customHeight="1">
      <c r="A621" t="inlineStr">
        <is>
          <t>A 43328-2025</t>
        </is>
      </c>
      <c r="B621" s="1" t="n">
        <v>45910</v>
      </c>
      <c r="C621" s="1" t="n">
        <v>46046</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21053-2022</t>
        </is>
      </c>
      <c r="B622" s="1" t="n">
        <v>44704</v>
      </c>
      <c r="C622" s="1" t="n">
        <v>46046</v>
      </c>
      <c r="D622" t="inlineStr">
        <is>
          <t>VÄSTMANLANDS LÄN</t>
        </is>
      </c>
      <c r="E622" t="inlineStr">
        <is>
          <t>SALA</t>
        </is>
      </c>
      <c r="G622" t="n">
        <v>2</v>
      </c>
      <c r="H622" t="n">
        <v>0</v>
      </c>
      <c r="I622" t="n">
        <v>0</v>
      </c>
      <c r="J622" t="n">
        <v>0</v>
      </c>
      <c r="K622" t="n">
        <v>0</v>
      </c>
      <c r="L622" t="n">
        <v>0</v>
      </c>
      <c r="M622" t="n">
        <v>0</v>
      </c>
      <c r="N622" t="n">
        <v>0</v>
      </c>
      <c r="O622" t="n">
        <v>0</v>
      </c>
      <c r="P622" t="n">
        <v>0</v>
      </c>
      <c r="Q622" t="n">
        <v>0</v>
      </c>
      <c r="R622" s="2" t="inlineStr"/>
    </row>
    <row r="623" ht="15" customHeight="1">
      <c r="A623" t="inlineStr">
        <is>
          <t>A 11927-2025</t>
        </is>
      </c>
      <c r="B623" s="1" t="n">
        <v>45728.5137962963</v>
      </c>
      <c r="C623" s="1" t="n">
        <v>46046</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44100-2025</t>
        </is>
      </c>
      <c r="B624" s="1" t="n">
        <v>45915.56707175926</v>
      </c>
      <c r="C624" s="1" t="n">
        <v>46046</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50876-2023</t>
        </is>
      </c>
      <c r="B625" s="1" t="n">
        <v>45211</v>
      </c>
      <c r="C625" s="1" t="n">
        <v>46046</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10255-2024</t>
        </is>
      </c>
      <c r="B626" s="1" t="n">
        <v>45365</v>
      </c>
      <c r="C626" s="1" t="n">
        <v>46046</v>
      </c>
      <c r="D626" t="inlineStr">
        <is>
          <t>VÄSTMANLANDS LÄN</t>
        </is>
      </c>
      <c r="E626" t="inlineStr">
        <is>
          <t>SALA</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46046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56548-2024</t>
        </is>
      </c>
      <c r="B628" s="1" t="n">
        <v>45625</v>
      </c>
      <c r="C628" s="1" t="n">
        <v>46046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44524-2025</t>
        </is>
      </c>
      <c r="B629" s="1" t="n">
        <v>45916.72920138889</v>
      </c>
      <c r="C629" s="1" t="n">
        <v>46046</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44486-2025</t>
        </is>
      </c>
      <c r="B630" s="1" t="n">
        <v>45916.65517361111</v>
      </c>
      <c r="C630" s="1" t="n">
        <v>46046</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5477-2024</t>
        </is>
      </c>
      <c r="B631" s="1" t="n">
        <v>45333.67833333334</v>
      </c>
      <c r="C631" s="1" t="n">
        <v>46046</v>
      </c>
      <c r="D631" t="inlineStr">
        <is>
          <t>VÄSTMANLANDS LÄN</t>
        </is>
      </c>
      <c r="E631" t="inlineStr">
        <is>
          <t>SALA</t>
        </is>
      </c>
      <c r="G631" t="n">
        <v>2.3</v>
      </c>
      <c r="H631" t="n">
        <v>0</v>
      </c>
      <c r="I631" t="n">
        <v>0</v>
      </c>
      <c r="J631" t="n">
        <v>0</v>
      </c>
      <c r="K631" t="n">
        <v>0</v>
      </c>
      <c r="L631" t="n">
        <v>0</v>
      </c>
      <c r="M631" t="n">
        <v>0</v>
      </c>
      <c r="N631" t="n">
        <v>0</v>
      </c>
      <c r="O631" t="n">
        <v>0</v>
      </c>
      <c r="P631" t="n">
        <v>0</v>
      </c>
      <c r="Q631" t="n">
        <v>0</v>
      </c>
      <c r="R631" s="2" t="inlineStr"/>
    </row>
    <row r="632" ht="15" customHeight="1">
      <c r="A632" t="inlineStr">
        <is>
          <t>A 39451-2022</t>
        </is>
      </c>
      <c r="B632" s="1" t="n">
        <v>44818.36606481481</v>
      </c>
      <c r="C632" s="1" t="n">
        <v>46046</v>
      </c>
      <c r="D632" t="inlineStr">
        <is>
          <t>VÄSTMANLANDS LÄN</t>
        </is>
      </c>
      <c r="E632" t="inlineStr">
        <is>
          <t>SALA</t>
        </is>
      </c>
      <c r="G632" t="n">
        <v>9.4</v>
      </c>
      <c r="H632" t="n">
        <v>0</v>
      </c>
      <c r="I632" t="n">
        <v>0</v>
      </c>
      <c r="J632" t="n">
        <v>0</v>
      </c>
      <c r="K632" t="n">
        <v>0</v>
      </c>
      <c r="L632" t="n">
        <v>0</v>
      </c>
      <c r="M632" t="n">
        <v>0</v>
      </c>
      <c r="N632" t="n">
        <v>0</v>
      </c>
      <c r="O632" t="n">
        <v>0</v>
      </c>
      <c r="P632" t="n">
        <v>0</v>
      </c>
      <c r="Q632" t="n">
        <v>0</v>
      </c>
      <c r="R632" s="2" t="inlineStr"/>
    </row>
    <row r="633" ht="15" customHeight="1">
      <c r="A633" t="inlineStr">
        <is>
          <t>A 45177-2025</t>
        </is>
      </c>
      <c r="B633" s="1" t="n">
        <v>45919.52444444445</v>
      </c>
      <c r="C633" s="1" t="n">
        <v>46046</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44973.40076388889</v>
      </c>
      <c r="C634" s="1" t="n">
        <v>46046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43122-2025</t>
        </is>
      </c>
      <c r="B635" s="1" t="n">
        <v>45909</v>
      </c>
      <c r="C635" s="1" t="n">
        <v>46046</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19751-2022</t>
        </is>
      </c>
      <c r="B636" s="1" t="n">
        <v>44694</v>
      </c>
      <c r="C636" s="1" t="n">
        <v>46046</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45371-2025</t>
        </is>
      </c>
      <c r="B637" s="1" t="n">
        <v>45922.39001157408</v>
      </c>
      <c r="C637" s="1" t="n">
        <v>46046</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44713-2023</t>
        </is>
      </c>
      <c r="B638" s="1" t="n">
        <v>45184</v>
      </c>
      <c r="C638" s="1" t="n">
        <v>46046</v>
      </c>
      <c r="D638" t="inlineStr">
        <is>
          <t>VÄSTMANLANDS LÄN</t>
        </is>
      </c>
      <c r="E638" t="inlineStr">
        <is>
          <t>SALA</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18713-2025</t>
        </is>
      </c>
      <c r="B639" s="1" t="n">
        <v>45763</v>
      </c>
      <c r="C639" s="1" t="n">
        <v>46046</v>
      </c>
      <c r="D639" t="inlineStr">
        <is>
          <t>VÄSTMANLANDS LÄN</t>
        </is>
      </c>
      <c r="E639" t="inlineStr">
        <is>
          <t>SALA</t>
        </is>
      </c>
      <c r="F639" t="inlineStr">
        <is>
          <t>Bergvik skog öst AB</t>
        </is>
      </c>
      <c r="G639" t="n">
        <v>11.6</v>
      </c>
      <c r="H639" t="n">
        <v>0</v>
      </c>
      <c r="I639" t="n">
        <v>0</v>
      </c>
      <c r="J639" t="n">
        <v>0</v>
      </c>
      <c r="K639" t="n">
        <v>0</v>
      </c>
      <c r="L639" t="n">
        <v>0</v>
      </c>
      <c r="M639" t="n">
        <v>0</v>
      </c>
      <c r="N639" t="n">
        <v>0</v>
      </c>
      <c r="O639" t="n">
        <v>0</v>
      </c>
      <c r="P639" t="n">
        <v>0</v>
      </c>
      <c r="Q639" t="n">
        <v>0</v>
      </c>
      <c r="R639" s="2" t="inlineStr"/>
    </row>
    <row r="640" ht="15" customHeight="1">
      <c r="A640" t="inlineStr">
        <is>
          <t>A 47479-2024</t>
        </is>
      </c>
      <c r="B640" s="1" t="n">
        <v>45587</v>
      </c>
      <c r="C640" s="1" t="n">
        <v>46046</v>
      </c>
      <c r="D640" t="inlineStr">
        <is>
          <t>VÄSTMANLANDS LÄN</t>
        </is>
      </c>
      <c r="E640" t="inlineStr">
        <is>
          <t>SALA</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69236-2021</t>
        </is>
      </c>
      <c r="B641" s="1" t="n">
        <v>44531.4047337963</v>
      </c>
      <c r="C641" s="1" t="n">
        <v>46046</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25541-2024</t>
        </is>
      </c>
      <c r="B642" s="1" t="n">
        <v>45463.56337962963</v>
      </c>
      <c r="C642" s="1" t="n">
        <v>46046</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45914-2025</t>
        </is>
      </c>
      <c r="B643" s="1" t="n">
        <v>45923.82582175926</v>
      </c>
      <c r="C643" s="1" t="n">
        <v>46046</v>
      </c>
      <c r="D643" t="inlineStr">
        <is>
          <t>VÄSTMANLANDS LÄN</t>
        </is>
      </c>
      <c r="E643" t="inlineStr">
        <is>
          <t>SALA</t>
        </is>
      </c>
      <c r="F643" t="inlineStr">
        <is>
          <t>Kommuner</t>
        </is>
      </c>
      <c r="G643" t="n">
        <v>18.2</v>
      </c>
      <c r="H643" t="n">
        <v>0</v>
      </c>
      <c r="I643" t="n">
        <v>0</v>
      </c>
      <c r="J643" t="n">
        <v>0</v>
      </c>
      <c r="K643" t="n">
        <v>0</v>
      </c>
      <c r="L643" t="n">
        <v>0</v>
      </c>
      <c r="M643" t="n">
        <v>0</v>
      </c>
      <c r="N643" t="n">
        <v>0</v>
      </c>
      <c r="O643" t="n">
        <v>0</v>
      </c>
      <c r="P643" t="n">
        <v>0</v>
      </c>
      <c r="Q643" t="n">
        <v>0</v>
      </c>
      <c r="R643" s="2" t="inlineStr"/>
    </row>
    <row r="644" ht="15" customHeight="1">
      <c r="A644" t="inlineStr">
        <is>
          <t>A 45909-2025</t>
        </is>
      </c>
      <c r="B644" s="1" t="n">
        <v>45923.75078703704</v>
      </c>
      <c r="C644" s="1" t="n">
        <v>46046</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5728-2022</t>
        </is>
      </c>
      <c r="B645" s="1" t="n">
        <v>44596.42082175926</v>
      </c>
      <c r="C645" s="1" t="n">
        <v>46046</v>
      </c>
      <c r="D645" t="inlineStr">
        <is>
          <t>VÄSTMANLANDS LÄN</t>
        </is>
      </c>
      <c r="E645" t="inlineStr">
        <is>
          <t>SALA</t>
        </is>
      </c>
      <c r="G645" t="n">
        <v>1.7</v>
      </c>
      <c r="H645" t="n">
        <v>0</v>
      </c>
      <c r="I645" t="n">
        <v>0</v>
      </c>
      <c r="J645" t="n">
        <v>0</v>
      </c>
      <c r="K645" t="n">
        <v>0</v>
      </c>
      <c r="L645" t="n">
        <v>0</v>
      </c>
      <c r="M645" t="n">
        <v>0</v>
      </c>
      <c r="N645" t="n">
        <v>0</v>
      </c>
      <c r="O645" t="n">
        <v>0</v>
      </c>
      <c r="P645" t="n">
        <v>0</v>
      </c>
      <c r="Q645" t="n">
        <v>0</v>
      </c>
      <c r="R645" s="2" t="inlineStr"/>
    </row>
    <row r="646" ht="15" customHeight="1">
      <c r="A646" t="inlineStr">
        <is>
          <t>A 46915-2025</t>
        </is>
      </c>
      <c r="B646" s="1" t="n">
        <v>45929.42114583333</v>
      </c>
      <c r="C646" s="1" t="n">
        <v>46046</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10250-2025</t>
        </is>
      </c>
      <c r="B647" s="1" t="n">
        <v>45720.36165509259</v>
      </c>
      <c r="C647" s="1" t="n">
        <v>46046</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46597-2025</t>
        </is>
      </c>
      <c r="B648" s="1" t="n">
        <v>45926.40113425926</v>
      </c>
      <c r="C648" s="1" t="n">
        <v>46046</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46046</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42416-2022</t>
        </is>
      </c>
      <c r="B650" s="1" t="n">
        <v>44831</v>
      </c>
      <c r="C650" s="1" t="n">
        <v>46046</v>
      </c>
      <c r="D650" t="inlineStr">
        <is>
          <t>VÄSTMANLANDS LÄN</t>
        </is>
      </c>
      <c r="E650" t="inlineStr">
        <is>
          <t>SALA</t>
        </is>
      </c>
      <c r="G650" t="n">
        <v>2.2</v>
      </c>
      <c r="H650" t="n">
        <v>0</v>
      </c>
      <c r="I650" t="n">
        <v>0</v>
      </c>
      <c r="J650" t="n">
        <v>0</v>
      </c>
      <c r="K650" t="n">
        <v>0</v>
      </c>
      <c r="L650" t="n">
        <v>0</v>
      </c>
      <c r="M650" t="n">
        <v>0</v>
      </c>
      <c r="N650" t="n">
        <v>0</v>
      </c>
      <c r="O650" t="n">
        <v>0</v>
      </c>
      <c r="P650" t="n">
        <v>0</v>
      </c>
      <c r="Q650" t="n">
        <v>0</v>
      </c>
      <c r="R650" s="2" t="inlineStr"/>
    </row>
    <row r="651" ht="15" customHeight="1">
      <c r="A651" t="inlineStr">
        <is>
          <t>A 6135-2023</t>
        </is>
      </c>
      <c r="B651" s="1" t="n">
        <v>44964.62628472222</v>
      </c>
      <c r="C651" s="1" t="n">
        <v>46046</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16693-2023</t>
        </is>
      </c>
      <c r="B652" s="1" t="n">
        <v>45028</v>
      </c>
      <c r="C652" s="1" t="n">
        <v>46046</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8285-2025</t>
        </is>
      </c>
      <c r="B653" s="1" t="n">
        <v>45708</v>
      </c>
      <c r="C653" s="1" t="n">
        <v>46046</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47577-2025</t>
        </is>
      </c>
      <c r="B654" s="1" t="n">
        <v>45931.4047337963</v>
      </c>
      <c r="C654" s="1" t="n">
        <v>46046</v>
      </c>
      <c r="D654" t="inlineStr">
        <is>
          <t>VÄSTMANLANDS LÄN</t>
        </is>
      </c>
      <c r="E654" t="inlineStr">
        <is>
          <t>SALA</t>
        </is>
      </c>
      <c r="G654" t="n">
        <v>3.7</v>
      </c>
      <c r="H654" t="n">
        <v>0</v>
      </c>
      <c r="I654" t="n">
        <v>0</v>
      </c>
      <c r="J654" t="n">
        <v>0</v>
      </c>
      <c r="K654" t="n">
        <v>0</v>
      </c>
      <c r="L654" t="n">
        <v>0</v>
      </c>
      <c r="M654" t="n">
        <v>0</v>
      </c>
      <c r="N654" t="n">
        <v>0</v>
      </c>
      <c r="O654" t="n">
        <v>0</v>
      </c>
      <c r="P654" t="n">
        <v>0</v>
      </c>
      <c r="Q654" t="n">
        <v>0</v>
      </c>
      <c r="R654" s="2" t="inlineStr"/>
    </row>
    <row r="655" ht="15" customHeight="1">
      <c r="A655" t="inlineStr">
        <is>
          <t>A 15584-2021</t>
        </is>
      </c>
      <c r="B655" s="1" t="n">
        <v>44285</v>
      </c>
      <c r="C655" s="1" t="n">
        <v>46046</v>
      </c>
      <c r="D655" t="inlineStr">
        <is>
          <t>VÄSTMANLANDS LÄN</t>
        </is>
      </c>
      <c r="E655" t="inlineStr">
        <is>
          <t>SALA</t>
        </is>
      </c>
      <c r="G655" t="n">
        <v>3.4</v>
      </c>
      <c r="H655" t="n">
        <v>0</v>
      </c>
      <c r="I655" t="n">
        <v>0</v>
      </c>
      <c r="J655" t="n">
        <v>0</v>
      </c>
      <c r="K655" t="n">
        <v>0</v>
      </c>
      <c r="L655" t="n">
        <v>0</v>
      </c>
      <c r="M655" t="n">
        <v>0</v>
      </c>
      <c r="N655" t="n">
        <v>0</v>
      </c>
      <c r="O655" t="n">
        <v>0</v>
      </c>
      <c r="P655" t="n">
        <v>0</v>
      </c>
      <c r="Q655" t="n">
        <v>0</v>
      </c>
      <c r="R655" s="2" t="inlineStr"/>
    </row>
    <row r="656" ht="15" customHeight="1">
      <c r="A656" t="inlineStr">
        <is>
          <t>A 46661-2025</t>
        </is>
      </c>
      <c r="B656" s="1" t="n">
        <v>45926</v>
      </c>
      <c r="C656" s="1" t="n">
        <v>46046</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18340-2025</t>
        </is>
      </c>
      <c r="B657" s="1" t="n">
        <v>45762</v>
      </c>
      <c r="C657" s="1" t="n">
        <v>46046</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48057-2025</t>
        </is>
      </c>
      <c r="B658" s="1" t="n">
        <v>45932.67947916667</v>
      </c>
      <c r="C658" s="1" t="n">
        <v>46046</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56706-2022</t>
        </is>
      </c>
      <c r="B659" s="1" t="n">
        <v>44893.78893518518</v>
      </c>
      <c r="C659" s="1" t="n">
        <v>46046</v>
      </c>
      <c r="D659" t="inlineStr">
        <is>
          <t>VÄSTMANLANDS LÄN</t>
        </is>
      </c>
      <c r="E659" t="inlineStr">
        <is>
          <t>SALA</t>
        </is>
      </c>
      <c r="G659" t="n">
        <v>4.5</v>
      </c>
      <c r="H659" t="n">
        <v>0</v>
      </c>
      <c r="I659" t="n">
        <v>0</v>
      </c>
      <c r="J659" t="n">
        <v>0</v>
      </c>
      <c r="K659" t="n">
        <v>0</v>
      </c>
      <c r="L659" t="n">
        <v>0</v>
      </c>
      <c r="M659" t="n">
        <v>0</v>
      </c>
      <c r="N659" t="n">
        <v>0</v>
      </c>
      <c r="O659" t="n">
        <v>0</v>
      </c>
      <c r="P659" t="n">
        <v>0</v>
      </c>
      <c r="Q659" t="n">
        <v>0</v>
      </c>
      <c r="R659" s="2" t="inlineStr"/>
    </row>
    <row r="660" ht="15" customHeight="1">
      <c r="A660" t="inlineStr">
        <is>
          <t>A 56707-2022</t>
        </is>
      </c>
      <c r="B660" s="1" t="n">
        <v>44893.79412037037</v>
      </c>
      <c r="C660" s="1" t="n">
        <v>46046</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48571-2024</t>
        </is>
      </c>
      <c r="B661" s="1" t="n">
        <v>45591</v>
      </c>
      <c r="C661" s="1" t="n">
        <v>46046</v>
      </c>
      <c r="D661" t="inlineStr">
        <is>
          <t>VÄSTMANLANDS LÄN</t>
        </is>
      </c>
      <c r="E661" t="inlineStr">
        <is>
          <t>SALA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48710-2025</t>
        </is>
      </c>
      <c r="B662" s="1" t="n">
        <v>45936.63184027778</v>
      </c>
      <c r="C662" s="1" t="n">
        <v>46046</v>
      </c>
      <c r="D662" t="inlineStr">
        <is>
          <t>VÄSTMANLANDS LÄN</t>
        </is>
      </c>
      <c r="E662" t="inlineStr">
        <is>
          <t>SALA</t>
        </is>
      </c>
      <c r="G662" t="n">
        <v>2.7</v>
      </c>
      <c r="H662" t="n">
        <v>0</v>
      </c>
      <c r="I662" t="n">
        <v>0</v>
      </c>
      <c r="J662" t="n">
        <v>0</v>
      </c>
      <c r="K662" t="n">
        <v>0</v>
      </c>
      <c r="L662" t="n">
        <v>0</v>
      </c>
      <c r="M662" t="n">
        <v>0</v>
      </c>
      <c r="N662" t="n">
        <v>0</v>
      </c>
      <c r="O662" t="n">
        <v>0</v>
      </c>
      <c r="P662" t="n">
        <v>0</v>
      </c>
      <c r="Q662" t="n">
        <v>0</v>
      </c>
      <c r="R662" s="2" t="inlineStr"/>
    </row>
    <row r="663" ht="15" customHeight="1">
      <c r="A663" t="inlineStr">
        <is>
          <t>A 48910-2025</t>
        </is>
      </c>
      <c r="B663" s="1" t="n">
        <v>45937.48649305556</v>
      </c>
      <c r="C663" s="1" t="n">
        <v>46046</v>
      </c>
      <c r="D663" t="inlineStr">
        <is>
          <t>VÄSTMANLANDS LÄN</t>
        </is>
      </c>
      <c r="E663" t="inlineStr">
        <is>
          <t>SALA</t>
        </is>
      </c>
      <c r="G663" t="n">
        <v>7.8</v>
      </c>
      <c r="H663" t="n">
        <v>0</v>
      </c>
      <c r="I663" t="n">
        <v>0</v>
      </c>
      <c r="J663" t="n">
        <v>0</v>
      </c>
      <c r="K663" t="n">
        <v>0</v>
      </c>
      <c r="L663" t="n">
        <v>0</v>
      </c>
      <c r="M663" t="n">
        <v>0</v>
      </c>
      <c r="N663" t="n">
        <v>0</v>
      </c>
      <c r="O663" t="n">
        <v>0</v>
      </c>
      <c r="P663" t="n">
        <v>0</v>
      </c>
      <c r="Q663" t="n">
        <v>0</v>
      </c>
      <c r="R663" s="2" t="inlineStr"/>
    </row>
    <row r="664" ht="15" customHeight="1">
      <c r="A664" t="inlineStr">
        <is>
          <t>A 49585-2025</t>
        </is>
      </c>
      <c r="B664" s="1" t="n">
        <v>45939.5043287037</v>
      </c>
      <c r="C664" s="1" t="n">
        <v>46046</v>
      </c>
      <c r="D664" t="inlineStr">
        <is>
          <t>VÄSTMANLANDS LÄN</t>
        </is>
      </c>
      <c r="E664" t="inlineStr">
        <is>
          <t>SALA</t>
        </is>
      </c>
      <c r="G664" t="n">
        <v>2.2</v>
      </c>
      <c r="H664" t="n">
        <v>0</v>
      </c>
      <c r="I664" t="n">
        <v>0</v>
      </c>
      <c r="J664" t="n">
        <v>0</v>
      </c>
      <c r="K664" t="n">
        <v>0</v>
      </c>
      <c r="L664" t="n">
        <v>0</v>
      </c>
      <c r="M664" t="n">
        <v>0</v>
      </c>
      <c r="N664" t="n">
        <v>0</v>
      </c>
      <c r="O664" t="n">
        <v>0</v>
      </c>
      <c r="P664" t="n">
        <v>0</v>
      </c>
      <c r="Q664" t="n">
        <v>0</v>
      </c>
      <c r="R664" s="2" t="inlineStr"/>
    </row>
    <row r="665" ht="15" customHeight="1">
      <c r="A665" t="inlineStr">
        <is>
          <t>A 49640-2025</t>
        </is>
      </c>
      <c r="B665" s="1" t="n">
        <v>45939.61459490741</v>
      </c>
      <c r="C665" s="1" t="n">
        <v>46046</v>
      </c>
      <c r="D665" t="inlineStr">
        <is>
          <t>VÄSTMANLANDS LÄN</t>
        </is>
      </c>
      <c r="E665" t="inlineStr">
        <is>
          <t>SALA</t>
        </is>
      </c>
      <c r="F665" t="inlineStr">
        <is>
          <t>Kommuner</t>
        </is>
      </c>
      <c r="G665" t="n">
        <v>18.8</v>
      </c>
      <c r="H665" t="n">
        <v>0</v>
      </c>
      <c r="I665" t="n">
        <v>0</v>
      </c>
      <c r="J665" t="n">
        <v>0</v>
      </c>
      <c r="K665" t="n">
        <v>0</v>
      </c>
      <c r="L665" t="n">
        <v>0</v>
      </c>
      <c r="M665" t="n">
        <v>0</v>
      </c>
      <c r="N665" t="n">
        <v>0</v>
      </c>
      <c r="O665" t="n">
        <v>0</v>
      </c>
      <c r="P665" t="n">
        <v>0</v>
      </c>
      <c r="Q665" t="n">
        <v>0</v>
      </c>
      <c r="R665" s="2" t="inlineStr"/>
    </row>
    <row r="666" ht="15" customHeight="1">
      <c r="A666" t="inlineStr">
        <is>
          <t>A 50128-2025</t>
        </is>
      </c>
      <c r="B666" s="1" t="n">
        <v>45943.55318287037</v>
      </c>
      <c r="C666" s="1" t="n">
        <v>46046</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50119-2025</t>
        </is>
      </c>
      <c r="B667" s="1" t="n">
        <v>45943.54883101852</v>
      </c>
      <c r="C667" s="1" t="n">
        <v>46046</v>
      </c>
      <c r="D667" t="inlineStr">
        <is>
          <t>VÄSTMANLANDS LÄN</t>
        </is>
      </c>
      <c r="E667" t="inlineStr">
        <is>
          <t>SALA</t>
        </is>
      </c>
      <c r="G667" t="n">
        <v>3.3</v>
      </c>
      <c r="H667" t="n">
        <v>0</v>
      </c>
      <c r="I667" t="n">
        <v>0</v>
      </c>
      <c r="J667" t="n">
        <v>0</v>
      </c>
      <c r="K667" t="n">
        <v>0</v>
      </c>
      <c r="L667" t="n">
        <v>0</v>
      </c>
      <c r="M667" t="n">
        <v>0</v>
      </c>
      <c r="N667" t="n">
        <v>0</v>
      </c>
      <c r="O667" t="n">
        <v>0</v>
      </c>
      <c r="P667" t="n">
        <v>0</v>
      </c>
      <c r="Q667" t="n">
        <v>0</v>
      </c>
      <c r="R667" s="2" t="inlineStr"/>
    </row>
    <row r="668" ht="15" customHeight="1">
      <c r="A668" t="inlineStr">
        <is>
          <t>A 50059-2025</t>
        </is>
      </c>
      <c r="B668" s="1" t="n">
        <v>45943.44125</v>
      </c>
      <c r="C668" s="1" t="n">
        <v>46046</v>
      </c>
      <c r="D668" t="inlineStr">
        <is>
          <t>VÄSTMANLANDS LÄN</t>
        </is>
      </c>
      <c r="E668" t="inlineStr">
        <is>
          <t>SALA</t>
        </is>
      </c>
      <c r="G668" t="n">
        <v>4.4</v>
      </c>
      <c r="H668" t="n">
        <v>0</v>
      </c>
      <c r="I668" t="n">
        <v>0</v>
      </c>
      <c r="J668" t="n">
        <v>0</v>
      </c>
      <c r="K668" t="n">
        <v>0</v>
      </c>
      <c r="L668" t="n">
        <v>0</v>
      </c>
      <c r="M668" t="n">
        <v>0</v>
      </c>
      <c r="N668" t="n">
        <v>0</v>
      </c>
      <c r="O668" t="n">
        <v>0</v>
      </c>
      <c r="P668" t="n">
        <v>0</v>
      </c>
      <c r="Q668" t="n">
        <v>0</v>
      </c>
      <c r="R668" s="2" t="inlineStr"/>
    </row>
    <row r="669" ht="15" customHeight="1">
      <c r="A669" t="inlineStr">
        <is>
          <t>A 50249-2025</t>
        </is>
      </c>
      <c r="B669" s="1" t="n">
        <v>45944.31508101852</v>
      </c>
      <c r="C669" s="1" t="n">
        <v>46046</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46046</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51626-2025</t>
        </is>
      </c>
      <c r="B671" s="1" t="n">
        <v>45951.41769675926</v>
      </c>
      <c r="C671" s="1" t="n">
        <v>46046</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51690-2025</t>
        </is>
      </c>
      <c r="B672" s="1" t="n">
        <v>45951.53462962963</v>
      </c>
      <c r="C672" s="1" t="n">
        <v>46046</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51804-2025</t>
        </is>
      </c>
      <c r="B673" s="1" t="n">
        <v>45951.77697916667</v>
      </c>
      <c r="C673" s="1" t="n">
        <v>46046</v>
      </c>
      <c r="D673" t="inlineStr">
        <is>
          <t>VÄSTMANLANDS LÄN</t>
        </is>
      </c>
      <c r="E673" t="inlineStr">
        <is>
          <t>SALA</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51808-2025</t>
        </is>
      </c>
      <c r="B674" s="1" t="n">
        <v>45951.79302083333</v>
      </c>
      <c r="C674" s="1" t="n">
        <v>46046</v>
      </c>
      <c r="D674" t="inlineStr">
        <is>
          <t>VÄSTMANLANDS LÄN</t>
        </is>
      </c>
      <c r="E674" t="inlineStr">
        <is>
          <t>SALA</t>
        </is>
      </c>
      <c r="F674" t="inlineStr">
        <is>
          <t>Kommuner</t>
        </is>
      </c>
      <c r="G674" t="n">
        <v>3</v>
      </c>
      <c r="H674" t="n">
        <v>0</v>
      </c>
      <c r="I674" t="n">
        <v>0</v>
      </c>
      <c r="J674" t="n">
        <v>0</v>
      </c>
      <c r="K674" t="n">
        <v>0</v>
      </c>
      <c r="L674" t="n">
        <v>0</v>
      </c>
      <c r="M674" t="n">
        <v>0</v>
      </c>
      <c r="N674" t="n">
        <v>0</v>
      </c>
      <c r="O674" t="n">
        <v>0</v>
      </c>
      <c r="P674" t="n">
        <v>0</v>
      </c>
      <c r="Q674" t="n">
        <v>0</v>
      </c>
      <c r="R674" s="2" t="inlineStr"/>
    </row>
    <row r="675" ht="15" customHeight="1">
      <c r="A675" t="inlineStr">
        <is>
          <t>A 51803-2025</t>
        </is>
      </c>
      <c r="B675" s="1" t="n">
        <v>45951.76818287037</v>
      </c>
      <c r="C675" s="1" t="n">
        <v>46046</v>
      </c>
      <c r="D675" t="inlineStr">
        <is>
          <t>VÄSTMANLANDS LÄN</t>
        </is>
      </c>
      <c r="E675" t="inlineStr">
        <is>
          <t>SALA</t>
        </is>
      </c>
      <c r="F675" t="inlineStr">
        <is>
          <t>Kommuner</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51805-2025</t>
        </is>
      </c>
      <c r="B676" s="1" t="n">
        <v>45951.78359953704</v>
      </c>
      <c r="C676" s="1" t="n">
        <v>46046</v>
      </c>
      <c r="D676" t="inlineStr">
        <is>
          <t>VÄSTMANLANDS LÄN</t>
        </is>
      </c>
      <c r="E676" t="inlineStr">
        <is>
          <t>SALA</t>
        </is>
      </c>
      <c r="F676" t="inlineStr">
        <is>
          <t>Kommuner</t>
        </is>
      </c>
      <c r="G676" t="n">
        <v>1.3</v>
      </c>
      <c r="H676" t="n">
        <v>0</v>
      </c>
      <c r="I676" t="n">
        <v>0</v>
      </c>
      <c r="J676" t="n">
        <v>0</v>
      </c>
      <c r="K676" t="n">
        <v>0</v>
      </c>
      <c r="L676" t="n">
        <v>0</v>
      </c>
      <c r="M676" t="n">
        <v>0</v>
      </c>
      <c r="N676" t="n">
        <v>0</v>
      </c>
      <c r="O676" t="n">
        <v>0</v>
      </c>
      <c r="P676" t="n">
        <v>0</v>
      </c>
      <c r="Q676" t="n">
        <v>0</v>
      </c>
      <c r="R676" s="2" t="inlineStr"/>
    </row>
    <row r="677" ht="15" customHeight="1">
      <c r="A677" t="inlineStr">
        <is>
          <t>A 51809-2025</t>
        </is>
      </c>
      <c r="B677" s="1" t="n">
        <v>45951.80116898148</v>
      </c>
      <c r="C677" s="1" t="n">
        <v>46046</v>
      </c>
      <c r="D677" t="inlineStr">
        <is>
          <t>VÄSTMANLANDS LÄN</t>
        </is>
      </c>
      <c r="E677" t="inlineStr">
        <is>
          <t>SALA</t>
        </is>
      </c>
      <c r="F677" t="inlineStr">
        <is>
          <t>Kommuner</t>
        </is>
      </c>
      <c r="G677" t="n">
        <v>3.5</v>
      </c>
      <c r="H677" t="n">
        <v>0</v>
      </c>
      <c r="I677" t="n">
        <v>0</v>
      </c>
      <c r="J677" t="n">
        <v>0</v>
      </c>
      <c r="K677" t="n">
        <v>0</v>
      </c>
      <c r="L677" t="n">
        <v>0</v>
      </c>
      <c r="M677" t="n">
        <v>0</v>
      </c>
      <c r="N677" t="n">
        <v>0</v>
      </c>
      <c r="O677" t="n">
        <v>0</v>
      </c>
      <c r="P677" t="n">
        <v>0</v>
      </c>
      <c r="Q677" t="n">
        <v>0</v>
      </c>
      <c r="R677" s="2" t="inlineStr"/>
    </row>
    <row r="678" ht="15" customHeight="1">
      <c r="A678" t="inlineStr">
        <is>
          <t>A 53725-2025</t>
        </is>
      </c>
      <c r="B678" s="1" t="n">
        <v>45960.63394675926</v>
      </c>
      <c r="C678" s="1" t="n">
        <v>46046</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38636-2024</t>
        </is>
      </c>
      <c r="B679" s="1" t="n">
        <v>45546</v>
      </c>
      <c r="C679" s="1" t="n">
        <v>46046</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53744-2025</t>
        </is>
      </c>
      <c r="B680" s="1" t="n">
        <v>45960.64863425926</v>
      </c>
      <c r="C680" s="1" t="n">
        <v>46046</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53724-2025</t>
        </is>
      </c>
      <c r="B681" s="1" t="n">
        <v>45960.63174768518</v>
      </c>
      <c r="C681" s="1" t="n">
        <v>46046</v>
      </c>
      <c r="D681" t="inlineStr">
        <is>
          <t>VÄSTMANLANDS LÄN</t>
        </is>
      </c>
      <c r="E681" t="inlineStr">
        <is>
          <t>SALA</t>
        </is>
      </c>
      <c r="G681" t="n">
        <v>2.8</v>
      </c>
      <c r="H681" t="n">
        <v>0</v>
      </c>
      <c r="I681" t="n">
        <v>0</v>
      </c>
      <c r="J681" t="n">
        <v>0</v>
      </c>
      <c r="K681" t="n">
        <v>0</v>
      </c>
      <c r="L681" t="n">
        <v>0</v>
      </c>
      <c r="M681" t="n">
        <v>0</v>
      </c>
      <c r="N681" t="n">
        <v>0</v>
      </c>
      <c r="O681" t="n">
        <v>0</v>
      </c>
      <c r="P681" t="n">
        <v>0</v>
      </c>
      <c r="Q681" t="n">
        <v>0</v>
      </c>
      <c r="R681" s="2" t="inlineStr"/>
    </row>
    <row r="682" ht="15" customHeight="1">
      <c r="A682" t="inlineStr">
        <is>
          <t>A 62523-2025</t>
        </is>
      </c>
      <c r="B682" s="1" t="n">
        <v>46007.61512731481</v>
      </c>
      <c r="C682" s="1" t="n">
        <v>46046</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54344-2025</t>
        </is>
      </c>
      <c r="B683" s="1" t="n">
        <v>45965.36462962963</v>
      </c>
      <c r="C683" s="1" t="n">
        <v>46046</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54590-2025</t>
        </is>
      </c>
      <c r="B684" s="1" t="n">
        <v>45965.74199074074</v>
      </c>
      <c r="C684" s="1" t="n">
        <v>46046</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54201-2025</t>
        </is>
      </c>
      <c r="B685" s="1" t="n">
        <v>45964.58055555556</v>
      </c>
      <c r="C685" s="1" t="n">
        <v>46046</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63055-2025</t>
        </is>
      </c>
      <c r="B686" s="1" t="n">
        <v>46009.63619212963</v>
      </c>
      <c r="C686" s="1" t="n">
        <v>46046</v>
      </c>
      <c r="D686" t="inlineStr">
        <is>
          <t>VÄSTMANLANDS LÄN</t>
        </is>
      </c>
      <c r="E686" t="inlineStr">
        <is>
          <t>SALA</t>
        </is>
      </c>
      <c r="G686" t="n">
        <v>0.4</v>
      </c>
      <c r="H686" t="n">
        <v>0</v>
      </c>
      <c r="I686" t="n">
        <v>0</v>
      </c>
      <c r="J686" t="n">
        <v>0</v>
      </c>
      <c r="K686" t="n">
        <v>0</v>
      </c>
      <c r="L686" t="n">
        <v>0</v>
      </c>
      <c r="M686" t="n">
        <v>0</v>
      </c>
      <c r="N686" t="n">
        <v>0</v>
      </c>
      <c r="O686" t="n">
        <v>0</v>
      </c>
      <c r="P686" t="n">
        <v>0</v>
      </c>
      <c r="Q686" t="n">
        <v>0</v>
      </c>
      <c r="R686" s="2" t="inlineStr"/>
    </row>
    <row r="687" ht="15" customHeight="1">
      <c r="A687" t="inlineStr">
        <is>
          <t>A 63046-2025</t>
        </is>
      </c>
      <c r="B687" s="1" t="n">
        <v>46009.62373842593</v>
      </c>
      <c r="C687" s="1" t="n">
        <v>46046</v>
      </c>
      <c r="D687" t="inlineStr">
        <is>
          <t>VÄSTMANLANDS LÄN</t>
        </is>
      </c>
      <c r="E687" t="inlineStr">
        <is>
          <t>SALA</t>
        </is>
      </c>
      <c r="G687" t="n">
        <v>1.1</v>
      </c>
      <c r="H687" t="n">
        <v>0</v>
      </c>
      <c r="I687" t="n">
        <v>0</v>
      </c>
      <c r="J687" t="n">
        <v>0</v>
      </c>
      <c r="K687" t="n">
        <v>0</v>
      </c>
      <c r="L687" t="n">
        <v>0</v>
      </c>
      <c r="M687" t="n">
        <v>0</v>
      </c>
      <c r="N687" t="n">
        <v>0</v>
      </c>
      <c r="O687" t="n">
        <v>0</v>
      </c>
      <c r="P687" t="n">
        <v>0</v>
      </c>
      <c r="Q687" t="n">
        <v>0</v>
      </c>
      <c r="R687" s="2" t="inlineStr"/>
    </row>
    <row r="688" ht="15" customHeight="1">
      <c r="A688" t="inlineStr">
        <is>
          <t>A 54893-2025</t>
        </is>
      </c>
      <c r="B688" s="1" t="n">
        <v>45967.36383101852</v>
      </c>
      <c r="C688" s="1" t="n">
        <v>46046</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63051-2025</t>
        </is>
      </c>
      <c r="B689" s="1" t="n">
        <v>46009.63134259259</v>
      </c>
      <c r="C689" s="1" t="n">
        <v>46046</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19033-2025</t>
        </is>
      </c>
      <c r="B690" s="1" t="n">
        <v>45764.65796296296</v>
      </c>
      <c r="C690" s="1" t="n">
        <v>46046</v>
      </c>
      <c r="D690" t="inlineStr">
        <is>
          <t>VÄSTMANLANDS LÄN</t>
        </is>
      </c>
      <c r="E690" t="inlineStr">
        <is>
          <t>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63353-2025</t>
        </is>
      </c>
      <c r="B691" s="1" t="n">
        <v>46010.66670138889</v>
      </c>
      <c r="C691" s="1" t="n">
        <v>46046</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55997-2025</t>
        </is>
      </c>
      <c r="B692" s="1" t="n">
        <v>45973.56833333334</v>
      </c>
      <c r="C692" s="1" t="n">
        <v>46046</v>
      </c>
      <c r="D692" t="inlineStr">
        <is>
          <t>VÄSTMANLANDS LÄN</t>
        </is>
      </c>
      <c r="E692" t="inlineStr">
        <is>
          <t>SALA</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55714-2025</t>
        </is>
      </c>
      <c r="B693" s="1" t="n">
        <v>45972.49131944445</v>
      </c>
      <c r="C693" s="1" t="n">
        <v>46046</v>
      </c>
      <c r="D693" t="inlineStr">
        <is>
          <t>VÄSTMANLANDS LÄN</t>
        </is>
      </c>
      <c r="E693" t="inlineStr">
        <is>
          <t>SALA</t>
        </is>
      </c>
      <c r="G693" t="n">
        <v>6.6</v>
      </c>
      <c r="H693" t="n">
        <v>0</v>
      </c>
      <c r="I693" t="n">
        <v>0</v>
      </c>
      <c r="J693" t="n">
        <v>0</v>
      </c>
      <c r="K693" t="n">
        <v>0</v>
      </c>
      <c r="L693" t="n">
        <v>0</v>
      </c>
      <c r="M693" t="n">
        <v>0</v>
      </c>
      <c r="N693" t="n">
        <v>0</v>
      </c>
      <c r="O693" t="n">
        <v>0</v>
      </c>
      <c r="P693" t="n">
        <v>0</v>
      </c>
      <c r="Q693" t="n">
        <v>0</v>
      </c>
      <c r="R693" s="2" t="inlineStr"/>
    </row>
    <row r="694" ht="15" customHeight="1">
      <c r="A694" t="inlineStr">
        <is>
          <t>A 63749-2025</t>
        </is>
      </c>
      <c r="B694" s="1" t="n">
        <v>46017.75243055556</v>
      </c>
      <c r="C694" s="1" t="n">
        <v>46046</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56593-2025</t>
        </is>
      </c>
      <c r="B695" s="1" t="n">
        <v>45975</v>
      </c>
      <c r="C695" s="1" t="n">
        <v>46046</v>
      </c>
      <c r="D695" t="inlineStr">
        <is>
          <t>VÄSTMANLANDS LÄN</t>
        </is>
      </c>
      <c r="E695" t="inlineStr">
        <is>
          <t>SALA</t>
        </is>
      </c>
      <c r="F695" t="inlineStr">
        <is>
          <t>Kyrkan</t>
        </is>
      </c>
      <c r="G695" t="n">
        <v>0.1</v>
      </c>
      <c r="H695" t="n">
        <v>0</v>
      </c>
      <c r="I695" t="n">
        <v>0</v>
      </c>
      <c r="J695" t="n">
        <v>0</v>
      </c>
      <c r="K695" t="n">
        <v>0</v>
      </c>
      <c r="L695" t="n">
        <v>0</v>
      </c>
      <c r="M695" t="n">
        <v>0</v>
      </c>
      <c r="N695" t="n">
        <v>0</v>
      </c>
      <c r="O695" t="n">
        <v>0</v>
      </c>
      <c r="P695" t="n">
        <v>0</v>
      </c>
      <c r="Q695" t="n">
        <v>0</v>
      </c>
      <c r="R695" s="2" t="inlineStr"/>
    </row>
    <row r="696" ht="15" customHeight="1">
      <c r="A696" t="inlineStr">
        <is>
          <t>A 63748-2025</t>
        </is>
      </c>
      <c r="B696" s="1" t="n">
        <v>46017.71640046296</v>
      </c>
      <c r="C696" s="1" t="n">
        <v>46046</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56645-2025</t>
        </is>
      </c>
      <c r="B697" s="1" t="n">
        <v>45975.63063657407</v>
      </c>
      <c r="C697" s="1" t="n">
        <v>46046</v>
      </c>
      <c r="D697" t="inlineStr">
        <is>
          <t>VÄSTMANLANDS LÄN</t>
        </is>
      </c>
      <c r="E697" t="inlineStr">
        <is>
          <t>SALA</t>
        </is>
      </c>
      <c r="F697" t="inlineStr">
        <is>
          <t>Bergvik skog öst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56502-2025</t>
        </is>
      </c>
      <c r="B698" s="1" t="n">
        <v>45975</v>
      </c>
      <c r="C698" s="1" t="n">
        <v>46046</v>
      </c>
      <c r="D698" t="inlineStr">
        <is>
          <t>VÄSTMANLANDS LÄN</t>
        </is>
      </c>
      <c r="E698" t="inlineStr">
        <is>
          <t>SALA</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56614-2025</t>
        </is>
      </c>
      <c r="B699" s="1" t="n">
        <v>45975.59288194445</v>
      </c>
      <c r="C699" s="1" t="n">
        <v>46046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56611-2025</t>
        </is>
      </c>
      <c r="B700" s="1" t="n">
        <v>45975</v>
      </c>
      <c r="C700" s="1" t="n">
        <v>46046</v>
      </c>
      <c r="D700" t="inlineStr">
        <is>
          <t>VÄSTMANLANDS LÄN</t>
        </is>
      </c>
      <c r="E700" t="inlineStr">
        <is>
          <t>SALA</t>
        </is>
      </c>
      <c r="G700" t="n">
        <v>2.8</v>
      </c>
      <c r="H700" t="n">
        <v>0</v>
      </c>
      <c r="I700" t="n">
        <v>0</v>
      </c>
      <c r="J700" t="n">
        <v>0</v>
      </c>
      <c r="K700" t="n">
        <v>0</v>
      </c>
      <c r="L700" t="n">
        <v>0</v>
      </c>
      <c r="M700" t="n">
        <v>0</v>
      </c>
      <c r="N700" t="n">
        <v>0</v>
      </c>
      <c r="O700" t="n">
        <v>0</v>
      </c>
      <c r="P700" t="n">
        <v>0</v>
      </c>
      <c r="Q700" t="n">
        <v>0</v>
      </c>
      <c r="R700" s="2" t="inlineStr"/>
    </row>
    <row r="701" ht="15" customHeight="1">
      <c r="A701" t="inlineStr">
        <is>
          <t>A 57014-2025</t>
        </is>
      </c>
      <c r="B701" s="1" t="n">
        <v>45978</v>
      </c>
      <c r="C701" s="1" t="n">
        <v>46046</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57414-2025</t>
        </is>
      </c>
      <c r="B702" s="1" t="n">
        <v>45980.45003472222</v>
      </c>
      <c r="C702" s="1" t="n">
        <v>46046</v>
      </c>
      <c r="D702" t="inlineStr">
        <is>
          <t>VÄSTMANLANDS LÄN</t>
        </is>
      </c>
      <c r="E702" t="inlineStr">
        <is>
          <t>SALA</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57415-2025</t>
        </is>
      </c>
      <c r="B703" s="1" t="n">
        <v>45980.45099537037</v>
      </c>
      <c r="C703" s="1" t="n">
        <v>46046</v>
      </c>
      <c r="D703" t="inlineStr">
        <is>
          <t>VÄSTMANLANDS LÄN</t>
        </is>
      </c>
      <c r="E703" t="inlineStr">
        <is>
          <t>SALA</t>
        </is>
      </c>
      <c r="F703" t="inlineStr">
        <is>
          <t>Bergvik skog öst AB</t>
        </is>
      </c>
      <c r="G703" t="n">
        <v>1.4</v>
      </c>
      <c r="H703" t="n">
        <v>0</v>
      </c>
      <c r="I703" t="n">
        <v>0</v>
      </c>
      <c r="J703" t="n">
        <v>0</v>
      </c>
      <c r="K703" t="n">
        <v>0</v>
      </c>
      <c r="L703" t="n">
        <v>0</v>
      </c>
      <c r="M703" t="n">
        <v>0</v>
      </c>
      <c r="N703" t="n">
        <v>0</v>
      </c>
      <c r="O703" t="n">
        <v>0</v>
      </c>
      <c r="P703" t="n">
        <v>0</v>
      </c>
      <c r="Q703" t="n">
        <v>0</v>
      </c>
      <c r="R703" s="2" t="inlineStr"/>
    </row>
    <row r="704" ht="15" customHeight="1">
      <c r="A704" t="inlineStr">
        <is>
          <t>A 57412-2025</t>
        </is>
      </c>
      <c r="B704" s="1" t="n">
        <v>45980.44883101852</v>
      </c>
      <c r="C704" s="1" t="n">
        <v>46046</v>
      </c>
      <c r="D704" t="inlineStr">
        <is>
          <t>VÄSTMANLANDS LÄN</t>
        </is>
      </c>
      <c r="E704" t="inlineStr">
        <is>
          <t>SALA</t>
        </is>
      </c>
      <c r="F704" t="inlineStr">
        <is>
          <t>Bergvik skog öst AB</t>
        </is>
      </c>
      <c r="G704" t="n">
        <v>4.5</v>
      </c>
      <c r="H704" t="n">
        <v>0</v>
      </c>
      <c r="I704" t="n">
        <v>0</v>
      </c>
      <c r="J704" t="n">
        <v>0</v>
      </c>
      <c r="K704" t="n">
        <v>0</v>
      </c>
      <c r="L704" t="n">
        <v>0</v>
      </c>
      <c r="M704" t="n">
        <v>0</v>
      </c>
      <c r="N704" t="n">
        <v>0</v>
      </c>
      <c r="O704" t="n">
        <v>0</v>
      </c>
      <c r="P704" t="n">
        <v>0</v>
      </c>
      <c r="Q704" t="n">
        <v>0</v>
      </c>
      <c r="R704" s="2" t="inlineStr"/>
    </row>
    <row r="705" ht="15" customHeight="1">
      <c r="A705" t="inlineStr">
        <is>
          <t>A 63269-2025</t>
        </is>
      </c>
      <c r="B705" s="1" t="n">
        <v>46010</v>
      </c>
      <c r="C705" s="1" t="n">
        <v>46046</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58359-2025</t>
        </is>
      </c>
      <c r="B706" s="1" t="n">
        <v>45985.51594907408</v>
      </c>
      <c r="C706" s="1" t="n">
        <v>46046</v>
      </c>
      <c r="D706" t="inlineStr">
        <is>
          <t>VÄSTMANLANDS LÄN</t>
        </is>
      </c>
      <c r="E706" t="inlineStr">
        <is>
          <t>SALA</t>
        </is>
      </c>
      <c r="G706" t="n">
        <v>3.7</v>
      </c>
      <c r="H706" t="n">
        <v>0</v>
      </c>
      <c r="I706" t="n">
        <v>0</v>
      </c>
      <c r="J706" t="n">
        <v>0</v>
      </c>
      <c r="K706" t="n">
        <v>0</v>
      </c>
      <c r="L706" t="n">
        <v>0</v>
      </c>
      <c r="M706" t="n">
        <v>0</v>
      </c>
      <c r="N706" t="n">
        <v>0</v>
      </c>
      <c r="O706" t="n">
        <v>0</v>
      </c>
      <c r="P706" t="n">
        <v>0</v>
      </c>
      <c r="Q706" t="n">
        <v>0</v>
      </c>
      <c r="R706" s="2" t="inlineStr"/>
    </row>
    <row r="707" ht="15" customHeight="1">
      <c r="A707" t="inlineStr">
        <is>
          <t>A 58364-2025</t>
        </is>
      </c>
      <c r="B707" s="1" t="n">
        <v>45985.5228125</v>
      </c>
      <c r="C707" s="1" t="n">
        <v>46046</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58282-2025</t>
        </is>
      </c>
      <c r="B708" s="1" t="n">
        <v>45985.44309027777</v>
      </c>
      <c r="C708" s="1" t="n">
        <v>46046</v>
      </c>
      <c r="D708" t="inlineStr">
        <is>
          <t>VÄSTMANLANDS LÄN</t>
        </is>
      </c>
      <c r="E708" t="inlineStr">
        <is>
          <t>SALA</t>
        </is>
      </c>
      <c r="G708" t="n">
        <v>8.9</v>
      </c>
      <c r="H708" t="n">
        <v>0</v>
      </c>
      <c r="I708" t="n">
        <v>0</v>
      </c>
      <c r="J708" t="n">
        <v>0</v>
      </c>
      <c r="K708" t="n">
        <v>0</v>
      </c>
      <c r="L708" t="n">
        <v>0</v>
      </c>
      <c r="M708" t="n">
        <v>0</v>
      </c>
      <c r="N708" t="n">
        <v>0</v>
      </c>
      <c r="O708" t="n">
        <v>0</v>
      </c>
      <c r="P708" t="n">
        <v>0</v>
      </c>
      <c r="Q708" t="n">
        <v>0</v>
      </c>
      <c r="R708" s="2" t="inlineStr"/>
    </row>
    <row r="709" ht="15" customHeight="1">
      <c r="A709" t="inlineStr">
        <is>
          <t>A 55760-2025</t>
        </is>
      </c>
      <c r="B709" s="1" t="n">
        <v>45972</v>
      </c>
      <c r="C709" s="1" t="n">
        <v>46046</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58357-2025</t>
        </is>
      </c>
      <c r="B710" s="1" t="n">
        <v>45985.51518518518</v>
      </c>
      <c r="C710" s="1" t="n">
        <v>46046</v>
      </c>
      <c r="D710" t="inlineStr">
        <is>
          <t>VÄSTMANLANDS LÄN</t>
        </is>
      </c>
      <c r="E710" t="inlineStr">
        <is>
          <t>SALA</t>
        </is>
      </c>
      <c r="G710" t="n">
        <v>3</v>
      </c>
      <c r="H710" t="n">
        <v>0</v>
      </c>
      <c r="I710" t="n">
        <v>0</v>
      </c>
      <c r="J710" t="n">
        <v>0</v>
      </c>
      <c r="K710" t="n">
        <v>0</v>
      </c>
      <c r="L710" t="n">
        <v>0</v>
      </c>
      <c r="M710" t="n">
        <v>0</v>
      </c>
      <c r="N710" t="n">
        <v>0</v>
      </c>
      <c r="O710" t="n">
        <v>0</v>
      </c>
      <c r="P710" t="n">
        <v>0</v>
      </c>
      <c r="Q710" t="n">
        <v>0</v>
      </c>
      <c r="R710" s="2" t="inlineStr"/>
    </row>
    <row r="711" ht="15" customHeight="1">
      <c r="A711" t="inlineStr">
        <is>
          <t>A 58365-2025</t>
        </is>
      </c>
      <c r="B711" s="1" t="n">
        <v>45985.52288194445</v>
      </c>
      <c r="C711" s="1" t="n">
        <v>46046</v>
      </c>
      <c r="D711" t="inlineStr">
        <is>
          <t>VÄSTMANLANDS LÄN</t>
        </is>
      </c>
      <c r="E711" t="inlineStr">
        <is>
          <t>SALA</t>
        </is>
      </c>
      <c r="G711" t="n">
        <v>3.9</v>
      </c>
      <c r="H711" t="n">
        <v>0</v>
      </c>
      <c r="I711" t="n">
        <v>0</v>
      </c>
      <c r="J711" t="n">
        <v>0</v>
      </c>
      <c r="K711" t="n">
        <v>0</v>
      </c>
      <c r="L711" t="n">
        <v>0</v>
      </c>
      <c r="M711" t="n">
        <v>0</v>
      </c>
      <c r="N711" t="n">
        <v>0</v>
      </c>
      <c r="O711" t="n">
        <v>0</v>
      </c>
      <c r="P711" t="n">
        <v>0</v>
      </c>
      <c r="Q711" t="n">
        <v>0</v>
      </c>
      <c r="R711" s="2" t="inlineStr"/>
    </row>
    <row r="712" ht="15" customHeight="1">
      <c r="A712" t="inlineStr">
        <is>
          <t>A 948-2026</t>
        </is>
      </c>
      <c r="B712" s="1" t="n">
        <v>46030.53986111111</v>
      </c>
      <c r="C712" s="1" t="n">
        <v>46046</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59385-2025</t>
        </is>
      </c>
      <c r="B713" s="1" t="n">
        <v>45989.45746527778</v>
      </c>
      <c r="C713" s="1" t="n">
        <v>46046</v>
      </c>
      <c r="D713" t="inlineStr">
        <is>
          <t>VÄSTMANLANDS LÄN</t>
        </is>
      </c>
      <c r="E713" t="inlineStr">
        <is>
          <t>SALA</t>
        </is>
      </c>
      <c r="G713" t="n">
        <v>0.4</v>
      </c>
      <c r="H713" t="n">
        <v>0</v>
      </c>
      <c r="I713" t="n">
        <v>0</v>
      </c>
      <c r="J713" t="n">
        <v>0</v>
      </c>
      <c r="K713" t="n">
        <v>0</v>
      </c>
      <c r="L713" t="n">
        <v>0</v>
      </c>
      <c r="M713" t="n">
        <v>0</v>
      </c>
      <c r="N713" t="n">
        <v>0</v>
      </c>
      <c r="O713" t="n">
        <v>0</v>
      </c>
      <c r="P713" t="n">
        <v>0</v>
      </c>
      <c r="Q713" t="n">
        <v>0</v>
      </c>
      <c r="R713" s="2" t="inlineStr"/>
    </row>
    <row r="714" ht="15" customHeight="1">
      <c r="A714" t="inlineStr">
        <is>
          <t>A 59390-2025</t>
        </is>
      </c>
      <c r="B714" s="1" t="n">
        <v>45989.4640162037</v>
      </c>
      <c r="C714" s="1" t="n">
        <v>46046</v>
      </c>
      <c r="D714" t="inlineStr">
        <is>
          <t>VÄSTMANLANDS LÄN</t>
        </is>
      </c>
      <c r="E714" t="inlineStr">
        <is>
          <t>SALA</t>
        </is>
      </c>
      <c r="G714" t="n">
        <v>1.8</v>
      </c>
      <c r="H714" t="n">
        <v>0</v>
      </c>
      <c r="I714" t="n">
        <v>0</v>
      </c>
      <c r="J714" t="n">
        <v>0</v>
      </c>
      <c r="K714" t="n">
        <v>0</v>
      </c>
      <c r="L714" t="n">
        <v>0</v>
      </c>
      <c r="M714" t="n">
        <v>0</v>
      </c>
      <c r="N714" t="n">
        <v>0</v>
      </c>
      <c r="O714" t="n">
        <v>0</v>
      </c>
      <c r="P714" t="n">
        <v>0</v>
      </c>
      <c r="Q714" t="n">
        <v>0</v>
      </c>
      <c r="R714" s="2" t="inlineStr"/>
    </row>
    <row r="715" ht="15" customHeight="1">
      <c r="A715" t="inlineStr">
        <is>
          <t>A 51247-2025</t>
        </is>
      </c>
      <c r="B715" s="1" t="n">
        <v>45947.86487268518</v>
      </c>
      <c r="C715" s="1" t="n">
        <v>46046</v>
      </c>
      <c r="D715" t="inlineStr">
        <is>
          <t>VÄSTMANLANDS LÄN</t>
        </is>
      </c>
      <c r="E715" t="inlineStr">
        <is>
          <t>SALA</t>
        </is>
      </c>
      <c r="G715" t="n">
        <v>10.4</v>
      </c>
      <c r="H715" t="n">
        <v>0</v>
      </c>
      <c r="I715" t="n">
        <v>0</v>
      </c>
      <c r="J715" t="n">
        <v>0</v>
      </c>
      <c r="K715" t="n">
        <v>0</v>
      </c>
      <c r="L715" t="n">
        <v>0</v>
      </c>
      <c r="M715" t="n">
        <v>0</v>
      </c>
      <c r="N715" t="n">
        <v>0</v>
      </c>
      <c r="O715" t="n">
        <v>0</v>
      </c>
      <c r="P715" t="n">
        <v>0</v>
      </c>
      <c r="Q715" t="n">
        <v>0</v>
      </c>
      <c r="R715" s="2" t="inlineStr"/>
    </row>
    <row r="716" ht="15" customHeight="1">
      <c r="A716" t="inlineStr">
        <is>
          <t>A 914-2026</t>
        </is>
      </c>
      <c r="B716" s="1" t="n">
        <v>46030.47952546296</v>
      </c>
      <c r="C716" s="1" t="n">
        <v>46046</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910-2026</t>
        </is>
      </c>
      <c r="B717" s="1" t="n">
        <v>46030.4771412037</v>
      </c>
      <c r="C717" s="1" t="n">
        <v>46046</v>
      </c>
      <c r="D717" t="inlineStr">
        <is>
          <t>VÄSTMANLANDS LÄN</t>
        </is>
      </c>
      <c r="E717" t="inlineStr">
        <is>
          <t>SALA</t>
        </is>
      </c>
      <c r="G717" t="n">
        <v>1.4</v>
      </c>
      <c r="H717" t="n">
        <v>0</v>
      </c>
      <c r="I717" t="n">
        <v>0</v>
      </c>
      <c r="J717" t="n">
        <v>0</v>
      </c>
      <c r="K717" t="n">
        <v>0</v>
      </c>
      <c r="L717" t="n">
        <v>0</v>
      </c>
      <c r="M717" t="n">
        <v>0</v>
      </c>
      <c r="N717" t="n">
        <v>0</v>
      </c>
      <c r="O717" t="n">
        <v>0</v>
      </c>
      <c r="P717" t="n">
        <v>0</v>
      </c>
      <c r="Q717" t="n">
        <v>0</v>
      </c>
      <c r="R717" s="2" t="inlineStr"/>
    </row>
    <row r="718" ht="15" customHeight="1">
      <c r="A718" t="inlineStr">
        <is>
          <t>A 59817-2025</t>
        </is>
      </c>
      <c r="B718" s="1" t="n">
        <v>45992.63711805556</v>
      </c>
      <c r="C718" s="1" t="n">
        <v>46046</v>
      </c>
      <c r="D718" t="inlineStr">
        <is>
          <t>VÄSTMANLANDS LÄN</t>
        </is>
      </c>
      <c r="E718" t="inlineStr">
        <is>
          <t>SALA</t>
        </is>
      </c>
      <c r="G718" t="n">
        <v>6.9</v>
      </c>
      <c r="H718" t="n">
        <v>0</v>
      </c>
      <c r="I718" t="n">
        <v>0</v>
      </c>
      <c r="J718" t="n">
        <v>0</v>
      </c>
      <c r="K718" t="n">
        <v>0</v>
      </c>
      <c r="L718" t="n">
        <v>0</v>
      </c>
      <c r="M718" t="n">
        <v>0</v>
      </c>
      <c r="N718" t="n">
        <v>0</v>
      </c>
      <c r="O718" t="n">
        <v>0</v>
      </c>
      <c r="P718" t="n">
        <v>0</v>
      </c>
      <c r="Q718" t="n">
        <v>0</v>
      </c>
      <c r="R718" s="2" t="inlineStr"/>
    </row>
    <row r="719" ht="15" customHeight="1">
      <c r="A719" t="inlineStr">
        <is>
          <t>A 1705-2026</t>
        </is>
      </c>
      <c r="B719" s="1" t="n">
        <v>46034.59930555556</v>
      </c>
      <c r="C719" s="1" t="n">
        <v>46046</v>
      </c>
      <c r="D719" t="inlineStr">
        <is>
          <t>VÄSTMANLANDS LÄN</t>
        </is>
      </c>
      <c r="E719" t="inlineStr">
        <is>
          <t>SALA</t>
        </is>
      </c>
      <c r="G719" t="n">
        <v>0.4</v>
      </c>
      <c r="H719" t="n">
        <v>0</v>
      </c>
      <c r="I719" t="n">
        <v>0</v>
      </c>
      <c r="J719" t="n">
        <v>0</v>
      </c>
      <c r="K719" t="n">
        <v>0</v>
      </c>
      <c r="L719" t="n">
        <v>0</v>
      </c>
      <c r="M719" t="n">
        <v>0</v>
      </c>
      <c r="N719" t="n">
        <v>0</v>
      </c>
      <c r="O719" t="n">
        <v>0</v>
      </c>
      <c r="P719" t="n">
        <v>0</v>
      </c>
      <c r="Q719" t="n">
        <v>0</v>
      </c>
      <c r="R719" s="2" t="inlineStr"/>
    </row>
    <row r="720" ht="15" customHeight="1">
      <c r="A720" t="inlineStr">
        <is>
          <t>A 59870-2025</t>
        </is>
      </c>
      <c r="B720" s="1" t="n">
        <v>45992.92226851852</v>
      </c>
      <c r="C720" s="1" t="n">
        <v>46046</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59926-2025</t>
        </is>
      </c>
      <c r="B721" s="1" t="n">
        <v>45993.39221064815</v>
      </c>
      <c r="C721" s="1" t="n">
        <v>46046</v>
      </c>
      <c r="D721" t="inlineStr">
        <is>
          <t>VÄSTMANLANDS LÄN</t>
        </is>
      </c>
      <c r="E721" t="inlineStr">
        <is>
          <t>SALA</t>
        </is>
      </c>
      <c r="G721" t="n">
        <v>7.1</v>
      </c>
      <c r="H721" t="n">
        <v>0</v>
      </c>
      <c r="I721" t="n">
        <v>0</v>
      </c>
      <c r="J721" t="n">
        <v>0</v>
      </c>
      <c r="K721" t="n">
        <v>0</v>
      </c>
      <c r="L721" t="n">
        <v>0</v>
      </c>
      <c r="M721" t="n">
        <v>0</v>
      </c>
      <c r="N721" t="n">
        <v>0</v>
      </c>
      <c r="O721" t="n">
        <v>0</v>
      </c>
      <c r="P721" t="n">
        <v>0</v>
      </c>
      <c r="Q721" t="n">
        <v>0</v>
      </c>
      <c r="R721" s="2" t="inlineStr"/>
    </row>
    <row r="722" ht="15" customHeight="1">
      <c r="A722" t="inlineStr">
        <is>
          <t>A 60017-2025</t>
        </is>
      </c>
      <c r="B722" s="1" t="n">
        <v>45993.59998842593</v>
      </c>
      <c r="C722" s="1" t="n">
        <v>46046</v>
      </c>
      <c r="D722" t="inlineStr">
        <is>
          <t>VÄSTMANLANDS LÄN</t>
        </is>
      </c>
      <c r="E722" t="inlineStr">
        <is>
          <t>SALA</t>
        </is>
      </c>
      <c r="G722" t="n">
        <v>4.4</v>
      </c>
      <c r="H722" t="n">
        <v>0</v>
      </c>
      <c r="I722" t="n">
        <v>0</v>
      </c>
      <c r="J722" t="n">
        <v>0</v>
      </c>
      <c r="K722" t="n">
        <v>0</v>
      </c>
      <c r="L722" t="n">
        <v>0</v>
      </c>
      <c r="M722" t="n">
        <v>0</v>
      </c>
      <c r="N722" t="n">
        <v>0</v>
      </c>
      <c r="O722" t="n">
        <v>0</v>
      </c>
      <c r="P722" t="n">
        <v>0</v>
      </c>
      <c r="Q722" t="n">
        <v>0</v>
      </c>
      <c r="R722" s="2" t="inlineStr"/>
    </row>
    <row r="723" ht="15" customHeight="1">
      <c r="A723" t="inlineStr">
        <is>
          <t>A 60254-2025</t>
        </is>
      </c>
      <c r="B723" s="1" t="n">
        <v>45994.60146990741</v>
      </c>
      <c r="C723" s="1" t="n">
        <v>46046</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60259-2025</t>
        </is>
      </c>
      <c r="B724" s="1" t="n">
        <v>45994.60913194445</v>
      </c>
      <c r="C724" s="1" t="n">
        <v>46046</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60241-2025</t>
        </is>
      </c>
      <c r="B725" s="1" t="n">
        <v>45994.58454861111</v>
      </c>
      <c r="C725" s="1" t="n">
        <v>46046</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60258-2025</t>
        </is>
      </c>
      <c r="B726" s="1" t="n">
        <v>45994.6064699074</v>
      </c>
      <c r="C726" s="1" t="n">
        <v>46046</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60246-2025</t>
        </is>
      </c>
      <c r="B727" s="1" t="n">
        <v>45994.58931712963</v>
      </c>
      <c r="C727" s="1" t="n">
        <v>46046</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60629-2025</t>
        </is>
      </c>
      <c r="B728" s="1" t="n">
        <v>45996.41972222222</v>
      </c>
      <c r="C728" s="1" t="n">
        <v>46046</v>
      </c>
      <c r="D728" t="inlineStr">
        <is>
          <t>VÄSTMANLANDS LÄN</t>
        </is>
      </c>
      <c r="E728" t="inlineStr">
        <is>
          <t>SALA</t>
        </is>
      </c>
      <c r="G728" t="n">
        <v>4.3</v>
      </c>
      <c r="H728" t="n">
        <v>0</v>
      </c>
      <c r="I728" t="n">
        <v>0</v>
      </c>
      <c r="J728" t="n">
        <v>0</v>
      </c>
      <c r="K728" t="n">
        <v>0</v>
      </c>
      <c r="L728" t="n">
        <v>0</v>
      </c>
      <c r="M728" t="n">
        <v>0</v>
      </c>
      <c r="N728" t="n">
        <v>0</v>
      </c>
      <c r="O728" t="n">
        <v>0</v>
      </c>
      <c r="P728" t="n">
        <v>0</v>
      </c>
      <c r="Q728" t="n">
        <v>0</v>
      </c>
      <c r="R728" s="2" t="inlineStr"/>
    </row>
    <row r="729" ht="15" customHeight="1">
      <c r="A729" t="inlineStr">
        <is>
          <t>A 61522-2025</t>
        </is>
      </c>
      <c r="B729" s="1" t="n">
        <v>46001.68684027778</v>
      </c>
      <c r="C729" s="1" t="n">
        <v>46046</v>
      </c>
      <c r="D729" t="inlineStr">
        <is>
          <t>VÄSTMANLANDS LÄN</t>
        </is>
      </c>
      <c r="E729" t="inlineStr">
        <is>
          <t>SALA</t>
        </is>
      </c>
      <c r="G729" t="n">
        <v>5.7</v>
      </c>
      <c r="H729" t="n">
        <v>0</v>
      </c>
      <c r="I729" t="n">
        <v>0</v>
      </c>
      <c r="J729" t="n">
        <v>0</v>
      </c>
      <c r="K729" t="n">
        <v>0</v>
      </c>
      <c r="L729" t="n">
        <v>0</v>
      </c>
      <c r="M729" t="n">
        <v>0</v>
      </c>
      <c r="N729" t="n">
        <v>0</v>
      </c>
      <c r="O729" t="n">
        <v>0</v>
      </c>
      <c r="P729" t="n">
        <v>0</v>
      </c>
      <c r="Q729" t="n">
        <v>0</v>
      </c>
      <c r="R729" s="2" t="inlineStr"/>
    </row>
    <row r="730">
      <c r="A730" t="inlineStr">
        <is>
          <t>A 4214-2026</t>
        </is>
      </c>
      <c r="B730" s="1" t="n">
        <v>46044.76459490741</v>
      </c>
      <c r="C730" s="1" t="n">
        <v>46046</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2026-01-24T11:01:41Z</dcterms:created>
  <dcterms:modified xmlns:dcterms="http://purl.org/dc/terms/" xmlns:xsi="http://www.w3.org/2001/XMLSchema-instance" xsi:type="dcterms:W3CDTF">2026-01-24T11:01:41Z</dcterms:modified>
</cp:coreProperties>
</file>