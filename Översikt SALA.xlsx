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46001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46001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46001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46001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46001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46001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46001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46001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46001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53627-2025</t>
        </is>
      </c>
      <c r="B11" s="1" t="n">
        <v>45960.49180555555</v>
      </c>
      <c r="C11" s="1" t="n">
        <v>46001</v>
      </c>
      <c r="D11" t="inlineStr">
        <is>
          <t>VÄSTMANLANDS LÄN</t>
        </is>
      </c>
      <c r="E11" t="inlineStr">
        <is>
          <t>SALA</t>
        </is>
      </c>
      <c r="G11" t="n">
        <v>10.5</v>
      </c>
      <c r="H11" t="n">
        <v>3</v>
      </c>
      <c r="I11" t="n">
        <v>0</v>
      </c>
      <c r="J11" t="n">
        <v>1</v>
      </c>
      <c r="K11" t="n">
        <v>1</v>
      </c>
      <c r="L11" t="n">
        <v>0</v>
      </c>
      <c r="M11" t="n">
        <v>0</v>
      </c>
      <c r="N11" t="n">
        <v>0</v>
      </c>
      <c r="O11" t="n">
        <v>2</v>
      </c>
      <c r="P11" t="n">
        <v>1</v>
      </c>
      <c r="Q11" t="n">
        <v>4</v>
      </c>
      <c r="R11" s="2" t="inlineStr">
        <is>
          <t>Knärot
Brunklöver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53009-2024</t>
        </is>
      </c>
      <c r="B12" s="1" t="n">
        <v>45610</v>
      </c>
      <c r="C12" s="1" t="n">
        <v>46001</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46001</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27488-2023</t>
        </is>
      </c>
      <c r="B14" s="1" t="n">
        <v>45097</v>
      </c>
      <c r="C14" s="1" t="n">
        <v>46001</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46001</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46001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46001</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46001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46001</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46001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46001</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46001</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46001</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46001</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46001</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46001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46001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46001</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46001</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46001</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46001</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59826-2025</t>
        </is>
      </c>
      <c r="B32" s="1" t="n">
        <v>45992.65416666667</v>
      </c>
      <c r="C32" s="1" t="n">
        <v>46001</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53048-2025</t>
        </is>
      </c>
      <c r="B33" s="1" t="n">
        <v>45958.36018518519</v>
      </c>
      <c r="C33" s="1" t="n">
        <v>46001</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46001</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46001</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44970-2021</t>
        </is>
      </c>
      <c r="B36" s="1" t="n">
        <v>44438.74399305556</v>
      </c>
      <c r="C36" s="1" t="n">
        <v>46001</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46001</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46001</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46001</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56704-2022</t>
        </is>
      </c>
      <c r="B40" s="1" t="n">
        <v>44893.78075231481</v>
      </c>
      <c r="C40" s="1" t="n">
        <v>46001</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22950-2025</t>
        </is>
      </c>
      <c r="B41" s="1" t="n">
        <v>45790.50728009259</v>
      </c>
      <c r="C41" s="1" t="n">
        <v>46001</v>
      </c>
      <c r="D41" t="inlineStr">
        <is>
          <t>VÄSTMANLANDS LÄN</t>
        </is>
      </c>
      <c r="E41" t="inlineStr">
        <is>
          <t>SALA</t>
        </is>
      </c>
      <c r="G41" t="n">
        <v>6.2</v>
      </c>
      <c r="H41" t="n">
        <v>1</v>
      </c>
      <c r="I41" t="n">
        <v>0</v>
      </c>
      <c r="J41" t="n">
        <v>1</v>
      </c>
      <c r="K41" t="n">
        <v>0</v>
      </c>
      <c r="L41" t="n">
        <v>0</v>
      </c>
      <c r="M41" t="n">
        <v>0</v>
      </c>
      <c r="N41" t="n">
        <v>0</v>
      </c>
      <c r="O41" t="n">
        <v>1</v>
      </c>
      <c r="P41" t="n">
        <v>0</v>
      </c>
      <c r="Q41" t="n">
        <v>1</v>
      </c>
      <c r="R41" s="2" t="inlineStr">
        <is>
          <t>Svartvit flugsnappare</t>
        </is>
      </c>
      <c r="S41">
        <f>HYPERLINK("https://klasma.github.io/Logging_1981/artfynd/A 22950-2025 artfynd.xlsx", "A 22950-2025")</f>
        <v/>
      </c>
      <c r="T41">
        <f>HYPERLINK("https://klasma.github.io/Logging_1981/kartor/A 22950-2025 karta.png", "A 22950-2025")</f>
        <v/>
      </c>
      <c r="V41">
        <f>HYPERLINK("https://klasma.github.io/Logging_1981/klagomål/A 22950-2025 FSC-klagomål.docx", "A 22950-2025")</f>
        <v/>
      </c>
      <c r="W41">
        <f>HYPERLINK("https://klasma.github.io/Logging_1981/klagomålsmail/A 22950-2025 FSC-klagomål mail.docx", "A 22950-2025")</f>
        <v/>
      </c>
      <c r="X41">
        <f>HYPERLINK("https://klasma.github.io/Logging_1981/tillsyn/A 22950-2025 tillsynsbegäran.docx", "A 22950-2025")</f>
        <v/>
      </c>
      <c r="Y41">
        <f>HYPERLINK("https://klasma.github.io/Logging_1981/tillsynsmail/A 22950-2025 tillsynsbegäran mail.docx", "A 22950-2025")</f>
        <v/>
      </c>
      <c r="Z41">
        <f>HYPERLINK("https://klasma.github.io/Logging_1981/fåglar/A 22950-2025 prioriterade fågelarter.docx", "A 22950-2025")</f>
        <v/>
      </c>
    </row>
    <row r="42" ht="15" customHeight="1">
      <c r="A42" t="inlineStr">
        <is>
          <t>A 38255-2025</t>
        </is>
      </c>
      <c r="B42" s="1" t="n">
        <v>45883.38020833334</v>
      </c>
      <c r="C42" s="1" t="n">
        <v>46001</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60852-2024</t>
        </is>
      </c>
      <c r="B43" s="1" t="n">
        <v>45644</v>
      </c>
      <c r="C43" s="1" t="n">
        <v>46001</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43175-2023</t>
        </is>
      </c>
      <c r="B44" s="1" t="n">
        <v>45183</v>
      </c>
      <c r="C44" s="1" t="n">
        <v>46001</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32594-2025</t>
        </is>
      </c>
      <c r="B45" s="1" t="n">
        <v>45838</v>
      </c>
      <c r="C45" s="1" t="n">
        <v>46001</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41270-2024</t>
        </is>
      </c>
      <c r="B46" s="1" t="n">
        <v>45559</v>
      </c>
      <c r="C46" s="1" t="n">
        <v>46001</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22350-2024</t>
        </is>
      </c>
      <c r="B47" s="1" t="n">
        <v>45446</v>
      </c>
      <c r="C47" s="1" t="n">
        <v>46001</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55995-2025</t>
        </is>
      </c>
      <c r="B48" s="1" t="n">
        <v>45973.56733796297</v>
      </c>
      <c r="C48" s="1" t="n">
        <v>46001</v>
      </c>
      <c r="D48" t="inlineStr">
        <is>
          <t>VÄSTMANLANDS LÄN</t>
        </is>
      </c>
      <c r="E48" t="inlineStr">
        <is>
          <t>SALA</t>
        </is>
      </c>
      <c r="F48" t="inlineStr">
        <is>
          <t>Sveaskog</t>
        </is>
      </c>
      <c r="G48" t="n">
        <v>4.5</v>
      </c>
      <c r="H48" t="n">
        <v>1</v>
      </c>
      <c r="I48" t="n">
        <v>0</v>
      </c>
      <c r="J48" t="n">
        <v>0</v>
      </c>
      <c r="K48" t="n">
        <v>0</v>
      </c>
      <c r="L48" t="n">
        <v>0</v>
      </c>
      <c r="M48" t="n">
        <v>0</v>
      </c>
      <c r="N48" t="n">
        <v>0</v>
      </c>
      <c r="O48" t="n">
        <v>0</v>
      </c>
      <c r="P48" t="n">
        <v>0</v>
      </c>
      <c r="Q48" t="n">
        <v>1</v>
      </c>
      <c r="R48" s="2" t="inlineStr">
        <is>
          <t>Fläcknycklar</t>
        </is>
      </c>
      <c r="S48">
        <f>HYPERLINK("https://klasma.github.io/Logging_1981/artfynd/A 55995-2025 artfynd.xlsx", "A 55995-2025")</f>
        <v/>
      </c>
      <c r="T48">
        <f>HYPERLINK("https://klasma.github.io/Logging_1981/kartor/A 55995-2025 karta.png", "A 55995-2025")</f>
        <v/>
      </c>
      <c r="V48">
        <f>HYPERLINK("https://klasma.github.io/Logging_1981/klagomål/A 55995-2025 FSC-klagomål.docx", "A 55995-2025")</f>
        <v/>
      </c>
      <c r="W48">
        <f>HYPERLINK("https://klasma.github.io/Logging_1981/klagomålsmail/A 55995-2025 FSC-klagomål mail.docx", "A 55995-2025")</f>
        <v/>
      </c>
      <c r="X48">
        <f>HYPERLINK("https://klasma.github.io/Logging_1981/tillsyn/A 55995-2025 tillsynsbegäran.docx", "A 55995-2025")</f>
        <v/>
      </c>
      <c r="Y48">
        <f>HYPERLINK("https://klasma.github.io/Logging_1981/tillsynsmail/A 55995-2025 tillsynsbegäran mail.docx", "A 55995-2025")</f>
        <v/>
      </c>
    </row>
    <row r="49" ht="15" customHeight="1">
      <c r="A49" t="inlineStr">
        <is>
          <t>A 43068-2024</t>
        </is>
      </c>
      <c r="B49" s="1" t="n">
        <v>45567</v>
      </c>
      <c r="C49" s="1" t="n">
        <v>46001</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48705-2025</t>
        </is>
      </c>
      <c r="B50" s="1" t="n">
        <v>45936.62290509259</v>
      </c>
      <c r="C50" s="1" t="n">
        <v>46001</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7731-2023</t>
        </is>
      </c>
      <c r="B51" s="1" t="n">
        <v>44973</v>
      </c>
      <c r="C51" s="1" t="n">
        <v>46001</v>
      </c>
      <c r="D51" t="inlineStr">
        <is>
          <t>VÄSTMANLANDS LÄN</t>
        </is>
      </c>
      <c r="E51" t="inlineStr">
        <is>
          <t>SALA</t>
        </is>
      </c>
      <c r="F51" t="inlineStr">
        <is>
          <t>Bergvik skog öst AB</t>
        </is>
      </c>
      <c r="G51" t="n">
        <v>1.7</v>
      </c>
      <c r="H51" t="n">
        <v>1</v>
      </c>
      <c r="I51" t="n">
        <v>0</v>
      </c>
      <c r="J51" t="n">
        <v>1</v>
      </c>
      <c r="K51" t="n">
        <v>0</v>
      </c>
      <c r="L51" t="n">
        <v>0</v>
      </c>
      <c r="M51" t="n">
        <v>0</v>
      </c>
      <c r="N51" t="n">
        <v>0</v>
      </c>
      <c r="O51" t="n">
        <v>1</v>
      </c>
      <c r="P51" t="n">
        <v>0</v>
      </c>
      <c r="Q51" t="n">
        <v>1</v>
      </c>
      <c r="R51" s="2" t="inlineStr">
        <is>
          <t>Ävjepilört</t>
        </is>
      </c>
      <c r="S51">
        <f>HYPERLINK("https://klasma.github.io/Logging_1981/artfynd/A 7731-2023 artfynd.xlsx", "A 7731-2023")</f>
        <v/>
      </c>
      <c r="T51">
        <f>HYPERLINK("https://klasma.github.io/Logging_1981/kartor/A 7731-2023 karta.png", "A 7731-2023")</f>
        <v/>
      </c>
      <c r="V51">
        <f>HYPERLINK("https://klasma.github.io/Logging_1981/klagomål/A 7731-2023 FSC-klagomål.docx", "A 7731-2023")</f>
        <v/>
      </c>
      <c r="W51">
        <f>HYPERLINK("https://klasma.github.io/Logging_1981/klagomålsmail/A 7731-2023 FSC-klagomål mail.docx", "A 7731-2023")</f>
        <v/>
      </c>
      <c r="X51">
        <f>HYPERLINK("https://klasma.github.io/Logging_1981/tillsyn/A 7731-2023 tillsynsbegäran.docx", "A 7731-2023")</f>
        <v/>
      </c>
      <c r="Y51">
        <f>HYPERLINK("https://klasma.github.io/Logging_1981/tillsynsmail/A 7731-2023 tillsynsbegäran mail.docx", "A 7731-2023")</f>
        <v/>
      </c>
    </row>
    <row r="52" ht="15" customHeight="1">
      <c r="A52" t="inlineStr">
        <is>
          <t>A 50268-2025</t>
        </is>
      </c>
      <c r="B52" s="1" t="n">
        <v>45944.35162037037</v>
      </c>
      <c r="C52" s="1" t="n">
        <v>46001</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12509-2023</t>
        </is>
      </c>
      <c r="B53" s="1" t="n">
        <v>44999.95988425926</v>
      </c>
      <c r="C53" s="1" t="n">
        <v>46001</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14775-2023</t>
        </is>
      </c>
      <c r="B54" s="1" t="n">
        <v>45014</v>
      </c>
      <c r="C54" s="1" t="n">
        <v>46001</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53052-2025</t>
        </is>
      </c>
      <c r="B55" s="1" t="n">
        <v>45958.36266203703</v>
      </c>
      <c r="C55" s="1" t="n">
        <v>46001</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19361-2025</t>
        </is>
      </c>
      <c r="B56" s="1" t="n">
        <v>45769.63357638889</v>
      </c>
      <c r="C56" s="1" t="n">
        <v>46001</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41570-2021</t>
        </is>
      </c>
      <c r="B57" s="1" t="n">
        <v>44425</v>
      </c>
      <c r="C57" s="1" t="n">
        <v>46001</v>
      </c>
      <c r="D57" t="inlineStr">
        <is>
          <t>VÄSTMANLANDS LÄN</t>
        </is>
      </c>
      <c r="E57" t="inlineStr">
        <is>
          <t>SALA</t>
        </is>
      </c>
      <c r="G57" t="n">
        <v>1.4</v>
      </c>
      <c r="H57" t="n">
        <v>0</v>
      </c>
      <c r="I57" t="n">
        <v>0</v>
      </c>
      <c r="J57" t="n">
        <v>1</v>
      </c>
      <c r="K57" t="n">
        <v>0</v>
      </c>
      <c r="L57" t="n">
        <v>0</v>
      </c>
      <c r="M57" t="n">
        <v>0</v>
      </c>
      <c r="N57" t="n">
        <v>0</v>
      </c>
      <c r="O57" t="n">
        <v>1</v>
      </c>
      <c r="P57" t="n">
        <v>0</v>
      </c>
      <c r="Q57" t="n">
        <v>1</v>
      </c>
      <c r="R57" s="2" t="inlineStr">
        <is>
          <t>Vedtrappmossa</t>
        </is>
      </c>
      <c r="S57">
        <f>HYPERLINK("https://klasma.github.io/Logging_1981/artfynd/A 41570-2021 artfynd.xlsx", "A 41570-2021")</f>
        <v/>
      </c>
      <c r="T57">
        <f>HYPERLINK("https://klasma.github.io/Logging_1981/kartor/A 41570-2021 karta.png", "A 41570-2021")</f>
        <v/>
      </c>
      <c r="V57">
        <f>HYPERLINK("https://klasma.github.io/Logging_1981/klagomål/A 41570-2021 FSC-klagomål.docx", "A 41570-2021")</f>
        <v/>
      </c>
      <c r="W57">
        <f>HYPERLINK("https://klasma.github.io/Logging_1981/klagomålsmail/A 41570-2021 FSC-klagomål mail.docx", "A 41570-2021")</f>
        <v/>
      </c>
      <c r="X57">
        <f>HYPERLINK("https://klasma.github.io/Logging_1981/tillsyn/A 41570-2021 tillsynsbegäran.docx", "A 41570-2021")</f>
        <v/>
      </c>
      <c r="Y57">
        <f>HYPERLINK("https://klasma.github.io/Logging_1981/tillsynsmail/A 41570-2021 tillsynsbegäran mail.docx", "A 41570-2021")</f>
        <v/>
      </c>
    </row>
    <row r="58" ht="15" customHeight="1">
      <c r="A58" t="inlineStr">
        <is>
          <t>A 37166-2024</t>
        </is>
      </c>
      <c r="B58" s="1" t="n">
        <v>45539</v>
      </c>
      <c r="C58" s="1" t="n">
        <v>46001</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29985-2022</t>
        </is>
      </c>
      <c r="B59" s="1" t="n">
        <v>44756</v>
      </c>
      <c r="C59" s="1" t="n">
        <v>46001</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7919-2022</t>
        </is>
      </c>
      <c r="B60" s="1" t="n">
        <v>44608</v>
      </c>
      <c r="C60" s="1" t="n">
        <v>46001</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29727-2023</t>
        </is>
      </c>
      <c r="B61" s="1" t="n">
        <v>45107</v>
      </c>
      <c r="C61" s="1" t="n">
        <v>46001</v>
      </c>
      <c r="D61" t="inlineStr">
        <is>
          <t>VÄSTMANLANDS LÄN</t>
        </is>
      </c>
      <c r="E61" t="inlineStr">
        <is>
          <t>SALA</t>
        </is>
      </c>
      <c r="G61" t="n">
        <v>1.9</v>
      </c>
      <c r="H61" t="n">
        <v>0</v>
      </c>
      <c r="I61" t="n">
        <v>0</v>
      </c>
      <c r="J61" t="n">
        <v>1</v>
      </c>
      <c r="K61" t="n">
        <v>0</v>
      </c>
      <c r="L61" t="n">
        <v>0</v>
      </c>
      <c r="M61" t="n">
        <v>0</v>
      </c>
      <c r="N61" t="n">
        <v>0</v>
      </c>
      <c r="O61" t="n">
        <v>1</v>
      </c>
      <c r="P61" t="n">
        <v>0</v>
      </c>
      <c r="Q61" t="n">
        <v>1</v>
      </c>
      <c r="R61" s="2" t="inlineStr">
        <is>
          <t>Vedtrappmossa</t>
        </is>
      </c>
      <c r="S61">
        <f>HYPERLINK("https://klasma.github.io/Logging_1981/artfynd/A 29727-2023 artfynd.xlsx", "A 29727-2023")</f>
        <v/>
      </c>
      <c r="T61">
        <f>HYPERLINK("https://klasma.github.io/Logging_1981/kartor/A 29727-2023 karta.png", "A 29727-2023")</f>
        <v/>
      </c>
      <c r="V61">
        <f>HYPERLINK("https://klasma.github.io/Logging_1981/klagomål/A 29727-2023 FSC-klagomål.docx", "A 29727-2023")</f>
        <v/>
      </c>
      <c r="W61">
        <f>HYPERLINK("https://klasma.github.io/Logging_1981/klagomålsmail/A 29727-2023 FSC-klagomål mail.docx", "A 29727-2023")</f>
        <v/>
      </c>
      <c r="X61">
        <f>HYPERLINK("https://klasma.github.io/Logging_1981/tillsyn/A 29727-2023 tillsynsbegäran.docx", "A 29727-2023")</f>
        <v/>
      </c>
      <c r="Y61">
        <f>HYPERLINK("https://klasma.github.io/Logging_1981/tillsynsmail/A 29727-2023 tillsynsbegäran mail.docx", "A 29727-2023")</f>
        <v/>
      </c>
    </row>
    <row r="62" ht="15" customHeight="1">
      <c r="A62" t="inlineStr">
        <is>
          <t>A 55550-2023</t>
        </is>
      </c>
      <c r="B62" s="1" t="n">
        <v>45232</v>
      </c>
      <c r="C62" s="1" t="n">
        <v>46001</v>
      </c>
      <c r="D62" t="inlineStr">
        <is>
          <t>VÄSTMANLANDS LÄN</t>
        </is>
      </c>
      <c r="E62" t="inlineStr">
        <is>
          <t>SALA</t>
        </is>
      </c>
      <c r="G62" t="n">
        <v>9.9</v>
      </c>
      <c r="H62" t="n">
        <v>1</v>
      </c>
      <c r="I62" t="n">
        <v>0</v>
      </c>
      <c r="J62" t="n">
        <v>0</v>
      </c>
      <c r="K62" t="n">
        <v>1</v>
      </c>
      <c r="L62" t="n">
        <v>0</v>
      </c>
      <c r="M62" t="n">
        <v>0</v>
      </c>
      <c r="N62" t="n">
        <v>0</v>
      </c>
      <c r="O62" t="n">
        <v>1</v>
      </c>
      <c r="P62" t="n">
        <v>1</v>
      </c>
      <c r="Q62" t="n">
        <v>1</v>
      </c>
      <c r="R62" s="2" t="inlineStr">
        <is>
          <t>Knärot</t>
        </is>
      </c>
      <c r="S62">
        <f>HYPERLINK("https://klasma.github.io/Logging_1981/artfynd/A 55550-2023 artfynd.xlsx", "A 55550-2023")</f>
        <v/>
      </c>
      <c r="T62">
        <f>HYPERLINK("https://klasma.github.io/Logging_1981/kartor/A 55550-2023 karta.png", "A 55550-2023")</f>
        <v/>
      </c>
      <c r="U62">
        <f>HYPERLINK("https://klasma.github.io/Logging_1981/knärot/A 55550-2023 karta knärot.png", "A 55550-2023")</f>
        <v/>
      </c>
      <c r="V62">
        <f>HYPERLINK("https://klasma.github.io/Logging_1981/klagomål/A 55550-2023 FSC-klagomål.docx", "A 55550-2023")</f>
        <v/>
      </c>
      <c r="W62">
        <f>HYPERLINK("https://klasma.github.io/Logging_1981/klagomålsmail/A 55550-2023 FSC-klagomål mail.docx", "A 55550-2023")</f>
        <v/>
      </c>
      <c r="X62">
        <f>HYPERLINK("https://klasma.github.io/Logging_1981/tillsyn/A 55550-2023 tillsynsbegäran.docx", "A 55550-2023")</f>
        <v/>
      </c>
      <c r="Y62">
        <f>HYPERLINK("https://klasma.github.io/Logging_1981/tillsynsmail/A 55550-2023 tillsynsbegäran mail.docx", "A 55550-2023")</f>
        <v/>
      </c>
    </row>
    <row r="63" ht="15" customHeight="1">
      <c r="A63" t="inlineStr">
        <is>
          <t>A 21738-2025</t>
        </is>
      </c>
      <c r="B63" s="1" t="n">
        <v>45783.59173611111</v>
      </c>
      <c r="C63" s="1" t="n">
        <v>46001</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69194-2020</t>
        </is>
      </c>
      <c r="B64" s="1" t="n">
        <v>44191</v>
      </c>
      <c r="C64" s="1" t="n">
        <v>46001</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46001</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46001</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46001</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46001</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46001</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46001</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46001</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46001</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46001</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46001</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46001</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46001</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46001</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46001</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46001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46001</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46001</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46001</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46001</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46001</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46001</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46001</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46001</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46001</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46001</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46001</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46001</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46001</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46001</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46001</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46001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46001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46001</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46001</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46001</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46001</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46001</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46001</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46001</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46001</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46001</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46001</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46001</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46001</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46001</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46001</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46001</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46001</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46001</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46001</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46001</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46001</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46001</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46001</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46001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46001</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46001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46001</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46001</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46001</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46001</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46001</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46001</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46001</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46001</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46001</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46001</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46001</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46001</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46001</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46001</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46001</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46001</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46001</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46001</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46001</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46001</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46001</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46001</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46001</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46001</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46001</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46001</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46001</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46001</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46001</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46001</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46001</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46001</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46001</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46001</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46001</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46001</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46001</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46001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46001</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46001</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46001</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46001</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46001</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46001</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46001</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72405-2021</t>
        </is>
      </c>
      <c r="B167" s="1" t="n">
        <v>44545</v>
      </c>
      <c r="C167" s="1" t="n">
        <v>46001</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46001</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46001</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46001</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46001</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46001</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46001</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46001</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46001</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46001</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46001</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46001</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46001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46001</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46001</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15354-2021</t>
        </is>
      </c>
      <c r="B182" s="1" t="n">
        <v>44284</v>
      </c>
      <c r="C182" s="1" t="n">
        <v>46001</v>
      </c>
      <c r="D182" t="inlineStr">
        <is>
          <t>VÄSTMANLANDS LÄN</t>
        </is>
      </c>
      <c r="E182" t="inlineStr">
        <is>
          <t>SALA</t>
        </is>
      </c>
      <c r="F182" t="inlineStr">
        <is>
          <t>Kyrkan</t>
        </is>
      </c>
      <c r="G182" t="n">
        <v>8.5</v>
      </c>
      <c r="H182" t="n">
        <v>0</v>
      </c>
      <c r="I182" t="n">
        <v>0</v>
      </c>
      <c r="J182" t="n">
        <v>0</v>
      </c>
      <c r="K182" t="n">
        <v>0</v>
      </c>
      <c r="L182" t="n">
        <v>0</v>
      </c>
      <c r="M182" t="n">
        <v>0</v>
      </c>
      <c r="N182" t="n">
        <v>0</v>
      </c>
      <c r="O182" t="n">
        <v>0</v>
      </c>
      <c r="P182" t="n">
        <v>0</v>
      </c>
      <c r="Q182" t="n">
        <v>0</v>
      </c>
      <c r="R182" s="2" t="inlineStr"/>
    </row>
    <row r="183" ht="15" customHeight="1">
      <c r="A183" t="inlineStr">
        <is>
          <t>A 56688-2024</t>
        </is>
      </c>
      <c r="B183" s="1" t="n">
        <v>45627.66478009259</v>
      </c>
      <c r="C183" s="1" t="n">
        <v>46001</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46001</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18713-2025</t>
        </is>
      </c>
      <c r="B185" s="1" t="n">
        <v>45763</v>
      </c>
      <c r="C185" s="1" t="n">
        <v>46001</v>
      </c>
      <c r="D185" t="inlineStr">
        <is>
          <t>VÄSTMANLANDS LÄN</t>
        </is>
      </c>
      <c r="E185" t="inlineStr">
        <is>
          <t>SALA</t>
        </is>
      </c>
      <c r="F185" t="inlineStr">
        <is>
          <t>Bergvik skog öst AB</t>
        </is>
      </c>
      <c r="G185" t="n">
        <v>11.6</v>
      </c>
      <c r="H185" t="n">
        <v>0</v>
      </c>
      <c r="I185" t="n">
        <v>0</v>
      </c>
      <c r="J185" t="n">
        <v>0</v>
      </c>
      <c r="K185" t="n">
        <v>0</v>
      </c>
      <c r="L185" t="n">
        <v>0</v>
      </c>
      <c r="M185" t="n">
        <v>0</v>
      </c>
      <c r="N185" t="n">
        <v>0</v>
      </c>
      <c r="O185" t="n">
        <v>0</v>
      </c>
      <c r="P185" t="n">
        <v>0</v>
      </c>
      <c r="Q185" t="n">
        <v>0</v>
      </c>
      <c r="R185" s="2" t="inlineStr"/>
    </row>
    <row r="186" ht="15" customHeight="1">
      <c r="A186" t="inlineStr">
        <is>
          <t>A 54959-2024</t>
        </is>
      </c>
      <c r="B186" s="1" t="n">
        <v>45619</v>
      </c>
      <c r="C186" s="1" t="n">
        <v>46001</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39597-2022</t>
        </is>
      </c>
      <c r="B187" s="1" t="n">
        <v>44818</v>
      </c>
      <c r="C187" s="1" t="n">
        <v>46001</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27486-2022</t>
        </is>
      </c>
      <c r="B188" s="1" t="n">
        <v>44742.60846064815</v>
      </c>
      <c r="C188" s="1" t="n">
        <v>46001</v>
      </c>
      <c r="D188" t="inlineStr">
        <is>
          <t>VÄSTMANLANDS LÄN</t>
        </is>
      </c>
      <c r="E188" t="inlineStr">
        <is>
          <t>SALA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16651-2021</t>
        </is>
      </c>
      <c r="B189" s="1" t="n">
        <v>44294.50096064815</v>
      </c>
      <c r="C189" s="1" t="n">
        <v>46001</v>
      </c>
      <c r="D189" t="inlineStr">
        <is>
          <t>VÄSTMANLANDS LÄN</t>
        </is>
      </c>
      <c r="E189" t="inlineStr">
        <is>
          <t>SALA</t>
        </is>
      </c>
      <c r="G189" t="n">
        <v>7.7</v>
      </c>
      <c r="H189" t="n">
        <v>0</v>
      </c>
      <c r="I189" t="n">
        <v>0</v>
      </c>
      <c r="J189" t="n">
        <v>0</v>
      </c>
      <c r="K189" t="n">
        <v>0</v>
      </c>
      <c r="L189" t="n">
        <v>0</v>
      </c>
      <c r="M189" t="n">
        <v>0</v>
      </c>
      <c r="N189" t="n">
        <v>0</v>
      </c>
      <c r="O189" t="n">
        <v>0</v>
      </c>
      <c r="P189" t="n">
        <v>0</v>
      </c>
      <c r="Q189" t="n">
        <v>0</v>
      </c>
      <c r="R189" s="2" t="inlineStr"/>
    </row>
    <row r="190" ht="15" customHeight="1">
      <c r="A190" t="inlineStr">
        <is>
          <t>A 25860-2024</t>
        </is>
      </c>
      <c r="B190" s="1" t="n">
        <v>45467.46278935186</v>
      </c>
      <c r="C190" s="1" t="n">
        <v>46001</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22026-2021</t>
        </is>
      </c>
      <c r="B191" s="1" t="n">
        <v>44323</v>
      </c>
      <c r="C191" s="1" t="n">
        <v>46001</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46001</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7196-2025</t>
        </is>
      </c>
      <c r="B193" s="1" t="n">
        <v>45702</v>
      </c>
      <c r="C193" s="1" t="n">
        <v>46001</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6183-2025</t>
        </is>
      </c>
      <c r="B194" s="1" t="n">
        <v>45698</v>
      </c>
      <c r="C194" s="1" t="n">
        <v>46001</v>
      </c>
      <c r="D194" t="inlineStr">
        <is>
          <t>VÄSTMANLANDS LÄN</t>
        </is>
      </c>
      <c r="E194" t="inlineStr">
        <is>
          <t>SALA</t>
        </is>
      </c>
      <c r="F194" t="inlineStr">
        <is>
          <t>Bergvik skog öst AB</t>
        </is>
      </c>
      <c r="G194" t="n">
        <v>2.3</v>
      </c>
      <c r="H194" t="n">
        <v>0</v>
      </c>
      <c r="I194" t="n">
        <v>0</v>
      </c>
      <c r="J194" t="n">
        <v>0</v>
      </c>
      <c r="K194" t="n">
        <v>0</v>
      </c>
      <c r="L194" t="n">
        <v>0</v>
      </c>
      <c r="M194" t="n">
        <v>0</v>
      </c>
      <c r="N194" t="n">
        <v>0</v>
      </c>
      <c r="O194" t="n">
        <v>0</v>
      </c>
      <c r="P194" t="n">
        <v>0</v>
      </c>
      <c r="Q194" t="n">
        <v>0</v>
      </c>
      <c r="R194" s="2" t="inlineStr"/>
    </row>
    <row r="195" ht="15" customHeight="1">
      <c r="A195" t="inlineStr">
        <is>
          <t>A 16160-2024</t>
        </is>
      </c>
      <c r="B195" s="1" t="n">
        <v>45406</v>
      </c>
      <c r="C195" s="1" t="n">
        <v>46001</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19803-2024</t>
        </is>
      </c>
      <c r="B196" s="1" t="n">
        <v>45432</v>
      </c>
      <c r="C196" s="1" t="n">
        <v>46001</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40871-2021</t>
        </is>
      </c>
      <c r="B197" s="1" t="n">
        <v>44421</v>
      </c>
      <c r="C197" s="1" t="n">
        <v>46001</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24864-2024</t>
        </is>
      </c>
      <c r="B198" s="1" t="n">
        <v>45461.48888888889</v>
      </c>
      <c r="C198" s="1" t="n">
        <v>46001</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63933-2023</t>
        </is>
      </c>
      <c r="B199" s="1" t="n">
        <v>45278</v>
      </c>
      <c r="C199" s="1" t="n">
        <v>46001</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1118-2024</t>
        </is>
      </c>
      <c r="B200" s="1" t="n">
        <v>45302</v>
      </c>
      <c r="C200" s="1" t="n">
        <v>46001</v>
      </c>
      <c r="D200" t="inlineStr">
        <is>
          <t>VÄSTMANLANDS LÄN</t>
        </is>
      </c>
      <c r="E200" t="inlineStr">
        <is>
          <t>SALA</t>
        </is>
      </c>
      <c r="G200" t="n">
        <v>1.9</v>
      </c>
      <c r="H200" t="n">
        <v>0</v>
      </c>
      <c r="I200" t="n">
        <v>0</v>
      </c>
      <c r="J200" t="n">
        <v>0</v>
      </c>
      <c r="K200" t="n">
        <v>0</v>
      </c>
      <c r="L200" t="n">
        <v>0</v>
      </c>
      <c r="M200" t="n">
        <v>0</v>
      </c>
      <c r="N200" t="n">
        <v>0</v>
      </c>
      <c r="O200" t="n">
        <v>0</v>
      </c>
      <c r="P200" t="n">
        <v>0</v>
      </c>
      <c r="Q200" t="n">
        <v>0</v>
      </c>
      <c r="R200" s="2" t="inlineStr"/>
    </row>
    <row r="201" ht="15" customHeight="1">
      <c r="A201" t="inlineStr">
        <is>
          <t>A 39439-2021</t>
        </is>
      </c>
      <c r="B201" s="1" t="n">
        <v>44414</v>
      </c>
      <c r="C201" s="1" t="n">
        <v>46001</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37190-2024</t>
        </is>
      </c>
      <c r="B202" s="1" t="n">
        <v>45539</v>
      </c>
      <c r="C202" s="1" t="n">
        <v>46001</v>
      </c>
      <c r="D202" t="inlineStr">
        <is>
          <t>VÄSTMANLANDS LÄN</t>
        </is>
      </c>
      <c r="E202" t="inlineStr">
        <is>
          <t>SALA</t>
        </is>
      </c>
      <c r="G202" t="n">
        <v>0.9</v>
      </c>
      <c r="H202" t="n">
        <v>0</v>
      </c>
      <c r="I202" t="n">
        <v>0</v>
      </c>
      <c r="J202" t="n">
        <v>0</v>
      </c>
      <c r="K202" t="n">
        <v>0</v>
      </c>
      <c r="L202" t="n">
        <v>0</v>
      </c>
      <c r="M202" t="n">
        <v>0</v>
      </c>
      <c r="N202" t="n">
        <v>0</v>
      </c>
      <c r="O202" t="n">
        <v>0</v>
      </c>
      <c r="P202" t="n">
        <v>0</v>
      </c>
      <c r="Q202" t="n">
        <v>0</v>
      </c>
      <c r="R202" s="2" t="inlineStr"/>
    </row>
    <row r="203" ht="15" customHeight="1">
      <c r="A203" t="inlineStr">
        <is>
          <t>A 6134-2024</t>
        </is>
      </c>
      <c r="B203" s="1" t="n">
        <v>45337</v>
      </c>
      <c r="C203" s="1" t="n">
        <v>46001</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7176-2023</t>
        </is>
      </c>
      <c r="B204" s="1" t="n">
        <v>44970</v>
      </c>
      <c r="C204" s="1" t="n">
        <v>46001</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22624-2025</t>
        </is>
      </c>
      <c r="B205" s="1" t="n">
        <v>45789.43327546296</v>
      </c>
      <c r="C205" s="1" t="n">
        <v>46001</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11389-2024</t>
        </is>
      </c>
      <c r="B206" s="1" t="n">
        <v>45372.45016203704</v>
      </c>
      <c r="C206" s="1" t="n">
        <v>46001</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73673-2021</t>
        </is>
      </c>
      <c r="B207" s="1" t="n">
        <v>44552.46501157407</v>
      </c>
      <c r="C207" s="1" t="n">
        <v>46001</v>
      </c>
      <c r="D207" t="inlineStr">
        <is>
          <t>VÄSTMANLANDS LÄN</t>
        </is>
      </c>
      <c r="E207" t="inlineStr">
        <is>
          <t>SALA</t>
        </is>
      </c>
      <c r="G207" t="n">
        <v>11.4</v>
      </c>
      <c r="H207" t="n">
        <v>0</v>
      </c>
      <c r="I207" t="n">
        <v>0</v>
      </c>
      <c r="J207" t="n">
        <v>0</v>
      </c>
      <c r="K207" t="n">
        <v>0</v>
      </c>
      <c r="L207" t="n">
        <v>0</v>
      </c>
      <c r="M207" t="n">
        <v>0</v>
      </c>
      <c r="N207" t="n">
        <v>0</v>
      </c>
      <c r="O207" t="n">
        <v>0</v>
      </c>
      <c r="P207" t="n">
        <v>0</v>
      </c>
      <c r="Q207" t="n">
        <v>0</v>
      </c>
      <c r="R207" s="2" t="inlineStr"/>
    </row>
    <row r="208" ht="15" customHeight="1">
      <c r="A208" t="inlineStr">
        <is>
          <t>A 56706-2022</t>
        </is>
      </c>
      <c r="B208" s="1" t="n">
        <v>44893.78893518518</v>
      </c>
      <c r="C208" s="1" t="n">
        <v>46001</v>
      </c>
      <c r="D208" t="inlineStr">
        <is>
          <t>VÄSTMANLANDS LÄN</t>
        </is>
      </c>
      <c r="E208" t="inlineStr">
        <is>
          <t>SALA</t>
        </is>
      </c>
      <c r="G208" t="n">
        <v>4.5</v>
      </c>
      <c r="H208" t="n">
        <v>0</v>
      </c>
      <c r="I208" t="n">
        <v>0</v>
      </c>
      <c r="J208" t="n">
        <v>0</v>
      </c>
      <c r="K208" t="n">
        <v>0</v>
      </c>
      <c r="L208" t="n">
        <v>0</v>
      </c>
      <c r="M208" t="n">
        <v>0</v>
      </c>
      <c r="N208" t="n">
        <v>0</v>
      </c>
      <c r="O208" t="n">
        <v>0</v>
      </c>
      <c r="P208" t="n">
        <v>0</v>
      </c>
      <c r="Q208" t="n">
        <v>0</v>
      </c>
      <c r="R208" s="2" t="inlineStr"/>
    </row>
    <row r="209" ht="15" customHeight="1">
      <c r="A209" t="inlineStr">
        <is>
          <t>A 56707-2022</t>
        </is>
      </c>
      <c r="B209" s="1" t="n">
        <v>44893.79412037037</v>
      </c>
      <c r="C209" s="1" t="n">
        <v>46001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31405-2024</t>
        </is>
      </c>
      <c r="B210" s="1" t="n">
        <v>45505.5490625</v>
      </c>
      <c r="C210" s="1" t="n">
        <v>46001</v>
      </c>
      <c r="D210" t="inlineStr">
        <is>
          <t>VÄSTMANLANDS LÄN</t>
        </is>
      </c>
      <c r="E210" t="inlineStr">
        <is>
          <t>SALA</t>
        </is>
      </c>
      <c r="G210" t="n">
        <v>5.2</v>
      </c>
      <c r="H210" t="n">
        <v>0</v>
      </c>
      <c r="I210" t="n">
        <v>0</v>
      </c>
      <c r="J210" t="n">
        <v>0</v>
      </c>
      <c r="K210" t="n">
        <v>0</v>
      </c>
      <c r="L210" t="n">
        <v>0</v>
      </c>
      <c r="M210" t="n">
        <v>0</v>
      </c>
      <c r="N210" t="n">
        <v>0</v>
      </c>
      <c r="O210" t="n">
        <v>0</v>
      </c>
      <c r="P210" t="n">
        <v>0</v>
      </c>
      <c r="Q210" t="n">
        <v>0</v>
      </c>
      <c r="R210" s="2" t="inlineStr"/>
    </row>
    <row r="211" ht="15" customHeight="1">
      <c r="A211" t="inlineStr">
        <is>
          <t>A 30971-2022</t>
        </is>
      </c>
      <c r="B211" s="1" t="n">
        <v>44768.46725694444</v>
      </c>
      <c r="C211" s="1" t="n">
        <v>46001</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38574-2025</t>
        </is>
      </c>
      <c r="B212" s="1" t="n">
        <v>45884.46390046296</v>
      </c>
      <c r="C212" s="1" t="n">
        <v>46001</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16651-2021</t>
        </is>
      </c>
      <c r="B213" s="1" t="n">
        <v>44294.50096064815</v>
      </c>
      <c r="C213" s="1" t="n">
        <v>46001</v>
      </c>
      <c r="D213" t="inlineStr">
        <is>
          <t>VÄSTMANLANDS LÄN</t>
        </is>
      </c>
      <c r="E213" t="inlineStr">
        <is>
          <t>SALA</t>
        </is>
      </c>
      <c r="G213" t="n">
        <v>7.7</v>
      </c>
      <c r="H213" t="n">
        <v>0</v>
      </c>
      <c r="I213" t="n">
        <v>0</v>
      </c>
      <c r="J213" t="n">
        <v>0</v>
      </c>
      <c r="K213" t="n">
        <v>0</v>
      </c>
      <c r="L213" t="n">
        <v>0</v>
      </c>
      <c r="M213" t="n">
        <v>0</v>
      </c>
      <c r="N213" t="n">
        <v>0</v>
      </c>
      <c r="O213" t="n">
        <v>0</v>
      </c>
      <c r="P213" t="n">
        <v>0</v>
      </c>
      <c r="Q213" t="n">
        <v>0</v>
      </c>
      <c r="R213" s="2" t="inlineStr"/>
    </row>
    <row r="214" ht="15" customHeight="1">
      <c r="A214" t="inlineStr">
        <is>
          <t>A 38294-2025</t>
        </is>
      </c>
      <c r="B214" s="1" t="n">
        <v>45883.44854166666</v>
      </c>
      <c r="C214" s="1" t="n">
        <v>46001</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22616-2025</t>
        </is>
      </c>
      <c r="B215" s="1" t="n">
        <v>45789.42752314815</v>
      </c>
      <c r="C215" s="1" t="n">
        <v>46001</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43600-2024</t>
        </is>
      </c>
      <c r="B216" s="1" t="n">
        <v>45569</v>
      </c>
      <c r="C216" s="1" t="n">
        <v>46001</v>
      </c>
      <c r="D216" t="inlineStr">
        <is>
          <t>VÄSTMANLANDS LÄN</t>
        </is>
      </c>
      <c r="E216" t="inlineStr">
        <is>
          <t>SALA</t>
        </is>
      </c>
      <c r="G216" t="n">
        <v>0.9</v>
      </c>
      <c r="H216" t="n">
        <v>0</v>
      </c>
      <c r="I216" t="n">
        <v>0</v>
      </c>
      <c r="J216" t="n">
        <v>0</v>
      </c>
      <c r="K216" t="n">
        <v>0</v>
      </c>
      <c r="L216" t="n">
        <v>0</v>
      </c>
      <c r="M216" t="n">
        <v>0</v>
      </c>
      <c r="N216" t="n">
        <v>0</v>
      </c>
      <c r="O216" t="n">
        <v>0</v>
      </c>
      <c r="P216" t="n">
        <v>0</v>
      </c>
      <c r="Q216" t="n">
        <v>0</v>
      </c>
      <c r="R216" s="2" t="inlineStr"/>
    </row>
    <row r="217" ht="15" customHeight="1">
      <c r="A217" t="inlineStr">
        <is>
          <t>A 13130-2025</t>
        </is>
      </c>
      <c r="B217" s="1" t="n">
        <v>45734</v>
      </c>
      <c r="C217" s="1" t="n">
        <v>46001</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2900-2023</t>
        </is>
      </c>
      <c r="B218" s="1" t="n">
        <v>44943</v>
      </c>
      <c r="C218" s="1" t="n">
        <v>46001</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60730-2023</t>
        </is>
      </c>
      <c r="B219" s="1" t="n">
        <v>45260</v>
      </c>
      <c r="C219" s="1" t="n">
        <v>46001</v>
      </c>
      <c r="D219" t="inlineStr">
        <is>
          <t>VÄSTMANLANDS LÄN</t>
        </is>
      </c>
      <c r="E219" t="inlineStr">
        <is>
          <t>SALA</t>
        </is>
      </c>
      <c r="G219" t="n">
        <v>1.3</v>
      </c>
      <c r="H219" t="n">
        <v>0</v>
      </c>
      <c r="I219" t="n">
        <v>0</v>
      </c>
      <c r="J219" t="n">
        <v>0</v>
      </c>
      <c r="K219" t="n">
        <v>0</v>
      </c>
      <c r="L219" t="n">
        <v>0</v>
      </c>
      <c r="M219" t="n">
        <v>0</v>
      </c>
      <c r="N219" t="n">
        <v>0</v>
      </c>
      <c r="O219" t="n">
        <v>0</v>
      </c>
      <c r="P219" t="n">
        <v>0</v>
      </c>
      <c r="Q219" t="n">
        <v>0</v>
      </c>
      <c r="R219" s="2" t="inlineStr"/>
    </row>
    <row r="220" ht="15" customHeight="1">
      <c r="A220" t="inlineStr">
        <is>
          <t>A 60731-2023</t>
        </is>
      </c>
      <c r="B220" s="1" t="n">
        <v>45260</v>
      </c>
      <c r="C220" s="1" t="n">
        <v>46001</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24169-2025</t>
        </is>
      </c>
      <c r="B221" s="1" t="n">
        <v>45796</v>
      </c>
      <c r="C221" s="1" t="n">
        <v>46001</v>
      </c>
      <c r="D221" t="inlineStr">
        <is>
          <t>VÄSTMANLANDS LÄN</t>
        </is>
      </c>
      <c r="E221" t="inlineStr">
        <is>
          <t>SALA</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22126-2025</t>
        </is>
      </c>
      <c r="B222" s="1" t="n">
        <v>45785</v>
      </c>
      <c r="C222" s="1" t="n">
        <v>46001</v>
      </c>
      <c r="D222" t="inlineStr">
        <is>
          <t>VÄSTMANLANDS LÄN</t>
        </is>
      </c>
      <c r="E222" t="inlineStr">
        <is>
          <t>SALA</t>
        </is>
      </c>
      <c r="G222" t="n">
        <v>10.6</v>
      </c>
      <c r="H222" t="n">
        <v>0</v>
      </c>
      <c r="I222" t="n">
        <v>0</v>
      </c>
      <c r="J222" t="n">
        <v>0</v>
      </c>
      <c r="K222" t="n">
        <v>0</v>
      </c>
      <c r="L222" t="n">
        <v>0</v>
      </c>
      <c r="M222" t="n">
        <v>0</v>
      </c>
      <c r="N222" t="n">
        <v>0</v>
      </c>
      <c r="O222" t="n">
        <v>0</v>
      </c>
      <c r="P222" t="n">
        <v>0</v>
      </c>
      <c r="Q222" t="n">
        <v>0</v>
      </c>
      <c r="R222" s="2" t="inlineStr"/>
    </row>
    <row r="223" ht="15" customHeight="1">
      <c r="A223" t="inlineStr">
        <is>
          <t>A 23810-2025</t>
        </is>
      </c>
      <c r="B223" s="1" t="n">
        <v>45793.56989583333</v>
      </c>
      <c r="C223" s="1" t="n">
        <v>46001</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24944-2023</t>
        </is>
      </c>
      <c r="B224" s="1" t="n">
        <v>45085</v>
      </c>
      <c r="C224" s="1" t="n">
        <v>46001</v>
      </c>
      <c r="D224" t="inlineStr">
        <is>
          <t>VÄSTMANLANDS LÄN</t>
        </is>
      </c>
      <c r="E224" t="inlineStr">
        <is>
          <t>SALA</t>
        </is>
      </c>
      <c r="G224" t="n">
        <v>3.8</v>
      </c>
      <c r="H224" t="n">
        <v>0</v>
      </c>
      <c r="I224" t="n">
        <v>0</v>
      </c>
      <c r="J224" t="n">
        <v>0</v>
      </c>
      <c r="K224" t="n">
        <v>0</v>
      </c>
      <c r="L224" t="n">
        <v>0</v>
      </c>
      <c r="M224" t="n">
        <v>0</v>
      </c>
      <c r="N224" t="n">
        <v>0</v>
      </c>
      <c r="O224" t="n">
        <v>0</v>
      </c>
      <c r="P224" t="n">
        <v>0</v>
      </c>
      <c r="Q224" t="n">
        <v>0</v>
      </c>
      <c r="R224" s="2" t="inlineStr"/>
    </row>
    <row r="225" ht="15" customHeight="1">
      <c r="A225" t="inlineStr">
        <is>
          <t>A 39182-2025</t>
        </is>
      </c>
      <c r="B225" s="1" t="n">
        <v>45888.66204861111</v>
      </c>
      <c r="C225" s="1" t="n">
        <v>46001</v>
      </c>
      <c r="D225" t="inlineStr">
        <is>
          <t>VÄSTMANLANDS LÄN</t>
        </is>
      </c>
      <c r="E225" t="inlineStr">
        <is>
          <t>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23804-2025</t>
        </is>
      </c>
      <c r="B226" s="1" t="n">
        <v>45793.55995370371</v>
      </c>
      <c r="C226" s="1" t="n">
        <v>46001</v>
      </c>
      <c r="D226" t="inlineStr">
        <is>
          <t>VÄSTMANLANDS LÄN</t>
        </is>
      </c>
      <c r="E226" t="inlineStr">
        <is>
          <t>SALA</t>
        </is>
      </c>
      <c r="G226" t="n">
        <v>1.9</v>
      </c>
      <c r="H226" t="n">
        <v>0</v>
      </c>
      <c r="I226" t="n">
        <v>0</v>
      </c>
      <c r="J226" t="n">
        <v>0</v>
      </c>
      <c r="K226" t="n">
        <v>0</v>
      </c>
      <c r="L226" t="n">
        <v>0</v>
      </c>
      <c r="M226" t="n">
        <v>0</v>
      </c>
      <c r="N226" t="n">
        <v>0</v>
      </c>
      <c r="O226" t="n">
        <v>0</v>
      </c>
      <c r="P226" t="n">
        <v>0</v>
      </c>
      <c r="Q226" t="n">
        <v>0</v>
      </c>
      <c r="R226" s="2" t="inlineStr"/>
    </row>
    <row r="227" ht="15" customHeight="1">
      <c r="A227" t="inlineStr">
        <is>
          <t>A 11210-2025</t>
        </is>
      </c>
      <c r="B227" s="1" t="n">
        <v>45726</v>
      </c>
      <c r="C227" s="1" t="n">
        <v>46001</v>
      </c>
      <c r="D227" t="inlineStr">
        <is>
          <t>VÄSTMANLANDS LÄN</t>
        </is>
      </c>
      <c r="E227" t="inlineStr">
        <is>
          <t>SALA</t>
        </is>
      </c>
      <c r="G227" t="n">
        <v>4.1</v>
      </c>
      <c r="H227" t="n">
        <v>0</v>
      </c>
      <c r="I227" t="n">
        <v>0</v>
      </c>
      <c r="J227" t="n">
        <v>0</v>
      </c>
      <c r="K227" t="n">
        <v>0</v>
      </c>
      <c r="L227" t="n">
        <v>0</v>
      </c>
      <c r="M227" t="n">
        <v>0</v>
      </c>
      <c r="N227" t="n">
        <v>0</v>
      </c>
      <c r="O227" t="n">
        <v>0</v>
      </c>
      <c r="P227" t="n">
        <v>0</v>
      </c>
      <c r="Q227" t="n">
        <v>0</v>
      </c>
      <c r="R227" s="2" t="inlineStr"/>
    </row>
    <row r="228" ht="15" customHeight="1">
      <c r="A228" t="inlineStr">
        <is>
          <t>A 19297-2025</t>
        </is>
      </c>
      <c r="B228" s="1" t="n">
        <v>45769.56261574074</v>
      </c>
      <c r="C228" s="1" t="n">
        <v>46001</v>
      </c>
      <c r="D228" t="inlineStr">
        <is>
          <t>VÄSTMANLANDS LÄN</t>
        </is>
      </c>
      <c r="E228" t="inlineStr">
        <is>
          <t>SALA</t>
        </is>
      </c>
      <c r="G228" t="n">
        <v>0.8</v>
      </c>
      <c r="H228" t="n">
        <v>0</v>
      </c>
      <c r="I228" t="n">
        <v>0</v>
      </c>
      <c r="J228" t="n">
        <v>0</v>
      </c>
      <c r="K228" t="n">
        <v>0</v>
      </c>
      <c r="L228" t="n">
        <v>0</v>
      </c>
      <c r="M228" t="n">
        <v>0</v>
      </c>
      <c r="N228" t="n">
        <v>0</v>
      </c>
      <c r="O228" t="n">
        <v>0</v>
      </c>
      <c r="P228" t="n">
        <v>0</v>
      </c>
      <c r="Q228" t="n">
        <v>0</v>
      </c>
      <c r="R228" s="2" t="inlineStr"/>
    </row>
    <row r="229" ht="15" customHeight="1">
      <c r="A229" t="inlineStr">
        <is>
          <t>A 46279-2021</t>
        </is>
      </c>
      <c r="B229" s="1" t="n">
        <v>44442.57797453704</v>
      </c>
      <c r="C229" s="1" t="n">
        <v>46001</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35976-2024</t>
        </is>
      </c>
      <c r="B230" s="1" t="n">
        <v>45533.49555555556</v>
      </c>
      <c r="C230" s="1" t="n">
        <v>46001</v>
      </c>
      <c r="D230" t="inlineStr">
        <is>
          <t>VÄSTMANLANDS LÄN</t>
        </is>
      </c>
      <c r="E230" t="inlineStr">
        <is>
          <t>SALA</t>
        </is>
      </c>
      <c r="G230" t="n">
        <v>2.3</v>
      </c>
      <c r="H230" t="n">
        <v>0</v>
      </c>
      <c r="I230" t="n">
        <v>0</v>
      </c>
      <c r="J230" t="n">
        <v>0</v>
      </c>
      <c r="K230" t="n">
        <v>0</v>
      </c>
      <c r="L230" t="n">
        <v>0</v>
      </c>
      <c r="M230" t="n">
        <v>0</v>
      </c>
      <c r="N230" t="n">
        <v>0</v>
      </c>
      <c r="O230" t="n">
        <v>0</v>
      </c>
      <c r="P230" t="n">
        <v>0</v>
      </c>
      <c r="Q230" t="n">
        <v>0</v>
      </c>
      <c r="R230" s="2" t="inlineStr"/>
    </row>
    <row r="231" ht="15" customHeight="1">
      <c r="A231" t="inlineStr">
        <is>
          <t>A 31864-2025</t>
        </is>
      </c>
      <c r="B231" s="1" t="n">
        <v>45834.63819444444</v>
      </c>
      <c r="C231" s="1" t="n">
        <v>46001</v>
      </c>
      <c r="D231" t="inlineStr">
        <is>
          <t>VÄSTMANLANDS LÄN</t>
        </is>
      </c>
      <c r="E231" t="inlineStr">
        <is>
          <t>SALA</t>
        </is>
      </c>
      <c r="G231" t="n">
        <v>6.3</v>
      </c>
      <c r="H231" t="n">
        <v>0</v>
      </c>
      <c r="I231" t="n">
        <v>0</v>
      </c>
      <c r="J231" t="n">
        <v>0</v>
      </c>
      <c r="K231" t="n">
        <v>0</v>
      </c>
      <c r="L231" t="n">
        <v>0</v>
      </c>
      <c r="M231" t="n">
        <v>0</v>
      </c>
      <c r="N231" t="n">
        <v>0</v>
      </c>
      <c r="O231" t="n">
        <v>0</v>
      </c>
      <c r="P231" t="n">
        <v>0</v>
      </c>
      <c r="Q231" t="n">
        <v>0</v>
      </c>
      <c r="R231" s="2" t="inlineStr"/>
    </row>
    <row r="232" ht="15" customHeight="1">
      <c r="A232" t="inlineStr">
        <is>
          <t>A 24460-2025</t>
        </is>
      </c>
      <c r="B232" s="1" t="n">
        <v>45798</v>
      </c>
      <c r="C232" s="1" t="n">
        <v>46001</v>
      </c>
      <c r="D232" t="inlineStr">
        <is>
          <t>VÄSTMANLANDS LÄN</t>
        </is>
      </c>
      <c r="E232" t="inlineStr">
        <is>
          <t>SALA</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38636-2024</t>
        </is>
      </c>
      <c r="B233" s="1" t="n">
        <v>45546</v>
      </c>
      <c r="C233" s="1" t="n">
        <v>46001</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39167-2025</t>
        </is>
      </c>
      <c r="B234" s="1" t="n">
        <v>45888</v>
      </c>
      <c r="C234" s="1" t="n">
        <v>46001</v>
      </c>
      <c r="D234" t="inlineStr">
        <is>
          <t>VÄSTMANLANDS LÄN</t>
        </is>
      </c>
      <c r="E234" t="inlineStr">
        <is>
          <t>SALA</t>
        </is>
      </c>
      <c r="G234" t="n">
        <v>5.5</v>
      </c>
      <c r="H234" t="n">
        <v>0</v>
      </c>
      <c r="I234" t="n">
        <v>0</v>
      </c>
      <c r="J234" t="n">
        <v>0</v>
      </c>
      <c r="K234" t="n">
        <v>0</v>
      </c>
      <c r="L234" t="n">
        <v>0</v>
      </c>
      <c r="M234" t="n">
        <v>0</v>
      </c>
      <c r="N234" t="n">
        <v>0</v>
      </c>
      <c r="O234" t="n">
        <v>0</v>
      </c>
      <c r="P234" t="n">
        <v>0</v>
      </c>
      <c r="Q234" t="n">
        <v>0</v>
      </c>
      <c r="R234" s="2" t="inlineStr"/>
    </row>
    <row r="235" ht="15" customHeight="1">
      <c r="A235" t="inlineStr">
        <is>
          <t>A 55065-2024</t>
        </is>
      </c>
      <c r="B235" s="1" t="n">
        <v>45618</v>
      </c>
      <c r="C235" s="1" t="n">
        <v>46001</v>
      </c>
      <c r="D235" t="inlineStr">
        <is>
          <t>VÄSTMANLANDS LÄN</t>
        </is>
      </c>
      <c r="E235" t="inlineStr">
        <is>
          <t>SALA</t>
        </is>
      </c>
      <c r="G235" t="n">
        <v>3.5</v>
      </c>
      <c r="H235" t="n">
        <v>0</v>
      </c>
      <c r="I235" t="n">
        <v>0</v>
      </c>
      <c r="J235" t="n">
        <v>0</v>
      </c>
      <c r="K235" t="n">
        <v>0</v>
      </c>
      <c r="L235" t="n">
        <v>0</v>
      </c>
      <c r="M235" t="n">
        <v>0</v>
      </c>
      <c r="N235" t="n">
        <v>0</v>
      </c>
      <c r="O235" t="n">
        <v>0</v>
      </c>
      <c r="P235" t="n">
        <v>0</v>
      </c>
      <c r="Q235" t="n">
        <v>0</v>
      </c>
      <c r="R235" s="2" t="inlineStr"/>
    </row>
    <row r="236" ht="15" customHeight="1">
      <c r="A236" t="inlineStr">
        <is>
          <t>A 24463-2025</t>
        </is>
      </c>
      <c r="B236" s="1" t="n">
        <v>45798</v>
      </c>
      <c r="C236" s="1" t="n">
        <v>46001</v>
      </c>
      <c r="D236" t="inlineStr">
        <is>
          <t>VÄSTMANLANDS LÄN</t>
        </is>
      </c>
      <c r="E236" t="inlineStr">
        <is>
          <t>SALA</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52498-2022</t>
        </is>
      </c>
      <c r="B237" s="1" t="n">
        <v>44874.50152777778</v>
      </c>
      <c r="C237" s="1" t="n">
        <v>46001</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71471-2021</t>
        </is>
      </c>
      <c r="B238" s="1" t="n">
        <v>44540.53421296296</v>
      </c>
      <c r="C238" s="1" t="n">
        <v>46001</v>
      </c>
      <c r="D238" t="inlineStr">
        <is>
          <t>VÄSTMANLANDS LÄN</t>
        </is>
      </c>
      <c r="E238" t="inlineStr">
        <is>
          <t>SALA</t>
        </is>
      </c>
      <c r="G238" t="n">
        <v>13</v>
      </c>
      <c r="H238" t="n">
        <v>0</v>
      </c>
      <c r="I238" t="n">
        <v>0</v>
      </c>
      <c r="J238" t="n">
        <v>0</v>
      </c>
      <c r="K238" t="n">
        <v>0</v>
      </c>
      <c r="L238" t="n">
        <v>0</v>
      </c>
      <c r="M238" t="n">
        <v>0</v>
      </c>
      <c r="N238" t="n">
        <v>0</v>
      </c>
      <c r="O238" t="n">
        <v>0</v>
      </c>
      <c r="P238" t="n">
        <v>0</v>
      </c>
      <c r="Q238" t="n">
        <v>0</v>
      </c>
      <c r="R238" s="2" t="inlineStr"/>
    </row>
    <row r="239" ht="15" customHeight="1">
      <c r="A239" t="inlineStr">
        <is>
          <t>A 8775-2024</t>
        </is>
      </c>
      <c r="B239" s="1" t="n">
        <v>45356</v>
      </c>
      <c r="C239" s="1" t="n">
        <v>46001</v>
      </c>
      <c r="D239" t="inlineStr">
        <is>
          <t>VÄSTMANLANDS LÄN</t>
        </is>
      </c>
      <c r="E239" t="inlineStr">
        <is>
          <t>SALA</t>
        </is>
      </c>
      <c r="G239" t="n">
        <v>0.6</v>
      </c>
      <c r="H239" t="n">
        <v>0</v>
      </c>
      <c r="I239" t="n">
        <v>0</v>
      </c>
      <c r="J239" t="n">
        <v>0</v>
      </c>
      <c r="K239" t="n">
        <v>0</v>
      </c>
      <c r="L239" t="n">
        <v>0</v>
      </c>
      <c r="M239" t="n">
        <v>0</v>
      </c>
      <c r="N239" t="n">
        <v>0</v>
      </c>
      <c r="O239" t="n">
        <v>0</v>
      </c>
      <c r="P239" t="n">
        <v>0</v>
      </c>
      <c r="Q239" t="n">
        <v>0</v>
      </c>
      <c r="R239" s="2" t="inlineStr"/>
    </row>
    <row r="240" ht="15" customHeight="1">
      <c r="A240" t="inlineStr">
        <is>
          <t>A 39011-2023</t>
        </is>
      </c>
      <c r="B240" s="1" t="n">
        <v>45162</v>
      </c>
      <c r="C240" s="1" t="n">
        <v>46001</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24907-2025</t>
        </is>
      </c>
      <c r="B241" s="1" t="n">
        <v>45799</v>
      </c>
      <c r="C241" s="1" t="n">
        <v>46001</v>
      </c>
      <c r="D241" t="inlineStr">
        <is>
          <t>VÄSTMANLANDS LÄN</t>
        </is>
      </c>
      <c r="E241" t="inlineStr">
        <is>
          <t>SALA</t>
        </is>
      </c>
      <c r="G241" t="n">
        <v>3.5</v>
      </c>
      <c r="H241" t="n">
        <v>0</v>
      </c>
      <c r="I241" t="n">
        <v>0</v>
      </c>
      <c r="J241" t="n">
        <v>0</v>
      </c>
      <c r="K241" t="n">
        <v>0</v>
      </c>
      <c r="L241" t="n">
        <v>0</v>
      </c>
      <c r="M241" t="n">
        <v>0</v>
      </c>
      <c r="N241" t="n">
        <v>0</v>
      </c>
      <c r="O241" t="n">
        <v>0</v>
      </c>
      <c r="P241" t="n">
        <v>0</v>
      </c>
      <c r="Q241" t="n">
        <v>0</v>
      </c>
      <c r="R241" s="2" t="inlineStr"/>
    </row>
    <row r="242" ht="15" customHeight="1">
      <c r="A242" t="inlineStr">
        <is>
          <t>A 24910-2025</t>
        </is>
      </c>
      <c r="B242" s="1" t="n">
        <v>45799.53775462963</v>
      </c>
      <c r="C242" s="1" t="n">
        <v>46001</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56547-2022</t>
        </is>
      </c>
      <c r="B243" s="1" t="n">
        <v>44893.48284722222</v>
      </c>
      <c r="C243" s="1" t="n">
        <v>46001</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40556-2025</t>
        </is>
      </c>
      <c r="B244" s="1" t="n">
        <v>45896.44944444444</v>
      </c>
      <c r="C244" s="1" t="n">
        <v>46001</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40559-2025</t>
        </is>
      </c>
      <c r="B245" s="1" t="n">
        <v>45896.45037037037</v>
      </c>
      <c r="C245" s="1" t="n">
        <v>46001</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10909-2024</t>
        </is>
      </c>
      <c r="B246" s="1" t="n">
        <v>45370</v>
      </c>
      <c r="C246" s="1" t="n">
        <v>46001</v>
      </c>
      <c r="D246" t="inlineStr">
        <is>
          <t>VÄSTMANLANDS LÄN</t>
        </is>
      </c>
      <c r="E246" t="inlineStr">
        <is>
          <t>SALA</t>
        </is>
      </c>
      <c r="G246" t="n">
        <v>3.3</v>
      </c>
      <c r="H246" t="n">
        <v>0</v>
      </c>
      <c r="I246" t="n">
        <v>0</v>
      </c>
      <c r="J246" t="n">
        <v>0</v>
      </c>
      <c r="K246" t="n">
        <v>0</v>
      </c>
      <c r="L246" t="n">
        <v>0</v>
      </c>
      <c r="M246" t="n">
        <v>0</v>
      </c>
      <c r="N246" t="n">
        <v>0</v>
      </c>
      <c r="O246" t="n">
        <v>0</v>
      </c>
      <c r="P246" t="n">
        <v>0</v>
      </c>
      <c r="Q246" t="n">
        <v>0</v>
      </c>
      <c r="R246" s="2" t="inlineStr"/>
    </row>
    <row r="247" ht="15" customHeight="1">
      <c r="A247" t="inlineStr">
        <is>
          <t>A 56916-2022</t>
        </is>
      </c>
      <c r="B247" s="1" t="n">
        <v>44888</v>
      </c>
      <c r="C247" s="1" t="n">
        <v>46001</v>
      </c>
      <c r="D247" t="inlineStr">
        <is>
          <t>VÄSTMANLANDS LÄN</t>
        </is>
      </c>
      <c r="E247" t="inlineStr">
        <is>
          <t>SALA</t>
        </is>
      </c>
      <c r="G247" t="n">
        <v>1.7</v>
      </c>
      <c r="H247" t="n">
        <v>0</v>
      </c>
      <c r="I247" t="n">
        <v>0</v>
      </c>
      <c r="J247" t="n">
        <v>0</v>
      </c>
      <c r="K247" t="n">
        <v>0</v>
      </c>
      <c r="L247" t="n">
        <v>0</v>
      </c>
      <c r="M247" t="n">
        <v>0</v>
      </c>
      <c r="N247" t="n">
        <v>0</v>
      </c>
      <c r="O247" t="n">
        <v>0</v>
      </c>
      <c r="P247" t="n">
        <v>0</v>
      </c>
      <c r="Q247" t="n">
        <v>0</v>
      </c>
      <c r="R247" s="2" t="inlineStr"/>
    </row>
    <row r="248" ht="15" customHeight="1">
      <c r="A248" t="inlineStr">
        <is>
          <t>A 40620-2025</t>
        </is>
      </c>
      <c r="B248" s="1" t="n">
        <v>45896.58609953704</v>
      </c>
      <c r="C248" s="1" t="n">
        <v>46001</v>
      </c>
      <c r="D248" t="inlineStr">
        <is>
          <t>VÄSTMANLANDS LÄN</t>
        </is>
      </c>
      <c r="E248" t="inlineStr">
        <is>
          <t>SALA</t>
        </is>
      </c>
      <c r="G248" t="n">
        <v>6.7</v>
      </c>
      <c r="H248" t="n">
        <v>0</v>
      </c>
      <c r="I248" t="n">
        <v>0</v>
      </c>
      <c r="J248" t="n">
        <v>0</v>
      </c>
      <c r="K248" t="n">
        <v>0</v>
      </c>
      <c r="L248" t="n">
        <v>0</v>
      </c>
      <c r="M248" t="n">
        <v>0</v>
      </c>
      <c r="N248" t="n">
        <v>0</v>
      </c>
      <c r="O248" t="n">
        <v>0</v>
      </c>
      <c r="P248" t="n">
        <v>0</v>
      </c>
      <c r="Q248" t="n">
        <v>0</v>
      </c>
      <c r="R248" s="2" t="inlineStr"/>
    </row>
    <row r="249" ht="15" customHeight="1">
      <c r="A249" t="inlineStr">
        <is>
          <t>A 41230-2025</t>
        </is>
      </c>
      <c r="B249" s="1" t="n">
        <v>45898</v>
      </c>
      <c r="C249" s="1" t="n">
        <v>46001</v>
      </c>
      <c r="D249" t="inlineStr">
        <is>
          <t>VÄSTMANLANDS LÄN</t>
        </is>
      </c>
      <c r="E249" t="inlineStr">
        <is>
          <t>SALA</t>
        </is>
      </c>
      <c r="G249" t="n">
        <v>2.3</v>
      </c>
      <c r="H249" t="n">
        <v>0</v>
      </c>
      <c r="I249" t="n">
        <v>0</v>
      </c>
      <c r="J249" t="n">
        <v>0</v>
      </c>
      <c r="K249" t="n">
        <v>0</v>
      </c>
      <c r="L249" t="n">
        <v>0</v>
      </c>
      <c r="M249" t="n">
        <v>0</v>
      </c>
      <c r="N249" t="n">
        <v>0</v>
      </c>
      <c r="O249" t="n">
        <v>0</v>
      </c>
      <c r="P249" t="n">
        <v>0</v>
      </c>
      <c r="Q249" t="n">
        <v>0</v>
      </c>
      <c r="R249" s="2" t="inlineStr"/>
    </row>
    <row r="250" ht="15" customHeight="1">
      <c r="A250" t="inlineStr">
        <is>
          <t>A 45313-2024</t>
        </is>
      </c>
      <c r="B250" s="1" t="n">
        <v>45576</v>
      </c>
      <c r="C250" s="1" t="n">
        <v>46001</v>
      </c>
      <c r="D250" t="inlineStr">
        <is>
          <t>VÄSTMANLANDS LÄN</t>
        </is>
      </c>
      <c r="E250" t="inlineStr">
        <is>
          <t>SALA</t>
        </is>
      </c>
      <c r="G250" t="n">
        <v>0.7</v>
      </c>
      <c r="H250" t="n">
        <v>0</v>
      </c>
      <c r="I250" t="n">
        <v>0</v>
      </c>
      <c r="J250" t="n">
        <v>0</v>
      </c>
      <c r="K250" t="n">
        <v>0</v>
      </c>
      <c r="L250" t="n">
        <v>0</v>
      </c>
      <c r="M250" t="n">
        <v>0</v>
      </c>
      <c r="N250" t="n">
        <v>0</v>
      </c>
      <c r="O250" t="n">
        <v>0</v>
      </c>
      <c r="P250" t="n">
        <v>0</v>
      </c>
      <c r="Q250" t="n">
        <v>0</v>
      </c>
      <c r="R250" s="2" t="inlineStr"/>
    </row>
    <row r="251" ht="15" customHeight="1">
      <c r="A251" t="inlineStr">
        <is>
          <t>A 56535-2022</t>
        </is>
      </c>
      <c r="B251" s="1" t="n">
        <v>44893.47173611111</v>
      </c>
      <c r="C251" s="1" t="n">
        <v>46001</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47909-2022</t>
        </is>
      </c>
      <c r="B252" s="1" t="n">
        <v>44855</v>
      </c>
      <c r="C252" s="1" t="n">
        <v>46001</v>
      </c>
      <c r="D252" t="inlineStr">
        <is>
          <t>VÄSTMANLANDS LÄN</t>
        </is>
      </c>
      <c r="E252" t="inlineStr">
        <is>
          <t>SALA</t>
        </is>
      </c>
      <c r="F252" t="inlineStr">
        <is>
          <t>Bergvik skog öst AB</t>
        </is>
      </c>
      <c r="G252" t="n">
        <v>2</v>
      </c>
      <c r="H252" t="n">
        <v>0</v>
      </c>
      <c r="I252" t="n">
        <v>0</v>
      </c>
      <c r="J252" t="n">
        <v>0</v>
      </c>
      <c r="K252" t="n">
        <v>0</v>
      </c>
      <c r="L252" t="n">
        <v>0</v>
      </c>
      <c r="M252" t="n">
        <v>0</v>
      </c>
      <c r="N252" t="n">
        <v>0</v>
      </c>
      <c r="O252" t="n">
        <v>0</v>
      </c>
      <c r="P252" t="n">
        <v>0</v>
      </c>
      <c r="Q252" t="n">
        <v>0</v>
      </c>
      <c r="R252" s="2" t="inlineStr"/>
    </row>
    <row r="253" ht="15" customHeight="1">
      <c r="A253" t="inlineStr">
        <is>
          <t>A 52630-2022</t>
        </is>
      </c>
      <c r="B253" s="1" t="n">
        <v>44874</v>
      </c>
      <c r="C253" s="1" t="n">
        <v>46001</v>
      </c>
      <c r="D253" t="inlineStr">
        <is>
          <t>VÄSTMANLANDS LÄN</t>
        </is>
      </c>
      <c r="E253" t="inlineStr">
        <is>
          <t>SALA</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41431-2025</t>
        </is>
      </c>
      <c r="B254" s="1" t="n">
        <v>45901.39347222223</v>
      </c>
      <c r="C254" s="1" t="n">
        <v>46001</v>
      </c>
      <c r="D254" t="inlineStr">
        <is>
          <t>VÄSTMANLANDS LÄN</t>
        </is>
      </c>
      <c r="E254" t="inlineStr">
        <is>
          <t>SALA</t>
        </is>
      </c>
      <c r="G254" t="n">
        <v>0.8</v>
      </c>
      <c r="H254" t="n">
        <v>0</v>
      </c>
      <c r="I254" t="n">
        <v>0</v>
      </c>
      <c r="J254" t="n">
        <v>0</v>
      </c>
      <c r="K254" t="n">
        <v>0</v>
      </c>
      <c r="L254" t="n">
        <v>0</v>
      </c>
      <c r="M254" t="n">
        <v>0</v>
      </c>
      <c r="N254" t="n">
        <v>0</v>
      </c>
      <c r="O254" t="n">
        <v>0</v>
      </c>
      <c r="P254" t="n">
        <v>0</v>
      </c>
      <c r="Q254" t="n">
        <v>0</v>
      </c>
      <c r="R254" s="2" t="inlineStr"/>
    </row>
    <row r="255" ht="15" customHeight="1">
      <c r="A255" t="inlineStr">
        <is>
          <t>A 56687-2024</t>
        </is>
      </c>
      <c r="B255" s="1" t="n">
        <v>45627.63271990741</v>
      </c>
      <c r="C255" s="1" t="n">
        <v>46001</v>
      </c>
      <c r="D255" t="inlineStr">
        <is>
          <t>VÄSTMANLANDS LÄN</t>
        </is>
      </c>
      <c r="E255" t="inlineStr">
        <is>
          <t>SALA</t>
        </is>
      </c>
      <c r="G255" t="n">
        <v>1.2</v>
      </c>
      <c r="H255" t="n">
        <v>0</v>
      </c>
      <c r="I255" t="n">
        <v>0</v>
      </c>
      <c r="J255" t="n">
        <v>0</v>
      </c>
      <c r="K255" t="n">
        <v>0</v>
      </c>
      <c r="L255" t="n">
        <v>0</v>
      </c>
      <c r="M255" t="n">
        <v>0</v>
      </c>
      <c r="N255" t="n">
        <v>0</v>
      </c>
      <c r="O255" t="n">
        <v>0</v>
      </c>
      <c r="P255" t="n">
        <v>0</v>
      </c>
      <c r="Q255" t="n">
        <v>0</v>
      </c>
      <c r="R255" s="2" t="inlineStr"/>
    </row>
    <row r="256" ht="15" customHeight="1">
      <c r="A256" t="inlineStr">
        <is>
          <t>A 41414-2025</t>
        </is>
      </c>
      <c r="B256" s="1" t="n">
        <v>45901.360625</v>
      </c>
      <c r="C256" s="1" t="n">
        <v>46001</v>
      </c>
      <c r="D256" t="inlineStr">
        <is>
          <t>VÄSTMANLANDS LÄN</t>
        </is>
      </c>
      <c r="E256" t="inlineStr">
        <is>
          <t>SALA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26661-2025</t>
        </is>
      </c>
      <c r="B257" s="1" t="n">
        <v>45810</v>
      </c>
      <c r="C257" s="1" t="n">
        <v>46001</v>
      </c>
      <c r="D257" t="inlineStr">
        <is>
          <t>VÄSTMANLANDS LÄN</t>
        </is>
      </c>
      <c r="E257" t="inlineStr">
        <is>
          <t>SALA</t>
        </is>
      </c>
      <c r="G257" t="n">
        <v>3.5</v>
      </c>
      <c r="H257" t="n">
        <v>0</v>
      </c>
      <c r="I257" t="n">
        <v>0</v>
      </c>
      <c r="J257" t="n">
        <v>0</v>
      </c>
      <c r="K257" t="n">
        <v>0</v>
      </c>
      <c r="L257" t="n">
        <v>0</v>
      </c>
      <c r="M257" t="n">
        <v>0</v>
      </c>
      <c r="N257" t="n">
        <v>0</v>
      </c>
      <c r="O257" t="n">
        <v>0</v>
      </c>
      <c r="P257" t="n">
        <v>0</v>
      </c>
      <c r="Q257" t="n">
        <v>0</v>
      </c>
      <c r="R257" s="2" t="inlineStr"/>
    </row>
    <row r="258" ht="15" customHeight="1">
      <c r="A258" t="inlineStr">
        <is>
          <t>A 53164-2024</t>
        </is>
      </c>
      <c r="B258" s="1" t="n">
        <v>45611.64887731482</v>
      </c>
      <c r="C258" s="1" t="n">
        <v>46001</v>
      </c>
      <c r="D258" t="inlineStr">
        <is>
          <t>VÄSTMANLANDS LÄN</t>
        </is>
      </c>
      <c r="E258" t="inlineStr">
        <is>
          <t>SALA</t>
        </is>
      </c>
      <c r="G258" t="n">
        <v>2.6</v>
      </c>
      <c r="H258" t="n">
        <v>0</v>
      </c>
      <c r="I258" t="n">
        <v>0</v>
      </c>
      <c r="J258" t="n">
        <v>0</v>
      </c>
      <c r="K258" t="n">
        <v>0</v>
      </c>
      <c r="L258" t="n">
        <v>0</v>
      </c>
      <c r="M258" t="n">
        <v>0</v>
      </c>
      <c r="N258" t="n">
        <v>0</v>
      </c>
      <c r="O258" t="n">
        <v>0</v>
      </c>
      <c r="P258" t="n">
        <v>0</v>
      </c>
      <c r="Q258" t="n">
        <v>0</v>
      </c>
      <c r="R258" s="2" t="inlineStr"/>
    </row>
    <row r="259" ht="15" customHeight="1">
      <c r="A259" t="inlineStr">
        <is>
          <t>A 61715-2024</t>
        </is>
      </c>
      <c r="B259" s="1" t="n">
        <v>45648.89519675926</v>
      </c>
      <c r="C259" s="1" t="n">
        <v>46001</v>
      </c>
      <c r="D259" t="inlineStr">
        <is>
          <t>VÄSTMANLANDS LÄN</t>
        </is>
      </c>
      <c r="E259" t="inlineStr">
        <is>
          <t>SALA</t>
        </is>
      </c>
      <c r="G259" t="n">
        <v>2.5</v>
      </c>
      <c r="H259" t="n">
        <v>0</v>
      </c>
      <c r="I259" t="n">
        <v>0</v>
      </c>
      <c r="J259" t="n">
        <v>0</v>
      </c>
      <c r="K259" t="n">
        <v>0</v>
      </c>
      <c r="L259" t="n">
        <v>0</v>
      </c>
      <c r="M259" t="n">
        <v>0</v>
      </c>
      <c r="N259" t="n">
        <v>0</v>
      </c>
      <c r="O259" t="n">
        <v>0</v>
      </c>
      <c r="P259" t="n">
        <v>0</v>
      </c>
      <c r="Q259" t="n">
        <v>0</v>
      </c>
      <c r="R259" s="2" t="inlineStr"/>
    </row>
    <row r="260" ht="15" customHeight="1">
      <c r="A260" t="inlineStr">
        <is>
          <t>A 61717-2024</t>
        </is>
      </c>
      <c r="B260" s="1" t="n">
        <v>45648</v>
      </c>
      <c r="C260" s="1" t="n">
        <v>46001</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16404-2022</t>
        </is>
      </c>
      <c r="B261" s="1" t="n">
        <v>44671</v>
      </c>
      <c r="C261" s="1" t="n">
        <v>46001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6097-2022</t>
        </is>
      </c>
      <c r="B262" s="1" t="n">
        <v>44599</v>
      </c>
      <c r="C262" s="1" t="n">
        <v>46001</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10559-2024</t>
        </is>
      </c>
      <c r="B263" s="1" t="n">
        <v>45366</v>
      </c>
      <c r="C263" s="1" t="n">
        <v>46001</v>
      </c>
      <c r="D263" t="inlineStr">
        <is>
          <t>VÄSTMANLANDS LÄN</t>
        </is>
      </c>
      <c r="E263" t="inlineStr">
        <is>
          <t>SALA</t>
        </is>
      </c>
      <c r="G263" t="n">
        <v>0.3</v>
      </c>
      <c r="H263" t="n">
        <v>0</v>
      </c>
      <c r="I263" t="n">
        <v>0</v>
      </c>
      <c r="J263" t="n">
        <v>0</v>
      </c>
      <c r="K263" t="n">
        <v>0</v>
      </c>
      <c r="L263" t="n">
        <v>0</v>
      </c>
      <c r="M263" t="n">
        <v>0</v>
      </c>
      <c r="N263" t="n">
        <v>0</v>
      </c>
      <c r="O263" t="n">
        <v>0</v>
      </c>
      <c r="P263" t="n">
        <v>0</v>
      </c>
      <c r="Q263" t="n">
        <v>0</v>
      </c>
      <c r="R263" s="2" t="inlineStr"/>
    </row>
    <row r="264" ht="15" customHeight="1">
      <c r="A264" t="inlineStr">
        <is>
          <t>A 21968-2024</t>
        </is>
      </c>
      <c r="B264" s="1" t="n">
        <v>45443</v>
      </c>
      <c r="C264" s="1" t="n">
        <v>46001</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60545-2024</t>
        </is>
      </c>
      <c r="B265" s="1" t="n">
        <v>45643</v>
      </c>
      <c r="C265" s="1" t="n">
        <v>46001</v>
      </c>
      <c r="D265" t="inlineStr">
        <is>
          <t>VÄSTMANLANDS LÄN</t>
        </is>
      </c>
      <c r="E265" t="inlineStr">
        <is>
          <t>SALA</t>
        </is>
      </c>
      <c r="G265" t="n">
        <v>3.3</v>
      </c>
      <c r="H265" t="n">
        <v>0</v>
      </c>
      <c r="I265" t="n">
        <v>0</v>
      </c>
      <c r="J265" t="n">
        <v>0</v>
      </c>
      <c r="K265" t="n">
        <v>0</v>
      </c>
      <c r="L265" t="n">
        <v>0</v>
      </c>
      <c r="M265" t="n">
        <v>0</v>
      </c>
      <c r="N265" t="n">
        <v>0</v>
      </c>
      <c r="O265" t="n">
        <v>0</v>
      </c>
      <c r="P265" t="n">
        <v>0</v>
      </c>
      <c r="Q265" t="n">
        <v>0</v>
      </c>
      <c r="R265" s="2" t="inlineStr"/>
    </row>
    <row r="266" ht="15" customHeight="1">
      <c r="A266" t="inlineStr">
        <is>
          <t>A 60547-2024</t>
        </is>
      </c>
      <c r="B266" s="1" t="n">
        <v>45643</v>
      </c>
      <c r="C266" s="1" t="n">
        <v>46001</v>
      </c>
      <c r="D266" t="inlineStr">
        <is>
          <t>VÄSTMANLANDS LÄN</t>
        </is>
      </c>
      <c r="E266" t="inlineStr">
        <is>
          <t>SALA</t>
        </is>
      </c>
      <c r="G266" t="n">
        <v>0.6</v>
      </c>
      <c r="H266" t="n">
        <v>0</v>
      </c>
      <c r="I266" t="n">
        <v>0</v>
      </c>
      <c r="J266" t="n">
        <v>0</v>
      </c>
      <c r="K266" t="n">
        <v>0</v>
      </c>
      <c r="L266" t="n">
        <v>0</v>
      </c>
      <c r="M266" t="n">
        <v>0</v>
      </c>
      <c r="N266" t="n">
        <v>0</v>
      </c>
      <c r="O266" t="n">
        <v>0</v>
      </c>
      <c r="P266" t="n">
        <v>0</v>
      </c>
      <c r="Q266" t="n">
        <v>0</v>
      </c>
      <c r="R266" s="2" t="inlineStr"/>
    </row>
    <row r="267" ht="15" customHeight="1">
      <c r="A267" t="inlineStr">
        <is>
          <t>A 15965-2024</t>
        </is>
      </c>
      <c r="B267" s="1" t="n">
        <v>45405.55740740741</v>
      </c>
      <c r="C267" s="1" t="n">
        <v>46001</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1196-2023</t>
        </is>
      </c>
      <c r="B268" s="1" t="n">
        <v>44935.82290509259</v>
      </c>
      <c r="C268" s="1" t="n">
        <v>46001</v>
      </c>
      <c r="D268" t="inlineStr">
        <is>
          <t>VÄSTMANLANDS LÄN</t>
        </is>
      </c>
      <c r="E268" t="inlineStr">
        <is>
          <t>SALA</t>
        </is>
      </c>
      <c r="G268" t="n">
        <v>4.1</v>
      </c>
      <c r="H268" t="n">
        <v>0</v>
      </c>
      <c r="I268" t="n">
        <v>0</v>
      </c>
      <c r="J268" t="n">
        <v>0</v>
      </c>
      <c r="K268" t="n">
        <v>0</v>
      </c>
      <c r="L268" t="n">
        <v>0</v>
      </c>
      <c r="M268" t="n">
        <v>0</v>
      </c>
      <c r="N268" t="n">
        <v>0</v>
      </c>
      <c r="O268" t="n">
        <v>0</v>
      </c>
      <c r="P268" t="n">
        <v>0</v>
      </c>
      <c r="Q268" t="n">
        <v>0</v>
      </c>
      <c r="R268" s="2" t="inlineStr"/>
    </row>
    <row r="269" ht="15" customHeight="1">
      <c r="A269" t="inlineStr">
        <is>
          <t>A 28193-2025</t>
        </is>
      </c>
      <c r="B269" s="1" t="n">
        <v>45818.425625</v>
      </c>
      <c r="C269" s="1" t="n">
        <v>46001</v>
      </c>
      <c r="D269" t="inlineStr">
        <is>
          <t>VÄSTMANLANDS LÄN</t>
        </is>
      </c>
      <c r="E269" t="inlineStr">
        <is>
          <t>SALA</t>
        </is>
      </c>
      <c r="G269" t="n">
        <v>1.8</v>
      </c>
      <c r="H269" t="n">
        <v>0</v>
      </c>
      <c r="I269" t="n">
        <v>0</v>
      </c>
      <c r="J269" t="n">
        <v>0</v>
      </c>
      <c r="K269" t="n">
        <v>0</v>
      </c>
      <c r="L269" t="n">
        <v>0</v>
      </c>
      <c r="M269" t="n">
        <v>0</v>
      </c>
      <c r="N269" t="n">
        <v>0</v>
      </c>
      <c r="O269" t="n">
        <v>0</v>
      </c>
      <c r="P269" t="n">
        <v>0</v>
      </c>
      <c r="Q269" t="n">
        <v>0</v>
      </c>
      <c r="R269" s="2" t="inlineStr"/>
    </row>
    <row r="270" ht="15" customHeight="1">
      <c r="A270" t="inlineStr">
        <is>
          <t>A 42421-2025</t>
        </is>
      </c>
      <c r="B270" s="1" t="n">
        <v>45905.40067129629</v>
      </c>
      <c r="C270" s="1" t="n">
        <v>46001</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27981-2025</t>
        </is>
      </c>
      <c r="B271" s="1" t="n">
        <v>45817.57471064815</v>
      </c>
      <c r="C271" s="1" t="n">
        <v>46001</v>
      </c>
      <c r="D271" t="inlineStr">
        <is>
          <t>VÄSTMANLANDS LÄN</t>
        </is>
      </c>
      <c r="E271" t="inlineStr">
        <is>
          <t>SALA</t>
        </is>
      </c>
      <c r="G271" t="n">
        <v>1.7</v>
      </c>
      <c r="H271" t="n">
        <v>0</v>
      </c>
      <c r="I271" t="n">
        <v>0</v>
      </c>
      <c r="J271" t="n">
        <v>0</v>
      </c>
      <c r="K271" t="n">
        <v>0</v>
      </c>
      <c r="L271" t="n">
        <v>0</v>
      </c>
      <c r="M271" t="n">
        <v>0</v>
      </c>
      <c r="N271" t="n">
        <v>0</v>
      </c>
      <c r="O271" t="n">
        <v>0</v>
      </c>
      <c r="P271" t="n">
        <v>0</v>
      </c>
      <c r="Q271" t="n">
        <v>0</v>
      </c>
      <c r="R271" s="2" t="inlineStr"/>
    </row>
    <row r="272" ht="15" customHeight="1">
      <c r="A272" t="inlineStr">
        <is>
          <t>A 28278-2025</t>
        </is>
      </c>
      <c r="B272" s="1" t="n">
        <v>45818.58454861111</v>
      </c>
      <c r="C272" s="1" t="n">
        <v>46001</v>
      </c>
      <c r="D272" t="inlineStr">
        <is>
          <t>VÄSTMANLANDS LÄN</t>
        </is>
      </c>
      <c r="E272" t="inlineStr">
        <is>
          <t>SALA</t>
        </is>
      </c>
      <c r="G272" t="n">
        <v>7.6</v>
      </c>
      <c r="H272" t="n">
        <v>0</v>
      </c>
      <c r="I272" t="n">
        <v>0</v>
      </c>
      <c r="J272" t="n">
        <v>0</v>
      </c>
      <c r="K272" t="n">
        <v>0</v>
      </c>
      <c r="L272" t="n">
        <v>0</v>
      </c>
      <c r="M272" t="n">
        <v>0</v>
      </c>
      <c r="N272" t="n">
        <v>0</v>
      </c>
      <c r="O272" t="n">
        <v>0</v>
      </c>
      <c r="P272" t="n">
        <v>0</v>
      </c>
      <c r="Q272" t="n">
        <v>0</v>
      </c>
      <c r="R272" s="2" t="inlineStr"/>
    </row>
    <row r="273" ht="15" customHeight="1">
      <c r="A273" t="inlineStr">
        <is>
          <t>A 27989-2025</t>
        </is>
      </c>
      <c r="B273" s="1" t="n">
        <v>45817.58716435185</v>
      </c>
      <c r="C273" s="1" t="n">
        <v>46001</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43028-2025</t>
        </is>
      </c>
      <c r="B274" s="1" t="n">
        <v>45909.53472222222</v>
      </c>
      <c r="C274" s="1" t="n">
        <v>46001</v>
      </c>
      <c r="D274" t="inlineStr">
        <is>
          <t>VÄSTMANLANDS LÄN</t>
        </is>
      </c>
      <c r="E274" t="inlineStr">
        <is>
          <t>SALA</t>
        </is>
      </c>
      <c r="G274" t="n">
        <v>3.8</v>
      </c>
      <c r="H274" t="n">
        <v>0</v>
      </c>
      <c r="I274" t="n">
        <v>0</v>
      </c>
      <c r="J274" t="n">
        <v>0</v>
      </c>
      <c r="K274" t="n">
        <v>0</v>
      </c>
      <c r="L274" t="n">
        <v>0</v>
      </c>
      <c r="M274" t="n">
        <v>0</v>
      </c>
      <c r="N274" t="n">
        <v>0</v>
      </c>
      <c r="O274" t="n">
        <v>0</v>
      </c>
      <c r="P274" t="n">
        <v>0</v>
      </c>
      <c r="Q274" t="n">
        <v>0</v>
      </c>
      <c r="R274" s="2" t="inlineStr"/>
    </row>
    <row r="275" ht="15" customHeight="1">
      <c r="A275" t="inlineStr">
        <is>
          <t>A 43328-2025</t>
        </is>
      </c>
      <c r="B275" s="1" t="n">
        <v>45910</v>
      </c>
      <c r="C275" s="1" t="n">
        <v>46001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62651-2022</t>
        </is>
      </c>
      <c r="B276" s="1" t="n">
        <v>44917</v>
      </c>
      <c r="C276" s="1" t="n">
        <v>46001</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54836-2024</t>
        </is>
      </c>
      <c r="B277" s="1" t="n">
        <v>45618</v>
      </c>
      <c r="C277" s="1" t="n">
        <v>46001</v>
      </c>
      <c r="D277" t="inlineStr">
        <is>
          <t>VÄSTMANLANDS LÄN</t>
        </is>
      </c>
      <c r="E277" t="inlineStr">
        <is>
          <t>SALA</t>
        </is>
      </c>
      <c r="G277" t="n">
        <v>0.6</v>
      </c>
      <c r="H277" t="n">
        <v>0</v>
      </c>
      <c r="I277" t="n">
        <v>0</v>
      </c>
      <c r="J277" t="n">
        <v>0</v>
      </c>
      <c r="K277" t="n">
        <v>0</v>
      </c>
      <c r="L277" t="n">
        <v>0</v>
      </c>
      <c r="M277" t="n">
        <v>0</v>
      </c>
      <c r="N277" t="n">
        <v>0</v>
      </c>
      <c r="O277" t="n">
        <v>0</v>
      </c>
      <c r="P277" t="n">
        <v>0</v>
      </c>
      <c r="Q277" t="n">
        <v>0</v>
      </c>
      <c r="R277" s="2" t="inlineStr"/>
    </row>
    <row r="278" ht="15" customHeight="1">
      <c r="A278" t="inlineStr">
        <is>
          <t>A 28284-2025</t>
        </is>
      </c>
      <c r="B278" s="1" t="n">
        <v>45818.58893518519</v>
      </c>
      <c r="C278" s="1" t="n">
        <v>46001</v>
      </c>
      <c r="D278" t="inlineStr">
        <is>
          <t>VÄSTMANLANDS LÄN</t>
        </is>
      </c>
      <c r="E278" t="inlineStr">
        <is>
          <t>SALA</t>
        </is>
      </c>
      <c r="G278" t="n">
        <v>2.4</v>
      </c>
      <c r="H278" t="n">
        <v>0</v>
      </c>
      <c r="I278" t="n">
        <v>0</v>
      </c>
      <c r="J278" t="n">
        <v>0</v>
      </c>
      <c r="K278" t="n">
        <v>0</v>
      </c>
      <c r="L278" t="n">
        <v>0</v>
      </c>
      <c r="M278" t="n">
        <v>0</v>
      </c>
      <c r="N278" t="n">
        <v>0</v>
      </c>
      <c r="O278" t="n">
        <v>0</v>
      </c>
      <c r="P278" t="n">
        <v>0</v>
      </c>
      <c r="Q278" t="n">
        <v>0</v>
      </c>
      <c r="R278" s="2" t="inlineStr"/>
    </row>
    <row r="279" ht="15" customHeight="1">
      <c r="A279" t="inlineStr">
        <is>
          <t>A 13987-2023</t>
        </is>
      </c>
      <c r="B279" s="1" t="n">
        <v>45007</v>
      </c>
      <c r="C279" s="1" t="n">
        <v>46001</v>
      </c>
      <c r="D279" t="inlineStr">
        <is>
          <t>VÄSTMANLANDS LÄN</t>
        </is>
      </c>
      <c r="E279" t="inlineStr">
        <is>
          <t>SALA</t>
        </is>
      </c>
      <c r="G279" t="n">
        <v>3.2</v>
      </c>
      <c r="H279" t="n">
        <v>0</v>
      </c>
      <c r="I279" t="n">
        <v>0</v>
      </c>
      <c r="J279" t="n">
        <v>0</v>
      </c>
      <c r="K279" t="n">
        <v>0</v>
      </c>
      <c r="L279" t="n">
        <v>0</v>
      </c>
      <c r="M279" t="n">
        <v>0</v>
      </c>
      <c r="N279" t="n">
        <v>0</v>
      </c>
      <c r="O279" t="n">
        <v>0</v>
      </c>
      <c r="P279" t="n">
        <v>0</v>
      </c>
      <c r="Q279" t="n">
        <v>0</v>
      </c>
      <c r="R279" s="2" t="inlineStr"/>
    </row>
    <row r="280" ht="15" customHeight="1">
      <c r="A280" t="inlineStr">
        <is>
          <t>A 13990-2023</t>
        </is>
      </c>
      <c r="B280" s="1" t="n">
        <v>45007</v>
      </c>
      <c r="C280" s="1" t="n">
        <v>46001</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43031-2025</t>
        </is>
      </c>
      <c r="B281" s="1" t="n">
        <v>45909.53856481481</v>
      </c>
      <c r="C281" s="1" t="n">
        <v>46001</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17495-2024</t>
        </is>
      </c>
      <c r="B282" s="1" t="n">
        <v>45415</v>
      </c>
      <c r="C282" s="1" t="n">
        <v>46001</v>
      </c>
      <c r="D282" t="inlineStr">
        <is>
          <t>VÄSTMANLANDS LÄN</t>
        </is>
      </c>
      <c r="E282" t="inlineStr">
        <is>
          <t>SALA</t>
        </is>
      </c>
      <c r="G282" t="n">
        <v>3.1</v>
      </c>
      <c r="H282" t="n">
        <v>0</v>
      </c>
      <c r="I282" t="n">
        <v>0</v>
      </c>
      <c r="J282" t="n">
        <v>0</v>
      </c>
      <c r="K282" t="n">
        <v>0</v>
      </c>
      <c r="L282" t="n">
        <v>0</v>
      </c>
      <c r="M282" t="n">
        <v>0</v>
      </c>
      <c r="N282" t="n">
        <v>0</v>
      </c>
      <c r="O282" t="n">
        <v>0</v>
      </c>
      <c r="P282" t="n">
        <v>0</v>
      </c>
      <c r="Q282" t="n">
        <v>0</v>
      </c>
      <c r="R282" s="2" t="inlineStr"/>
    </row>
    <row r="283" ht="15" customHeight="1">
      <c r="A283" t="inlineStr">
        <is>
          <t>A 37263-2025</t>
        </is>
      </c>
      <c r="B283" s="1" t="n">
        <v>45876.4584837963</v>
      </c>
      <c r="C283" s="1" t="n">
        <v>46001</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51464-2024</t>
        </is>
      </c>
      <c r="B284" s="1" t="n">
        <v>45604.49768518518</v>
      </c>
      <c r="C284" s="1" t="n">
        <v>46001</v>
      </c>
      <c r="D284" t="inlineStr">
        <is>
          <t>VÄSTMANLANDS LÄN</t>
        </is>
      </c>
      <c r="E284" t="inlineStr">
        <is>
          <t>SALA</t>
        </is>
      </c>
      <c r="G284" t="n">
        <v>3.9</v>
      </c>
      <c r="H284" t="n">
        <v>0</v>
      </c>
      <c r="I284" t="n">
        <v>0</v>
      </c>
      <c r="J284" t="n">
        <v>0</v>
      </c>
      <c r="K284" t="n">
        <v>0</v>
      </c>
      <c r="L284" t="n">
        <v>0</v>
      </c>
      <c r="M284" t="n">
        <v>0</v>
      </c>
      <c r="N284" t="n">
        <v>0</v>
      </c>
      <c r="O284" t="n">
        <v>0</v>
      </c>
      <c r="P284" t="n">
        <v>0</v>
      </c>
      <c r="Q284" t="n">
        <v>0</v>
      </c>
      <c r="R284" s="2" t="inlineStr"/>
    </row>
    <row r="285" ht="15" customHeight="1">
      <c r="A285" t="inlineStr">
        <is>
          <t>A 40554-2025</t>
        </is>
      </c>
      <c r="B285" s="1" t="n">
        <v>45896.44506944445</v>
      </c>
      <c r="C285" s="1" t="n">
        <v>46001</v>
      </c>
      <c r="D285" t="inlineStr">
        <is>
          <t>VÄSTMANLANDS LÄN</t>
        </is>
      </c>
      <c r="E285" t="inlineStr">
        <is>
          <t>SALA</t>
        </is>
      </c>
      <c r="G285" t="n">
        <v>0.9</v>
      </c>
      <c r="H285" t="n">
        <v>0</v>
      </c>
      <c r="I285" t="n">
        <v>0</v>
      </c>
      <c r="J285" t="n">
        <v>0</v>
      </c>
      <c r="K285" t="n">
        <v>0</v>
      </c>
      <c r="L285" t="n">
        <v>0</v>
      </c>
      <c r="M285" t="n">
        <v>0</v>
      </c>
      <c r="N285" t="n">
        <v>0</v>
      </c>
      <c r="O285" t="n">
        <v>0</v>
      </c>
      <c r="P285" t="n">
        <v>0</v>
      </c>
      <c r="Q285" t="n">
        <v>0</v>
      </c>
      <c r="R285" s="2" t="inlineStr"/>
    </row>
    <row r="286" ht="15" customHeight="1">
      <c r="A286" t="inlineStr">
        <is>
          <t>A 43129-2025</t>
        </is>
      </c>
      <c r="B286" s="1" t="n">
        <v>45909</v>
      </c>
      <c r="C286" s="1" t="n">
        <v>46001</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43130-2025</t>
        </is>
      </c>
      <c r="B287" s="1" t="n">
        <v>45909</v>
      </c>
      <c r="C287" s="1" t="n">
        <v>46001</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28632-2025</t>
        </is>
      </c>
      <c r="B288" s="1" t="n">
        <v>45819.62344907408</v>
      </c>
      <c r="C288" s="1" t="n">
        <v>46001</v>
      </c>
      <c r="D288" t="inlineStr">
        <is>
          <t>VÄSTMANLANDS LÄN</t>
        </is>
      </c>
      <c r="E288" t="inlineStr">
        <is>
          <t>SALA</t>
        </is>
      </c>
      <c r="F288" t="inlineStr">
        <is>
          <t>Sveaskog</t>
        </is>
      </c>
      <c r="G288" t="n">
        <v>2.4</v>
      </c>
      <c r="H288" t="n">
        <v>0</v>
      </c>
      <c r="I288" t="n">
        <v>0</v>
      </c>
      <c r="J288" t="n">
        <v>0</v>
      </c>
      <c r="K288" t="n">
        <v>0</v>
      </c>
      <c r="L288" t="n">
        <v>0</v>
      </c>
      <c r="M288" t="n">
        <v>0</v>
      </c>
      <c r="N288" t="n">
        <v>0</v>
      </c>
      <c r="O288" t="n">
        <v>0</v>
      </c>
      <c r="P288" t="n">
        <v>0</v>
      </c>
      <c r="Q288" t="n">
        <v>0</v>
      </c>
      <c r="R288" s="2" t="inlineStr"/>
    </row>
    <row r="289" ht="15" customHeight="1">
      <c r="A289" t="inlineStr">
        <is>
          <t>A 1128-2025</t>
        </is>
      </c>
      <c r="B289" s="1" t="n">
        <v>45666.68469907407</v>
      </c>
      <c r="C289" s="1" t="n">
        <v>46001</v>
      </c>
      <c r="D289" t="inlineStr">
        <is>
          <t>VÄSTMANLANDS LÄN</t>
        </is>
      </c>
      <c r="E289" t="inlineStr">
        <is>
          <t>SALA</t>
        </is>
      </c>
      <c r="G289" t="n">
        <v>2.5</v>
      </c>
      <c r="H289" t="n">
        <v>0</v>
      </c>
      <c r="I289" t="n">
        <v>0</v>
      </c>
      <c r="J289" t="n">
        <v>0</v>
      </c>
      <c r="K289" t="n">
        <v>0</v>
      </c>
      <c r="L289" t="n">
        <v>0</v>
      </c>
      <c r="M289" t="n">
        <v>0</v>
      </c>
      <c r="N289" t="n">
        <v>0</v>
      </c>
      <c r="O289" t="n">
        <v>0</v>
      </c>
      <c r="P289" t="n">
        <v>0</v>
      </c>
      <c r="Q289" t="n">
        <v>0</v>
      </c>
      <c r="R289" s="2" t="inlineStr"/>
    </row>
    <row r="290" ht="15" customHeight="1">
      <c r="A290" t="inlineStr">
        <is>
          <t>A 43128-2025</t>
        </is>
      </c>
      <c r="B290" s="1" t="n">
        <v>45909</v>
      </c>
      <c r="C290" s="1" t="n">
        <v>46001</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43127-2025</t>
        </is>
      </c>
      <c r="B291" s="1" t="n">
        <v>45909</v>
      </c>
      <c r="C291" s="1" t="n">
        <v>46001</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43176-2023</t>
        </is>
      </c>
      <c r="B292" s="1" t="n">
        <v>45183</v>
      </c>
      <c r="C292" s="1" t="n">
        <v>46001</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28628-2025</t>
        </is>
      </c>
      <c r="B293" s="1" t="n">
        <v>45819.62158564815</v>
      </c>
      <c r="C293" s="1" t="n">
        <v>46001</v>
      </c>
      <c r="D293" t="inlineStr">
        <is>
          <t>VÄSTMANLANDS LÄN</t>
        </is>
      </c>
      <c r="E293" t="inlineStr">
        <is>
          <t>SALA</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73835-2021</t>
        </is>
      </c>
      <c r="B294" s="1" t="n">
        <v>44552.92112268518</v>
      </c>
      <c r="C294" s="1" t="n">
        <v>46001</v>
      </c>
      <c r="D294" t="inlineStr">
        <is>
          <t>VÄSTMANLANDS LÄN</t>
        </is>
      </c>
      <c r="E294" t="inlineStr">
        <is>
          <t>SALA</t>
        </is>
      </c>
      <c r="G294" t="n">
        <v>2</v>
      </c>
      <c r="H294" t="n">
        <v>0</v>
      </c>
      <c r="I294" t="n">
        <v>0</v>
      </c>
      <c r="J294" t="n">
        <v>0</v>
      </c>
      <c r="K294" t="n">
        <v>0</v>
      </c>
      <c r="L294" t="n">
        <v>0</v>
      </c>
      <c r="M294" t="n">
        <v>0</v>
      </c>
      <c r="N294" t="n">
        <v>0</v>
      </c>
      <c r="O294" t="n">
        <v>0</v>
      </c>
      <c r="P294" t="n">
        <v>0</v>
      </c>
      <c r="Q294" t="n">
        <v>0</v>
      </c>
      <c r="R294" s="2" t="inlineStr"/>
    </row>
    <row r="295" ht="15" customHeight="1">
      <c r="A295" t="inlineStr">
        <is>
          <t>A 60379-2022</t>
        </is>
      </c>
      <c r="B295" s="1" t="n">
        <v>44910</v>
      </c>
      <c r="C295" s="1" t="n">
        <v>46001</v>
      </c>
      <c r="D295" t="inlineStr">
        <is>
          <t>VÄSTMANLANDS LÄN</t>
        </is>
      </c>
      <c r="E295" t="inlineStr">
        <is>
          <t>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28630-2025</t>
        </is>
      </c>
      <c r="B296" s="1" t="n">
        <v>45819.62274305556</v>
      </c>
      <c r="C296" s="1" t="n">
        <v>46001</v>
      </c>
      <c r="D296" t="inlineStr">
        <is>
          <t>VÄSTMANLANDS LÄN</t>
        </is>
      </c>
      <c r="E296" t="inlineStr">
        <is>
          <t>SALA</t>
        </is>
      </c>
      <c r="F296" t="inlineStr">
        <is>
          <t>Sveaskog</t>
        </is>
      </c>
      <c r="G296" t="n">
        <v>9</v>
      </c>
      <c r="H296" t="n">
        <v>0</v>
      </c>
      <c r="I296" t="n">
        <v>0</v>
      </c>
      <c r="J296" t="n">
        <v>0</v>
      </c>
      <c r="K296" t="n">
        <v>0</v>
      </c>
      <c r="L296" t="n">
        <v>0</v>
      </c>
      <c r="M296" t="n">
        <v>0</v>
      </c>
      <c r="N296" t="n">
        <v>0</v>
      </c>
      <c r="O296" t="n">
        <v>0</v>
      </c>
      <c r="P296" t="n">
        <v>0</v>
      </c>
      <c r="Q296" t="n">
        <v>0</v>
      </c>
      <c r="R296" s="2" t="inlineStr"/>
    </row>
    <row r="297" ht="15" customHeight="1">
      <c r="A297" t="inlineStr">
        <is>
          <t>A 1638-2023</t>
        </is>
      </c>
      <c r="B297" s="1" t="n">
        <v>44937</v>
      </c>
      <c r="C297" s="1" t="n">
        <v>46001</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28837-2025</t>
        </is>
      </c>
      <c r="B298" s="1" t="n">
        <v>45820.56243055555</v>
      </c>
      <c r="C298" s="1" t="n">
        <v>46001</v>
      </c>
      <c r="D298" t="inlineStr">
        <is>
          <t>VÄSTMANLANDS LÄN</t>
        </is>
      </c>
      <c r="E298" t="inlineStr">
        <is>
          <t>SALA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28849-2025</t>
        </is>
      </c>
      <c r="B299" s="1" t="n">
        <v>45820</v>
      </c>
      <c r="C299" s="1" t="n">
        <v>46001</v>
      </c>
      <c r="D299" t="inlineStr">
        <is>
          <t>VÄSTMANLANDS LÄN</t>
        </is>
      </c>
      <c r="E299" t="inlineStr">
        <is>
          <t>SALA</t>
        </is>
      </c>
      <c r="G299" t="n">
        <v>1.1</v>
      </c>
      <c r="H299" t="n">
        <v>0</v>
      </c>
      <c r="I299" t="n">
        <v>0</v>
      </c>
      <c r="J299" t="n">
        <v>0</v>
      </c>
      <c r="K299" t="n">
        <v>0</v>
      </c>
      <c r="L299" t="n">
        <v>0</v>
      </c>
      <c r="M299" t="n">
        <v>0</v>
      </c>
      <c r="N299" t="n">
        <v>0</v>
      </c>
      <c r="O299" t="n">
        <v>0</v>
      </c>
      <c r="P299" t="n">
        <v>0</v>
      </c>
      <c r="Q299" t="n">
        <v>0</v>
      </c>
      <c r="R299" s="2" t="inlineStr"/>
    </row>
    <row r="300" ht="15" customHeight="1">
      <c r="A300" t="inlineStr">
        <is>
          <t>A 7953-2024</t>
        </is>
      </c>
      <c r="B300" s="1" t="n">
        <v>45350</v>
      </c>
      <c r="C300" s="1" t="n">
        <v>46001</v>
      </c>
      <c r="D300" t="inlineStr">
        <is>
          <t>VÄSTMANLANDS LÄN</t>
        </is>
      </c>
      <c r="E300" t="inlineStr">
        <is>
          <t>SALA</t>
        </is>
      </c>
      <c r="G300" t="n">
        <v>2.6</v>
      </c>
      <c r="H300" t="n">
        <v>0</v>
      </c>
      <c r="I300" t="n">
        <v>0</v>
      </c>
      <c r="J300" t="n">
        <v>0</v>
      </c>
      <c r="K300" t="n">
        <v>0</v>
      </c>
      <c r="L300" t="n">
        <v>0</v>
      </c>
      <c r="M300" t="n">
        <v>0</v>
      </c>
      <c r="N300" t="n">
        <v>0</v>
      </c>
      <c r="O300" t="n">
        <v>0</v>
      </c>
      <c r="P300" t="n">
        <v>0</v>
      </c>
      <c r="Q300" t="n">
        <v>0</v>
      </c>
      <c r="R300" s="2" t="inlineStr"/>
    </row>
    <row r="301" ht="15" customHeight="1">
      <c r="A301" t="inlineStr">
        <is>
          <t>A 5477-2024</t>
        </is>
      </c>
      <c r="B301" s="1" t="n">
        <v>45333.67833333334</v>
      </c>
      <c r="C301" s="1" t="n">
        <v>46001</v>
      </c>
      <c r="D301" t="inlineStr">
        <is>
          <t>VÄSTMANLANDS LÄN</t>
        </is>
      </c>
      <c r="E301" t="inlineStr">
        <is>
          <t>SALA</t>
        </is>
      </c>
      <c r="G301" t="n">
        <v>2.3</v>
      </c>
      <c r="H301" t="n">
        <v>0</v>
      </c>
      <c r="I301" t="n">
        <v>0</v>
      </c>
      <c r="J301" t="n">
        <v>0</v>
      </c>
      <c r="K301" t="n">
        <v>0</v>
      </c>
      <c r="L301" t="n">
        <v>0</v>
      </c>
      <c r="M301" t="n">
        <v>0</v>
      </c>
      <c r="N301" t="n">
        <v>0</v>
      </c>
      <c r="O301" t="n">
        <v>0</v>
      </c>
      <c r="P301" t="n">
        <v>0</v>
      </c>
      <c r="Q301" t="n">
        <v>0</v>
      </c>
      <c r="R301" s="2" t="inlineStr"/>
    </row>
    <row r="302" ht="15" customHeight="1">
      <c r="A302" t="inlineStr">
        <is>
          <t>A 29085-2025</t>
        </is>
      </c>
      <c r="B302" s="1" t="n">
        <v>45821</v>
      </c>
      <c r="C302" s="1" t="n">
        <v>46001</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26507-2023</t>
        </is>
      </c>
      <c r="B303" s="1" t="n">
        <v>45092</v>
      </c>
      <c r="C303" s="1" t="n">
        <v>46001</v>
      </c>
      <c r="D303" t="inlineStr">
        <is>
          <t>VÄSTMANLANDS LÄN</t>
        </is>
      </c>
      <c r="E303" t="inlineStr">
        <is>
          <t>SALA</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44100-2025</t>
        </is>
      </c>
      <c r="B304" s="1" t="n">
        <v>45915.56707175926</v>
      </c>
      <c r="C304" s="1" t="n">
        <v>46001</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6032-2025</t>
        </is>
      </c>
      <c r="B305" s="1" t="n">
        <v>45695.6371875</v>
      </c>
      <c r="C305" s="1" t="n">
        <v>46001</v>
      </c>
      <c r="D305" t="inlineStr">
        <is>
          <t>VÄSTMANLANDS LÄN</t>
        </is>
      </c>
      <c r="E305" t="inlineStr">
        <is>
          <t>SALA</t>
        </is>
      </c>
      <c r="F305" t="inlineStr">
        <is>
          <t>Bergvik skog öst AB</t>
        </is>
      </c>
      <c r="G305" t="n">
        <v>8.1</v>
      </c>
      <c r="H305" t="n">
        <v>0</v>
      </c>
      <c r="I305" t="n">
        <v>0</v>
      </c>
      <c r="J305" t="n">
        <v>0</v>
      </c>
      <c r="K305" t="n">
        <v>0</v>
      </c>
      <c r="L305" t="n">
        <v>0</v>
      </c>
      <c r="M305" t="n">
        <v>0</v>
      </c>
      <c r="N305" t="n">
        <v>0</v>
      </c>
      <c r="O305" t="n">
        <v>0</v>
      </c>
      <c r="P305" t="n">
        <v>0</v>
      </c>
      <c r="Q305" t="n">
        <v>0</v>
      </c>
      <c r="R305" s="2" t="inlineStr"/>
    </row>
    <row r="306" ht="15" customHeight="1">
      <c r="A306" t="inlineStr">
        <is>
          <t>A 60541-2024</t>
        </is>
      </c>
      <c r="B306" s="1" t="n">
        <v>45643</v>
      </c>
      <c r="C306" s="1" t="n">
        <v>46001</v>
      </c>
      <c r="D306" t="inlineStr">
        <is>
          <t>VÄSTMANLANDS LÄN</t>
        </is>
      </c>
      <c r="E306" t="inlineStr">
        <is>
          <t>SALA</t>
        </is>
      </c>
      <c r="G306" t="n">
        <v>10.6</v>
      </c>
      <c r="H306" t="n">
        <v>0</v>
      </c>
      <c r="I306" t="n">
        <v>0</v>
      </c>
      <c r="J306" t="n">
        <v>0</v>
      </c>
      <c r="K306" t="n">
        <v>0</v>
      </c>
      <c r="L306" t="n">
        <v>0</v>
      </c>
      <c r="M306" t="n">
        <v>0</v>
      </c>
      <c r="N306" t="n">
        <v>0</v>
      </c>
      <c r="O306" t="n">
        <v>0</v>
      </c>
      <c r="P306" t="n">
        <v>0</v>
      </c>
      <c r="Q306" t="n">
        <v>0</v>
      </c>
      <c r="R306" s="2" t="inlineStr"/>
    </row>
    <row r="307" ht="15" customHeight="1">
      <c r="A307" t="inlineStr">
        <is>
          <t>A 29826-2025</t>
        </is>
      </c>
      <c r="B307" s="1" t="n">
        <v>45825.85761574074</v>
      </c>
      <c r="C307" s="1" t="n">
        <v>46001</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44486-2025</t>
        </is>
      </c>
      <c r="B308" s="1" t="n">
        <v>45916.65517361111</v>
      </c>
      <c r="C308" s="1" t="n">
        <v>46001</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44524-2025</t>
        </is>
      </c>
      <c r="B309" s="1" t="n">
        <v>45916.72920138889</v>
      </c>
      <c r="C309" s="1" t="n">
        <v>46001</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46001</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29691-2025</t>
        </is>
      </c>
      <c r="B311" s="1" t="n">
        <v>45825.53645833334</v>
      </c>
      <c r="C311" s="1" t="n">
        <v>46001</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43122-2025</t>
        </is>
      </c>
      <c r="B312" s="1" t="n">
        <v>45909</v>
      </c>
      <c r="C312" s="1" t="n">
        <v>46001</v>
      </c>
      <c r="D312" t="inlineStr">
        <is>
          <t>VÄSTMANLANDS LÄN</t>
        </is>
      </c>
      <c r="E312" t="inlineStr">
        <is>
          <t>SALA</t>
        </is>
      </c>
      <c r="G312" t="n">
        <v>3.2</v>
      </c>
      <c r="H312" t="n">
        <v>0</v>
      </c>
      <c r="I312" t="n">
        <v>0</v>
      </c>
      <c r="J312" t="n">
        <v>0</v>
      </c>
      <c r="K312" t="n">
        <v>0</v>
      </c>
      <c r="L312" t="n">
        <v>0</v>
      </c>
      <c r="M312" t="n">
        <v>0</v>
      </c>
      <c r="N312" t="n">
        <v>0</v>
      </c>
      <c r="O312" t="n">
        <v>0</v>
      </c>
      <c r="P312" t="n">
        <v>0</v>
      </c>
      <c r="Q312" t="n">
        <v>0</v>
      </c>
      <c r="R312" s="2" t="inlineStr"/>
    </row>
    <row r="313" ht="15" customHeight="1">
      <c r="A313" t="inlineStr">
        <is>
          <t>A 54118-2023</t>
        </is>
      </c>
      <c r="B313" s="1" t="n">
        <v>45232</v>
      </c>
      <c r="C313" s="1" t="n">
        <v>46001</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35462-2024</t>
        </is>
      </c>
      <c r="B314" s="1" t="n">
        <v>45531</v>
      </c>
      <c r="C314" s="1" t="n">
        <v>46001</v>
      </c>
      <c r="D314" t="inlineStr">
        <is>
          <t>VÄSTMANLANDS LÄN</t>
        </is>
      </c>
      <c r="E314" t="inlineStr">
        <is>
          <t>SALA</t>
        </is>
      </c>
      <c r="G314" t="n">
        <v>0.6</v>
      </c>
      <c r="H314" t="n">
        <v>0</v>
      </c>
      <c r="I314" t="n">
        <v>0</v>
      </c>
      <c r="J314" t="n">
        <v>0</v>
      </c>
      <c r="K314" t="n">
        <v>0</v>
      </c>
      <c r="L314" t="n">
        <v>0</v>
      </c>
      <c r="M314" t="n">
        <v>0</v>
      </c>
      <c r="N314" t="n">
        <v>0</v>
      </c>
      <c r="O314" t="n">
        <v>0</v>
      </c>
      <c r="P314" t="n">
        <v>0</v>
      </c>
      <c r="Q314" t="n">
        <v>0</v>
      </c>
      <c r="R314" s="2" t="inlineStr"/>
    </row>
    <row r="315" ht="15" customHeight="1">
      <c r="A315" t="inlineStr">
        <is>
          <t>A 53725-2025</t>
        </is>
      </c>
      <c r="B315" s="1" t="n">
        <v>45960.63394675926</v>
      </c>
      <c r="C315" s="1" t="n">
        <v>46001</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53724-2025</t>
        </is>
      </c>
      <c r="B316" s="1" t="n">
        <v>45960.63174768518</v>
      </c>
      <c r="C316" s="1" t="n">
        <v>46001</v>
      </c>
      <c r="D316" t="inlineStr">
        <is>
          <t>VÄSTMANLANDS LÄN</t>
        </is>
      </c>
      <c r="E316" t="inlineStr">
        <is>
          <t>SALA</t>
        </is>
      </c>
      <c r="G316" t="n">
        <v>2.8</v>
      </c>
      <c r="H316" t="n">
        <v>0</v>
      </c>
      <c r="I316" t="n">
        <v>0</v>
      </c>
      <c r="J316" t="n">
        <v>0</v>
      </c>
      <c r="K316" t="n">
        <v>0</v>
      </c>
      <c r="L316" t="n">
        <v>0</v>
      </c>
      <c r="M316" t="n">
        <v>0</v>
      </c>
      <c r="N316" t="n">
        <v>0</v>
      </c>
      <c r="O316" t="n">
        <v>0</v>
      </c>
      <c r="P316" t="n">
        <v>0</v>
      </c>
      <c r="Q316" t="n">
        <v>0</v>
      </c>
      <c r="R316" s="2" t="inlineStr"/>
    </row>
    <row r="317" ht="15" customHeight="1">
      <c r="A317" t="inlineStr">
        <is>
          <t>A 30874-2025</t>
        </is>
      </c>
      <c r="B317" s="1" t="n">
        <v>45832.34430555555</v>
      </c>
      <c r="C317" s="1" t="n">
        <v>46001</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53744-2025</t>
        </is>
      </c>
      <c r="B318" s="1" t="n">
        <v>45960.64863425926</v>
      </c>
      <c r="C318" s="1" t="n">
        <v>46001</v>
      </c>
      <c r="D318" t="inlineStr">
        <is>
          <t>VÄSTMANLANDS LÄN</t>
        </is>
      </c>
      <c r="E318" t="inlineStr">
        <is>
          <t>SALA</t>
        </is>
      </c>
      <c r="G318" t="n">
        <v>2</v>
      </c>
      <c r="H318" t="n">
        <v>0</v>
      </c>
      <c r="I318" t="n">
        <v>0</v>
      </c>
      <c r="J318" t="n">
        <v>0</v>
      </c>
      <c r="K318" t="n">
        <v>0</v>
      </c>
      <c r="L318" t="n">
        <v>0</v>
      </c>
      <c r="M318" t="n">
        <v>0</v>
      </c>
      <c r="N318" t="n">
        <v>0</v>
      </c>
      <c r="O318" t="n">
        <v>0</v>
      </c>
      <c r="P318" t="n">
        <v>0</v>
      </c>
      <c r="Q318" t="n">
        <v>0</v>
      </c>
      <c r="R318" s="2" t="inlineStr"/>
    </row>
    <row r="319" ht="15" customHeight="1">
      <c r="A319" t="inlineStr">
        <is>
          <t>A 30899-2025</t>
        </is>
      </c>
      <c r="B319" s="1" t="n">
        <v>45832.35767361111</v>
      </c>
      <c r="C319" s="1" t="n">
        <v>46001</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30866-2025</t>
        </is>
      </c>
      <c r="B320" s="1" t="n">
        <v>45832.3246875</v>
      </c>
      <c r="C320" s="1" t="n">
        <v>46001</v>
      </c>
      <c r="D320" t="inlineStr">
        <is>
          <t>VÄSTMANLANDS LÄN</t>
        </is>
      </c>
      <c r="E320" t="inlineStr">
        <is>
          <t>SALA</t>
        </is>
      </c>
      <c r="G320" t="n">
        <v>14.3</v>
      </c>
      <c r="H320" t="n">
        <v>0</v>
      </c>
      <c r="I320" t="n">
        <v>0</v>
      </c>
      <c r="J320" t="n">
        <v>0</v>
      </c>
      <c r="K320" t="n">
        <v>0</v>
      </c>
      <c r="L320" t="n">
        <v>0</v>
      </c>
      <c r="M320" t="n">
        <v>0</v>
      </c>
      <c r="N320" t="n">
        <v>0</v>
      </c>
      <c r="O320" t="n">
        <v>0</v>
      </c>
      <c r="P320" t="n">
        <v>0</v>
      </c>
      <c r="Q320" t="n">
        <v>0</v>
      </c>
      <c r="R320" s="2" t="inlineStr"/>
    </row>
    <row r="321" ht="15" customHeight="1">
      <c r="A321" t="inlineStr">
        <is>
          <t>A 36393-2023</t>
        </is>
      </c>
      <c r="B321" s="1" t="n">
        <v>45152</v>
      </c>
      <c r="C321" s="1" t="n">
        <v>46001</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45790-2023</t>
        </is>
      </c>
      <c r="B322" s="1" t="n">
        <v>45195.45958333334</v>
      </c>
      <c r="C322" s="1" t="n">
        <v>46001</v>
      </c>
      <c r="D322" t="inlineStr">
        <is>
          <t>VÄSTMANLANDS LÄN</t>
        </is>
      </c>
      <c r="E322" t="inlineStr">
        <is>
          <t>SALA</t>
        </is>
      </c>
      <c r="G322" t="n">
        <v>5.7</v>
      </c>
      <c r="H322" t="n">
        <v>0</v>
      </c>
      <c r="I322" t="n">
        <v>0</v>
      </c>
      <c r="J322" t="n">
        <v>0</v>
      </c>
      <c r="K322" t="n">
        <v>0</v>
      </c>
      <c r="L322" t="n">
        <v>0</v>
      </c>
      <c r="M322" t="n">
        <v>0</v>
      </c>
      <c r="N322" t="n">
        <v>0</v>
      </c>
      <c r="O322" t="n">
        <v>0</v>
      </c>
      <c r="P322" t="n">
        <v>0</v>
      </c>
      <c r="Q322" t="n">
        <v>0</v>
      </c>
      <c r="R322" s="2" t="inlineStr"/>
    </row>
    <row r="323" ht="15" customHeight="1">
      <c r="A323" t="inlineStr">
        <is>
          <t>A 56949-2023</t>
        </is>
      </c>
      <c r="B323" s="1" t="n">
        <v>45244.61589120371</v>
      </c>
      <c r="C323" s="1" t="n">
        <v>46001</v>
      </c>
      <c r="D323" t="inlineStr">
        <is>
          <t>VÄSTMANLANDS LÄN</t>
        </is>
      </c>
      <c r="E323" t="inlineStr">
        <is>
          <t>SALA</t>
        </is>
      </c>
      <c r="G323" t="n">
        <v>4.7</v>
      </c>
      <c r="H323" t="n">
        <v>0</v>
      </c>
      <c r="I323" t="n">
        <v>0</v>
      </c>
      <c r="J323" t="n">
        <v>0</v>
      </c>
      <c r="K323" t="n">
        <v>0</v>
      </c>
      <c r="L323" t="n">
        <v>0</v>
      </c>
      <c r="M323" t="n">
        <v>0</v>
      </c>
      <c r="N323" t="n">
        <v>0</v>
      </c>
      <c r="O323" t="n">
        <v>0</v>
      </c>
      <c r="P323" t="n">
        <v>0</v>
      </c>
      <c r="Q323" t="n">
        <v>0</v>
      </c>
      <c r="R323" s="2" t="inlineStr"/>
    </row>
    <row r="324" ht="15" customHeight="1">
      <c r="A324" t="inlineStr">
        <is>
          <t>A 31065-2025</t>
        </is>
      </c>
      <c r="B324" s="1" t="n">
        <v>45832.57571759259</v>
      </c>
      <c r="C324" s="1" t="n">
        <v>46001</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31612-2025</t>
        </is>
      </c>
      <c r="B325" s="1" t="n">
        <v>45833.80056712963</v>
      </c>
      <c r="C325" s="1" t="n">
        <v>46001</v>
      </c>
      <c r="D325" t="inlineStr">
        <is>
          <t>VÄSTMANLANDS LÄN</t>
        </is>
      </c>
      <c r="E325" t="inlineStr">
        <is>
          <t>SALA</t>
        </is>
      </c>
      <c r="G325" t="n">
        <v>6.3</v>
      </c>
      <c r="H325" t="n">
        <v>0</v>
      </c>
      <c r="I325" t="n">
        <v>0</v>
      </c>
      <c r="J325" t="n">
        <v>0</v>
      </c>
      <c r="K325" t="n">
        <v>0</v>
      </c>
      <c r="L325" t="n">
        <v>0</v>
      </c>
      <c r="M325" t="n">
        <v>0</v>
      </c>
      <c r="N325" t="n">
        <v>0</v>
      </c>
      <c r="O325" t="n">
        <v>0</v>
      </c>
      <c r="P325" t="n">
        <v>0</v>
      </c>
      <c r="Q325" t="n">
        <v>0</v>
      </c>
      <c r="R325" s="2" t="inlineStr"/>
    </row>
    <row r="326" ht="15" customHeight="1">
      <c r="A326" t="inlineStr">
        <is>
          <t>A 40214-2023</t>
        </is>
      </c>
      <c r="B326" s="1" t="n">
        <v>45169.45173611111</v>
      </c>
      <c r="C326" s="1" t="n">
        <v>46001</v>
      </c>
      <c r="D326" t="inlineStr">
        <is>
          <t>VÄSTMANLANDS LÄN</t>
        </is>
      </c>
      <c r="E326" t="inlineStr">
        <is>
          <t>SALA</t>
        </is>
      </c>
      <c r="G326" t="n">
        <v>5.5</v>
      </c>
      <c r="H326" t="n">
        <v>0</v>
      </c>
      <c r="I326" t="n">
        <v>0</v>
      </c>
      <c r="J326" t="n">
        <v>0</v>
      </c>
      <c r="K326" t="n">
        <v>0</v>
      </c>
      <c r="L326" t="n">
        <v>0</v>
      </c>
      <c r="M326" t="n">
        <v>0</v>
      </c>
      <c r="N326" t="n">
        <v>0</v>
      </c>
      <c r="O326" t="n">
        <v>0</v>
      </c>
      <c r="P326" t="n">
        <v>0</v>
      </c>
      <c r="Q326" t="n">
        <v>0</v>
      </c>
      <c r="R326" s="2" t="inlineStr"/>
    </row>
    <row r="327" ht="15" customHeight="1">
      <c r="A327" t="inlineStr">
        <is>
          <t>A 31748-2025</t>
        </is>
      </c>
      <c r="B327" s="1" t="n">
        <v>45834</v>
      </c>
      <c r="C327" s="1" t="n">
        <v>46001</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31288-2025</t>
        </is>
      </c>
      <c r="B328" s="1" t="n">
        <v>45833</v>
      </c>
      <c r="C328" s="1" t="n">
        <v>46001</v>
      </c>
      <c r="D328" t="inlineStr">
        <is>
          <t>VÄSTMANLANDS LÄN</t>
        </is>
      </c>
      <c r="E328" t="inlineStr">
        <is>
          <t>SALA</t>
        </is>
      </c>
      <c r="G328" t="n">
        <v>3.1</v>
      </c>
      <c r="H328" t="n">
        <v>0</v>
      </c>
      <c r="I328" t="n">
        <v>0</v>
      </c>
      <c r="J328" t="n">
        <v>0</v>
      </c>
      <c r="K328" t="n">
        <v>0</v>
      </c>
      <c r="L328" t="n">
        <v>0</v>
      </c>
      <c r="M328" t="n">
        <v>0</v>
      </c>
      <c r="N328" t="n">
        <v>0</v>
      </c>
      <c r="O328" t="n">
        <v>0</v>
      </c>
      <c r="P328" t="n">
        <v>0</v>
      </c>
      <c r="Q328" t="n">
        <v>0</v>
      </c>
      <c r="R328" s="2" t="inlineStr"/>
    </row>
    <row r="329" ht="15" customHeight="1">
      <c r="A329" t="inlineStr">
        <is>
          <t>A 45371-2025</t>
        </is>
      </c>
      <c r="B329" s="1" t="n">
        <v>45922.39001157408</v>
      </c>
      <c r="C329" s="1" t="n">
        <v>46001</v>
      </c>
      <c r="D329" t="inlineStr">
        <is>
          <t>VÄSTMANLANDS LÄN</t>
        </is>
      </c>
      <c r="E329" t="inlineStr">
        <is>
          <t>SALA</t>
        </is>
      </c>
      <c r="G329" t="n">
        <v>2.1</v>
      </c>
      <c r="H329" t="n">
        <v>0</v>
      </c>
      <c r="I329" t="n">
        <v>0</v>
      </c>
      <c r="J329" t="n">
        <v>0</v>
      </c>
      <c r="K329" t="n">
        <v>0</v>
      </c>
      <c r="L329" t="n">
        <v>0</v>
      </c>
      <c r="M329" t="n">
        <v>0</v>
      </c>
      <c r="N329" t="n">
        <v>0</v>
      </c>
      <c r="O329" t="n">
        <v>0</v>
      </c>
      <c r="P329" t="n">
        <v>0</v>
      </c>
      <c r="Q329" t="n">
        <v>0</v>
      </c>
      <c r="R329" s="2" t="inlineStr"/>
    </row>
    <row r="330" ht="15" customHeight="1">
      <c r="A330" t="inlineStr">
        <is>
          <t>A 54201-2025</t>
        </is>
      </c>
      <c r="B330" s="1" t="n">
        <v>45964.58055555556</v>
      </c>
      <c r="C330" s="1" t="n">
        <v>46001</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31771-2025</t>
        </is>
      </c>
      <c r="B331" s="1" t="n">
        <v>45834.50910879629</v>
      </c>
      <c r="C331" s="1" t="n">
        <v>46001</v>
      </c>
      <c r="D331" t="inlineStr">
        <is>
          <t>VÄSTMANLANDS LÄN</t>
        </is>
      </c>
      <c r="E331" t="inlineStr">
        <is>
          <t>SALA</t>
        </is>
      </c>
      <c r="G331" t="n">
        <v>5.1</v>
      </c>
      <c r="H331" t="n">
        <v>0</v>
      </c>
      <c r="I331" t="n">
        <v>0</v>
      </c>
      <c r="J331" t="n">
        <v>0</v>
      </c>
      <c r="K331" t="n">
        <v>0</v>
      </c>
      <c r="L331" t="n">
        <v>0</v>
      </c>
      <c r="M331" t="n">
        <v>0</v>
      </c>
      <c r="N331" t="n">
        <v>0</v>
      </c>
      <c r="O331" t="n">
        <v>0</v>
      </c>
      <c r="P331" t="n">
        <v>0</v>
      </c>
      <c r="Q331" t="n">
        <v>0</v>
      </c>
      <c r="R331" s="2" t="inlineStr"/>
    </row>
    <row r="332" ht="15" customHeight="1">
      <c r="A332" t="inlineStr">
        <is>
          <t>A 35016-2024</t>
        </is>
      </c>
      <c r="B332" s="1" t="n">
        <v>45527.59115740741</v>
      </c>
      <c r="C332" s="1" t="n">
        <v>46001</v>
      </c>
      <c r="D332" t="inlineStr">
        <is>
          <t>VÄSTMANLANDS LÄN</t>
        </is>
      </c>
      <c r="E332" t="inlineStr">
        <is>
          <t>SALA</t>
        </is>
      </c>
      <c r="G332" t="n">
        <v>0.4</v>
      </c>
      <c r="H332" t="n">
        <v>0</v>
      </c>
      <c r="I332" t="n">
        <v>0</v>
      </c>
      <c r="J332" t="n">
        <v>0</v>
      </c>
      <c r="K332" t="n">
        <v>0</v>
      </c>
      <c r="L332" t="n">
        <v>0</v>
      </c>
      <c r="M332" t="n">
        <v>0</v>
      </c>
      <c r="N332" t="n">
        <v>0</v>
      </c>
      <c r="O332" t="n">
        <v>0</v>
      </c>
      <c r="P332" t="n">
        <v>0</v>
      </c>
      <c r="Q332" t="n">
        <v>0</v>
      </c>
      <c r="R332" s="2" t="inlineStr"/>
    </row>
    <row r="333" ht="15" customHeight="1">
      <c r="A333" t="inlineStr">
        <is>
          <t>A 45177-2025</t>
        </is>
      </c>
      <c r="B333" s="1" t="n">
        <v>45919.52444444445</v>
      </c>
      <c r="C333" s="1" t="n">
        <v>46001</v>
      </c>
      <c r="D333" t="inlineStr">
        <is>
          <t>VÄSTMANLANDS LÄN</t>
        </is>
      </c>
      <c r="E333" t="inlineStr">
        <is>
          <t>SALA</t>
        </is>
      </c>
      <c r="G333" t="n">
        <v>2.4</v>
      </c>
      <c r="H333" t="n">
        <v>0</v>
      </c>
      <c r="I333" t="n">
        <v>0</v>
      </c>
      <c r="J333" t="n">
        <v>0</v>
      </c>
      <c r="K333" t="n">
        <v>0</v>
      </c>
      <c r="L333" t="n">
        <v>0</v>
      </c>
      <c r="M333" t="n">
        <v>0</v>
      </c>
      <c r="N333" t="n">
        <v>0</v>
      </c>
      <c r="O333" t="n">
        <v>0</v>
      </c>
      <c r="P333" t="n">
        <v>0</v>
      </c>
      <c r="Q333" t="n">
        <v>0</v>
      </c>
      <c r="R333" s="2" t="inlineStr"/>
    </row>
    <row r="334" ht="15" customHeight="1">
      <c r="A334" t="inlineStr">
        <is>
          <t>A 31554-2025</t>
        </is>
      </c>
      <c r="B334" s="1" t="n">
        <v>45833</v>
      </c>
      <c r="C334" s="1" t="n">
        <v>46001</v>
      </c>
      <c r="D334" t="inlineStr">
        <is>
          <t>VÄSTMANLANDS LÄN</t>
        </is>
      </c>
      <c r="E334" t="inlineStr">
        <is>
          <t>SALA</t>
        </is>
      </c>
      <c r="G334" t="n">
        <v>1.5</v>
      </c>
      <c r="H334" t="n">
        <v>0</v>
      </c>
      <c r="I334" t="n">
        <v>0</v>
      </c>
      <c r="J334" t="n">
        <v>0</v>
      </c>
      <c r="K334" t="n">
        <v>0</v>
      </c>
      <c r="L334" t="n">
        <v>0</v>
      </c>
      <c r="M334" t="n">
        <v>0</v>
      </c>
      <c r="N334" t="n">
        <v>0</v>
      </c>
      <c r="O334" t="n">
        <v>0</v>
      </c>
      <c r="P334" t="n">
        <v>0</v>
      </c>
      <c r="Q334" t="n">
        <v>0</v>
      </c>
      <c r="R334" s="2" t="inlineStr"/>
    </row>
    <row r="335" ht="15" customHeight="1">
      <c r="A335" t="inlineStr">
        <is>
          <t>A 31762-2025</t>
        </is>
      </c>
      <c r="B335" s="1" t="n">
        <v>45834.49288194445</v>
      </c>
      <c r="C335" s="1" t="n">
        <v>46001</v>
      </c>
      <c r="D335" t="inlineStr">
        <is>
          <t>VÄSTMANLANDS LÄN</t>
        </is>
      </c>
      <c r="E335" t="inlineStr">
        <is>
          <t>SALA</t>
        </is>
      </c>
      <c r="G335" t="n">
        <v>5.9</v>
      </c>
      <c r="H335" t="n">
        <v>0</v>
      </c>
      <c r="I335" t="n">
        <v>0</v>
      </c>
      <c r="J335" t="n">
        <v>0</v>
      </c>
      <c r="K335" t="n">
        <v>0</v>
      </c>
      <c r="L335" t="n">
        <v>0</v>
      </c>
      <c r="M335" t="n">
        <v>0</v>
      </c>
      <c r="N335" t="n">
        <v>0</v>
      </c>
      <c r="O335" t="n">
        <v>0</v>
      </c>
      <c r="P335" t="n">
        <v>0</v>
      </c>
      <c r="Q335" t="n">
        <v>0</v>
      </c>
      <c r="R335" s="2" t="inlineStr"/>
    </row>
    <row r="336" ht="15" customHeight="1">
      <c r="A336" t="inlineStr">
        <is>
          <t>A 31608-2025</t>
        </is>
      </c>
      <c r="B336" s="1" t="n">
        <v>45833</v>
      </c>
      <c r="C336" s="1" t="n">
        <v>46001</v>
      </c>
      <c r="D336" t="inlineStr">
        <is>
          <t>VÄSTMANLANDS LÄN</t>
        </is>
      </c>
      <c r="E336" t="inlineStr">
        <is>
          <t>SALA</t>
        </is>
      </c>
      <c r="G336" t="n">
        <v>6.1</v>
      </c>
      <c r="H336" t="n">
        <v>0</v>
      </c>
      <c r="I336" t="n">
        <v>0</v>
      </c>
      <c r="J336" t="n">
        <v>0</v>
      </c>
      <c r="K336" t="n">
        <v>0</v>
      </c>
      <c r="L336" t="n">
        <v>0</v>
      </c>
      <c r="M336" t="n">
        <v>0</v>
      </c>
      <c r="N336" t="n">
        <v>0</v>
      </c>
      <c r="O336" t="n">
        <v>0</v>
      </c>
      <c r="P336" t="n">
        <v>0</v>
      </c>
      <c r="Q336" t="n">
        <v>0</v>
      </c>
      <c r="R336" s="2" t="inlineStr"/>
    </row>
    <row r="337" ht="15" customHeight="1">
      <c r="A337" t="inlineStr">
        <is>
          <t>A 31610-2025</t>
        </is>
      </c>
      <c r="B337" s="1" t="n">
        <v>45833.78650462963</v>
      </c>
      <c r="C337" s="1" t="n">
        <v>46001</v>
      </c>
      <c r="D337" t="inlineStr">
        <is>
          <t>VÄSTMANLANDS LÄN</t>
        </is>
      </c>
      <c r="E337" t="inlineStr">
        <is>
          <t>SALA</t>
        </is>
      </c>
      <c r="G337" t="n">
        <v>8</v>
      </c>
      <c r="H337" t="n">
        <v>0</v>
      </c>
      <c r="I337" t="n">
        <v>0</v>
      </c>
      <c r="J337" t="n">
        <v>0</v>
      </c>
      <c r="K337" t="n">
        <v>0</v>
      </c>
      <c r="L337" t="n">
        <v>0</v>
      </c>
      <c r="M337" t="n">
        <v>0</v>
      </c>
      <c r="N337" t="n">
        <v>0</v>
      </c>
      <c r="O337" t="n">
        <v>0</v>
      </c>
      <c r="P337" t="n">
        <v>0</v>
      </c>
      <c r="Q337" t="n">
        <v>0</v>
      </c>
      <c r="R337" s="2" t="inlineStr"/>
    </row>
    <row r="338" ht="15" customHeight="1">
      <c r="A338" t="inlineStr">
        <is>
          <t>A 37612-2024</t>
        </is>
      </c>
      <c r="B338" s="1" t="n">
        <v>45541</v>
      </c>
      <c r="C338" s="1" t="n">
        <v>46001</v>
      </c>
      <c r="D338" t="inlineStr">
        <is>
          <t>VÄSTMANLANDS LÄN</t>
        </is>
      </c>
      <c r="E338" t="inlineStr">
        <is>
          <t>SALA</t>
        </is>
      </c>
      <c r="G338" t="n">
        <v>2.2</v>
      </c>
      <c r="H338" t="n">
        <v>0</v>
      </c>
      <c r="I338" t="n">
        <v>0</v>
      </c>
      <c r="J338" t="n">
        <v>0</v>
      </c>
      <c r="K338" t="n">
        <v>0</v>
      </c>
      <c r="L338" t="n">
        <v>0</v>
      </c>
      <c r="M338" t="n">
        <v>0</v>
      </c>
      <c r="N338" t="n">
        <v>0</v>
      </c>
      <c r="O338" t="n">
        <v>0</v>
      </c>
      <c r="P338" t="n">
        <v>0</v>
      </c>
      <c r="Q338" t="n">
        <v>0</v>
      </c>
      <c r="R338" s="2" t="inlineStr"/>
    </row>
    <row r="339" ht="15" customHeight="1">
      <c r="A339" t="inlineStr">
        <is>
          <t>A 37615-2024</t>
        </is>
      </c>
      <c r="B339" s="1" t="n">
        <v>45541.50673611111</v>
      </c>
      <c r="C339" s="1" t="n">
        <v>46001</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5728-2022</t>
        </is>
      </c>
      <c r="B340" s="1" t="n">
        <v>44596.42082175926</v>
      </c>
      <c r="C340" s="1" t="n">
        <v>46001</v>
      </c>
      <c r="D340" t="inlineStr">
        <is>
          <t>VÄSTMANLANDS LÄN</t>
        </is>
      </c>
      <c r="E340" t="inlineStr">
        <is>
          <t>SALA</t>
        </is>
      </c>
      <c r="G340" t="n">
        <v>1.7</v>
      </c>
      <c r="H340" t="n">
        <v>0</v>
      </c>
      <c r="I340" t="n">
        <v>0</v>
      </c>
      <c r="J340" t="n">
        <v>0</v>
      </c>
      <c r="K340" t="n">
        <v>0</v>
      </c>
      <c r="L340" t="n">
        <v>0</v>
      </c>
      <c r="M340" t="n">
        <v>0</v>
      </c>
      <c r="N340" t="n">
        <v>0</v>
      </c>
      <c r="O340" t="n">
        <v>0</v>
      </c>
      <c r="P340" t="n">
        <v>0</v>
      </c>
      <c r="Q340" t="n">
        <v>0</v>
      </c>
      <c r="R340" s="2" t="inlineStr"/>
    </row>
    <row r="341" ht="15" customHeight="1">
      <c r="A341" t="inlineStr">
        <is>
          <t>A 31296-2025</t>
        </is>
      </c>
      <c r="B341" s="1" t="n">
        <v>45833.36765046296</v>
      </c>
      <c r="C341" s="1" t="n">
        <v>46001</v>
      </c>
      <c r="D341" t="inlineStr">
        <is>
          <t>VÄSTMANLANDS LÄN</t>
        </is>
      </c>
      <c r="E341" t="inlineStr">
        <is>
          <t>SALA</t>
        </is>
      </c>
      <c r="G341" t="n">
        <v>3.7</v>
      </c>
      <c r="H341" t="n">
        <v>0</v>
      </c>
      <c r="I341" t="n">
        <v>0</v>
      </c>
      <c r="J341" t="n">
        <v>0</v>
      </c>
      <c r="K341" t="n">
        <v>0</v>
      </c>
      <c r="L341" t="n">
        <v>0</v>
      </c>
      <c r="M341" t="n">
        <v>0</v>
      </c>
      <c r="N341" t="n">
        <v>0</v>
      </c>
      <c r="O341" t="n">
        <v>0</v>
      </c>
      <c r="P341" t="n">
        <v>0</v>
      </c>
      <c r="Q341" t="n">
        <v>0</v>
      </c>
      <c r="R341" s="2" t="inlineStr"/>
    </row>
    <row r="342" ht="15" customHeight="1">
      <c r="A342" t="inlineStr">
        <is>
          <t>A 7681-2021</t>
        </is>
      </c>
      <c r="B342" s="1" t="n">
        <v>44242</v>
      </c>
      <c r="C342" s="1" t="n">
        <v>46001</v>
      </c>
      <c r="D342" t="inlineStr">
        <is>
          <t>VÄSTMANLANDS LÄN</t>
        </is>
      </c>
      <c r="E342" t="inlineStr">
        <is>
          <t>SALA</t>
        </is>
      </c>
      <c r="F342" t="inlineStr">
        <is>
          <t>Sveaskog</t>
        </is>
      </c>
      <c r="G342" t="n">
        <v>16.1</v>
      </c>
      <c r="H342" t="n">
        <v>0</v>
      </c>
      <c r="I342" t="n">
        <v>0</v>
      </c>
      <c r="J342" t="n">
        <v>0</v>
      </c>
      <c r="K342" t="n">
        <v>0</v>
      </c>
      <c r="L342" t="n">
        <v>0</v>
      </c>
      <c r="M342" t="n">
        <v>0</v>
      </c>
      <c r="N342" t="n">
        <v>0</v>
      </c>
      <c r="O342" t="n">
        <v>0</v>
      </c>
      <c r="P342" t="n">
        <v>0</v>
      </c>
      <c r="Q342" t="n">
        <v>0</v>
      </c>
      <c r="R342" s="2" t="inlineStr"/>
    </row>
    <row r="343" ht="15" customHeight="1">
      <c r="A343" t="inlineStr">
        <is>
          <t>A 31573-2025</t>
        </is>
      </c>
      <c r="B343" s="1" t="n">
        <v>45833</v>
      </c>
      <c r="C343" s="1" t="n">
        <v>46001</v>
      </c>
      <c r="D343" t="inlineStr">
        <is>
          <t>VÄSTMANLANDS LÄN</t>
        </is>
      </c>
      <c r="E343" t="inlineStr">
        <is>
          <t>SALA</t>
        </is>
      </c>
      <c r="G343" t="n">
        <v>0.6</v>
      </c>
      <c r="H343" t="n">
        <v>0</v>
      </c>
      <c r="I343" t="n">
        <v>0</v>
      </c>
      <c r="J343" t="n">
        <v>0</v>
      </c>
      <c r="K343" t="n">
        <v>0</v>
      </c>
      <c r="L343" t="n">
        <v>0</v>
      </c>
      <c r="M343" t="n">
        <v>0</v>
      </c>
      <c r="N343" t="n">
        <v>0</v>
      </c>
      <c r="O343" t="n">
        <v>0</v>
      </c>
      <c r="P343" t="n">
        <v>0</v>
      </c>
      <c r="Q343" t="n">
        <v>0</v>
      </c>
      <c r="R343" s="2" t="inlineStr"/>
    </row>
    <row r="344" ht="15" customHeight="1">
      <c r="A344" t="inlineStr">
        <is>
          <t>A 32201-2025</t>
        </is>
      </c>
      <c r="B344" s="1" t="n">
        <v>45835</v>
      </c>
      <c r="C344" s="1" t="n">
        <v>46001</v>
      </c>
      <c r="D344" t="inlineStr">
        <is>
          <t>VÄSTMANLANDS LÄN</t>
        </is>
      </c>
      <c r="E344" t="inlineStr">
        <is>
          <t>SALA</t>
        </is>
      </c>
      <c r="F344" t="inlineStr">
        <is>
          <t>Bergvik skog öst AB</t>
        </is>
      </c>
      <c r="G344" t="n">
        <v>1.8</v>
      </c>
      <c r="H344" t="n">
        <v>0</v>
      </c>
      <c r="I344" t="n">
        <v>0</v>
      </c>
      <c r="J344" t="n">
        <v>0</v>
      </c>
      <c r="K344" t="n">
        <v>0</v>
      </c>
      <c r="L344" t="n">
        <v>0</v>
      </c>
      <c r="M344" t="n">
        <v>0</v>
      </c>
      <c r="N344" t="n">
        <v>0</v>
      </c>
      <c r="O344" t="n">
        <v>0</v>
      </c>
      <c r="P344" t="n">
        <v>0</v>
      </c>
      <c r="Q344" t="n">
        <v>0</v>
      </c>
      <c r="R344" s="2" t="inlineStr"/>
    </row>
    <row r="345" ht="15" customHeight="1">
      <c r="A345" t="inlineStr">
        <is>
          <t>A 32205-2025</t>
        </is>
      </c>
      <c r="B345" s="1" t="n">
        <v>45835</v>
      </c>
      <c r="C345" s="1" t="n">
        <v>46001</v>
      </c>
      <c r="D345" t="inlineStr">
        <is>
          <t>VÄSTMANLANDS LÄN</t>
        </is>
      </c>
      <c r="E345" t="inlineStr">
        <is>
          <t>SALA</t>
        </is>
      </c>
      <c r="F345" t="inlineStr">
        <is>
          <t>Bergvik skog öst AB</t>
        </is>
      </c>
      <c r="G345" t="n">
        <v>1.1</v>
      </c>
      <c r="H345" t="n">
        <v>0</v>
      </c>
      <c r="I345" t="n">
        <v>0</v>
      </c>
      <c r="J345" t="n">
        <v>0</v>
      </c>
      <c r="K345" t="n">
        <v>0</v>
      </c>
      <c r="L345" t="n">
        <v>0</v>
      </c>
      <c r="M345" t="n">
        <v>0</v>
      </c>
      <c r="N345" t="n">
        <v>0</v>
      </c>
      <c r="O345" t="n">
        <v>0</v>
      </c>
      <c r="P345" t="n">
        <v>0</v>
      </c>
      <c r="Q345" t="n">
        <v>0</v>
      </c>
      <c r="R345" s="2" t="inlineStr"/>
    </row>
    <row r="346" ht="15" customHeight="1">
      <c r="A346" t="inlineStr">
        <is>
          <t>A 19751-2022</t>
        </is>
      </c>
      <c r="B346" s="1" t="n">
        <v>44694</v>
      </c>
      <c r="C346" s="1" t="n">
        <v>46001</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32210-2025</t>
        </is>
      </c>
      <c r="B347" s="1" t="n">
        <v>45835</v>
      </c>
      <c r="C347" s="1" t="n">
        <v>46001</v>
      </c>
      <c r="D347" t="inlineStr">
        <is>
          <t>VÄSTMANLANDS LÄN</t>
        </is>
      </c>
      <c r="E347" t="inlineStr">
        <is>
          <t>SALA</t>
        </is>
      </c>
      <c r="F347" t="inlineStr">
        <is>
          <t>Bergvik skog öst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54590-2025</t>
        </is>
      </c>
      <c r="B348" s="1" t="n">
        <v>45965.74199074074</v>
      </c>
      <c r="C348" s="1" t="n">
        <v>46001</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32286-2025</t>
        </is>
      </c>
      <c r="B349" s="1" t="n">
        <v>45835</v>
      </c>
      <c r="C349" s="1" t="n">
        <v>46001</v>
      </c>
      <c r="D349" t="inlineStr">
        <is>
          <t>VÄSTMANLANDS LÄN</t>
        </is>
      </c>
      <c r="E349" t="inlineStr">
        <is>
          <t>SALA</t>
        </is>
      </c>
      <c r="G349" t="n">
        <v>6.4</v>
      </c>
      <c r="H349" t="n">
        <v>0</v>
      </c>
      <c r="I349" t="n">
        <v>0</v>
      </c>
      <c r="J349" t="n">
        <v>0</v>
      </c>
      <c r="K349" t="n">
        <v>0</v>
      </c>
      <c r="L349" t="n">
        <v>0</v>
      </c>
      <c r="M349" t="n">
        <v>0</v>
      </c>
      <c r="N349" t="n">
        <v>0</v>
      </c>
      <c r="O349" t="n">
        <v>0</v>
      </c>
      <c r="P349" t="n">
        <v>0</v>
      </c>
      <c r="Q349" t="n">
        <v>0</v>
      </c>
      <c r="R349" s="2" t="inlineStr"/>
    </row>
    <row r="350" ht="15" customHeight="1">
      <c r="A350" t="inlineStr">
        <is>
          <t>A 32207-2025</t>
        </is>
      </c>
      <c r="B350" s="1" t="n">
        <v>45835</v>
      </c>
      <c r="C350" s="1" t="n">
        <v>46001</v>
      </c>
      <c r="D350" t="inlineStr">
        <is>
          <t>VÄSTMANLANDS LÄN</t>
        </is>
      </c>
      <c r="E350" t="inlineStr">
        <is>
          <t>SALA</t>
        </is>
      </c>
      <c r="F350" t="inlineStr">
        <is>
          <t>Bergvik skog öst AB</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45914-2025</t>
        </is>
      </c>
      <c r="B351" s="1" t="n">
        <v>45923.82582175926</v>
      </c>
      <c r="C351" s="1" t="n">
        <v>46001</v>
      </c>
      <c r="D351" t="inlineStr">
        <is>
          <t>VÄSTMANLANDS LÄN</t>
        </is>
      </c>
      <c r="E351" t="inlineStr">
        <is>
          <t>SALA</t>
        </is>
      </c>
      <c r="F351" t="inlineStr">
        <is>
          <t>Kommuner</t>
        </is>
      </c>
      <c r="G351" t="n">
        <v>18.2</v>
      </c>
      <c r="H351" t="n">
        <v>0</v>
      </c>
      <c r="I351" t="n">
        <v>0</v>
      </c>
      <c r="J351" t="n">
        <v>0</v>
      </c>
      <c r="K351" t="n">
        <v>0</v>
      </c>
      <c r="L351" t="n">
        <v>0</v>
      </c>
      <c r="M351" t="n">
        <v>0</v>
      </c>
      <c r="N351" t="n">
        <v>0</v>
      </c>
      <c r="O351" t="n">
        <v>0</v>
      </c>
      <c r="P351" t="n">
        <v>0</v>
      </c>
      <c r="Q351" t="n">
        <v>0</v>
      </c>
      <c r="R351" s="2" t="inlineStr"/>
    </row>
    <row r="352" ht="15" customHeight="1">
      <c r="A352" t="inlineStr">
        <is>
          <t>A 45909-2025</t>
        </is>
      </c>
      <c r="B352" s="1" t="n">
        <v>45923.75078703704</v>
      </c>
      <c r="C352" s="1" t="n">
        <v>46001</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32902-2025</t>
        </is>
      </c>
      <c r="B353" s="1" t="n">
        <v>45839</v>
      </c>
      <c r="C353" s="1" t="n">
        <v>46001</v>
      </c>
      <c r="D353" t="inlineStr">
        <is>
          <t>VÄSTMANLANDS LÄN</t>
        </is>
      </c>
      <c r="E353" t="inlineStr">
        <is>
          <t>SALA</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54344-2025</t>
        </is>
      </c>
      <c r="B354" s="1" t="n">
        <v>45965.36462962963</v>
      </c>
      <c r="C354" s="1" t="n">
        <v>46001</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46597-2025</t>
        </is>
      </c>
      <c r="B355" s="1" t="n">
        <v>45926.40113425926</v>
      </c>
      <c r="C355" s="1" t="n">
        <v>46001</v>
      </c>
      <c r="D355" t="inlineStr">
        <is>
          <t>VÄSTMANLANDS LÄN</t>
        </is>
      </c>
      <c r="E355" t="inlineStr">
        <is>
          <t>SALA</t>
        </is>
      </c>
      <c r="G355" t="n">
        <v>3.4</v>
      </c>
      <c r="H355" t="n">
        <v>0</v>
      </c>
      <c r="I355" t="n">
        <v>0</v>
      </c>
      <c r="J355" t="n">
        <v>0</v>
      </c>
      <c r="K355" t="n">
        <v>0</v>
      </c>
      <c r="L355" t="n">
        <v>0</v>
      </c>
      <c r="M355" t="n">
        <v>0</v>
      </c>
      <c r="N355" t="n">
        <v>0</v>
      </c>
      <c r="O355" t="n">
        <v>0</v>
      </c>
      <c r="P355" t="n">
        <v>0</v>
      </c>
      <c r="Q355" t="n">
        <v>0</v>
      </c>
      <c r="R355" s="2" t="inlineStr"/>
    </row>
    <row r="356" ht="15" customHeight="1">
      <c r="A356" t="inlineStr">
        <is>
          <t>A 6312-2025</t>
        </is>
      </c>
      <c r="B356" s="1" t="n">
        <v>45698</v>
      </c>
      <c r="C356" s="1" t="n">
        <v>46001</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55035-2023</t>
        </is>
      </c>
      <c r="B357" s="1" t="n">
        <v>45229</v>
      </c>
      <c r="C357" s="1" t="n">
        <v>46001</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54893-2025</t>
        </is>
      </c>
      <c r="B358" s="1" t="n">
        <v>45967.36383101852</v>
      </c>
      <c r="C358" s="1" t="n">
        <v>46001</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4736-2021</t>
        </is>
      </c>
      <c r="B359" s="1" t="n">
        <v>44225</v>
      </c>
      <c r="C359" s="1" t="n">
        <v>46001</v>
      </c>
      <c r="D359" t="inlineStr">
        <is>
          <t>VÄSTMANLANDS LÄN</t>
        </is>
      </c>
      <c r="E359" t="inlineStr">
        <is>
          <t>SALA</t>
        </is>
      </c>
      <c r="G359" t="n">
        <v>4.2</v>
      </c>
      <c r="H359" t="n">
        <v>0</v>
      </c>
      <c r="I359" t="n">
        <v>0</v>
      </c>
      <c r="J359" t="n">
        <v>0</v>
      </c>
      <c r="K359" t="n">
        <v>0</v>
      </c>
      <c r="L359" t="n">
        <v>0</v>
      </c>
      <c r="M359" t="n">
        <v>0</v>
      </c>
      <c r="N359" t="n">
        <v>0</v>
      </c>
      <c r="O359" t="n">
        <v>0</v>
      </c>
      <c r="P359" t="n">
        <v>0</v>
      </c>
      <c r="Q359" t="n">
        <v>0</v>
      </c>
      <c r="R359" s="2" t="inlineStr"/>
    </row>
    <row r="360" ht="15" customHeight="1">
      <c r="A360" t="inlineStr">
        <is>
          <t>A 34069-2025</t>
        </is>
      </c>
      <c r="B360" s="1" t="n">
        <v>45845.43560185185</v>
      </c>
      <c r="C360" s="1" t="n">
        <v>46001</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c r="U360">
        <f>HYPERLINK("https://klasma.github.io/Logging_1981/knärot/A 34069-2025 karta knärot.png", "A 34069-2025")</f>
        <v/>
      </c>
      <c r="V360">
        <f>HYPERLINK("https://klasma.github.io/Logging_1981/klagomål/A 34069-2025 FSC-klagomål.docx", "A 34069-2025")</f>
        <v/>
      </c>
      <c r="W360">
        <f>HYPERLINK("https://klasma.github.io/Logging_1981/klagomålsmail/A 34069-2025 FSC-klagomål mail.docx", "A 34069-2025")</f>
        <v/>
      </c>
      <c r="X360">
        <f>HYPERLINK("https://klasma.github.io/Logging_1981/tillsyn/A 34069-2025 tillsynsbegäran.docx", "A 34069-2025")</f>
        <v/>
      </c>
      <c r="Y360">
        <f>HYPERLINK("https://klasma.github.io/Logging_1981/tillsynsmail/A 34069-2025 tillsynsbegäran mail.docx", "A 34069-2025")</f>
        <v/>
      </c>
    </row>
    <row r="361" ht="15" customHeight="1">
      <c r="A361" t="inlineStr">
        <is>
          <t>A 52500-2024</t>
        </is>
      </c>
      <c r="B361" s="1" t="n">
        <v>45609</v>
      </c>
      <c r="C361" s="1" t="n">
        <v>46001</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7950-2025</t>
        </is>
      </c>
      <c r="B362" s="1" t="n">
        <v>45707.41799768519</v>
      </c>
      <c r="C362" s="1" t="n">
        <v>46001</v>
      </c>
      <c r="D362" t="inlineStr">
        <is>
          <t>VÄSTMANLANDS LÄN</t>
        </is>
      </c>
      <c r="E362" t="inlineStr">
        <is>
          <t>SALA</t>
        </is>
      </c>
      <c r="G362" t="n">
        <v>3.2</v>
      </c>
      <c r="H362" t="n">
        <v>0</v>
      </c>
      <c r="I362" t="n">
        <v>0</v>
      </c>
      <c r="J362" t="n">
        <v>0</v>
      </c>
      <c r="K362" t="n">
        <v>0</v>
      </c>
      <c r="L362" t="n">
        <v>0</v>
      </c>
      <c r="M362" t="n">
        <v>0</v>
      </c>
      <c r="N362" t="n">
        <v>0</v>
      </c>
      <c r="O362" t="n">
        <v>0</v>
      </c>
      <c r="P362" t="n">
        <v>0</v>
      </c>
      <c r="Q362" t="n">
        <v>0</v>
      </c>
      <c r="R362" s="2" t="inlineStr"/>
    </row>
    <row r="363" ht="15" customHeight="1">
      <c r="A363" t="inlineStr">
        <is>
          <t>A 46661-2025</t>
        </is>
      </c>
      <c r="B363" s="1" t="n">
        <v>45926</v>
      </c>
      <c r="C363" s="1" t="n">
        <v>46001</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15744-2025</t>
        </is>
      </c>
      <c r="B364" s="1" t="n">
        <v>45748</v>
      </c>
      <c r="C364" s="1" t="n">
        <v>46001</v>
      </c>
      <c r="D364" t="inlineStr">
        <is>
          <t>VÄSTMANLANDS LÄN</t>
        </is>
      </c>
      <c r="E364" t="inlineStr">
        <is>
          <t>SALA</t>
        </is>
      </c>
      <c r="G364" t="n">
        <v>1.6</v>
      </c>
      <c r="H364" t="n">
        <v>0</v>
      </c>
      <c r="I364" t="n">
        <v>0</v>
      </c>
      <c r="J364" t="n">
        <v>0</v>
      </c>
      <c r="K364" t="n">
        <v>0</v>
      </c>
      <c r="L364" t="n">
        <v>0</v>
      </c>
      <c r="M364" t="n">
        <v>0</v>
      </c>
      <c r="N364" t="n">
        <v>0</v>
      </c>
      <c r="O364" t="n">
        <v>0</v>
      </c>
      <c r="P364" t="n">
        <v>0</v>
      </c>
      <c r="Q364" t="n">
        <v>0</v>
      </c>
      <c r="R364" s="2" t="inlineStr"/>
    </row>
    <row r="365" ht="15" customHeight="1">
      <c r="A365" t="inlineStr">
        <is>
          <t>A 10812-2021</t>
        </is>
      </c>
      <c r="B365" s="1" t="n">
        <v>44259</v>
      </c>
      <c r="C365" s="1" t="n">
        <v>46001</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10154-2021</t>
        </is>
      </c>
      <c r="B366" s="1" t="n">
        <v>44256</v>
      </c>
      <c r="C366" s="1" t="n">
        <v>46001</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16328-2025</t>
        </is>
      </c>
      <c r="B367" s="1" t="n">
        <v>45751</v>
      </c>
      <c r="C367" s="1" t="n">
        <v>46001</v>
      </c>
      <c r="D367" t="inlineStr">
        <is>
          <t>VÄSTMANLANDS LÄN</t>
        </is>
      </c>
      <c r="E367" t="inlineStr">
        <is>
          <t>SALA</t>
        </is>
      </c>
      <c r="G367" t="n">
        <v>2.9</v>
      </c>
      <c r="H367" t="n">
        <v>0</v>
      </c>
      <c r="I367" t="n">
        <v>0</v>
      </c>
      <c r="J367" t="n">
        <v>0</v>
      </c>
      <c r="K367" t="n">
        <v>0</v>
      </c>
      <c r="L367" t="n">
        <v>0</v>
      </c>
      <c r="M367" t="n">
        <v>0</v>
      </c>
      <c r="N367" t="n">
        <v>0</v>
      </c>
      <c r="O367" t="n">
        <v>0</v>
      </c>
      <c r="P367" t="n">
        <v>0</v>
      </c>
      <c r="Q367" t="n">
        <v>0</v>
      </c>
      <c r="R367" s="2" t="inlineStr"/>
    </row>
    <row r="368" ht="15" customHeight="1">
      <c r="A368" t="inlineStr">
        <is>
          <t>A 46915-2025</t>
        </is>
      </c>
      <c r="B368" s="1" t="n">
        <v>45929.42114583333</v>
      </c>
      <c r="C368" s="1" t="n">
        <v>46001</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55714-2025</t>
        </is>
      </c>
      <c r="B369" s="1" t="n">
        <v>45972.49131944445</v>
      </c>
      <c r="C369" s="1" t="n">
        <v>46001</v>
      </c>
      <c r="D369" t="inlineStr">
        <is>
          <t>VÄSTMANLANDS LÄN</t>
        </is>
      </c>
      <c r="E369" t="inlineStr">
        <is>
          <t>SALA</t>
        </is>
      </c>
      <c r="G369" t="n">
        <v>6.6</v>
      </c>
      <c r="H369" t="n">
        <v>0</v>
      </c>
      <c r="I369" t="n">
        <v>0</v>
      </c>
      <c r="J369" t="n">
        <v>0</v>
      </c>
      <c r="K369" t="n">
        <v>0</v>
      </c>
      <c r="L369" t="n">
        <v>0</v>
      </c>
      <c r="M369" t="n">
        <v>0</v>
      </c>
      <c r="N369" t="n">
        <v>0</v>
      </c>
      <c r="O369" t="n">
        <v>0</v>
      </c>
      <c r="P369" t="n">
        <v>0</v>
      </c>
      <c r="Q369" t="n">
        <v>0</v>
      </c>
      <c r="R369" s="2" t="inlineStr"/>
    </row>
    <row r="370" ht="15" customHeight="1">
      <c r="A370" t="inlineStr">
        <is>
          <t>A 31609-2024</t>
        </is>
      </c>
      <c r="B370" s="1" t="n">
        <v>45506</v>
      </c>
      <c r="C370" s="1" t="n">
        <v>46001</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55997-2025</t>
        </is>
      </c>
      <c r="B371" s="1" t="n">
        <v>45973.56833333334</v>
      </c>
      <c r="C371" s="1" t="n">
        <v>46001</v>
      </c>
      <c r="D371" t="inlineStr">
        <is>
          <t>VÄSTMANLANDS LÄN</t>
        </is>
      </c>
      <c r="E371" t="inlineStr">
        <is>
          <t>SALA</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48057-2025</t>
        </is>
      </c>
      <c r="B372" s="1" t="n">
        <v>45932.67947916667</v>
      </c>
      <c r="C372" s="1" t="n">
        <v>46001</v>
      </c>
      <c r="D372" t="inlineStr">
        <is>
          <t>VÄSTMANLANDS LÄN</t>
        </is>
      </c>
      <c r="E372" t="inlineStr">
        <is>
          <t>SALA</t>
        </is>
      </c>
      <c r="G372" t="n">
        <v>4.3</v>
      </c>
      <c r="H372" t="n">
        <v>0</v>
      </c>
      <c r="I372" t="n">
        <v>0</v>
      </c>
      <c r="J372" t="n">
        <v>0</v>
      </c>
      <c r="K372" t="n">
        <v>0</v>
      </c>
      <c r="L372" t="n">
        <v>0</v>
      </c>
      <c r="M372" t="n">
        <v>0</v>
      </c>
      <c r="N372" t="n">
        <v>0</v>
      </c>
      <c r="O372" t="n">
        <v>0</v>
      </c>
      <c r="P372" t="n">
        <v>0</v>
      </c>
      <c r="Q372" t="n">
        <v>0</v>
      </c>
      <c r="R372" s="2" t="inlineStr"/>
    </row>
    <row r="373" ht="15" customHeight="1">
      <c r="A373" t="inlineStr">
        <is>
          <t>A 35715-2025</t>
        </is>
      </c>
      <c r="B373" s="1" t="n">
        <v>45860.42148148148</v>
      </c>
      <c r="C373" s="1" t="n">
        <v>46001</v>
      </c>
      <c r="D373" t="inlineStr">
        <is>
          <t>VÄSTMANLANDS LÄN</t>
        </is>
      </c>
      <c r="E373" t="inlineStr">
        <is>
          <t>SALA</t>
        </is>
      </c>
      <c r="G373" t="n">
        <v>3.8</v>
      </c>
      <c r="H373" t="n">
        <v>0</v>
      </c>
      <c r="I373" t="n">
        <v>0</v>
      </c>
      <c r="J373" t="n">
        <v>0</v>
      </c>
      <c r="K373" t="n">
        <v>0</v>
      </c>
      <c r="L373" t="n">
        <v>0</v>
      </c>
      <c r="M373" t="n">
        <v>0</v>
      </c>
      <c r="N373" t="n">
        <v>0</v>
      </c>
      <c r="O373" t="n">
        <v>0</v>
      </c>
      <c r="P373" t="n">
        <v>0</v>
      </c>
      <c r="Q373" t="n">
        <v>0</v>
      </c>
      <c r="R373" s="2" t="inlineStr"/>
    </row>
    <row r="374" ht="15" customHeight="1">
      <c r="A374" t="inlineStr">
        <is>
          <t>A 35651-2025</t>
        </is>
      </c>
      <c r="B374" s="1" t="n">
        <v>45859.52435185185</v>
      </c>
      <c r="C374" s="1" t="n">
        <v>46001</v>
      </c>
      <c r="D374" t="inlineStr">
        <is>
          <t>VÄSTMANLANDS LÄN</t>
        </is>
      </c>
      <c r="E374" t="inlineStr">
        <is>
          <t>SALA</t>
        </is>
      </c>
      <c r="G374" t="n">
        <v>6.3</v>
      </c>
      <c r="H374" t="n">
        <v>0</v>
      </c>
      <c r="I374" t="n">
        <v>0</v>
      </c>
      <c r="J374" t="n">
        <v>0</v>
      </c>
      <c r="K374" t="n">
        <v>0</v>
      </c>
      <c r="L374" t="n">
        <v>0</v>
      </c>
      <c r="M374" t="n">
        <v>0</v>
      </c>
      <c r="N374" t="n">
        <v>0</v>
      </c>
      <c r="O374" t="n">
        <v>0</v>
      </c>
      <c r="P374" t="n">
        <v>0</v>
      </c>
      <c r="Q374" t="n">
        <v>0</v>
      </c>
      <c r="R374" s="2" t="inlineStr"/>
    </row>
    <row r="375" ht="15" customHeight="1">
      <c r="A375" t="inlineStr">
        <is>
          <t>A 35775-2025</t>
        </is>
      </c>
      <c r="B375" s="1" t="n">
        <v>45860</v>
      </c>
      <c r="C375" s="1" t="n">
        <v>46001</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35410-2022</t>
        </is>
      </c>
      <c r="B376" s="1" t="n">
        <v>44798.62576388889</v>
      </c>
      <c r="C376" s="1" t="n">
        <v>46001</v>
      </c>
      <c r="D376" t="inlineStr">
        <is>
          <t>VÄSTMANLANDS LÄN</t>
        </is>
      </c>
      <c r="E376" t="inlineStr">
        <is>
          <t>SALA</t>
        </is>
      </c>
      <c r="G376" t="n">
        <v>1.6</v>
      </c>
      <c r="H376" t="n">
        <v>0</v>
      </c>
      <c r="I376" t="n">
        <v>0</v>
      </c>
      <c r="J376" t="n">
        <v>0</v>
      </c>
      <c r="K376" t="n">
        <v>0</v>
      </c>
      <c r="L376" t="n">
        <v>0</v>
      </c>
      <c r="M376" t="n">
        <v>0</v>
      </c>
      <c r="N376" t="n">
        <v>0</v>
      </c>
      <c r="O376" t="n">
        <v>0</v>
      </c>
      <c r="P376" t="n">
        <v>0</v>
      </c>
      <c r="Q376" t="n">
        <v>0</v>
      </c>
      <c r="R376" s="2" t="inlineStr"/>
    </row>
    <row r="377" ht="15" customHeight="1">
      <c r="A377" t="inlineStr">
        <is>
          <t>A 35774-2025</t>
        </is>
      </c>
      <c r="B377" s="1" t="n">
        <v>45860.68780092592</v>
      </c>
      <c r="C377" s="1" t="n">
        <v>46001</v>
      </c>
      <c r="D377" t="inlineStr">
        <is>
          <t>VÄSTMANLANDS LÄN</t>
        </is>
      </c>
      <c r="E377" t="inlineStr">
        <is>
          <t>SALA</t>
        </is>
      </c>
      <c r="G377" t="n">
        <v>6.5</v>
      </c>
      <c r="H377" t="n">
        <v>0</v>
      </c>
      <c r="I377" t="n">
        <v>0</v>
      </c>
      <c r="J377" t="n">
        <v>0</v>
      </c>
      <c r="K377" t="n">
        <v>0</v>
      </c>
      <c r="L377" t="n">
        <v>0</v>
      </c>
      <c r="M377" t="n">
        <v>0</v>
      </c>
      <c r="N377" t="n">
        <v>0</v>
      </c>
      <c r="O377" t="n">
        <v>0</v>
      </c>
      <c r="P377" t="n">
        <v>0</v>
      </c>
      <c r="Q377" t="n">
        <v>0</v>
      </c>
      <c r="R377" s="2" t="inlineStr"/>
    </row>
    <row r="378" ht="15" customHeight="1">
      <c r="A378" t="inlineStr">
        <is>
          <t>A 35776-2025</t>
        </is>
      </c>
      <c r="B378" s="1" t="n">
        <v>45860.69211805556</v>
      </c>
      <c r="C378" s="1" t="n">
        <v>46001</v>
      </c>
      <c r="D378" t="inlineStr">
        <is>
          <t>VÄSTMANLANDS LÄN</t>
        </is>
      </c>
      <c r="E378" t="inlineStr">
        <is>
          <t>SALA</t>
        </is>
      </c>
      <c r="G378" t="n">
        <v>14.2</v>
      </c>
      <c r="H378" t="n">
        <v>0</v>
      </c>
      <c r="I378" t="n">
        <v>0</v>
      </c>
      <c r="J378" t="n">
        <v>0</v>
      </c>
      <c r="K378" t="n">
        <v>0</v>
      </c>
      <c r="L378" t="n">
        <v>0</v>
      </c>
      <c r="M378" t="n">
        <v>0</v>
      </c>
      <c r="N378" t="n">
        <v>0</v>
      </c>
      <c r="O378" t="n">
        <v>0</v>
      </c>
      <c r="P378" t="n">
        <v>0</v>
      </c>
      <c r="Q378" t="n">
        <v>0</v>
      </c>
      <c r="R378" s="2" t="inlineStr"/>
    </row>
    <row r="379" ht="15" customHeight="1">
      <c r="A379" t="inlineStr">
        <is>
          <t>A 35779-2025</t>
        </is>
      </c>
      <c r="B379" s="1" t="n">
        <v>45860.69495370371</v>
      </c>
      <c r="C379" s="1" t="n">
        <v>46001</v>
      </c>
      <c r="D379" t="inlineStr">
        <is>
          <t>VÄSTMANLANDS LÄN</t>
        </is>
      </c>
      <c r="E379" t="inlineStr">
        <is>
          <t>SALA</t>
        </is>
      </c>
      <c r="G379" t="n">
        <v>2.4</v>
      </c>
      <c r="H379" t="n">
        <v>0</v>
      </c>
      <c r="I379" t="n">
        <v>0</v>
      </c>
      <c r="J379" t="n">
        <v>0</v>
      </c>
      <c r="K379" t="n">
        <v>0</v>
      </c>
      <c r="L379" t="n">
        <v>0</v>
      </c>
      <c r="M379" t="n">
        <v>0</v>
      </c>
      <c r="N379" t="n">
        <v>0</v>
      </c>
      <c r="O379" t="n">
        <v>0</v>
      </c>
      <c r="P379" t="n">
        <v>0</v>
      </c>
      <c r="Q379" t="n">
        <v>0</v>
      </c>
      <c r="R379" s="2" t="inlineStr"/>
    </row>
    <row r="380" ht="15" customHeight="1">
      <c r="A380" t="inlineStr">
        <is>
          <t>A 47577-2025</t>
        </is>
      </c>
      <c r="B380" s="1" t="n">
        <v>45931.4047337963</v>
      </c>
      <c r="C380" s="1" t="n">
        <v>46001</v>
      </c>
      <c r="D380" t="inlineStr">
        <is>
          <t>VÄSTMANLANDS LÄN</t>
        </is>
      </c>
      <c r="E380" t="inlineStr">
        <is>
          <t>SALA</t>
        </is>
      </c>
      <c r="G380" t="n">
        <v>3.7</v>
      </c>
      <c r="H380" t="n">
        <v>0</v>
      </c>
      <c r="I380" t="n">
        <v>0</v>
      </c>
      <c r="J380" t="n">
        <v>0</v>
      </c>
      <c r="K380" t="n">
        <v>0</v>
      </c>
      <c r="L380" t="n">
        <v>0</v>
      </c>
      <c r="M380" t="n">
        <v>0</v>
      </c>
      <c r="N380" t="n">
        <v>0</v>
      </c>
      <c r="O380" t="n">
        <v>0</v>
      </c>
      <c r="P380" t="n">
        <v>0</v>
      </c>
      <c r="Q380" t="n">
        <v>0</v>
      </c>
      <c r="R380" s="2" t="inlineStr"/>
    </row>
    <row r="381" ht="15" customHeight="1">
      <c r="A381" t="inlineStr">
        <is>
          <t>A 36049-2025</t>
        </is>
      </c>
      <c r="B381" s="1" t="n">
        <v>45866.37065972222</v>
      </c>
      <c r="C381" s="1" t="n">
        <v>46001</v>
      </c>
      <c r="D381" t="inlineStr">
        <is>
          <t>VÄSTMANLANDS LÄN</t>
        </is>
      </c>
      <c r="E381" t="inlineStr">
        <is>
          <t>SALA</t>
        </is>
      </c>
      <c r="F381" t="inlineStr">
        <is>
          <t>Kommuner</t>
        </is>
      </c>
      <c r="G381" t="n">
        <v>1.9</v>
      </c>
      <c r="H381" t="n">
        <v>0</v>
      </c>
      <c r="I381" t="n">
        <v>0</v>
      </c>
      <c r="J381" t="n">
        <v>0</v>
      </c>
      <c r="K381" t="n">
        <v>0</v>
      </c>
      <c r="L381" t="n">
        <v>0</v>
      </c>
      <c r="M381" t="n">
        <v>0</v>
      </c>
      <c r="N381" t="n">
        <v>0</v>
      </c>
      <c r="O381" t="n">
        <v>0</v>
      </c>
      <c r="P381" t="n">
        <v>0</v>
      </c>
      <c r="Q381" t="n">
        <v>0</v>
      </c>
      <c r="R381" s="2" t="inlineStr"/>
    </row>
    <row r="382" ht="15" customHeight="1">
      <c r="A382" t="inlineStr">
        <is>
          <t>A 36031-2025</t>
        </is>
      </c>
      <c r="B382" s="1" t="n">
        <v>45865.46111111111</v>
      </c>
      <c r="C382" s="1" t="n">
        <v>46001</v>
      </c>
      <c r="D382" t="inlineStr">
        <is>
          <t>VÄSTMANLANDS LÄN</t>
        </is>
      </c>
      <c r="E382" t="inlineStr">
        <is>
          <t>SALA</t>
        </is>
      </c>
      <c r="G382" t="n">
        <v>7.2</v>
      </c>
      <c r="H382" t="n">
        <v>0</v>
      </c>
      <c r="I382" t="n">
        <v>0</v>
      </c>
      <c r="J382" t="n">
        <v>0</v>
      </c>
      <c r="K382" t="n">
        <v>0</v>
      </c>
      <c r="L382" t="n">
        <v>0</v>
      </c>
      <c r="M382" t="n">
        <v>0</v>
      </c>
      <c r="N382" t="n">
        <v>0</v>
      </c>
      <c r="O382" t="n">
        <v>0</v>
      </c>
      <c r="P382" t="n">
        <v>0</v>
      </c>
      <c r="Q382" t="n">
        <v>0</v>
      </c>
      <c r="R382" s="2" t="inlineStr"/>
    </row>
    <row r="383" ht="15" customHeight="1">
      <c r="A383" t="inlineStr">
        <is>
          <t>A 36060-2025</t>
        </is>
      </c>
      <c r="B383" s="1" t="n">
        <v>45866.39469907407</v>
      </c>
      <c r="C383" s="1" t="n">
        <v>46001</v>
      </c>
      <c r="D383" t="inlineStr">
        <is>
          <t>VÄSTMANLANDS LÄN</t>
        </is>
      </c>
      <c r="E383" t="inlineStr">
        <is>
          <t>SALA</t>
        </is>
      </c>
      <c r="F383" t="inlineStr">
        <is>
          <t>Kommuner</t>
        </is>
      </c>
      <c r="G383" t="n">
        <v>4.3</v>
      </c>
      <c r="H383" t="n">
        <v>0</v>
      </c>
      <c r="I383" t="n">
        <v>0</v>
      </c>
      <c r="J383" t="n">
        <v>0</v>
      </c>
      <c r="K383" t="n">
        <v>0</v>
      </c>
      <c r="L383" t="n">
        <v>0</v>
      </c>
      <c r="M383" t="n">
        <v>0</v>
      </c>
      <c r="N383" t="n">
        <v>0</v>
      </c>
      <c r="O383" t="n">
        <v>0</v>
      </c>
      <c r="P383" t="n">
        <v>0</v>
      </c>
      <c r="Q383" t="n">
        <v>0</v>
      </c>
      <c r="R383" s="2" t="inlineStr"/>
    </row>
    <row r="384" ht="15" customHeight="1">
      <c r="A384" t="inlineStr">
        <is>
          <t>A 21159-2022</t>
        </is>
      </c>
      <c r="B384" s="1" t="n">
        <v>44704</v>
      </c>
      <c r="C384" s="1" t="n">
        <v>46001</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36032-2025</t>
        </is>
      </c>
      <c r="B385" s="1" t="n">
        <v>45865.48740740741</v>
      </c>
      <c r="C385" s="1" t="n">
        <v>46001</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36043-2025</t>
        </is>
      </c>
      <c r="B386" s="1" t="n">
        <v>45866.35333333333</v>
      </c>
      <c r="C386" s="1" t="n">
        <v>46001</v>
      </c>
      <c r="D386" t="inlineStr">
        <is>
          <t>VÄSTMANLANDS LÄN</t>
        </is>
      </c>
      <c r="E386" t="inlineStr">
        <is>
          <t>SALA</t>
        </is>
      </c>
      <c r="F386" t="inlineStr">
        <is>
          <t>Kommuner</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36045-2025</t>
        </is>
      </c>
      <c r="B387" s="1" t="n">
        <v>45866.36200231482</v>
      </c>
      <c r="C387" s="1" t="n">
        <v>46001</v>
      </c>
      <c r="D387" t="inlineStr">
        <is>
          <t>VÄSTMANLANDS LÄN</t>
        </is>
      </c>
      <c r="E387" t="inlineStr">
        <is>
          <t>SALA</t>
        </is>
      </c>
      <c r="F387" t="inlineStr">
        <is>
          <t>Kommuner</t>
        </is>
      </c>
      <c r="G387" t="n">
        <v>1.7</v>
      </c>
      <c r="H387" t="n">
        <v>0</v>
      </c>
      <c r="I387" t="n">
        <v>0</v>
      </c>
      <c r="J387" t="n">
        <v>0</v>
      </c>
      <c r="K387" t="n">
        <v>0</v>
      </c>
      <c r="L387" t="n">
        <v>0</v>
      </c>
      <c r="M387" t="n">
        <v>0</v>
      </c>
      <c r="N387" t="n">
        <v>0</v>
      </c>
      <c r="O387" t="n">
        <v>0</v>
      </c>
      <c r="P387" t="n">
        <v>0</v>
      </c>
      <c r="Q387" t="n">
        <v>0</v>
      </c>
      <c r="R387" s="2" t="inlineStr"/>
    </row>
    <row r="388" ht="15" customHeight="1">
      <c r="A388" t="inlineStr">
        <is>
          <t>A 48710-2025</t>
        </is>
      </c>
      <c r="B388" s="1" t="n">
        <v>45936.63184027778</v>
      </c>
      <c r="C388" s="1" t="n">
        <v>46001</v>
      </c>
      <c r="D388" t="inlineStr">
        <is>
          <t>VÄSTMANLANDS LÄN</t>
        </is>
      </c>
      <c r="E388" t="inlineStr">
        <is>
          <t>SALA</t>
        </is>
      </c>
      <c r="G388" t="n">
        <v>2.7</v>
      </c>
      <c r="H388" t="n">
        <v>0</v>
      </c>
      <c r="I388" t="n">
        <v>0</v>
      </c>
      <c r="J388" t="n">
        <v>0</v>
      </c>
      <c r="K388" t="n">
        <v>0</v>
      </c>
      <c r="L388" t="n">
        <v>0</v>
      </c>
      <c r="M388" t="n">
        <v>0</v>
      </c>
      <c r="N388" t="n">
        <v>0</v>
      </c>
      <c r="O388" t="n">
        <v>0</v>
      </c>
      <c r="P388" t="n">
        <v>0</v>
      </c>
      <c r="Q388" t="n">
        <v>0</v>
      </c>
      <c r="R388" s="2" t="inlineStr"/>
    </row>
    <row r="389" ht="15" customHeight="1">
      <c r="A389" t="inlineStr">
        <is>
          <t>A 41292-2021</t>
        </is>
      </c>
      <c r="B389" s="1" t="n">
        <v>44424</v>
      </c>
      <c r="C389" s="1" t="n">
        <v>46001</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60328-2024</t>
        </is>
      </c>
      <c r="B390" s="1" t="n">
        <v>45643.38416666666</v>
      </c>
      <c r="C390" s="1" t="n">
        <v>46001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17985-2025</t>
        </is>
      </c>
      <c r="B391" s="1" t="n">
        <v>45761</v>
      </c>
      <c r="C391" s="1" t="n">
        <v>46001</v>
      </c>
      <c r="D391" t="inlineStr">
        <is>
          <t>VÄSTMANLANDS LÄN</t>
        </is>
      </c>
      <c r="E391" t="inlineStr">
        <is>
          <t>SALA</t>
        </is>
      </c>
      <c r="G391" t="n">
        <v>12.5</v>
      </c>
      <c r="H391" t="n">
        <v>0</v>
      </c>
      <c r="I391" t="n">
        <v>0</v>
      </c>
      <c r="J391" t="n">
        <v>0</v>
      </c>
      <c r="K391" t="n">
        <v>0</v>
      </c>
      <c r="L391" t="n">
        <v>0</v>
      </c>
      <c r="M391" t="n">
        <v>0</v>
      </c>
      <c r="N391" t="n">
        <v>0</v>
      </c>
      <c r="O391" t="n">
        <v>0</v>
      </c>
      <c r="P391" t="n">
        <v>0</v>
      </c>
      <c r="Q391" t="n">
        <v>0</v>
      </c>
      <c r="R391" s="2" t="inlineStr"/>
    </row>
    <row r="392" ht="15" customHeight="1">
      <c r="A392" t="inlineStr">
        <is>
          <t>A 31869-2025</t>
        </is>
      </c>
      <c r="B392" s="1" t="n">
        <v>45834.64555555556</v>
      </c>
      <c r="C392" s="1" t="n">
        <v>46001</v>
      </c>
      <c r="D392" t="inlineStr">
        <is>
          <t>VÄSTMANLANDS LÄN</t>
        </is>
      </c>
      <c r="E392" t="inlineStr">
        <is>
          <t>SALA</t>
        </is>
      </c>
      <c r="G392" t="n">
        <v>17.5</v>
      </c>
      <c r="H392" t="n">
        <v>0</v>
      </c>
      <c r="I392" t="n">
        <v>0</v>
      </c>
      <c r="J392" t="n">
        <v>0</v>
      </c>
      <c r="K392" t="n">
        <v>0</v>
      </c>
      <c r="L392" t="n">
        <v>0</v>
      </c>
      <c r="M392" t="n">
        <v>0</v>
      </c>
      <c r="N392" t="n">
        <v>0</v>
      </c>
      <c r="O392" t="n">
        <v>0</v>
      </c>
      <c r="P392" t="n">
        <v>0</v>
      </c>
      <c r="Q392" t="n">
        <v>0</v>
      </c>
      <c r="R392" s="2" t="inlineStr"/>
    </row>
    <row r="393" ht="15" customHeight="1">
      <c r="A393" t="inlineStr">
        <is>
          <t>A 31863-2025</t>
        </is>
      </c>
      <c r="B393" s="1" t="n">
        <v>45834.63303240741</v>
      </c>
      <c r="C393" s="1" t="n">
        <v>46001</v>
      </c>
      <c r="D393" t="inlineStr">
        <is>
          <t>VÄSTMANLANDS LÄN</t>
        </is>
      </c>
      <c r="E393" t="inlineStr">
        <is>
          <t>SALA</t>
        </is>
      </c>
      <c r="G393" t="n">
        <v>2.5</v>
      </c>
      <c r="H393" t="n">
        <v>0</v>
      </c>
      <c r="I393" t="n">
        <v>0</v>
      </c>
      <c r="J393" t="n">
        <v>0</v>
      </c>
      <c r="K393" t="n">
        <v>0</v>
      </c>
      <c r="L393" t="n">
        <v>0</v>
      </c>
      <c r="M393" t="n">
        <v>0</v>
      </c>
      <c r="N393" t="n">
        <v>0</v>
      </c>
      <c r="O393" t="n">
        <v>0</v>
      </c>
      <c r="P393" t="n">
        <v>0</v>
      </c>
      <c r="Q393" t="n">
        <v>0</v>
      </c>
      <c r="R393" s="2" t="inlineStr"/>
    </row>
    <row r="394" ht="15" customHeight="1">
      <c r="A394" t="inlineStr">
        <is>
          <t>A 17766-2025</t>
        </is>
      </c>
      <c r="B394" s="1" t="n">
        <v>45758</v>
      </c>
      <c r="C394" s="1" t="n">
        <v>46001</v>
      </c>
      <c r="D394" t="inlineStr">
        <is>
          <t>VÄSTMANLANDS LÄN</t>
        </is>
      </c>
      <c r="E394" t="inlineStr">
        <is>
          <t>SALA</t>
        </is>
      </c>
      <c r="G394" t="n">
        <v>16.5</v>
      </c>
      <c r="H394" t="n">
        <v>0</v>
      </c>
      <c r="I394" t="n">
        <v>0</v>
      </c>
      <c r="J394" t="n">
        <v>0</v>
      </c>
      <c r="K394" t="n">
        <v>0</v>
      </c>
      <c r="L394" t="n">
        <v>0</v>
      </c>
      <c r="M394" t="n">
        <v>0</v>
      </c>
      <c r="N394" t="n">
        <v>0</v>
      </c>
      <c r="O394" t="n">
        <v>0</v>
      </c>
      <c r="P394" t="n">
        <v>0</v>
      </c>
      <c r="Q394" t="n">
        <v>0</v>
      </c>
      <c r="R394" s="2" t="inlineStr"/>
    </row>
    <row r="395" ht="15" customHeight="1">
      <c r="A395" t="inlineStr">
        <is>
          <t>A 7664-2023</t>
        </is>
      </c>
      <c r="B395" s="1" t="n">
        <v>44972</v>
      </c>
      <c r="C395" s="1" t="n">
        <v>46001</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3546-2025</t>
        </is>
      </c>
      <c r="B396" s="1" t="n">
        <v>45680</v>
      </c>
      <c r="C396" s="1" t="n">
        <v>46001</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6088-2021</t>
        </is>
      </c>
      <c r="B397" s="1" t="n">
        <v>44232</v>
      </c>
      <c r="C397" s="1" t="n">
        <v>46001</v>
      </c>
      <c r="D397" t="inlineStr">
        <is>
          <t>VÄSTMANLANDS LÄN</t>
        </is>
      </c>
      <c r="E397" t="inlineStr">
        <is>
          <t>SALA</t>
        </is>
      </c>
      <c r="G397" t="n">
        <v>0.2</v>
      </c>
      <c r="H397" t="n">
        <v>0</v>
      </c>
      <c r="I397" t="n">
        <v>0</v>
      </c>
      <c r="J397" t="n">
        <v>0</v>
      </c>
      <c r="K397" t="n">
        <v>0</v>
      </c>
      <c r="L397" t="n">
        <v>0</v>
      </c>
      <c r="M397" t="n">
        <v>0</v>
      </c>
      <c r="N397" t="n">
        <v>0</v>
      </c>
      <c r="O397" t="n">
        <v>0</v>
      </c>
      <c r="P397" t="n">
        <v>0</v>
      </c>
      <c r="Q397" t="n">
        <v>0</v>
      </c>
      <c r="R397" s="2" t="inlineStr"/>
    </row>
    <row r="398" ht="15" customHeight="1">
      <c r="A398" t="inlineStr">
        <is>
          <t>A 33273-2023</t>
        </is>
      </c>
      <c r="B398" s="1" t="n">
        <v>45127</v>
      </c>
      <c r="C398" s="1" t="n">
        <v>46001</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52827-2024</t>
        </is>
      </c>
      <c r="B399" s="1" t="n">
        <v>45610</v>
      </c>
      <c r="C399" s="1" t="n">
        <v>46001</v>
      </c>
      <c r="D399" t="inlineStr">
        <is>
          <t>VÄSTMANLANDS LÄN</t>
        </is>
      </c>
      <c r="E399" t="inlineStr">
        <is>
          <t>SALA</t>
        </is>
      </c>
      <c r="G399" t="n">
        <v>0.2</v>
      </c>
      <c r="H399" t="n">
        <v>0</v>
      </c>
      <c r="I399" t="n">
        <v>0</v>
      </c>
      <c r="J399" t="n">
        <v>0</v>
      </c>
      <c r="K399" t="n">
        <v>0</v>
      </c>
      <c r="L399" t="n">
        <v>0</v>
      </c>
      <c r="M399" t="n">
        <v>0</v>
      </c>
      <c r="N399" t="n">
        <v>0</v>
      </c>
      <c r="O399" t="n">
        <v>0</v>
      </c>
      <c r="P399" t="n">
        <v>0</v>
      </c>
      <c r="Q399" t="n">
        <v>0</v>
      </c>
      <c r="R399" s="2" t="inlineStr"/>
    </row>
    <row r="400" ht="15" customHeight="1">
      <c r="A400" t="inlineStr">
        <is>
          <t>A 56645-2025</t>
        </is>
      </c>
      <c r="B400" s="1" t="n">
        <v>45975.63063657407</v>
      </c>
      <c r="C400" s="1" t="n">
        <v>46001</v>
      </c>
      <c r="D400" t="inlineStr">
        <is>
          <t>VÄSTMANLANDS LÄN</t>
        </is>
      </c>
      <c r="E400" t="inlineStr">
        <is>
          <t>SALA</t>
        </is>
      </c>
      <c r="F400" t="inlineStr">
        <is>
          <t>Bergvik skog öst AB</t>
        </is>
      </c>
      <c r="G400" t="n">
        <v>5.3</v>
      </c>
      <c r="H400" t="n">
        <v>0</v>
      </c>
      <c r="I400" t="n">
        <v>0</v>
      </c>
      <c r="J400" t="n">
        <v>0</v>
      </c>
      <c r="K400" t="n">
        <v>0</v>
      </c>
      <c r="L400" t="n">
        <v>0</v>
      </c>
      <c r="M400" t="n">
        <v>0</v>
      </c>
      <c r="N400" t="n">
        <v>0</v>
      </c>
      <c r="O400" t="n">
        <v>0</v>
      </c>
      <c r="P400" t="n">
        <v>0</v>
      </c>
      <c r="Q400" t="n">
        <v>0</v>
      </c>
      <c r="R400" s="2" t="inlineStr"/>
    </row>
    <row r="401" ht="15" customHeight="1">
      <c r="A401" t="inlineStr">
        <is>
          <t>A 53166-2024</t>
        </is>
      </c>
      <c r="B401" s="1" t="n">
        <v>45611</v>
      </c>
      <c r="C401" s="1" t="n">
        <v>46001</v>
      </c>
      <c r="D401" t="inlineStr">
        <is>
          <t>VÄSTMANLANDS LÄN</t>
        </is>
      </c>
      <c r="E401" t="inlineStr">
        <is>
          <t>SALA</t>
        </is>
      </c>
      <c r="G401" t="n">
        <v>1.5</v>
      </c>
      <c r="H401" t="n">
        <v>0</v>
      </c>
      <c r="I401" t="n">
        <v>0</v>
      </c>
      <c r="J401" t="n">
        <v>0</v>
      </c>
      <c r="K401" t="n">
        <v>0</v>
      </c>
      <c r="L401" t="n">
        <v>0</v>
      </c>
      <c r="M401" t="n">
        <v>0</v>
      </c>
      <c r="N401" t="n">
        <v>0</v>
      </c>
      <c r="O401" t="n">
        <v>0</v>
      </c>
      <c r="P401" t="n">
        <v>0</v>
      </c>
      <c r="Q401" t="n">
        <v>0</v>
      </c>
      <c r="R401" s="2" t="inlineStr"/>
    </row>
    <row r="402" ht="15" customHeight="1">
      <c r="A402" t="inlineStr">
        <is>
          <t>A 11244-2024</t>
        </is>
      </c>
      <c r="B402" s="1" t="n">
        <v>45371</v>
      </c>
      <c r="C402" s="1" t="n">
        <v>46001</v>
      </c>
      <c r="D402" t="inlineStr">
        <is>
          <t>VÄSTMANLANDS LÄN</t>
        </is>
      </c>
      <c r="E402" t="inlineStr">
        <is>
          <t>SALA</t>
        </is>
      </c>
      <c r="G402" t="n">
        <v>1.2</v>
      </c>
      <c r="H402" t="n">
        <v>0</v>
      </c>
      <c r="I402" t="n">
        <v>0</v>
      </c>
      <c r="J402" t="n">
        <v>0</v>
      </c>
      <c r="K402" t="n">
        <v>0</v>
      </c>
      <c r="L402" t="n">
        <v>0</v>
      </c>
      <c r="M402" t="n">
        <v>0</v>
      </c>
      <c r="N402" t="n">
        <v>0</v>
      </c>
      <c r="O402" t="n">
        <v>0</v>
      </c>
      <c r="P402" t="n">
        <v>0</v>
      </c>
      <c r="Q402" t="n">
        <v>0</v>
      </c>
      <c r="R402" s="2" t="inlineStr"/>
    </row>
    <row r="403" ht="15" customHeight="1">
      <c r="A403" t="inlineStr">
        <is>
          <t>A 56614-2025</t>
        </is>
      </c>
      <c r="B403" s="1" t="n">
        <v>45975.59288194445</v>
      </c>
      <c r="C403" s="1" t="n">
        <v>46001</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62654-2022</t>
        </is>
      </c>
      <c r="B404" s="1" t="n">
        <v>44917</v>
      </c>
      <c r="C404" s="1" t="n">
        <v>46001</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6135-2023</t>
        </is>
      </c>
      <c r="B405" s="1" t="n">
        <v>44964.62628472222</v>
      </c>
      <c r="C405" s="1" t="n">
        <v>46001</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56502-2025</t>
        </is>
      </c>
      <c r="B406" s="1" t="n">
        <v>45975</v>
      </c>
      <c r="C406" s="1" t="n">
        <v>46001</v>
      </c>
      <c r="D406" t="inlineStr">
        <is>
          <t>VÄSTMANLANDS LÄN</t>
        </is>
      </c>
      <c r="E406" t="inlineStr">
        <is>
          <t>SALA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53864-2022</t>
        </is>
      </c>
      <c r="B407" s="1" t="n">
        <v>44880.64016203704</v>
      </c>
      <c r="C407" s="1" t="n">
        <v>46001</v>
      </c>
      <c r="D407" t="inlineStr">
        <is>
          <t>VÄSTMANLANDS LÄN</t>
        </is>
      </c>
      <c r="E407" t="inlineStr">
        <is>
          <t>SALA</t>
        </is>
      </c>
      <c r="G407" t="n">
        <v>5.9</v>
      </c>
      <c r="H407" t="n">
        <v>0</v>
      </c>
      <c r="I407" t="n">
        <v>0</v>
      </c>
      <c r="J407" t="n">
        <v>0</v>
      </c>
      <c r="K407" t="n">
        <v>0</v>
      </c>
      <c r="L407" t="n">
        <v>0</v>
      </c>
      <c r="M407" t="n">
        <v>0</v>
      </c>
      <c r="N407" t="n">
        <v>0</v>
      </c>
      <c r="O407" t="n">
        <v>0</v>
      </c>
      <c r="P407" t="n">
        <v>0</v>
      </c>
      <c r="Q407" t="n">
        <v>0</v>
      </c>
      <c r="R407" s="2" t="inlineStr"/>
    </row>
    <row r="408" ht="15" customHeight="1">
      <c r="A408" t="inlineStr">
        <is>
          <t>A 57412-2025</t>
        </is>
      </c>
      <c r="B408" s="1" t="n">
        <v>45980.44883101852</v>
      </c>
      <c r="C408" s="1" t="n">
        <v>46001</v>
      </c>
      <c r="D408" t="inlineStr">
        <is>
          <t>VÄSTMANLANDS LÄN</t>
        </is>
      </c>
      <c r="E408" t="inlineStr">
        <is>
          <t>SALA</t>
        </is>
      </c>
      <c r="F408" t="inlineStr">
        <is>
          <t>Bergvik skog öst AB</t>
        </is>
      </c>
      <c r="G408" t="n">
        <v>4.5</v>
      </c>
      <c r="H408" t="n">
        <v>0</v>
      </c>
      <c r="I408" t="n">
        <v>0</v>
      </c>
      <c r="J408" t="n">
        <v>0</v>
      </c>
      <c r="K408" t="n">
        <v>0</v>
      </c>
      <c r="L408" t="n">
        <v>0</v>
      </c>
      <c r="M408" t="n">
        <v>0</v>
      </c>
      <c r="N408" t="n">
        <v>0</v>
      </c>
      <c r="O408" t="n">
        <v>0</v>
      </c>
      <c r="P408" t="n">
        <v>0</v>
      </c>
      <c r="Q408" t="n">
        <v>0</v>
      </c>
      <c r="R408" s="2" t="inlineStr"/>
    </row>
    <row r="409" ht="15" customHeight="1">
      <c r="A409" t="inlineStr">
        <is>
          <t>A 37017-2025</t>
        </is>
      </c>
      <c r="B409" s="1" t="n">
        <v>45874</v>
      </c>
      <c r="C409" s="1" t="n">
        <v>46001</v>
      </c>
      <c r="D409" t="inlineStr">
        <is>
          <t>VÄSTMANLANDS LÄN</t>
        </is>
      </c>
      <c r="E409" t="inlineStr">
        <is>
          <t>SALA</t>
        </is>
      </c>
      <c r="G409" t="n">
        <v>11.1</v>
      </c>
      <c r="H409" t="n">
        <v>0</v>
      </c>
      <c r="I409" t="n">
        <v>0</v>
      </c>
      <c r="J409" t="n">
        <v>0</v>
      </c>
      <c r="K409" t="n">
        <v>0</v>
      </c>
      <c r="L409" t="n">
        <v>0</v>
      </c>
      <c r="M409" t="n">
        <v>0</v>
      </c>
      <c r="N409" t="n">
        <v>0</v>
      </c>
      <c r="O409" t="n">
        <v>0</v>
      </c>
      <c r="P409" t="n">
        <v>0</v>
      </c>
      <c r="Q409" t="n">
        <v>0</v>
      </c>
      <c r="R409" s="2" t="inlineStr"/>
    </row>
    <row r="410" ht="15" customHeight="1">
      <c r="A410" t="inlineStr">
        <is>
          <t>A 27255-2023</t>
        </is>
      </c>
      <c r="B410" s="1" t="n">
        <v>45096</v>
      </c>
      <c r="C410" s="1" t="n">
        <v>46001</v>
      </c>
      <c r="D410" t="inlineStr">
        <is>
          <t>VÄSTMANLANDS LÄN</t>
        </is>
      </c>
      <c r="E410" t="inlineStr">
        <is>
          <t>SALA</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37103-2025</t>
        </is>
      </c>
      <c r="B411" s="1" t="n">
        <v>45875.47743055555</v>
      </c>
      <c r="C411" s="1" t="n">
        <v>46001</v>
      </c>
      <c r="D411" t="inlineStr">
        <is>
          <t>VÄSTMANLANDS LÄN</t>
        </is>
      </c>
      <c r="E411" t="inlineStr">
        <is>
          <t>SALA</t>
        </is>
      </c>
      <c r="G411" t="n">
        <v>1.9</v>
      </c>
      <c r="H411" t="n">
        <v>0</v>
      </c>
      <c r="I411" t="n">
        <v>0</v>
      </c>
      <c r="J411" t="n">
        <v>0</v>
      </c>
      <c r="K411" t="n">
        <v>0</v>
      </c>
      <c r="L411" t="n">
        <v>0</v>
      </c>
      <c r="M411" t="n">
        <v>0</v>
      </c>
      <c r="N411" t="n">
        <v>0</v>
      </c>
      <c r="O411" t="n">
        <v>0</v>
      </c>
      <c r="P411" t="n">
        <v>0</v>
      </c>
      <c r="Q411" t="n">
        <v>0</v>
      </c>
      <c r="R411" s="2" t="inlineStr"/>
    </row>
    <row r="412" ht="15" customHeight="1">
      <c r="A412" t="inlineStr">
        <is>
          <t>A 56611-2025</t>
        </is>
      </c>
      <c r="B412" s="1" t="n">
        <v>45975</v>
      </c>
      <c r="C412" s="1" t="n">
        <v>46001</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37246-2025</t>
        </is>
      </c>
      <c r="B413" s="1" t="n">
        <v>45876.39435185185</v>
      </c>
      <c r="C413" s="1" t="n">
        <v>46001</v>
      </c>
      <c r="D413" t="inlineStr">
        <is>
          <t>VÄSTMANLANDS LÄN</t>
        </is>
      </c>
      <c r="E413" t="inlineStr">
        <is>
          <t>SALA</t>
        </is>
      </c>
      <c r="G413" t="n">
        <v>2.3</v>
      </c>
      <c r="H413" t="n">
        <v>0</v>
      </c>
      <c r="I413" t="n">
        <v>0</v>
      </c>
      <c r="J413" t="n">
        <v>0</v>
      </c>
      <c r="K413" t="n">
        <v>0</v>
      </c>
      <c r="L413" t="n">
        <v>0</v>
      </c>
      <c r="M413" t="n">
        <v>0</v>
      </c>
      <c r="N413" t="n">
        <v>0</v>
      </c>
      <c r="O413" t="n">
        <v>0</v>
      </c>
      <c r="P413" t="n">
        <v>0</v>
      </c>
      <c r="Q413" t="n">
        <v>0</v>
      </c>
      <c r="R413" s="2" t="inlineStr"/>
    </row>
    <row r="414" ht="15" customHeight="1">
      <c r="A414" t="inlineStr">
        <is>
          <t>A 56593-2025</t>
        </is>
      </c>
      <c r="B414" s="1" t="n">
        <v>45975</v>
      </c>
      <c r="C414" s="1" t="n">
        <v>46001</v>
      </c>
      <c r="D414" t="inlineStr">
        <is>
          <t>VÄSTMANLANDS LÄN</t>
        </is>
      </c>
      <c r="E414" t="inlineStr">
        <is>
          <t>SALA</t>
        </is>
      </c>
      <c r="F414" t="inlineStr">
        <is>
          <t>Kyrkan</t>
        </is>
      </c>
      <c r="G414" t="n">
        <v>0.1</v>
      </c>
      <c r="H414" t="n">
        <v>0</v>
      </c>
      <c r="I414" t="n">
        <v>0</v>
      </c>
      <c r="J414" t="n">
        <v>0</v>
      </c>
      <c r="K414" t="n">
        <v>0</v>
      </c>
      <c r="L414" t="n">
        <v>0</v>
      </c>
      <c r="M414" t="n">
        <v>0</v>
      </c>
      <c r="N414" t="n">
        <v>0</v>
      </c>
      <c r="O414" t="n">
        <v>0</v>
      </c>
      <c r="P414" t="n">
        <v>0</v>
      </c>
      <c r="Q414" t="n">
        <v>0</v>
      </c>
      <c r="R414" s="2" t="inlineStr"/>
    </row>
    <row r="415" ht="15" customHeight="1">
      <c r="A415" t="inlineStr">
        <is>
          <t>A 17722-2025</t>
        </is>
      </c>
      <c r="B415" s="1" t="n">
        <v>45758</v>
      </c>
      <c r="C415" s="1" t="n">
        <v>46001</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60034-2024</t>
        </is>
      </c>
      <c r="B416" s="1" t="n">
        <v>45642.46261574074</v>
      </c>
      <c r="C416" s="1" t="n">
        <v>46001</v>
      </c>
      <c r="D416" t="inlineStr">
        <is>
          <t>VÄSTMANLANDS LÄN</t>
        </is>
      </c>
      <c r="E416" t="inlineStr">
        <is>
          <t>SALA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3810-2023</t>
        </is>
      </c>
      <c r="B417" s="1" t="n">
        <v>44951.60454861111</v>
      </c>
      <c r="C417" s="1" t="n">
        <v>46001</v>
      </c>
      <c r="D417" t="inlineStr">
        <is>
          <t>VÄSTMANLANDS LÄN</t>
        </is>
      </c>
      <c r="E417" t="inlineStr">
        <is>
          <t>SALA</t>
        </is>
      </c>
      <c r="G417" t="n">
        <v>4.2</v>
      </c>
      <c r="H417" t="n">
        <v>0</v>
      </c>
      <c r="I417" t="n">
        <v>0</v>
      </c>
      <c r="J417" t="n">
        <v>0</v>
      </c>
      <c r="K417" t="n">
        <v>0</v>
      </c>
      <c r="L417" t="n">
        <v>0</v>
      </c>
      <c r="M417" t="n">
        <v>0</v>
      </c>
      <c r="N417" t="n">
        <v>0</v>
      </c>
      <c r="O417" t="n">
        <v>0</v>
      </c>
      <c r="P417" t="n">
        <v>0</v>
      </c>
      <c r="Q417" t="n">
        <v>0</v>
      </c>
      <c r="R417" s="2" t="inlineStr"/>
    </row>
    <row r="418" ht="15" customHeight="1">
      <c r="A418" t="inlineStr">
        <is>
          <t>A 48910-2025</t>
        </is>
      </c>
      <c r="B418" s="1" t="n">
        <v>45937.48649305556</v>
      </c>
      <c r="C418" s="1" t="n">
        <v>46001</v>
      </c>
      <c r="D418" t="inlineStr">
        <is>
          <t>VÄSTMANLANDS LÄN</t>
        </is>
      </c>
      <c r="E418" t="inlineStr">
        <is>
          <t>SALA</t>
        </is>
      </c>
      <c r="G418" t="n">
        <v>7.8</v>
      </c>
      <c r="H418" t="n">
        <v>0</v>
      </c>
      <c r="I418" t="n">
        <v>0</v>
      </c>
      <c r="J418" t="n">
        <v>0</v>
      </c>
      <c r="K418" t="n">
        <v>0</v>
      </c>
      <c r="L418" t="n">
        <v>0</v>
      </c>
      <c r="M418" t="n">
        <v>0</v>
      </c>
      <c r="N418" t="n">
        <v>0</v>
      </c>
      <c r="O418" t="n">
        <v>0</v>
      </c>
      <c r="P418" t="n">
        <v>0</v>
      </c>
      <c r="Q418" t="n">
        <v>0</v>
      </c>
      <c r="R418" s="2" t="inlineStr"/>
    </row>
    <row r="419" ht="15" customHeight="1">
      <c r="A419" t="inlineStr">
        <is>
          <t>A 37590-2025</t>
        </is>
      </c>
      <c r="B419" s="1" t="n">
        <v>45880.41138888889</v>
      </c>
      <c r="C419" s="1" t="n">
        <v>46001</v>
      </c>
      <c r="D419" t="inlineStr">
        <is>
          <t>VÄSTMANLANDS LÄN</t>
        </is>
      </c>
      <c r="E419" t="inlineStr">
        <is>
          <t>SALA</t>
        </is>
      </c>
      <c r="G419" t="n">
        <v>2.2</v>
      </c>
      <c r="H419" t="n">
        <v>0</v>
      </c>
      <c r="I419" t="n">
        <v>0</v>
      </c>
      <c r="J419" t="n">
        <v>0</v>
      </c>
      <c r="K419" t="n">
        <v>0</v>
      </c>
      <c r="L419" t="n">
        <v>0</v>
      </c>
      <c r="M419" t="n">
        <v>0</v>
      </c>
      <c r="N419" t="n">
        <v>0</v>
      </c>
      <c r="O419" t="n">
        <v>0</v>
      </c>
      <c r="P419" t="n">
        <v>0</v>
      </c>
      <c r="Q419" t="n">
        <v>0</v>
      </c>
      <c r="R419" s="2" t="inlineStr"/>
    </row>
    <row r="420" ht="15" customHeight="1">
      <c r="A420" t="inlineStr">
        <is>
          <t>A 37593-2025</t>
        </is>
      </c>
      <c r="B420" s="1" t="n">
        <v>45880.41325231481</v>
      </c>
      <c r="C420" s="1" t="n">
        <v>46001</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57414-2025</t>
        </is>
      </c>
      <c r="B421" s="1" t="n">
        <v>45980.45003472222</v>
      </c>
      <c r="C421" s="1" t="n">
        <v>46001</v>
      </c>
      <c r="D421" t="inlineStr">
        <is>
          <t>VÄSTMANLANDS LÄN</t>
        </is>
      </c>
      <c r="E421" t="inlineStr">
        <is>
          <t>SALA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57415-2025</t>
        </is>
      </c>
      <c r="B422" s="1" t="n">
        <v>45980.45099537037</v>
      </c>
      <c r="C422" s="1" t="n">
        <v>46001</v>
      </c>
      <c r="D422" t="inlineStr">
        <is>
          <t>VÄSTMANLANDS LÄN</t>
        </is>
      </c>
      <c r="E422" t="inlineStr">
        <is>
          <t>SALA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49640-2025</t>
        </is>
      </c>
      <c r="B423" s="1" t="n">
        <v>45939.61459490741</v>
      </c>
      <c r="C423" s="1" t="n">
        <v>46001</v>
      </c>
      <c r="D423" t="inlineStr">
        <is>
          <t>VÄSTMANLANDS LÄN</t>
        </is>
      </c>
      <c r="E423" t="inlineStr">
        <is>
          <t>SALA</t>
        </is>
      </c>
      <c r="F423" t="inlineStr">
        <is>
          <t>Kommuner</t>
        </is>
      </c>
      <c r="G423" t="n">
        <v>18.8</v>
      </c>
      <c r="H423" t="n">
        <v>0</v>
      </c>
      <c r="I423" t="n">
        <v>0</v>
      </c>
      <c r="J423" t="n">
        <v>0</v>
      </c>
      <c r="K423" t="n">
        <v>0</v>
      </c>
      <c r="L423" t="n">
        <v>0</v>
      </c>
      <c r="M423" t="n">
        <v>0</v>
      </c>
      <c r="N423" t="n">
        <v>0</v>
      </c>
      <c r="O423" t="n">
        <v>0</v>
      </c>
      <c r="P423" t="n">
        <v>0</v>
      </c>
      <c r="Q423" t="n">
        <v>0</v>
      </c>
      <c r="R423" s="2" t="inlineStr"/>
    </row>
    <row r="424" ht="15" customHeight="1">
      <c r="A424" t="inlineStr">
        <is>
          <t>A 52503-2024</t>
        </is>
      </c>
      <c r="B424" s="1" t="n">
        <v>45609.58806712963</v>
      </c>
      <c r="C424" s="1" t="n">
        <v>46001</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2521-2025</t>
        </is>
      </c>
      <c r="B425" s="1" t="n">
        <v>45674</v>
      </c>
      <c r="C425" s="1" t="n">
        <v>46001</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43359-2024</t>
        </is>
      </c>
      <c r="B426" s="1" t="n">
        <v>45568.57724537037</v>
      </c>
      <c r="C426" s="1" t="n">
        <v>46001</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29972-2025</t>
        </is>
      </c>
      <c r="B427" s="1" t="n">
        <v>45826</v>
      </c>
      <c r="C427" s="1" t="n">
        <v>46001</v>
      </c>
      <c r="D427" t="inlineStr">
        <is>
          <t>VÄSTMANLANDS LÄN</t>
        </is>
      </c>
      <c r="E427" t="inlineStr">
        <is>
          <t>SALA</t>
        </is>
      </c>
      <c r="G427" t="n">
        <v>2.7</v>
      </c>
      <c r="H427" t="n">
        <v>0</v>
      </c>
      <c r="I427" t="n">
        <v>0</v>
      </c>
      <c r="J427" t="n">
        <v>0</v>
      </c>
      <c r="K427" t="n">
        <v>0</v>
      </c>
      <c r="L427" t="n">
        <v>0</v>
      </c>
      <c r="M427" t="n">
        <v>0</v>
      </c>
      <c r="N427" t="n">
        <v>0</v>
      </c>
      <c r="O427" t="n">
        <v>0</v>
      </c>
      <c r="P427" t="n">
        <v>0</v>
      </c>
      <c r="Q427" t="n">
        <v>0</v>
      </c>
      <c r="R427" s="2" t="inlineStr"/>
    </row>
    <row r="428" ht="15" customHeight="1">
      <c r="A428" t="inlineStr">
        <is>
          <t>A 31000-2022</t>
        </is>
      </c>
      <c r="B428" s="1" t="n">
        <v>44768</v>
      </c>
      <c r="C428" s="1" t="n">
        <v>46001</v>
      </c>
      <c r="D428" t="inlineStr">
        <is>
          <t>VÄSTMANLANDS LÄN</t>
        </is>
      </c>
      <c r="E428" t="inlineStr">
        <is>
          <t>SALA</t>
        </is>
      </c>
      <c r="G428" t="n">
        <v>5.7</v>
      </c>
      <c r="H428" t="n">
        <v>0</v>
      </c>
      <c r="I428" t="n">
        <v>0</v>
      </c>
      <c r="J428" t="n">
        <v>0</v>
      </c>
      <c r="K428" t="n">
        <v>0</v>
      </c>
      <c r="L428" t="n">
        <v>0</v>
      </c>
      <c r="M428" t="n">
        <v>0</v>
      </c>
      <c r="N428" t="n">
        <v>0</v>
      </c>
      <c r="O428" t="n">
        <v>0</v>
      </c>
      <c r="P428" t="n">
        <v>0</v>
      </c>
      <c r="Q428" t="n">
        <v>0</v>
      </c>
      <c r="R428" s="2" t="inlineStr"/>
    </row>
    <row r="429" ht="15" customHeight="1">
      <c r="A429" t="inlineStr">
        <is>
          <t>A 49585-2025</t>
        </is>
      </c>
      <c r="B429" s="1" t="n">
        <v>45939.5043287037</v>
      </c>
      <c r="C429" s="1" t="n">
        <v>46001</v>
      </c>
      <c r="D429" t="inlineStr">
        <is>
          <t>VÄSTMANLANDS LÄN</t>
        </is>
      </c>
      <c r="E429" t="inlineStr">
        <is>
          <t>SALA</t>
        </is>
      </c>
      <c r="G429" t="n">
        <v>2.2</v>
      </c>
      <c r="H429" t="n">
        <v>0</v>
      </c>
      <c r="I429" t="n">
        <v>0</v>
      </c>
      <c r="J429" t="n">
        <v>0</v>
      </c>
      <c r="K429" t="n">
        <v>0</v>
      </c>
      <c r="L429" t="n">
        <v>0</v>
      </c>
      <c r="M429" t="n">
        <v>0</v>
      </c>
      <c r="N429" t="n">
        <v>0</v>
      </c>
      <c r="O429" t="n">
        <v>0</v>
      </c>
      <c r="P429" t="n">
        <v>0</v>
      </c>
      <c r="Q429" t="n">
        <v>0</v>
      </c>
      <c r="R429" s="2" t="inlineStr"/>
    </row>
    <row r="430" ht="15" customHeight="1">
      <c r="A430" t="inlineStr">
        <is>
          <t>A 31950-2023</t>
        </is>
      </c>
      <c r="B430" s="1" t="n">
        <v>45107</v>
      </c>
      <c r="C430" s="1" t="n">
        <v>46001</v>
      </c>
      <c r="D430" t="inlineStr">
        <is>
          <t>VÄSTMANLANDS LÄN</t>
        </is>
      </c>
      <c r="E430" t="inlineStr">
        <is>
          <t>SALA</t>
        </is>
      </c>
      <c r="G430" t="n">
        <v>0.1</v>
      </c>
      <c r="H430" t="n">
        <v>0</v>
      </c>
      <c r="I430" t="n">
        <v>0</v>
      </c>
      <c r="J430" t="n">
        <v>0</v>
      </c>
      <c r="K430" t="n">
        <v>0</v>
      </c>
      <c r="L430" t="n">
        <v>0</v>
      </c>
      <c r="M430" t="n">
        <v>0</v>
      </c>
      <c r="N430" t="n">
        <v>0</v>
      </c>
      <c r="O430" t="n">
        <v>0</v>
      </c>
      <c r="P430" t="n">
        <v>0</v>
      </c>
      <c r="Q430" t="n">
        <v>0</v>
      </c>
      <c r="R430" s="2" t="inlineStr"/>
    </row>
    <row r="431" ht="15" customHeight="1">
      <c r="A431" t="inlineStr">
        <is>
          <t>A 16693-2023</t>
        </is>
      </c>
      <c r="B431" s="1" t="n">
        <v>45028</v>
      </c>
      <c r="C431" s="1" t="n">
        <v>46001</v>
      </c>
      <c r="D431" t="inlineStr">
        <is>
          <t>VÄSTMANLANDS LÄN</t>
        </is>
      </c>
      <c r="E431" t="inlineStr">
        <is>
          <t>SALA</t>
        </is>
      </c>
      <c r="G431" t="n">
        <v>1.5</v>
      </c>
      <c r="H431" t="n">
        <v>0</v>
      </c>
      <c r="I431" t="n">
        <v>0</v>
      </c>
      <c r="J431" t="n">
        <v>0</v>
      </c>
      <c r="K431" t="n">
        <v>0</v>
      </c>
      <c r="L431" t="n">
        <v>0</v>
      </c>
      <c r="M431" t="n">
        <v>0</v>
      </c>
      <c r="N431" t="n">
        <v>0</v>
      </c>
      <c r="O431" t="n">
        <v>0</v>
      </c>
      <c r="P431" t="n">
        <v>0</v>
      </c>
      <c r="Q431" t="n">
        <v>0</v>
      </c>
      <c r="R431" s="2" t="inlineStr"/>
    </row>
    <row r="432" ht="15" customHeight="1">
      <c r="A432" t="inlineStr">
        <is>
          <t>A 58282-2025</t>
        </is>
      </c>
      <c r="B432" s="1" t="n">
        <v>45985.44309027777</v>
      </c>
      <c r="C432" s="1" t="n">
        <v>46001</v>
      </c>
      <c r="D432" t="inlineStr">
        <is>
          <t>VÄSTMANLANDS LÄN</t>
        </is>
      </c>
      <c r="E432" t="inlineStr">
        <is>
          <t>SALA</t>
        </is>
      </c>
      <c r="G432" t="n">
        <v>8.9</v>
      </c>
      <c r="H432" t="n">
        <v>0</v>
      </c>
      <c r="I432" t="n">
        <v>0</v>
      </c>
      <c r="J432" t="n">
        <v>0</v>
      </c>
      <c r="K432" t="n">
        <v>0</v>
      </c>
      <c r="L432" t="n">
        <v>0</v>
      </c>
      <c r="M432" t="n">
        <v>0</v>
      </c>
      <c r="N432" t="n">
        <v>0</v>
      </c>
      <c r="O432" t="n">
        <v>0</v>
      </c>
      <c r="P432" t="n">
        <v>0</v>
      </c>
      <c r="Q432" t="n">
        <v>0</v>
      </c>
      <c r="R432" s="2" t="inlineStr"/>
    </row>
    <row r="433" ht="15" customHeight="1">
      <c r="A433" t="inlineStr">
        <is>
          <t>A 58357-2025</t>
        </is>
      </c>
      <c r="B433" s="1" t="n">
        <v>45985.51518518518</v>
      </c>
      <c r="C433" s="1" t="n">
        <v>46001</v>
      </c>
      <c r="D433" t="inlineStr">
        <is>
          <t>VÄSTMANLANDS LÄN</t>
        </is>
      </c>
      <c r="E433" t="inlineStr">
        <is>
          <t>SALA</t>
        </is>
      </c>
      <c r="G433" t="n">
        <v>3</v>
      </c>
      <c r="H433" t="n">
        <v>0</v>
      </c>
      <c r="I433" t="n">
        <v>0</v>
      </c>
      <c r="J433" t="n">
        <v>0</v>
      </c>
      <c r="K433" t="n">
        <v>0</v>
      </c>
      <c r="L433" t="n">
        <v>0</v>
      </c>
      <c r="M433" t="n">
        <v>0</v>
      </c>
      <c r="N433" t="n">
        <v>0</v>
      </c>
      <c r="O433" t="n">
        <v>0</v>
      </c>
      <c r="P433" t="n">
        <v>0</v>
      </c>
      <c r="Q433" t="n">
        <v>0</v>
      </c>
      <c r="R433" s="2" t="inlineStr"/>
    </row>
    <row r="434" ht="15" customHeight="1">
      <c r="A434" t="inlineStr">
        <is>
          <t>A 58364-2025</t>
        </is>
      </c>
      <c r="B434" s="1" t="n">
        <v>45985.5228125</v>
      </c>
      <c r="C434" s="1" t="n">
        <v>46001</v>
      </c>
      <c r="D434" t="inlineStr">
        <is>
          <t>VÄSTMANLANDS LÄN</t>
        </is>
      </c>
      <c r="E434" t="inlineStr">
        <is>
          <t>SALA</t>
        </is>
      </c>
      <c r="G434" t="n">
        <v>2.1</v>
      </c>
      <c r="H434" t="n">
        <v>0</v>
      </c>
      <c r="I434" t="n">
        <v>0</v>
      </c>
      <c r="J434" t="n">
        <v>0</v>
      </c>
      <c r="K434" t="n">
        <v>0</v>
      </c>
      <c r="L434" t="n">
        <v>0</v>
      </c>
      <c r="M434" t="n">
        <v>0</v>
      </c>
      <c r="N434" t="n">
        <v>0</v>
      </c>
      <c r="O434" t="n">
        <v>0</v>
      </c>
      <c r="P434" t="n">
        <v>0</v>
      </c>
      <c r="Q434" t="n">
        <v>0</v>
      </c>
      <c r="R434" s="2" t="inlineStr"/>
    </row>
    <row r="435" ht="15" customHeight="1">
      <c r="A435" t="inlineStr">
        <is>
          <t>A 23182-2022</t>
        </is>
      </c>
      <c r="B435" s="1" t="n">
        <v>44719.79707175926</v>
      </c>
      <c r="C435" s="1" t="n">
        <v>46001</v>
      </c>
      <c r="D435" t="inlineStr">
        <is>
          <t>VÄSTMANLANDS LÄN</t>
        </is>
      </c>
      <c r="E435" t="inlineStr">
        <is>
          <t>SALA</t>
        </is>
      </c>
      <c r="G435" t="n">
        <v>1.2</v>
      </c>
      <c r="H435" t="n">
        <v>0</v>
      </c>
      <c r="I435" t="n">
        <v>0</v>
      </c>
      <c r="J435" t="n">
        <v>0</v>
      </c>
      <c r="K435" t="n">
        <v>0</v>
      </c>
      <c r="L435" t="n">
        <v>0</v>
      </c>
      <c r="M435" t="n">
        <v>0</v>
      </c>
      <c r="N435" t="n">
        <v>0</v>
      </c>
      <c r="O435" t="n">
        <v>0</v>
      </c>
      <c r="P435" t="n">
        <v>0</v>
      </c>
      <c r="Q435" t="n">
        <v>0</v>
      </c>
      <c r="R435" s="2" t="inlineStr"/>
    </row>
    <row r="436" ht="15" customHeight="1">
      <c r="A436" t="inlineStr">
        <is>
          <t>A 50128-2025</t>
        </is>
      </c>
      <c r="B436" s="1" t="n">
        <v>45943.55318287037</v>
      </c>
      <c r="C436" s="1" t="n">
        <v>46001</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57371-2022</t>
        </is>
      </c>
      <c r="B437" s="1" t="n">
        <v>44896.43832175926</v>
      </c>
      <c r="C437" s="1" t="n">
        <v>46001</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58359-2025</t>
        </is>
      </c>
      <c r="B438" s="1" t="n">
        <v>45985.51594907408</v>
      </c>
      <c r="C438" s="1" t="n">
        <v>46001</v>
      </c>
      <c r="D438" t="inlineStr">
        <is>
          <t>VÄSTMANLANDS LÄN</t>
        </is>
      </c>
      <c r="E438" t="inlineStr">
        <is>
          <t>SALA</t>
        </is>
      </c>
      <c r="G438" t="n">
        <v>3.7</v>
      </c>
      <c r="H438" t="n">
        <v>0</v>
      </c>
      <c r="I438" t="n">
        <v>0</v>
      </c>
      <c r="J438" t="n">
        <v>0</v>
      </c>
      <c r="K438" t="n">
        <v>0</v>
      </c>
      <c r="L438" t="n">
        <v>0</v>
      </c>
      <c r="M438" t="n">
        <v>0</v>
      </c>
      <c r="N438" t="n">
        <v>0</v>
      </c>
      <c r="O438" t="n">
        <v>0</v>
      </c>
      <c r="P438" t="n">
        <v>0</v>
      </c>
      <c r="Q438" t="n">
        <v>0</v>
      </c>
      <c r="R438" s="2" t="inlineStr"/>
    </row>
    <row r="439" ht="15" customHeight="1">
      <c r="A439" t="inlineStr">
        <is>
          <t>A 58365-2025</t>
        </is>
      </c>
      <c r="B439" s="1" t="n">
        <v>45985.52288194445</v>
      </c>
      <c r="C439" s="1" t="n">
        <v>46001</v>
      </c>
      <c r="D439" t="inlineStr">
        <is>
          <t>VÄSTMANLANDS LÄN</t>
        </is>
      </c>
      <c r="E439" t="inlineStr">
        <is>
          <t>SALA</t>
        </is>
      </c>
      <c r="G439" t="n">
        <v>3.9</v>
      </c>
      <c r="H439" t="n">
        <v>0</v>
      </c>
      <c r="I439" t="n">
        <v>0</v>
      </c>
      <c r="J439" t="n">
        <v>0</v>
      </c>
      <c r="K439" t="n">
        <v>0</v>
      </c>
      <c r="L439" t="n">
        <v>0</v>
      </c>
      <c r="M439" t="n">
        <v>0</v>
      </c>
      <c r="N439" t="n">
        <v>0</v>
      </c>
      <c r="O439" t="n">
        <v>0</v>
      </c>
      <c r="P439" t="n">
        <v>0</v>
      </c>
      <c r="Q439" t="n">
        <v>0</v>
      </c>
      <c r="R439" s="2" t="inlineStr"/>
    </row>
    <row r="440" ht="15" customHeight="1">
      <c r="A440" t="inlineStr">
        <is>
          <t>A 50249-2025</t>
        </is>
      </c>
      <c r="B440" s="1" t="n">
        <v>45944.31508101852</v>
      </c>
      <c r="C440" s="1" t="n">
        <v>46001</v>
      </c>
      <c r="D440" t="inlineStr">
        <is>
          <t>VÄSTMANLANDS LÄN</t>
        </is>
      </c>
      <c r="E440" t="inlineStr">
        <is>
          <t>SALA</t>
        </is>
      </c>
      <c r="G440" t="n">
        <v>2.3</v>
      </c>
      <c r="H440" t="n">
        <v>0</v>
      </c>
      <c r="I440" t="n">
        <v>0</v>
      </c>
      <c r="J440" t="n">
        <v>0</v>
      </c>
      <c r="K440" t="n">
        <v>0</v>
      </c>
      <c r="L440" t="n">
        <v>0</v>
      </c>
      <c r="M440" t="n">
        <v>0</v>
      </c>
      <c r="N440" t="n">
        <v>0</v>
      </c>
      <c r="O440" t="n">
        <v>0</v>
      </c>
      <c r="P440" t="n">
        <v>0</v>
      </c>
      <c r="Q440" t="n">
        <v>0</v>
      </c>
      <c r="R440" s="2" t="inlineStr"/>
    </row>
    <row r="441" ht="15" customHeight="1">
      <c r="A441" t="inlineStr">
        <is>
          <t>A 50119-2025</t>
        </is>
      </c>
      <c r="B441" s="1" t="n">
        <v>45943.54883101852</v>
      </c>
      <c r="C441" s="1" t="n">
        <v>46001</v>
      </c>
      <c r="D441" t="inlineStr">
        <is>
          <t>VÄSTMANLANDS LÄN</t>
        </is>
      </c>
      <c r="E441" t="inlineStr">
        <is>
          <t>SALA</t>
        </is>
      </c>
      <c r="G441" t="n">
        <v>3.3</v>
      </c>
      <c r="H441" t="n">
        <v>0</v>
      </c>
      <c r="I441" t="n">
        <v>0</v>
      </c>
      <c r="J441" t="n">
        <v>0</v>
      </c>
      <c r="K441" t="n">
        <v>0</v>
      </c>
      <c r="L441" t="n">
        <v>0</v>
      </c>
      <c r="M441" t="n">
        <v>0</v>
      </c>
      <c r="N441" t="n">
        <v>0</v>
      </c>
      <c r="O441" t="n">
        <v>0</v>
      </c>
      <c r="P441" t="n">
        <v>0</v>
      </c>
      <c r="Q441" t="n">
        <v>0</v>
      </c>
      <c r="R441" s="2" t="inlineStr"/>
    </row>
    <row r="442" ht="15" customHeight="1">
      <c r="A442" t="inlineStr">
        <is>
          <t>A 50059-2025</t>
        </is>
      </c>
      <c r="B442" s="1" t="n">
        <v>45943.44125</v>
      </c>
      <c r="C442" s="1" t="n">
        <v>46001</v>
      </c>
      <c r="D442" t="inlineStr">
        <is>
          <t>VÄSTMANLANDS LÄN</t>
        </is>
      </c>
      <c r="E442" t="inlineStr">
        <is>
          <t>SALA</t>
        </is>
      </c>
      <c r="G442" t="n">
        <v>4.4</v>
      </c>
      <c r="H442" t="n">
        <v>0</v>
      </c>
      <c r="I442" t="n">
        <v>0</v>
      </c>
      <c r="J442" t="n">
        <v>0</v>
      </c>
      <c r="K442" t="n">
        <v>0</v>
      </c>
      <c r="L442" t="n">
        <v>0</v>
      </c>
      <c r="M442" t="n">
        <v>0</v>
      </c>
      <c r="N442" t="n">
        <v>0</v>
      </c>
      <c r="O442" t="n">
        <v>0</v>
      </c>
      <c r="P442" t="n">
        <v>0</v>
      </c>
      <c r="Q442" t="n">
        <v>0</v>
      </c>
      <c r="R442" s="2" t="inlineStr"/>
    </row>
    <row r="443" ht="15" customHeight="1">
      <c r="A443" t="inlineStr">
        <is>
          <t>A 56548-2024</t>
        </is>
      </c>
      <c r="B443" s="1" t="n">
        <v>45625</v>
      </c>
      <c r="C443" s="1" t="n">
        <v>46001</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47086-2022</t>
        </is>
      </c>
      <c r="B444" s="1" t="n">
        <v>44852</v>
      </c>
      <c r="C444" s="1" t="n">
        <v>46001</v>
      </c>
      <c r="D444" t="inlineStr">
        <is>
          <t>VÄSTMANLANDS LÄN</t>
        </is>
      </c>
      <c r="E444" t="inlineStr">
        <is>
          <t>SALA</t>
        </is>
      </c>
      <c r="G444" t="n">
        <v>12.5</v>
      </c>
      <c r="H444" t="n">
        <v>0</v>
      </c>
      <c r="I444" t="n">
        <v>0</v>
      </c>
      <c r="J444" t="n">
        <v>0</v>
      </c>
      <c r="K444" t="n">
        <v>0</v>
      </c>
      <c r="L444" t="n">
        <v>0</v>
      </c>
      <c r="M444" t="n">
        <v>0</v>
      </c>
      <c r="N444" t="n">
        <v>0</v>
      </c>
      <c r="O444" t="n">
        <v>0</v>
      </c>
      <c r="P444" t="n">
        <v>0</v>
      </c>
      <c r="Q444" t="n">
        <v>0</v>
      </c>
      <c r="R444" s="2" t="inlineStr"/>
    </row>
    <row r="445" ht="15" customHeight="1">
      <c r="A445" t="inlineStr">
        <is>
          <t>A 988-2025</t>
        </is>
      </c>
      <c r="B445" s="1" t="n">
        <v>45666.44038194444</v>
      </c>
      <c r="C445" s="1" t="n">
        <v>46001</v>
      </c>
      <c r="D445" t="inlineStr">
        <is>
          <t>VÄSTMANLANDS LÄN</t>
        </is>
      </c>
      <c r="E445" t="inlineStr">
        <is>
          <t>SALA</t>
        </is>
      </c>
      <c r="G445" t="n">
        <v>1.3</v>
      </c>
      <c r="H445" t="n">
        <v>0</v>
      </c>
      <c r="I445" t="n">
        <v>0</v>
      </c>
      <c r="J445" t="n">
        <v>0</v>
      </c>
      <c r="K445" t="n">
        <v>0</v>
      </c>
      <c r="L445" t="n">
        <v>0</v>
      </c>
      <c r="M445" t="n">
        <v>0</v>
      </c>
      <c r="N445" t="n">
        <v>0</v>
      </c>
      <c r="O445" t="n">
        <v>0</v>
      </c>
      <c r="P445" t="n">
        <v>0</v>
      </c>
      <c r="Q445" t="n">
        <v>0</v>
      </c>
      <c r="R445" s="2" t="inlineStr"/>
    </row>
    <row r="446" ht="15" customHeight="1">
      <c r="A446" t="inlineStr">
        <is>
          <t>A 55760-2025</t>
        </is>
      </c>
      <c r="B446" s="1" t="n">
        <v>45972</v>
      </c>
      <c r="C446" s="1" t="n">
        <v>46001</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5032-2025</t>
        </is>
      </c>
      <c r="B447" s="1" t="n">
        <v>45691</v>
      </c>
      <c r="C447" s="1" t="n">
        <v>46001</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66908-2021</t>
        </is>
      </c>
      <c r="B448" s="1" t="n">
        <v>44522</v>
      </c>
      <c r="C448" s="1" t="n">
        <v>46001</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59817-2025</t>
        </is>
      </c>
      <c r="B449" s="1" t="n">
        <v>45992.63711805556</v>
      </c>
      <c r="C449" s="1" t="n">
        <v>46001</v>
      </c>
      <c r="D449" t="inlineStr">
        <is>
          <t>VÄSTMANLANDS LÄN</t>
        </is>
      </c>
      <c r="E449" t="inlineStr">
        <is>
          <t>SALA</t>
        </is>
      </c>
      <c r="G449" t="n">
        <v>6.9</v>
      </c>
      <c r="H449" t="n">
        <v>0</v>
      </c>
      <c r="I449" t="n">
        <v>0</v>
      </c>
      <c r="J449" t="n">
        <v>0</v>
      </c>
      <c r="K449" t="n">
        <v>0</v>
      </c>
      <c r="L449" t="n">
        <v>0</v>
      </c>
      <c r="M449" t="n">
        <v>0</v>
      </c>
      <c r="N449" t="n">
        <v>0</v>
      </c>
      <c r="O449" t="n">
        <v>0</v>
      </c>
      <c r="P449" t="n">
        <v>0</v>
      </c>
      <c r="Q449" t="n">
        <v>0</v>
      </c>
      <c r="R449" s="2" t="inlineStr"/>
    </row>
    <row r="450" ht="15" customHeight="1">
      <c r="A450" t="inlineStr">
        <is>
          <t>A 11696-2025</t>
        </is>
      </c>
      <c r="B450" s="1" t="n">
        <v>45727</v>
      </c>
      <c r="C450" s="1" t="n">
        <v>46001</v>
      </c>
      <c r="D450" t="inlineStr">
        <is>
          <t>VÄSTMANLANDS LÄN</t>
        </is>
      </c>
      <c r="E450" t="inlineStr">
        <is>
          <t>SALA</t>
        </is>
      </c>
      <c r="F450" t="inlineStr">
        <is>
          <t>Bergvik skog öst AB</t>
        </is>
      </c>
      <c r="G450" t="n">
        <v>1.6</v>
      </c>
      <c r="H450" t="n">
        <v>0</v>
      </c>
      <c r="I450" t="n">
        <v>0</v>
      </c>
      <c r="J450" t="n">
        <v>0</v>
      </c>
      <c r="K450" t="n">
        <v>0</v>
      </c>
      <c r="L450" t="n">
        <v>0</v>
      </c>
      <c r="M450" t="n">
        <v>0</v>
      </c>
      <c r="N450" t="n">
        <v>0</v>
      </c>
      <c r="O450" t="n">
        <v>0</v>
      </c>
      <c r="P450" t="n">
        <v>0</v>
      </c>
      <c r="Q450" t="n">
        <v>0</v>
      </c>
      <c r="R450" s="2" t="inlineStr"/>
    </row>
    <row r="451" ht="15" customHeight="1">
      <c r="A451" t="inlineStr">
        <is>
          <t>A 51247-2025</t>
        </is>
      </c>
      <c r="B451" s="1" t="n">
        <v>45947.86487268518</v>
      </c>
      <c r="C451" s="1" t="n">
        <v>46001</v>
      </c>
      <c r="D451" t="inlineStr">
        <is>
          <t>VÄSTMANLANDS LÄN</t>
        </is>
      </c>
      <c r="E451" t="inlineStr">
        <is>
          <t>SALA</t>
        </is>
      </c>
      <c r="G451" t="n">
        <v>10.4</v>
      </c>
      <c r="H451" t="n">
        <v>0</v>
      </c>
      <c r="I451" t="n">
        <v>0</v>
      </c>
      <c r="J451" t="n">
        <v>0</v>
      </c>
      <c r="K451" t="n">
        <v>0</v>
      </c>
      <c r="L451" t="n">
        <v>0</v>
      </c>
      <c r="M451" t="n">
        <v>0</v>
      </c>
      <c r="N451" t="n">
        <v>0</v>
      </c>
      <c r="O451" t="n">
        <v>0</v>
      </c>
      <c r="P451" t="n">
        <v>0</v>
      </c>
      <c r="Q451" t="n">
        <v>0</v>
      </c>
      <c r="R451" s="2" t="inlineStr"/>
    </row>
    <row r="452" ht="15" customHeight="1">
      <c r="A452" t="inlineStr">
        <is>
          <t>A 59385-2025</t>
        </is>
      </c>
      <c r="B452" s="1" t="n">
        <v>45989.45746527778</v>
      </c>
      <c r="C452" s="1" t="n">
        <v>46001</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43509-2021</t>
        </is>
      </c>
      <c r="B453" s="1" t="n">
        <v>44433</v>
      </c>
      <c r="C453" s="1" t="n">
        <v>46001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13746-2025</t>
        </is>
      </c>
      <c r="B454" s="1" t="n">
        <v>45737.40944444444</v>
      </c>
      <c r="C454" s="1" t="n">
        <v>46001</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59390-2025</t>
        </is>
      </c>
      <c r="B455" s="1" t="n">
        <v>45989.4640162037</v>
      </c>
      <c r="C455" s="1" t="n">
        <v>46001</v>
      </c>
      <c r="D455" t="inlineStr">
        <is>
          <t>VÄSTMANLANDS LÄN</t>
        </is>
      </c>
      <c r="E455" t="inlineStr">
        <is>
          <t>SALA</t>
        </is>
      </c>
      <c r="G455" t="n">
        <v>1.8</v>
      </c>
      <c r="H455" t="n">
        <v>0</v>
      </c>
      <c r="I455" t="n">
        <v>0</v>
      </c>
      <c r="J455" t="n">
        <v>0</v>
      </c>
      <c r="K455" t="n">
        <v>0</v>
      </c>
      <c r="L455" t="n">
        <v>0</v>
      </c>
      <c r="M455" t="n">
        <v>0</v>
      </c>
      <c r="N455" t="n">
        <v>0</v>
      </c>
      <c r="O455" t="n">
        <v>0</v>
      </c>
      <c r="P455" t="n">
        <v>0</v>
      </c>
      <c r="Q455" t="n">
        <v>0</v>
      </c>
      <c r="R455" s="2" t="inlineStr"/>
    </row>
    <row r="456" ht="15" customHeight="1">
      <c r="A456" t="inlineStr">
        <is>
          <t>A 25897-2024</t>
        </is>
      </c>
      <c r="B456" s="1" t="n">
        <v>45467.54435185185</v>
      </c>
      <c r="C456" s="1" t="n">
        <v>46001</v>
      </c>
      <c r="D456" t="inlineStr">
        <is>
          <t>VÄSTMANLANDS LÄN</t>
        </is>
      </c>
      <c r="E456" t="inlineStr">
        <is>
          <t>SALA</t>
        </is>
      </c>
      <c r="G456" t="n">
        <v>9.9</v>
      </c>
      <c r="H456" t="n">
        <v>0</v>
      </c>
      <c r="I456" t="n">
        <v>0</v>
      </c>
      <c r="J456" t="n">
        <v>0</v>
      </c>
      <c r="K456" t="n">
        <v>0</v>
      </c>
      <c r="L456" t="n">
        <v>0</v>
      </c>
      <c r="M456" t="n">
        <v>0</v>
      </c>
      <c r="N456" t="n">
        <v>0</v>
      </c>
      <c r="O456" t="n">
        <v>0</v>
      </c>
      <c r="P456" t="n">
        <v>0</v>
      </c>
      <c r="Q456" t="n">
        <v>0</v>
      </c>
      <c r="R456" s="2" t="inlineStr"/>
    </row>
    <row r="457" ht="15" customHeight="1">
      <c r="A457" t="inlineStr">
        <is>
          <t>A 59926-2025</t>
        </is>
      </c>
      <c r="B457" s="1" t="n">
        <v>45993.39221064815</v>
      </c>
      <c r="C457" s="1" t="n">
        <v>46001</v>
      </c>
      <c r="D457" t="inlineStr">
        <is>
          <t>VÄSTMANLANDS LÄN</t>
        </is>
      </c>
      <c r="E457" t="inlineStr">
        <is>
          <t>SALA</t>
        </is>
      </c>
      <c r="G457" t="n">
        <v>7.1</v>
      </c>
      <c r="H457" t="n">
        <v>0</v>
      </c>
      <c r="I457" t="n">
        <v>0</v>
      </c>
      <c r="J457" t="n">
        <v>0</v>
      </c>
      <c r="K457" t="n">
        <v>0</v>
      </c>
      <c r="L457" t="n">
        <v>0</v>
      </c>
      <c r="M457" t="n">
        <v>0</v>
      </c>
      <c r="N457" t="n">
        <v>0</v>
      </c>
      <c r="O457" t="n">
        <v>0</v>
      </c>
      <c r="P457" t="n">
        <v>0</v>
      </c>
      <c r="Q457" t="n">
        <v>0</v>
      </c>
      <c r="R457" s="2" t="inlineStr"/>
    </row>
    <row r="458" ht="15" customHeight="1">
      <c r="A458" t="inlineStr">
        <is>
          <t>A 60241-2025</t>
        </is>
      </c>
      <c r="B458" s="1" t="n">
        <v>45994.58454861111</v>
      </c>
      <c r="C458" s="1" t="n">
        <v>46001</v>
      </c>
      <c r="D458" t="inlineStr">
        <is>
          <t>VÄSTMANLANDS LÄN</t>
        </is>
      </c>
      <c r="E458" t="inlineStr">
        <is>
          <t>SALA</t>
        </is>
      </c>
      <c r="G458" t="n">
        <v>1.6</v>
      </c>
      <c r="H458" t="n">
        <v>0</v>
      </c>
      <c r="I458" t="n">
        <v>0</v>
      </c>
      <c r="J458" t="n">
        <v>0</v>
      </c>
      <c r="K458" t="n">
        <v>0</v>
      </c>
      <c r="L458" t="n">
        <v>0</v>
      </c>
      <c r="M458" t="n">
        <v>0</v>
      </c>
      <c r="N458" t="n">
        <v>0</v>
      </c>
      <c r="O458" t="n">
        <v>0</v>
      </c>
      <c r="P458" t="n">
        <v>0</v>
      </c>
      <c r="Q458" t="n">
        <v>0</v>
      </c>
      <c r="R458" s="2" t="inlineStr"/>
    </row>
    <row r="459" ht="15" customHeight="1">
      <c r="A459" t="inlineStr">
        <is>
          <t>A 51626-2025</t>
        </is>
      </c>
      <c r="B459" s="1" t="n">
        <v>45951.41769675926</v>
      </c>
      <c r="C459" s="1" t="n">
        <v>46001</v>
      </c>
      <c r="D459" t="inlineStr">
        <is>
          <t>VÄSTMANLANDS LÄN</t>
        </is>
      </c>
      <c r="E459" t="inlineStr">
        <is>
          <t>SALA</t>
        </is>
      </c>
      <c r="G459" t="n">
        <v>2.6</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46001</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46001</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51690-2025</t>
        </is>
      </c>
      <c r="B462" s="1" t="n">
        <v>45951.53462962963</v>
      </c>
      <c r="C462" s="1" t="n">
        <v>46001</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50479-2022</t>
        </is>
      </c>
      <c r="B463" s="1" t="n">
        <v>44861</v>
      </c>
      <c r="C463" s="1" t="n">
        <v>46001</v>
      </c>
      <c r="D463" t="inlineStr">
        <is>
          <t>VÄSTMANLANDS LÄN</t>
        </is>
      </c>
      <c r="E463" t="inlineStr">
        <is>
          <t>SALA</t>
        </is>
      </c>
      <c r="G463" t="n">
        <v>0.9</v>
      </c>
      <c r="H463" t="n">
        <v>0</v>
      </c>
      <c r="I463" t="n">
        <v>0</v>
      </c>
      <c r="J463" t="n">
        <v>0</v>
      </c>
      <c r="K463" t="n">
        <v>0</v>
      </c>
      <c r="L463" t="n">
        <v>0</v>
      </c>
      <c r="M463" t="n">
        <v>0</v>
      </c>
      <c r="N463" t="n">
        <v>0</v>
      </c>
      <c r="O463" t="n">
        <v>0</v>
      </c>
      <c r="P463" t="n">
        <v>0</v>
      </c>
      <c r="Q463" t="n">
        <v>0</v>
      </c>
      <c r="R463" s="2" t="inlineStr"/>
    </row>
    <row r="464" ht="15" customHeight="1">
      <c r="A464" t="inlineStr">
        <is>
          <t>A 60017-2025</t>
        </is>
      </c>
      <c r="B464" s="1" t="n">
        <v>45993.59998842593</v>
      </c>
      <c r="C464" s="1" t="n">
        <v>46001</v>
      </c>
      <c r="D464" t="inlineStr">
        <is>
          <t>VÄSTMANLANDS LÄN</t>
        </is>
      </c>
      <c r="E464" t="inlineStr">
        <is>
          <t>SALA</t>
        </is>
      </c>
      <c r="G464" t="n">
        <v>4.4</v>
      </c>
      <c r="H464" t="n">
        <v>0</v>
      </c>
      <c r="I464" t="n">
        <v>0</v>
      </c>
      <c r="J464" t="n">
        <v>0</v>
      </c>
      <c r="K464" t="n">
        <v>0</v>
      </c>
      <c r="L464" t="n">
        <v>0</v>
      </c>
      <c r="M464" t="n">
        <v>0</v>
      </c>
      <c r="N464" t="n">
        <v>0</v>
      </c>
      <c r="O464" t="n">
        <v>0</v>
      </c>
      <c r="P464" t="n">
        <v>0</v>
      </c>
      <c r="Q464" t="n">
        <v>0</v>
      </c>
      <c r="R464" s="2" t="inlineStr"/>
    </row>
    <row r="465" ht="15" customHeight="1">
      <c r="A465" t="inlineStr">
        <is>
          <t>A 51809-2025</t>
        </is>
      </c>
      <c r="B465" s="1" t="n">
        <v>45951.80116898148</v>
      </c>
      <c r="C465" s="1" t="n">
        <v>46001</v>
      </c>
      <c r="D465" t="inlineStr">
        <is>
          <t>VÄSTMANLANDS LÄN</t>
        </is>
      </c>
      <c r="E465" t="inlineStr">
        <is>
          <t>SALA</t>
        </is>
      </c>
      <c r="F465" t="inlineStr">
        <is>
          <t>Kommuner</t>
        </is>
      </c>
      <c r="G465" t="n">
        <v>3.5</v>
      </c>
      <c r="H465" t="n">
        <v>0</v>
      </c>
      <c r="I465" t="n">
        <v>0</v>
      </c>
      <c r="J465" t="n">
        <v>0</v>
      </c>
      <c r="K465" t="n">
        <v>0</v>
      </c>
      <c r="L465" t="n">
        <v>0</v>
      </c>
      <c r="M465" t="n">
        <v>0</v>
      </c>
      <c r="N465" t="n">
        <v>0</v>
      </c>
      <c r="O465" t="n">
        <v>0</v>
      </c>
      <c r="P465" t="n">
        <v>0</v>
      </c>
      <c r="Q465" t="n">
        <v>0</v>
      </c>
      <c r="R465" s="2" t="inlineStr"/>
    </row>
    <row r="466" ht="15" customHeight="1">
      <c r="A466" t="inlineStr">
        <is>
          <t>A 59870-2025</t>
        </is>
      </c>
      <c r="B466" s="1" t="n">
        <v>45992.92226851852</v>
      </c>
      <c r="C466" s="1" t="n">
        <v>46001</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14919-2025</t>
        </is>
      </c>
      <c r="B467" s="1" t="n">
        <v>45743.54256944444</v>
      </c>
      <c r="C467" s="1" t="n">
        <v>46001</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14920-2025</t>
        </is>
      </c>
      <c r="B468" s="1" t="n">
        <v>45743</v>
      </c>
      <c r="C468" s="1" t="n">
        <v>46001</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60254-2025</t>
        </is>
      </c>
      <c r="B469" s="1" t="n">
        <v>45994.60146990741</v>
      </c>
      <c r="C469" s="1" t="n">
        <v>46001</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13855-2023</t>
        </is>
      </c>
      <c r="B470" s="1" t="n">
        <v>45007</v>
      </c>
      <c r="C470" s="1" t="n">
        <v>46001</v>
      </c>
      <c r="D470" t="inlineStr">
        <is>
          <t>VÄSTMANLANDS LÄN</t>
        </is>
      </c>
      <c r="E470" t="inlineStr">
        <is>
          <t>SALA</t>
        </is>
      </c>
      <c r="G470" t="n">
        <v>2.9</v>
      </c>
      <c r="H470" t="n">
        <v>0</v>
      </c>
      <c r="I470" t="n">
        <v>0</v>
      </c>
      <c r="J470" t="n">
        <v>0</v>
      </c>
      <c r="K470" t="n">
        <v>0</v>
      </c>
      <c r="L470" t="n">
        <v>0</v>
      </c>
      <c r="M470" t="n">
        <v>0</v>
      </c>
      <c r="N470" t="n">
        <v>0</v>
      </c>
      <c r="O470" t="n">
        <v>0</v>
      </c>
      <c r="P470" t="n">
        <v>0</v>
      </c>
      <c r="Q470" t="n">
        <v>0</v>
      </c>
      <c r="R470" s="2" t="inlineStr"/>
    </row>
    <row r="471" ht="15" customHeight="1">
      <c r="A471" t="inlineStr">
        <is>
          <t>A 60258-2025</t>
        </is>
      </c>
      <c r="B471" s="1" t="n">
        <v>45994.6064699074</v>
      </c>
      <c r="C471" s="1" t="n">
        <v>46001</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51803-2025</t>
        </is>
      </c>
      <c r="B472" s="1" t="n">
        <v>45951.76818287037</v>
      </c>
      <c r="C472" s="1" t="n">
        <v>46001</v>
      </c>
      <c r="D472" t="inlineStr">
        <is>
          <t>VÄSTMANLANDS LÄN</t>
        </is>
      </c>
      <c r="E472" t="inlineStr">
        <is>
          <t>SALA</t>
        </is>
      </c>
      <c r="F472" t="inlineStr">
        <is>
          <t>Kommuner</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51805-2025</t>
        </is>
      </c>
      <c r="B473" s="1" t="n">
        <v>45951.78359953704</v>
      </c>
      <c r="C473" s="1" t="n">
        <v>46001</v>
      </c>
      <c r="D473" t="inlineStr">
        <is>
          <t>VÄSTMANLANDS LÄN</t>
        </is>
      </c>
      <c r="E473" t="inlineStr">
        <is>
          <t>SALA</t>
        </is>
      </c>
      <c r="F473" t="inlineStr">
        <is>
          <t>Kommuner</t>
        </is>
      </c>
      <c r="G473" t="n">
        <v>1.3</v>
      </c>
      <c r="H473" t="n">
        <v>0</v>
      </c>
      <c r="I473" t="n">
        <v>0</v>
      </c>
      <c r="J473" t="n">
        <v>0</v>
      </c>
      <c r="K473" t="n">
        <v>0</v>
      </c>
      <c r="L473" t="n">
        <v>0</v>
      </c>
      <c r="M473" t="n">
        <v>0</v>
      </c>
      <c r="N473" t="n">
        <v>0</v>
      </c>
      <c r="O473" t="n">
        <v>0</v>
      </c>
      <c r="P473" t="n">
        <v>0</v>
      </c>
      <c r="Q473" t="n">
        <v>0</v>
      </c>
      <c r="R473" s="2" t="inlineStr"/>
    </row>
    <row r="474" ht="15" customHeight="1">
      <c r="A474" t="inlineStr">
        <is>
          <t>A 60259-2025</t>
        </is>
      </c>
      <c r="B474" s="1" t="n">
        <v>45994.60913194445</v>
      </c>
      <c r="C474" s="1" t="n">
        <v>46001</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60246-2025</t>
        </is>
      </c>
      <c r="B475" s="1" t="n">
        <v>45994.58931712963</v>
      </c>
      <c r="C475" s="1" t="n">
        <v>46001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51804-2025</t>
        </is>
      </c>
      <c r="B476" s="1" t="n">
        <v>45951.77697916667</v>
      </c>
      <c r="C476" s="1" t="n">
        <v>46001</v>
      </c>
      <c r="D476" t="inlineStr">
        <is>
          <t>VÄSTMANLANDS LÄN</t>
        </is>
      </c>
      <c r="E476" t="inlineStr">
        <is>
          <t>SALA</t>
        </is>
      </c>
      <c r="F476" t="inlineStr">
        <is>
          <t>Kommuner</t>
        </is>
      </c>
      <c r="G476" t="n">
        <v>2</v>
      </c>
      <c r="H476" t="n">
        <v>0</v>
      </c>
      <c r="I476" t="n">
        <v>0</v>
      </c>
      <c r="J476" t="n">
        <v>0</v>
      </c>
      <c r="K476" t="n">
        <v>0</v>
      </c>
      <c r="L476" t="n">
        <v>0</v>
      </c>
      <c r="M476" t="n">
        <v>0</v>
      </c>
      <c r="N476" t="n">
        <v>0</v>
      </c>
      <c r="O476" t="n">
        <v>0</v>
      </c>
      <c r="P476" t="n">
        <v>0</v>
      </c>
      <c r="Q476" t="n">
        <v>0</v>
      </c>
      <c r="R476" s="2" t="inlineStr"/>
    </row>
    <row r="477" ht="15" customHeight="1">
      <c r="A477" t="inlineStr">
        <is>
          <t>A 51808-2025</t>
        </is>
      </c>
      <c r="B477" s="1" t="n">
        <v>45951.79302083333</v>
      </c>
      <c r="C477" s="1" t="n">
        <v>46001</v>
      </c>
      <c r="D477" t="inlineStr">
        <is>
          <t>VÄSTMANLANDS LÄN</t>
        </is>
      </c>
      <c r="E477" t="inlineStr">
        <is>
          <t>SALA</t>
        </is>
      </c>
      <c r="F477" t="inlineStr">
        <is>
          <t>Kommuner</t>
        </is>
      </c>
      <c r="G477" t="n">
        <v>3</v>
      </c>
      <c r="H477" t="n">
        <v>0</v>
      </c>
      <c r="I477" t="n">
        <v>0</v>
      </c>
      <c r="J477" t="n">
        <v>0</v>
      </c>
      <c r="K477" t="n">
        <v>0</v>
      </c>
      <c r="L477" t="n">
        <v>0</v>
      </c>
      <c r="M477" t="n">
        <v>0</v>
      </c>
      <c r="N477" t="n">
        <v>0</v>
      </c>
      <c r="O477" t="n">
        <v>0</v>
      </c>
      <c r="P477" t="n">
        <v>0</v>
      </c>
      <c r="Q477" t="n">
        <v>0</v>
      </c>
      <c r="R477" s="2" t="inlineStr"/>
    </row>
    <row r="478" ht="15" customHeight="1">
      <c r="A478" t="inlineStr">
        <is>
          <t>A 18877-2023</t>
        </is>
      </c>
      <c r="B478" s="1" t="n">
        <v>45044</v>
      </c>
      <c r="C478" s="1" t="n">
        <v>46001</v>
      </c>
      <c r="D478" t="inlineStr">
        <is>
          <t>VÄSTMANLANDS LÄN</t>
        </is>
      </c>
      <c r="E478" t="inlineStr">
        <is>
          <t>SALA</t>
        </is>
      </c>
      <c r="F478" t="inlineStr">
        <is>
          <t>Kommuner</t>
        </is>
      </c>
      <c r="G478" t="n">
        <v>4.4</v>
      </c>
      <c r="H478" t="n">
        <v>0</v>
      </c>
      <c r="I478" t="n">
        <v>0</v>
      </c>
      <c r="J478" t="n">
        <v>0</v>
      </c>
      <c r="K478" t="n">
        <v>0</v>
      </c>
      <c r="L478" t="n">
        <v>0</v>
      </c>
      <c r="M478" t="n">
        <v>0</v>
      </c>
      <c r="N478" t="n">
        <v>0</v>
      </c>
      <c r="O478" t="n">
        <v>0</v>
      </c>
      <c r="P478" t="n">
        <v>0</v>
      </c>
      <c r="Q478" t="n">
        <v>0</v>
      </c>
      <c r="R478" s="2" t="inlineStr"/>
    </row>
    <row r="479" ht="15" customHeight="1">
      <c r="A479" t="inlineStr">
        <is>
          <t>A 55556-2023</t>
        </is>
      </c>
      <c r="B479" s="1" t="n">
        <v>45232</v>
      </c>
      <c r="C479" s="1" t="n">
        <v>46001</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34494-2023</t>
        </is>
      </c>
      <c r="B480" s="1" t="n">
        <v>45133</v>
      </c>
      <c r="C480" s="1" t="n">
        <v>46001</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51764-2025</t>
        </is>
      </c>
      <c r="B481" s="1" t="n">
        <v>45951.63636574074</v>
      </c>
      <c r="C481" s="1" t="n">
        <v>46001</v>
      </c>
      <c r="D481" t="inlineStr">
        <is>
          <t>VÄSTMANLANDS LÄN</t>
        </is>
      </c>
      <c r="E481" t="inlineStr">
        <is>
          <t>SALA</t>
        </is>
      </c>
      <c r="G481" t="n">
        <v>1.5</v>
      </c>
      <c r="H481" t="n">
        <v>0</v>
      </c>
      <c r="I481" t="n">
        <v>0</v>
      </c>
      <c r="J481" t="n">
        <v>0</v>
      </c>
      <c r="K481" t="n">
        <v>0</v>
      </c>
      <c r="L481" t="n">
        <v>0</v>
      </c>
      <c r="M481" t="n">
        <v>0</v>
      </c>
      <c r="N481" t="n">
        <v>0</v>
      </c>
      <c r="O481" t="n">
        <v>0</v>
      </c>
      <c r="P481" t="n">
        <v>0</v>
      </c>
      <c r="Q481" t="n">
        <v>0</v>
      </c>
      <c r="R481" s="2" t="inlineStr"/>
    </row>
    <row r="482" ht="15" customHeight="1">
      <c r="A482" t="inlineStr">
        <is>
          <t>A 13752-2025</t>
        </is>
      </c>
      <c r="B482" s="1" t="n">
        <v>45737.41416666667</v>
      </c>
      <c r="C482" s="1" t="n">
        <v>46001</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60629-2025</t>
        </is>
      </c>
      <c r="B483" s="1" t="n">
        <v>45996.41972222222</v>
      </c>
      <c r="C483" s="1" t="n">
        <v>46001</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19398-2025</t>
        </is>
      </c>
      <c r="B484" s="1" t="n">
        <v>45769</v>
      </c>
      <c r="C484" s="1" t="n">
        <v>46001</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57014-2025</t>
        </is>
      </c>
      <c r="B485" s="1" t="n">
        <v>45978</v>
      </c>
      <c r="C485" s="1" t="n">
        <v>46001</v>
      </c>
      <c r="D485" t="inlineStr">
        <is>
          <t>VÄSTMANLANDS LÄN</t>
        </is>
      </c>
      <c r="E485" t="inlineStr">
        <is>
          <t>SALA</t>
        </is>
      </c>
      <c r="G485" t="n">
        <v>2.2</v>
      </c>
      <c r="H485" t="n">
        <v>0</v>
      </c>
      <c r="I485" t="n">
        <v>0</v>
      </c>
      <c r="J485" t="n">
        <v>0</v>
      </c>
      <c r="K485" t="n">
        <v>0</v>
      </c>
      <c r="L485" t="n">
        <v>0</v>
      </c>
      <c r="M485" t="n">
        <v>0</v>
      </c>
      <c r="N485" t="n">
        <v>0</v>
      </c>
      <c r="O485" t="n">
        <v>0</v>
      </c>
      <c r="P485" t="n">
        <v>0</v>
      </c>
      <c r="Q485" t="n">
        <v>0</v>
      </c>
      <c r="R485" s="2" t="inlineStr"/>
    </row>
    <row r="486" ht="15" customHeight="1">
      <c r="A486" t="inlineStr">
        <is>
          <t>A 22921-2023</t>
        </is>
      </c>
      <c r="B486" s="1" t="n">
        <v>45070</v>
      </c>
      <c r="C486" s="1" t="n">
        <v>46001</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16133-2025</t>
        </is>
      </c>
      <c r="B487" s="1" t="n">
        <v>45750</v>
      </c>
      <c r="C487" s="1" t="n">
        <v>46001</v>
      </c>
      <c r="D487" t="inlineStr">
        <is>
          <t>VÄSTMANLANDS LÄN</t>
        </is>
      </c>
      <c r="E487" t="inlineStr">
        <is>
          <t>SALA</t>
        </is>
      </c>
      <c r="G487" t="n">
        <v>0.9</v>
      </c>
      <c r="H487" t="n">
        <v>0</v>
      </c>
      <c r="I487" t="n">
        <v>0</v>
      </c>
      <c r="J487" t="n">
        <v>0</v>
      </c>
      <c r="K487" t="n">
        <v>0</v>
      </c>
      <c r="L487" t="n">
        <v>0</v>
      </c>
      <c r="M487" t="n">
        <v>0</v>
      </c>
      <c r="N487" t="n">
        <v>0</v>
      </c>
      <c r="O487" t="n">
        <v>0</v>
      </c>
      <c r="P487" t="n">
        <v>0</v>
      </c>
      <c r="Q487" t="n">
        <v>0</v>
      </c>
      <c r="R487" s="2" t="inlineStr"/>
    </row>
    <row r="488" ht="15" customHeight="1">
      <c r="A488" t="inlineStr">
        <is>
          <t>A 6127-2025</t>
        </is>
      </c>
      <c r="B488" s="1" t="n">
        <v>45698</v>
      </c>
      <c r="C488" s="1" t="n">
        <v>46001</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15272-2025</t>
        </is>
      </c>
      <c r="B489" s="1" t="n">
        <v>45744</v>
      </c>
      <c r="C489" s="1" t="n">
        <v>46001</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24248-2023</t>
        </is>
      </c>
      <c r="B490" s="1" t="n">
        <v>45079</v>
      </c>
      <c r="C490" s="1" t="n">
        <v>46001</v>
      </c>
      <c r="D490" t="inlineStr">
        <is>
          <t>VÄSTMANLANDS LÄN</t>
        </is>
      </c>
      <c r="E490" t="inlineStr">
        <is>
          <t>SALA</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38195-2021</t>
        </is>
      </c>
      <c r="B491" s="1" t="n">
        <v>44405</v>
      </c>
      <c r="C491" s="1" t="n">
        <v>46001</v>
      </c>
      <c r="D491" t="inlineStr">
        <is>
          <t>VÄSTMANLANDS LÄN</t>
        </is>
      </c>
      <c r="E491" t="inlineStr">
        <is>
          <t>SALA</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27228-2023</t>
        </is>
      </c>
      <c r="B492" s="1" t="n">
        <v>45096.59189814814</v>
      </c>
      <c r="C492" s="1" t="n">
        <v>46001</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53838-2022</t>
        </is>
      </c>
      <c r="B493" s="1" t="n">
        <v>44880.59363425926</v>
      </c>
      <c r="C493" s="1" t="n">
        <v>46001</v>
      </c>
      <c r="D493" t="inlineStr">
        <is>
          <t>VÄSTMANLANDS LÄN</t>
        </is>
      </c>
      <c r="E493" t="inlineStr">
        <is>
          <t>SALA</t>
        </is>
      </c>
      <c r="G493" t="n">
        <v>3.9</v>
      </c>
      <c r="H493" t="n">
        <v>0</v>
      </c>
      <c r="I493" t="n">
        <v>0</v>
      </c>
      <c r="J493" t="n">
        <v>0</v>
      </c>
      <c r="K493" t="n">
        <v>0</v>
      </c>
      <c r="L493" t="n">
        <v>0</v>
      </c>
      <c r="M493" t="n">
        <v>0</v>
      </c>
      <c r="N493" t="n">
        <v>0</v>
      </c>
      <c r="O493" t="n">
        <v>0</v>
      </c>
      <c r="P493" t="n">
        <v>0</v>
      </c>
      <c r="Q493" t="n">
        <v>0</v>
      </c>
      <c r="R493" s="2" t="inlineStr"/>
    </row>
    <row r="494" ht="15" customHeight="1">
      <c r="A494" t="inlineStr">
        <is>
          <t>A 25260-2023</t>
        </is>
      </c>
      <c r="B494" s="1" t="n">
        <v>45086</v>
      </c>
      <c r="C494" s="1" t="n">
        <v>46001</v>
      </c>
      <c r="D494" t="inlineStr">
        <is>
          <t>VÄSTMANLANDS LÄN</t>
        </is>
      </c>
      <c r="E494" t="inlineStr">
        <is>
          <t>SALA</t>
        </is>
      </c>
      <c r="F494" t="inlineStr">
        <is>
          <t>Sveaskog</t>
        </is>
      </c>
      <c r="G494" t="n">
        <v>3.2</v>
      </c>
      <c r="H494" t="n">
        <v>0</v>
      </c>
      <c r="I494" t="n">
        <v>0</v>
      </c>
      <c r="J494" t="n">
        <v>0</v>
      </c>
      <c r="K494" t="n">
        <v>0</v>
      </c>
      <c r="L494" t="n">
        <v>0</v>
      </c>
      <c r="M494" t="n">
        <v>0</v>
      </c>
      <c r="N494" t="n">
        <v>0</v>
      </c>
      <c r="O494" t="n">
        <v>0</v>
      </c>
      <c r="P494" t="n">
        <v>0</v>
      </c>
      <c r="Q494" t="n">
        <v>0</v>
      </c>
      <c r="R494" s="2" t="inlineStr"/>
    </row>
    <row r="495" ht="15" customHeight="1">
      <c r="A495" t="inlineStr">
        <is>
          <t>A 16769-2024</t>
        </is>
      </c>
      <c r="B495" s="1" t="n">
        <v>45411.38738425926</v>
      </c>
      <c r="C495" s="1" t="n">
        <v>46001</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60249-2023</t>
        </is>
      </c>
      <c r="B496" s="1" t="n">
        <v>45258</v>
      </c>
      <c r="C496" s="1" t="n">
        <v>46001</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14271-2025</t>
        </is>
      </c>
      <c r="B497" s="1" t="n">
        <v>45740.64129629629</v>
      </c>
      <c r="C497" s="1" t="n">
        <v>46001</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69232-2021</t>
        </is>
      </c>
      <c r="B498" s="1" t="n">
        <v>44531.39696759259</v>
      </c>
      <c r="C498" s="1" t="n">
        <v>46001</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28328-2023</t>
        </is>
      </c>
      <c r="B499" s="1" t="n">
        <v>45099.71063657408</v>
      </c>
      <c r="C499" s="1" t="n">
        <v>46001</v>
      </c>
      <c r="D499" t="inlineStr">
        <is>
          <t>VÄSTMANLANDS LÄN</t>
        </is>
      </c>
      <c r="E499" t="inlineStr">
        <is>
          <t>SALA</t>
        </is>
      </c>
      <c r="G499" t="n">
        <v>1.8</v>
      </c>
      <c r="H499" t="n">
        <v>0</v>
      </c>
      <c r="I499" t="n">
        <v>0</v>
      </c>
      <c r="J499" t="n">
        <v>0</v>
      </c>
      <c r="K499" t="n">
        <v>0</v>
      </c>
      <c r="L499" t="n">
        <v>0</v>
      </c>
      <c r="M499" t="n">
        <v>0</v>
      </c>
      <c r="N499" t="n">
        <v>0</v>
      </c>
      <c r="O499" t="n">
        <v>0</v>
      </c>
      <c r="P499" t="n">
        <v>0</v>
      </c>
      <c r="Q499" t="n">
        <v>0</v>
      </c>
      <c r="R499" s="2" t="inlineStr"/>
    </row>
    <row r="500" ht="15" customHeight="1">
      <c r="A500" t="inlineStr">
        <is>
          <t>A 40085-2024</t>
        </is>
      </c>
      <c r="B500" s="1" t="n">
        <v>45554</v>
      </c>
      <c r="C500" s="1" t="n">
        <v>46001</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18158-2025</t>
        </is>
      </c>
      <c r="B501" s="1" t="n">
        <v>45761</v>
      </c>
      <c r="C501" s="1" t="n">
        <v>46001</v>
      </c>
      <c r="D501" t="inlineStr">
        <is>
          <t>VÄSTMANLANDS LÄN</t>
        </is>
      </c>
      <c r="E501" t="inlineStr">
        <is>
          <t>SALA</t>
        </is>
      </c>
      <c r="F501" t="inlineStr">
        <is>
          <t>Bergvik skog öst AB</t>
        </is>
      </c>
      <c r="G501" t="n">
        <v>1.6</v>
      </c>
      <c r="H501" t="n">
        <v>0</v>
      </c>
      <c r="I501" t="n">
        <v>0</v>
      </c>
      <c r="J501" t="n">
        <v>0</v>
      </c>
      <c r="K501" t="n">
        <v>0</v>
      </c>
      <c r="L501" t="n">
        <v>0</v>
      </c>
      <c r="M501" t="n">
        <v>0</v>
      </c>
      <c r="N501" t="n">
        <v>0</v>
      </c>
      <c r="O501" t="n">
        <v>0</v>
      </c>
      <c r="P501" t="n">
        <v>0</v>
      </c>
      <c r="Q501" t="n">
        <v>0</v>
      </c>
      <c r="R501" s="2" t="inlineStr"/>
    </row>
    <row r="502" ht="15" customHeight="1">
      <c r="A502" t="inlineStr">
        <is>
          <t>A 49661-2024</t>
        </is>
      </c>
      <c r="B502" s="1" t="n">
        <v>45596</v>
      </c>
      <c r="C502" s="1" t="n">
        <v>46001</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35519-2024</t>
        </is>
      </c>
      <c r="B503" s="1" t="n">
        <v>45531</v>
      </c>
      <c r="C503" s="1" t="n">
        <v>46001</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54347-2024</t>
        </is>
      </c>
      <c r="B504" s="1" t="n">
        <v>45617.39325231482</v>
      </c>
      <c r="C504" s="1" t="n">
        <v>46001</v>
      </c>
      <c r="D504" t="inlineStr">
        <is>
          <t>VÄSTMANLANDS LÄN</t>
        </is>
      </c>
      <c r="E504" t="inlineStr">
        <is>
          <t>SALA</t>
        </is>
      </c>
      <c r="G504" t="n">
        <v>2</v>
      </c>
      <c r="H504" t="n">
        <v>0</v>
      </c>
      <c r="I504" t="n">
        <v>0</v>
      </c>
      <c r="J504" t="n">
        <v>0</v>
      </c>
      <c r="K504" t="n">
        <v>0</v>
      </c>
      <c r="L504" t="n">
        <v>0</v>
      </c>
      <c r="M504" t="n">
        <v>0</v>
      </c>
      <c r="N504" t="n">
        <v>0</v>
      </c>
      <c r="O504" t="n">
        <v>0</v>
      </c>
      <c r="P504" t="n">
        <v>0</v>
      </c>
      <c r="Q504" t="n">
        <v>0</v>
      </c>
      <c r="R504" s="2" t="inlineStr"/>
    </row>
    <row r="505" ht="15" customHeight="1">
      <c r="A505" t="inlineStr">
        <is>
          <t>A 13022-2023</t>
        </is>
      </c>
      <c r="B505" s="1" t="n">
        <v>45002.33291666667</v>
      </c>
      <c r="C505" s="1" t="n">
        <v>46001</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35003-2024</t>
        </is>
      </c>
      <c r="B506" s="1" t="n">
        <v>45527.56790509259</v>
      </c>
      <c r="C506" s="1" t="n">
        <v>46001</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66307-2021</t>
        </is>
      </c>
      <c r="B507" s="1" t="n">
        <v>44518.48670138889</v>
      </c>
      <c r="C507" s="1" t="n">
        <v>46001</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6030-2024</t>
        </is>
      </c>
      <c r="B508" s="1" t="n">
        <v>45336.62782407407</v>
      </c>
      <c r="C508" s="1" t="n">
        <v>46001</v>
      </c>
      <c r="D508" t="inlineStr">
        <is>
          <t>VÄSTMANLANDS LÄN</t>
        </is>
      </c>
      <c r="E508" t="inlineStr">
        <is>
          <t>SALA</t>
        </is>
      </c>
      <c r="G508" t="n">
        <v>3.9</v>
      </c>
      <c r="H508" t="n">
        <v>0</v>
      </c>
      <c r="I508" t="n">
        <v>0</v>
      </c>
      <c r="J508" t="n">
        <v>0</v>
      </c>
      <c r="K508" t="n">
        <v>0</v>
      </c>
      <c r="L508" t="n">
        <v>0</v>
      </c>
      <c r="M508" t="n">
        <v>0</v>
      </c>
      <c r="N508" t="n">
        <v>0</v>
      </c>
      <c r="O508" t="n">
        <v>0</v>
      </c>
      <c r="P508" t="n">
        <v>0</v>
      </c>
      <c r="Q508" t="n">
        <v>0</v>
      </c>
      <c r="R508" s="2" t="inlineStr"/>
    </row>
    <row r="509" ht="15" customHeight="1">
      <c r="A509" t="inlineStr">
        <is>
          <t>A 26761-2023</t>
        </is>
      </c>
      <c r="B509" s="1" t="n">
        <v>45093</v>
      </c>
      <c r="C509" s="1" t="n">
        <v>46001</v>
      </c>
      <c r="D509" t="inlineStr">
        <is>
          <t>VÄSTMANLANDS LÄN</t>
        </is>
      </c>
      <c r="E509" t="inlineStr">
        <is>
          <t>SALA</t>
        </is>
      </c>
      <c r="G509" t="n">
        <v>4.3</v>
      </c>
      <c r="H509" t="n">
        <v>0</v>
      </c>
      <c r="I509" t="n">
        <v>0</v>
      </c>
      <c r="J509" t="n">
        <v>0</v>
      </c>
      <c r="K509" t="n">
        <v>0</v>
      </c>
      <c r="L509" t="n">
        <v>0</v>
      </c>
      <c r="M509" t="n">
        <v>0</v>
      </c>
      <c r="N509" t="n">
        <v>0</v>
      </c>
      <c r="O509" t="n">
        <v>0</v>
      </c>
      <c r="P509" t="n">
        <v>0</v>
      </c>
      <c r="Q509" t="n">
        <v>0</v>
      </c>
      <c r="R509" s="2" t="inlineStr"/>
    </row>
    <row r="510" ht="15" customHeight="1">
      <c r="A510" t="inlineStr">
        <is>
          <t>A 61892-2021</t>
        </is>
      </c>
      <c r="B510" s="1" t="n">
        <v>44502</v>
      </c>
      <c r="C510" s="1" t="n">
        <v>46001</v>
      </c>
      <c r="D510" t="inlineStr">
        <is>
          <t>VÄSTMANLANDS LÄN</t>
        </is>
      </c>
      <c r="E510" t="inlineStr">
        <is>
          <t>SALA</t>
        </is>
      </c>
      <c r="G510" t="n">
        <v>1.4</v>
      </c>
      <c r="H510" t="n">
        <v>0</v>
      </c>
      <c r="I510" t="n">
        <v>0</v>
      </c>
      <c r="J510" t="n">
        <v>0</v>
      </c>
      <c r="K510" t="n">
        <v>0</v>
      </c>
      <c r="L510" t="n">
        <v>0</v>
      </c>
      <c r="M510" t="n">
        <v>0</v>
      </c>
      <c r="N510" t="n">
        <v>0</v>
      </c>
      <c r="O510" t="n">
        <v>0</v>
      </c>
      <c r="P510" t="n">
        <v>0</v>
      </c>
      <c r="Q510" t="n">
        <v>0</v>
      </c>
      <c r="R510" s="2" t="inlineStr"/>
    </row>
    <row r="511" ht="15" customHeight="1">
      <c r="A511" t="inlineStr">
        <is>
          <t>A 7772-2023</t>
        </is>
      </c>
      <c r="B511" s="1" t="n">
        <v>44973.40076388889</v>
      </c>
      <c r="C511" s="1" t="n">
        <v>46001</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42416-2022</t>
        </is>
      </c>
      <c r="B512" s="1" t="n">
        <v>44831</v>
      </c>
      <c r="C512" s="1" t="n">
        <v>46001</v>
      </c>
      <c r="D512" t="inlineStr">
        <is>
          <t>VÄSTMANLANDS LÄN</t>
        </is>
      </c>
      <c r="E512" t="inlineStr">
        <is>
          <t>SALA</t>
        </is>
      </c>
      <c r="G512" t="n">
        <v>2.2</v>
      </c>
      <c r="H512" t="n">
        <v>0</v>
      </c>
      <c r="I512" t="n">
        <v>0</v>
      </c>
      <c r="J512" t="n">
        <v>0</v>
      </c>
      <c r="K512" t="n">
        <v>0</v>
      </c>
      <c r="L512" t="n">
        <v>0</v>
      </c>
      <c r="M512" t="n">
        <v>0</v>
      </c>
      <c r="N512" t="n">
        <v>0</v>
      </c>
      <c r="O512" t="n">
        <v>0</v>
      </c>
      <c r="P512" t="n">
        <v>0</v>
      </c>
      <c r="Q512" t="n">
        <v>0</v>
      </c>
      <c r="R512" s="2" t="inlineStr"/>
    </row>
    <row r="513" ht="15" customHeight="1">
      <c r="A513" t="inlineStr">
        <is>
          <t>A 19381-2025</t>
        </is>
      </c>
      <c r="B513" s="1" t="n">
        <v>45769</v>
      </c>
      <c r="C513" s="1" t="n">
        <v>46001</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48688-2024</t>
        </is>
      </c>
      <c r="B514" s="1" t="n">
        <v>45593.50541666667</v>
      </c>
      <c r="C514" s="1" t="n">
        <v>46001</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45187-2024</t>
        </is>
      </c>
      <c r="B515" s="1" t="n">
        <v>45575</v>
      </c>
      <c r="C515" s="1" t="n">
        <v>46001</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15968-2024</t>
        </is>
      </c>
      <c r="B516" s="1" t="n">
        <v>45405.56021990741</v>
      </c>
      <c r="C516" s="1" t="n">
        <v>46001</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3733-2023</t>
        </is>
      </c>
      <c r="B517" s="1" t="n">
        <v>44951.42501157407</v>
      </c>
      <c r="C517" s="1" t="n">
        <v>46001</v>
      </c>
      <c r="D517" t="inlineStr">
        <is>
          <t>VÄSTMANLANDS LÄN</t>
        </is>
      </c>
      <c r="E517" t="inlineStr">
        <is>
          <t>SALA</t>
        </is>
      </c>
      <c r="G517" t="n">
        <v>3.1</v>
      </c>
      <c r="H517" t="n">
        <v>0</v>
      </c>
      <c r="I517" t="n">
        <v>0</v>
      </c>
      <c r="J517" t="n">
        <v>0</v>
      </c>
      <c r="K517" t="n">
        <v>0</v>
      </c>
      <c r="L517" t="n">
        <v>0</v>
      </c>
      <c r="M517" t="n">
        <v>0</v>
      </c>
      <c r="N517" t="n">
        <v>0</v>
      </c>
      <c r="O517" t="n">
        <v>0</v>
      </c>
      <c r="P517" t="n">
        <v>0</v>
      </c>
      <c r="Q517" t="n">
        <v>0</v>
      </c>
      <c r="R517" s="2" t="inlineStr"/>
    </row>
    <row r="518" ht="15" customHeight="1">
      <c r="A518" t="inlineStr">
        <is>
          <t>A 44544-2024</t>
        </is>
      </c>
      <c r="B518" s="1" t="n">
        <v>45574.46119212963</v>
      </c>
      <c r="C518" s="1" t="n">
        <v>46001</v>
      </c>
      <c r="D518" t="inlineStr">
        <is>
          <t>VÄSTMANLANDS LÄN</t>
        </is>
      </c>
      <c r="E518" t="inlineStr">
        <is>
          <t>SALA</t>
        </is>
      </c>
      <c r="G518" t="n">
        <v>3.3</v>
      </c>
      <c r="H518" t="n">
        <v>0</v>
      </c>
      <c r="I518" t="n">
        <v>0</v>
      </c>
      <c r="J518" t="n">
        <v>0</v>
      </c>
      <c r="K518" t="n">
        <v>0</v>
      </c>
      <c r="L518" t="n">
        <v>0</v>
      </c>
      <c r="M518" t="n">
        <v>0</v>
      </c>
      <c r="N518" t="n">
        <v>0</v>
      </c>
      <c r="O518" t="n">
        <v>0</v>
      </c>
      <c r="P518" t="n">
        <v>0</v>
      </c>
      <c r="Q518" t="n">
        <v>0</v>
      </c>
      <c r="R518" s="2" t="inlineStr"/>
    </row>
    <row r="519" ht="15" customHeight="1">
      <c r="A519" t="inlineStr">
        <is>
          <t>A 64729-2023</t>
        </is>
      </c>
      <c r="B519" s="1" t="n">
        <v>45281</v>
      </c>
      <c r="C519" s="1" t="n">
        <v>46001</v>
      </c>
      <c r="D519" t="inlineStr">
        <is>
          <t>VÄSTMANLANDS LÄN</t>
        </is>
      </c>
      <c r="E519" t="inlineStr">
        <is>
          <t>SALA</t>
        </is>
      </c>
      <c r="G519" t="n">
        <v>1.8</v>
      </c>
      <c r="H519" t="n">
        <v>0</v>
      </c>
      <c r="I519" t="n">
        <v>0</v>
      </c>
      <c r="J519" t="n">
        <v>0</v>
      </c>
      <c r="K519" t="n">
        <v>0</v>
      </c>
      <c r="L519" t="n">
        <v>0</v>
      </c>
      <c r="M519" t="n">
        <v>0</v>
      </c>
      <c r="N519" t="n">
        <v>0</v>
      </c>
      <c r="O519" t="n">
        <v>0</v>
      </c>
      <c r="P519" t="n">
        <v>0</v>
      </c>
      <c r="Q519" t="n">
        <v>0</v>
      </c>
      <c r="R519" s="2" t="inlineStr"/>
    </row>
    <row r="520" ht="15" customHeight="1">
      <c r="A520" t="inlineStr">
        <is>
          <t>A 68864-2021</t>
        </is>
      </c>
      <c r="B520" s="1" t="n">
        <v>44530</v>
      </c>
      <c r="C520" s="1" t="n">
        <v>46001</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64925-2023</t>
        </is>
      </c>
      <c r="B521" s="1" t="n">
        <v>45282</v>
      </c>
      <c r="C521" s="1" t="n">
        <v>46001</v>
      </c>
      <c r="D521" t="inlineStr">
        <is>
          <t>VÄSTMANLANDS LÄN</t>
        </is>
      </c>
      <c r="E521" t="inlineStr">
        <is>
          <t>SALA</t>
        </is>
      </c>
      <c r="G521" t="n">
        <v>2.5</v>
      </c>
      <c r="H521" t="n">
        <v>0</v>
      </c>
      <c r="I521" t="n">
        <v>0</v>
      </c>
      <c r="J521" t="n">
        <v>0</v>
      </c>
      <c r="K521" t="n">
        <v>0</v>
      </c>
      <c r="L521" t="n">
        <v>0</v>
      </c>
      <c r="M521" t="n">
        <v>0</v>
      </c>
      <c r="N521" t="n">
        <v>0</v>
      </c>
      <c r="O521" t="n">
        <v>0</v>
      </c>
      <c r="P521" t="n">
        <v>0</v>
      </c>
      <c r="Q521" t="n">
        <v>0</v>
      </c>
      <c r="R521" s="2" t="inlineStr"/>
    </row>
    <row r="522" ht="15" customHeight="1">
      <c r="A522" t="inlineStr">
        <is>
          <t>A 48570-2024</t>
        </is>
      </c>
      <c r="B522" s="1" t="n">
        <v>45591</v>
      </c>
      <c r="C522" s="1" t="n">
        <v>46001</v>
      </c>
      <c r="D522" t="inlineStr">
        <is>
          <t>VÄSTMANLANDS LÄN</t>
        </is>
      </c>
      <c r="E522" t="inlineStr">
        <is>
          <t>SALA</t>
        </is>
      </c>
      <c r="G522" t="n">
        <v>3</v>
      </c>
      <c r="H522" t="n">
        <v>0</v>
      </c>
      <c r="I522" t="n">
        <v>0</v>
      </c>
      <c r="J522" t="n">
        <v>0</v>
      </c>
      <c r="K522" t="n">
        <v>0</v>
      </c>
      <c r="L522" t="n">
        <v>0</v>
      </c>
      <c r="M522" t="n">
        <v>0</v>
      </c>
      <c r="N522" t="n">
        <v>0</v>
      </c>
      <c r="O522" t="n">
        <v>0</v>
      </c>
      <c r="P522" t="n">
        <v>0</v>
      </c>
      <c r="Q522" t="n">
        <v>0</v>
      </c>
      <c r="R522" s="2" t="inlineStr"/>
    </row>
    <row r="523" ht="15" customHeight="1">
      <c r="A523" t="inlineStr">
        <is>
          <t>A 61517-2024</t>
        </is>
      </c>
      <c r="B523" s="1" t="n">
        <v>45645</v>
      </c>
      <c r="C523" s="1" t="n">
        <v>46001</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16760-2024</t>
        </is>
      </c>
      <c r="B524" s="1" t="n">
        <v>45411</v>
      </c>
      <c r="C524" s="1" t="n">
        <v>46001</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54603-2024</t>
        </is>
      </c>
      <c r="B525" s="1" t="n">
        <v>45617.68224537037</v>
      </c>
      <c r="C525" s="1" t="n">
        <v>46001</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18762-2024</t>
        </is>
      </c>
      <c r="B526" s="1" t="n">
        <v>45426.55240740741</v>
      </c>
      <c r="C526" s="1" t="n">
        <v>46001</v>
      </c>
      <c r="D526" t="inlineStr">
        <is>
          <t>VÄSTMANLANDS LÄN</t>
        </is>
      </c>
      <c r="E526" t="inlineStr">
        <is>
          <t>SALA</t>
        </is>
      </c>
      <c r="G526" t="n">
        <v>6.2</v>
      </c>
      <c r="H526" t="n">
        <v>0</v>
      </c>
      <c r="I526" t="n">
        <v>0</v>
      </c>
      <c r="J526" t="n">
        <v>0</v>
      </c>
      <c r="K526" t="n">
        <v>0</v>
      </c>
      <c r="L526" t="n">
        <v>0</v>
      </c>
      <c r="M526" t="n">
        <v>0</v>
      </c>
      <c r="N526" t="n">
        <v>0</v>
      </c>
      <c r="O526" t="n">
        <v>0</v>
      </c>
      <c r="P526" t="n">
        <v>0</v>
      </c>
      <c r="Q526" t="n">
        <v>0</v>
      </c>
      <c r="R526" s="2" t="inlineStr"/>
    </row>
    <row r="527" ht="15" customHeight="1">
      <c r="A527" t="inlineStr">
        <is>
          <t>A 17120-2023</t>
        </is>
      </c>
      <c r="B527" s="1" t="n">
        <v>45034</v>
      </c>
      <c r="C527" s="1" t="n">
        <v>46001</v>
      </c>
      <c r="D527" t="inlineStr">
        <is>
          <t>VÄSTMANLANDS LÄN</t>
        </is>
      </c>
      <c r="E527" t="inlineStr">
        <is>
          <t>SALA</t>
        </is>
      </c>
      <c r="G527" t="n">
        <v>0.1</v>
      </c>
      <c r="H527" t="n">
        <v>0</v>
      </c>
      <c r="I527" t="n">
        <v>0</v>
      </c>
      <c r="J527" t="n">
        <v>0</v>
      </c>
      <c r="K527" t="n">
        <v>0</v>
      </c>
      <c r="L527" t="n">
        <v>0</v>
      </c>
      <c r="M527" t="n">
        <v>0</v>
      </c>
      <c r="N527" t="n">
        <v>0</v>
      </c>
      <c r="O527" t="n">
        <v>0</v>
      </c>
      <c r="P527" t="n">
        <v>0</v>
      </c>
      <c r="Q527" t="n">
        <v>0</v>
      </c>
      <c r="R527" s="2" t="inlineStr"/>
    </row>
    <row r="528" ht="15" customHeight="1">
      <c r="A528" t="inlineStr">
        <is>
          <t>A 42938-2023</t>
        </is>
      </c>
      <c r="B528" s="1" t="n">
        <v>45179</v>
      </c>
      <c r="C528" s="1" t="n">
        <v>46001</v>
      </c>
      <c r="D528" t="inlineStr">
        <is>
          <t>VÄSTMANLANDS LÄN</t>
        </is>
      </c>
      <c r="E528" t="inlineStr">
        <is>
          <t>SALA</t>
        </is>
      </c>
      <c r="G528" t="n">
        <v>10.9</v>
      </c>
      <c r="H528" t="n">
        <v>0</v>
      </c>
      <c r="I528" t="n">
        <v>0</v>
      </c>
      <c r="J528" t="n">
        <v>0</v>
      </c>
      <c r="K528" t="n">
        <v>0</v>
      </c>
      <c r="L528" t="n">
        <v>0</v>
      </c>
      <c r="M528" t="n">
        <v>0</v>
      </c>
      <c r="N528" t="n">
        <v>0</v>
      </c>
      <c r="O528" t="n">
        <v>0</v>
      </c>
      <c r="P528" t="n">
        <v>0</v>
      </c>
      <c r="Q528" t="n">
        <v>0</v>
      </c>
      <c r="R528" s="2" t="inlineStr"/>
    </row>
    <row r="529" ht="15" customHeight="1">
      <c r="A529" t="inlineStr">
        <is>
          <t>A 42984-2023</t>
        </is>
      </c>
      <c r="B529" s="1" t="n">
        <v>45179</v>
      </c>
      <c r="C529" s="1" t="n">
        <v>46001</v>
      </c>
      <c r="D529" t="inlineStr">
        <is>
          <t>VÄSTMANLANDS LÄN</t>
        </is>
      </c>
      <c r="E529" t="inlineStr">
        <is>
          <t>SALA</t>
        </is>
      </c>
      <c r="G529" t="n">
        <v>1.1</v>
      </c>
      <c r="H529" t="n">
        <v>0</v>
      </c>
      <c r="I529" t="n">
        <v>0</v>
      </c>
      <c r="J529" t="n">
        <v>0</v>
      </c>
      <c r="K529" t="n">
        <v>0</v>
      </c>
      <c r="L529" t="n">
        <v>0</v>
      </c>
      <c r="M529" t="n">
        <v>0</v>
      </c>
      <c r="N529" t="n">
        <v>0</v>
      </c>
      <c r="O529" t="n">
        <v>0</v>
      </c>
      <c r="P529" t="n">
        <v>0</v>
      </c>
      <c r="Q529" t="n">
        <v>0</v>
      </c>
      <c r="R529" s="2" t="inlineStr"/>
    </row>
    <row r="530" ht="15" customHeight="1">
      <c r="A530" t="inlineStr">
        <is>
          <t>A 15972-2024</t>
        </is>
      </c>
      <c r="B530" s="1" t="n">
        <v>45405.56498842593</v>
      </c>
      <c r="C530" s="1" t="n">
        <v>46001</v>
      </c>
      <c r="D530" t="inlineStr">
        <is>
          <t>VÄSTMANLANDS LÄN</t>
        </is>
      </c>
      <c r="E530" t="inlineStr">
        <is>
          <t>SALA</t>
        </is>
      </c>
      <c r="G530" t="n">
        <v>1.8</v>
      </c>
      <c r="H530" t="n">
        <v>0</v>
      </c>
      <c r="I530" t="n">
        <v>0</v>
      </c>
      <c r="J530" t="n">
        <v>0</v>
      </c>
      <c r="K530" t="n">
        <v>0</v>
      </c>
      <c r="L530" t="n">
        <v>0</v>
      </c>
      <c r="M530" t="n">
        <v>0</v>
      </c>
      <c r="N530" t="n">
        <v>0</v>
      </c>
      <c r="O530" t="n">
        <v>0</v>
      </c>
      <c r="P530" t="n">
        <v>0</v>
      </c>
      <c r="Q530" t="n">
        <v>0</v>
      </c>
      <c r="R530" s="2" t="inlineStr"/>
    </row>
    <row r="531" ht="15" customHeight="1">
      <c r="A531" t="inlineStr">
        <is>
          <t>A 39714-2023</t>
        </is>
      </c>
      <c r="B531" s="1" t="n">
        <v>45167.62133101852</v>
      </c>
      <c r="C531" s="1" t="n">
        <v>46001</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33527-2023</t>
        </is>
      </c>
      <c r="B532" s="1" t="n">
        <v>45131</v>
      </c>
      <c r="C532" s="1" t="n">
        <v>46001</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10913-2025</t>
        </is>
      </c>
      <c r="B533" s="1" t="n">
        <v>45722.73423611111</v>
      </c>
      <c r="C533" s="1" t="n">
        <v>46001</v>
      </c>
      <c r="D533" t="inlineStr">
        <is>
          <t>VÄSTMANLANDS LÄN</t>
        </is>
      </c>
      <c r="E533" t="inlineStr">
        <is>
          <t>SALA</t>
        </is>
      </c>
      <c r="G533" t="n">
        <v>7.6</v>
      </c>
      <c r="H533" t="n">
        <v>0</v>
      </c>
      <c r="I533" t="n">
        <v>0</v>
      </c>
      <c r="J533" t="n">
        <v>0</v>
      </c>
      <c r="K533" t="n">
        <v>0</v>
      </c>
      <c r="L533" t="n">
        <v>0</v>
      </c>
      <c r="M533" t="n">
        <v>0</v>
      </c>
      <c r="N533" t="n">
        <v>0</v>
      </c>
      <c r="O533" t="n">
        <v>0</v>
      </c>
      <c r="P533" t="n">
        <v>0</v>
      </c>
      <c r="Q533" t="n">
        <v>0</v>
      </c>
      <c r="R533" s="2" t="inlineStr"/>
    </row>
    <row r="534" ht="15" customHeight="1">
      <c r="A534" t="inlineStr">
        <is>
          <t>A 58107-2021</t>
        </is>
      </c>
      <c r="B534" s="1" t="n">
        <v>44487</v>
      </c>
      <c r="C534" s="1" t="n">
        <v>46001</v>
      </c>
      <c r="D534" t="inlineStr">
        <is>
          <t>VÄSTMANLANDS LÄN</t>
        </is>
      </c>
      <c r="E534" t="inlineStr">
        <is>
          <t>SALA</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2927-2024</t>
        </is>
      </c>
      <c r="B535" s="1" t="n">
        <v>45315.58989583333</v>
      </c>
      <c r="C535" s="1" t="n">
        <v>46001</v>
      </c>
      <c r="D535" t="inlineStr">
        <is>
          <t>VÄSTMANLANDS LÄN</t>
        </is>
      </c>
      <c r="E535" t="inlineStr">
        <is>
          <t>SALA</t>
        </is>
      </c>
      <c r="G535" t="n">
        <v>2.5</v>
      </c>
      <c r="H535" t="n">
        <v>0</v>
      </c>
      <c r="I535" t="n">
        <v>0</v>
      </c>
      <c r="J535" t="n">
        <v>0</v>
      </c>
      <c r="K535" t="n">
        <v>0</v>
      </c>
      <c r="L535" t="n">
        <v>0</v>
      </c>
      <c r="M535" t="n">
        <v>0</v>
      </c>
      <c r="N535" t="n">
        <v>0</v>
      </c>
      <c r="O535" t="n">
        <v>0</v>
      </c>
      <c r="P535" t="n">
        <v>0</v>
      </c>
      <c r="Q535" t="n">
        <v>0</v>
      </c>
      <c r="R535" s="2" t="inlineStr"/>
    </row>
    <row r="536" ht="15" customHeight="1">
      <c r="A536" t="inlineStr">
        <is>
          <t>A 37183-2024</t>
        </is>
      </c>
      <c r="B536" s="1" t="n">
        <v>45539</v>
      </c>
      <c r="C536" s="1" t="n">
        <v>46001</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54199-2024</t>
        </is>
      </c>
      <c r="B537" s="1" t="n">
        <v>45616.64703703704</v>
      </c>
      <c r="C537" s="1" t="n">
        <v>46001</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60548-2024</t>
        </is>
      </c>
      <c r="B538" s="1" t="n">
        <v>45643.80978009259</v>
      </c>
      <c r="C538" s="1" t="n">
        <v>46001</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57895-2024</t>
        </is>
      </c>
      <c r="B539" s="1" t="n">
        <v>45631</v>
      </c>
      <c r="C539" s="1" t="n">
        <v>46001</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31597-2024</t>
        </is>
      </c>
      <c r="B540" s="1" t="n">
        <v>45506</v>
      </c>
      <c r="C540" s="1" t="n">
        <v>46001</v>
      </c>
      <c r="D540" t="inlineStr">
        <is>
          <t>VÄSTMANLANDS LÄN</t>
        </is>
      </c>
      <c r="E540" t="inlineStr">
        <is>
          <t>SALA</t>
        </is>
      </c>
      <c r="G540" t="n">
        <v>2.4</v>
      </c>
      <c r="H540" t="n">
        <v>0</v>
      </c>
      <c r="I540" t="n">
        <v>0</v>
      </c>
      <c r="J540" t="n">
        <v>0</v>
      </c>
      <c r="K540" t="n">
        <v>0</v>
      </c>
      <c r="L540" t="n">
        <v>0</v>
      </c>
      <c r="M540" t="n">
        <v>0</v>
      </c>
      <c r="N540" t="n">
        <v>0</v>
      </c>
      <c r="O540" t="n">
        <v>0</v>
      </c>
      <c r="P540" t="n">
        <v>0</v>
      </c>
      <c r="Q540" t="n">
        <v>0</v>
      </c>
      <c r="R540" s="2" t="inlineStr"/>
    </row>
    <row r="541" ht="15" customHeight="1">
      <c r="A541" t="inlineStr">
        <is>
          <t>A 17458-2024</t>
        </is>
      </c>
      <c r="B541" s="1" t="n">
        <v>45415</v>
      </c>
      <c r="C541" s="1" t="n">
        <v>46001</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56543-2024</t>
        </is>
      </c>
      <c r="B542" s="1" t="n">
        <v>45625</v>
      </c>
      <c r="C542" s="1" t="n">
        <v>46001</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28661-2024</t>
        </is>
      </c>
      <c r="B543" s="1" t="n">
        <v>45478</v>
      </c>
      <c r="C543" s="1" t="n">
        <v>46001</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2529-2022</t>
        </is>
      </c>
      <c r="B544" s="1" t="n">
        <v>44579.86452546297</v>
      </c>
      <c r="C544" s="1" t="n">
        <v>46001</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56540-2024</t>
        </is>
      </c>
      <c r="B545" s="1" t="n">
        <v>45625</v>
      </c>
      <c r="C545" s="1" t="n">
        <v>46001</v>
      </c>
      <c r="D545" t="inlineStr">
        <is>
          <t>VÄSTMANLANDS LÄN</t>
        </is>
      </c>
      <c r="E545" t="inlineStr">
        <is>
          <t>SALA</t>
        </is>
      </c>
      <c r="G545" t="n">
        <v>1.8</v>
      </c>
      <c r="H545" t="n">
        <v>0</v>
      </c>
      <c r="I545" t="n">
        <v>0</v>
      </c>
      <c r="J545" t="n">
        <v>0</v>
      </c>
      <c r="K545" t="n">
        <v>0</v>
      </c>
      <c r="L545" t="n">
        <v>0</v>
      </c>
      <c r="M545" t="n">
        <v>0</v>
      </c>
      <c r="N545" t="n">
        <v>0</v>
      </c>
      <c r="O545" t="n">
        <v>0</v>
      </c>
      <c r="P545" t="n">
        <v>0</v>
      </c>
      <c r="Q545" t="n">
        <v>0</v>
      </c>
      <c r="R545" s="2" t="inlineStr"/>
    </row>
    <row r="546" ht="15" customHeight="1">
      <c r="A546" t="inlineStr">
        <is>
          <t>A 31599-2024</t>
        </is>
      </c>
      <c r="B546" s="1" t="n">
        <v>45506</v>
      </c>
      <c r="C546" s="1" t="n">
        <v>46001</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31601-2024</t>
        </is>
      </c>
      <c r="B547" s="1" t="n">
        <v>45506</v>
      </c>
      <c r="C547" s="1" t="n">
        <v>46001</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31608-2024</t>
        </is>
      </c>
      <c r="B548" s="1" t="n">
        <v>45506</v>
      </c>
      <c r="C548" s="1" t="n">
        <v>46001</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31612-2024</t>
        </is>
      </c>
      <c r="B549" s="1" t="n">
        <v>45506</v>
      </c>
      <c r="C549" s="1" t="n">
        <v>46001</v>
      </c>
      <c r="D549" t="inlineStr">
        <is>
          <t>VÄSTMANLANDS LÄN</t>
        </is>
      </c>
      <c r="E549" t="inlineStr">
        <is>
          <t>SALA</t>
        </is>
      </c>
      <c r="G549" t="n">
        <v>3.2</v>
      </c>
      <c r="H549" t="n">
        <v>0</v>
      </c>
      <c r="I549" t="n">
        <v>0</v>
      </c>
      <c r="J549" t="n">
        <v>0</v>
      </c>
      <c r="K549" t="n">
        <v>0</v>
      </c>
      <c r="L549" t="n">
        <v>0</v>
      </c>
      <c r="M549" t="n">
        <v>0</v>
      </c>
      <c r="N549" t="n">
        <v>0</v>
      </c>
      <c r="O549" t="n">
        <v>0</v>
      </c>
      <c r="P549" t="n">
        <v>0</v>
      </c>
      <c r="Q549" t="n">
        <v>0</v>
      </c>
      <c r="R549" s="2" t="inlineStr"/>
    </row>
    <row r="550" ht="15" customHeight="1">
      <c r="A550" t="inlineStr">
        <is>
          <t>A 10579-2022</t>
        </is>
      </c>
      <c r="B550" s="1" t="n">
        <v>44624</v>
      </c>
      <c r="C550" s="1" t="n">
        <v>46001</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64693-2023</t>
        </is>
      </c>
      <c r="B551" s="1" t="n">
        <v>45281.63850694444</v>
      </c>
      <c r="C551" s="1" t="n">
        <v>46001</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64695-2023</t>
        </is>
      </c>
      <c r="B552" s="1" t="n">
        <v>45281.64099537037</v>
      </c>
      <c r="C552" s="1" t="n">
        <v>46001</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55784-2024</t>
        </is>
      </c>
      <c r="B553" s="1" t="n">
        <v>45623</v>
      </c>
      <c r="C553" s="1" t="n">
        <v>46001</v>
      </c>
      <c r="D553" t="inlineStr">
        <is>
          <t>VÄSTMANLANDS LÄN</t>
        </is>
      </c>
      <c r="E553" t="inlineStr">
        <is>
          <t>SALA</t>
        </is>
      </c>
      <c r="F553" t="inlineStr">
        <is>
          <t>Bergvik skog öst AB</t>
        </is>
      </c>
      <c r="G553" t="n">
        <v>28.4</v>
      </c>
      <c r="H553" t="n">
        <v>0</v>
      </c>
      <c r="I553" t="n">
        <v>0</v>
      </c>
      <c r="J553" t="n">
        <v>0</v>
      </c>
      <c r="K553" t="n">
        <v>0</v>
      </c>
      <c r="L553" t="n">
        <v>0</v>
      </c>
      <c r="M553" t="n">
        <v>0</v>
      </c>
      <c r="N553" t="n">
        <v>0</v>
      </c>
      <c r="O553" t="n">
        <v>0</v>
      </c>
      <c r="P553" t="n">
        <v>0</v>
      </c>
      <c r="Q553" t="n">
        <v>0</v>
      </c>
      <c r="R553" s="2" t="inlineStr"/>
    </row>
    <row r="554" ht="15" customHeight="1">
      <c r="A554" t="inlineStr">
        <is>
          <t>A 29542-2023</t>
        </is>
      </c>
      <c r="B554" s="1" t="n">
        <v>45098</v>
      </c>
      <c r="C554" s="1" t="n">
        <v>46001</v>
      </c>
      <c r="D554" t="inlineStr">
        <is>
          <t>VÄSTMANLANDS LÄN</t>
        </is>
      </c>
      <c r="E554" t="inlineStr">
        <is>
          <t>SALA</t>
        </is>
      </c>
      <c r="G554" t="n">
        <v>4.8</v>
      </c>
      <c r="H554" t="n">
        <v>0</v>
      </c>
      <c r="I554" t="n">
        <v>0</v>
      </c>
      <c r="J554" t="n">
        <v>0</v>
      </c>
      <c r="K554" t="n">
        <v>0</v>
      </c>
      <c r="L554" t="n">
        <v>0</v>
      </c>
      <c r="M554" t="n">
        <v>0</v>
      </c>
      <c r="N554" t="n">
        <v>0</v>
      </c>
      <c r="O554" t="n">
        <v>0</v>
      </c>
      <c r="P554" t="n">
        <v>0</v>
      </c>
      <c r="Q554" t="n">
        <v>0</v>
      </c>
      <c r="R554" s="2" t="inlineStr"/>
    </row>
    <row r="555" ht="15" customHeight="1">
      <c r="A555" t="inlineStr">
        <is>
          <t>A 27038-2023</t>
        </is>
      </c>
      <c r="B555" s="1" t="n">
        <v>45095</v>
      </c>
      <c r="C555" s="1" t="n">
        <v>46001</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66821-2020</t>
        </is>
      </c>
      <c r="B556" s="1" t="n">
        <v>44179.88008101852</v>
      </c>
      <c r="C556" s="1" t="n">
        <v>46001</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17051-2025</t>
        </is>
      </c>
      <c r="B557" s="1" t="n">
        <v>45755</v>
      </c>
      <c r="C557" s="1" t="n">
        <v>46001</v>
      </c>
      <c r="D557" t="inlineStr">
        <is>
          <t>VÄSTMANLANDS LÄN</t>
        </is>
      </c>
      <c r="E557" t="inlineStr">
        <is>
          <t>SALA</t>
        </is>
      </c>
      <c r="G557" t="n">
        <v>2.9</v>
      </c>
      <c r="H557" t="n">
        <v>0</v>
      </c>
      <c r="I557" t="n">
        <v>0</v>
      </c>
      <c r="J557" t="n">
        <v>0</v>
      </c>
      <c r="K557" t="n">
        <v>0</v>
      </c>
      <c r="L557" t="n">
        <v>0</v>
      </c>
      <c r="M557" t="n">
        <v>0</v>
      </c>
      <c r="N557" t="n">
        <v>0</v>
      </c>
      <c r="O557" t="n">
        <v>0</v>
      </c>
      <c r="P557" t="n">
        <v>0</v>
      </c>
      <c r="Q557" t="n">
        <v>0</v>
      </c>
      <c r="R557" s="2" t="inlineStr"/>
    </row>
    <row r="558" ht="15" customHeight="1">
      <c r="A558" t="inlineStr">
        <is>
          <t>A 8285-2025</t>
        </is>
      </c>
      <c r="B558" s="1" t="n">
        <v>45708</v>
      </c>
      <c r="C558" s="1" t="n">
        <v>46001</v>
      </c>
      <c r="D558" t="inlineStr">
        <is>
          <t>VÄSTMANLANDS LÄN</t>
        </is>
      </c>
      <c r="E558" t="inlineStr">
        <is>
          <t>SALA</t>
        </is>
      </c>
      <c r="G558" t="n">
        <v>5.7</v>
      </c>
      <c r="H558" t="n">
        <v>0</v>
      </c>
      <c r="I558" t="n">
        <v>0</v>
      </c>
      <c r="J558" t="n">
        <v>0</v>
      </c>
      <c r="K558" t="n">
        <v>0</v>
      </c>
      <c r="L558" t="n">
        <v>0</v>
      </c>
      <c r="M558" t="n">
        <v>0</v>
      </c>
      <c r="N558" t="n">
        <v>0</v>
      </c>
      <c r="O558" t="n">
        <v>0</v>
      </c>
      <c r="P558" t="n">
        <v>0</v>
      </c>
      <c r="Q558" t="n">
        <v>0</v>
      </c>
      <c r="R558" s="2" t="inlineStr"/>
    </row>
    <row r="559" ht="15" customHeight="1">
      <c r="A559" t="inlineStr">
        <is>
          <t>A 14010-2021</t>
        </is>
      </c>
      <c r="B559" s="1" t="n">
        <v>44277.63396990741</v>
      </c>
      <c r="C559" s="1" t="n">
        <v>46001</v>
      </c>
      <c r="D559" t="inlineStr">
        <is>
          <t>VÄSTMANLANDS LÄN</t>
        </is>
      </c>
      <c r="E559" t="inlineStr">
        <is>
          <t>SALA</t>
        </is>
      </c>
      <c r="G559" t="n">
        <v>3.5</v>
      </c>
      <c r="H559" t="n">
        <v>0</v>
      </c>
      <c r="I559" t="n">
        <v>0</v>
      </c>
      <c r="J559" t="n">
        <v>0</v>
      </c>
      <c r="K559" t="n">
        <v>0</v>
      </c>
      <c r="L559" t="n">
        <v>0</v>
      </c>
      <c r="M559" t="n">
        <v>0</v>
      </c>
      <c r="N559" t="n">
        <v>0</v>
      </c>
      <c r="O559" t="n">
        <v>0</v>
      </c>
      <c r="P559" t="n">
        <v>0</v>
      </c>
      <c r="Q559" t="n">
        <v>0</v>
      </c>
      <c r="R559" s="2" t="inlineStr"/>
    </row>
    <row r="560" ht="15" customHeight="1">
      <c r="A560" t="inlineStr">
        <is>
          <t>A 22019-2021</t>
        </is>
      </c>
      <c r="B560" s="1" t="n">
        <v>44323</v>
      </c>
      <c r="C560" s="1" t="n">
        <v>46001</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57404-2024</t>
        </is>
      </c>
      <c r="B561" s="1" t="n">
        <v>45629.71967592592</v>
      </c>
      <c r="C561" s="1" t="n">
        <v>46001</v>
      </c>
      <c r="D561" t="inlineStr">
        <is>
          <t>VÄSTMANLANDS LÄN</t>
        </is>
      </c>
      <c r="E561" t="inlineStr">
        <is>
          <t>SALA</t>
        </is>
      </c>
      <c r="G561" t="n">
        <v>0.3</v>
      </c>
      <c r="H561" t="n">
        <v>0</v>
      </c>
      <c r="I561" t="n">
        <v>0</v>
      </c>
      <c r="J561" t="n">
        <v>0</v>
      </c>
      <c r="K561" t="n">
        <v>0</v>
      </c>
      <c r="L561" t="n">
        <v>0</v>
      </c>
      <c r="M561" t="n">
        <v>0</v>
      </c>
      <c r="N561" t="n">
        <v>0</v>
      </c>
      <c r="O561" t="n">
        <v>0</v>
      </c>
      <c r="P561" t="n">
        <v>0</v>
      </c>
      <c r="Q561" t="n">
        <v>0</v>
      </c>
      <c r="R561" s="2" t="inlineStr"/>
    </row>
    <row r="562" ht="15" customHeight="1">
      <c r="A562" t="inlineStr">
        <is>
          <t>A 21777-2022</t>
        </is>
      </c>
      <c r="B562" s="1" t="n">
        <v>44708.48194444444</v>
      </c>
      <c r="C562" s="1" t="n">
        <v>46001</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17866-2025</t>
        </is>
      </c>
      <c r="B563" s="1" t="n">
        <v>45758</v>
      </c>
      <c r="C563" s="1" t="n">
        <v>46001</v>
      </c>
      <c r="D563" t="inlineStr">
        <is>
          <t>VÄSTMANLANDS LÄN</t>
        </is>
      </c>
      <c r="E563" t="inlineStr">
        <is>
          <t>SALA</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33732-2023</t>
        </is>
      </c>
      <c r="B564" s="1" t="n">
        <v>45133.32409722222</v>
      </c>
      <c r="C564" s="1" t="n">
        <v>46001</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7166-2025</t>
        </is>
      </c>
      <c r="B565" s="1" t="n">
        <v>45702</v>
      </c>
      <c r="C565" s="1" t="n">
        <v>46001</v>
      </c>
      <c r="D565" t="inlineStr">
        <is>
          <t>VÄSTMANLANDS LÄN</t>
        </is>
      </c>
      <c r="E565" t="inlineStr">
        <is>
          <t>SALA</t>
        </is>
      </c>
      <c r="G565" t="n">
        <v>6.1</v>
      </c>
      <c r="H565" t="n">
        <v>0</v>
      </c>
      <c r="I565" t="n">
        <v>0</v>
      </c>
      <c r="J565" t="n">
        <v>0</v>
      </c>
      <c r="K565" t="n">
        <v>0</v>
      </c>
      <c r="L565" t="n">
        <v>0</v>
      </c>
      <c r="M565" t="n">
        <v>0</v>
      </c>
      <c r="N565" t="n">
        <v>0</v>
      </c>
      <c r="O565" t="n">
        <v>0</v>
      </c>
      <c r="P565" t="n">
        <v>0</v>
      </c>
      <c r="Q565" t="n">
        <v>0</v>
      </c>
      <c r="R565" s="2" t="inlineStr"/>
    </row>
    <row r="566" ht="15" customHeight="1">
      <c r="A566" t="inlineStr">
        <is>
          <t>A 44857-2023</t>
        </is>
      </c>
      <c r="B566" s="1" t="n">
        <v>45190.58479166667</v>
      </c>
      <c r="C566" s="1" t="n">
        <v>46001</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46352-2023</t>
        </is>
      </c>
      <c r="B567" s="1" t="n">
        <v>45192</v>
      </c>
      <c r="C567" s="1" t="n">
        <v>46001</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22397-2022</t>
        </is>
      </c>
      <c r="B568" s="1" t="n">
        <v>44713</v>
      </c>
      <c r="C568" s="1" t="n">
        <v>46001</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27424-2023</t>
        </is>
      </c>
      <c r="B569" s="1" t="n">
        <v>45097.37690972222</v>
      </c>
      <c r="C569" s="1" t="n">
        <v>46001</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7469-2025</t>
        </is>
      </c>
      <c r="B570" s="1" t="n">
        <v>45705</v>
      </c>
      <c r="C570" s="1" t="n">
        <v>46001</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6691-2025</t>
        </is>
      </c>
      <c r="B571" s="1" t="n">
        <v>45700.50625</v>
      </c>
      <c r="C571" s="1" t="n">
        <v>46001</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60036-2024</t>
        </is>
      </c>
      <c r="B572" s="1" t="n">
        <v>45642.46434027778</v>
      </c>
      <c r="C572" s="1" t="n">
        <v>46001</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43188-2023</t>
        </is>
      </c>
      <c r="B573" s="1" t="n">
        <v>45183</v>
      </c>
      <c r="C573" s="1" t="n">
        <v>46001</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43205-2023</t>
        </is>
      </c>
      <c r="B574" s="1" t="n">
        <v>45183</v>
      </c>
      <c r="C574" s="1" t="n">
        <v>46001</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28827-2022</t>
        </is>
      </c>
      <c r="B575" s="1" t="n">
        <v>44749.45561342593</v>
      </c>
      <c r="C575" s="1" t="n">
        <v>46001</v>
      </c>
      <c r="D575" t="inlineStr">
        <is>
          <t>VÄSTMANLANDS LÄN</t>
        </is>
      </c>
      <c r="E575" t="inlineStr">
        <is>
          <t>SALA</t>
        </is>
      </c>
      <c r="F575" t="inlineStr">
        <is>
          <t>Kommuner</t>
        </is>
      </c>
      <c r="G575" t="n">
        <v>11.9</v>
      </c>
      <c r="H575" t="n">
        <v>0</v>
      </c>
      <c r="I575" t="n">
        <v>0</v>
      </c>
      <c r="J575" t="n">
        <v>0</v>
      </c>
      <c r="K575" t="n">
        <v>0</v>
      </c>
      <c r="L575" t="n">
        <v>0</v>
      </c>
      <c r="M575" t="n">
        <v>0</v>
      </c>
      <c r="N575" t="n">
        <v>0</v>
      </c>
      <c r="O575" t="n">
        <v>0</v>
      </c>
      <c r="P575" t="n">
        <v>0</v>
      </c>
      <c r="Q575" t="n">
        <v>0</v>
      </c>
      <c r="R575" s="2" t="inlineStr"/>
    </row>
    <row r="576" ht="15" customHeight="1">
      <c r="A576" t="inlineStr">
        <is>
          <t>A 15756-2025</t>
        </is>
      </c>
      <c r="B576" s="1" t="n">
        <v>45748.56810185185</v>
      </c>
      <c r="C576" s="1" t="n">
        <v>46001</v>
      </c>
      <c r="D576" t="inlineStr">
        <is>
          <t>VÄSTMANLANDS LÄN</t>
        </is>
      </c>
      <c r="E576" t="inlineStr">
        <is>
          <t>SALA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19243-2025</t>
        </is>
      </c>
      <c r="B577" s="1" t="n">
        <v>45769</v>
      </c>
      <c r="C577" s="1" t="n">
        <v>46001</v>
      </c>
      <c r="D577" t="inlineStr">
        <is>
          <t>VÄSTMANLANDS LÄN</t>
        </is>
      </c>
      <c r="E577" t="inlineStr">
        <is>
          <t>SALA</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59297-2023</t>
        </is>
      </c>
      <c r="B578" s="1" t="n">
        <v>45253</v>
      </c>
      <c r="C578" s="1" t="n">
        <v>46001</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6136-2025</t>
        </is>
      </c>
      <c r="B579" s="1" t="n">
        <v>45698.37601851852</v>
      </c>
      <c r="C579" s="1" t="n">
        <v>46001</v>
      </c>
      <c r="D579" t="inlineStr">
        <is>
          <t>VÄSTMANLANDS LÄN</t>
        </is>
      </c>
      <c r="E579" t="inlineStr">
        <is>
          <t>SALA</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6190-2025</t>
        </is>
      </c>
      <c r="B580" s="1" t="n">
        <v>45698</v>
      </c>
      <c r="C580" s="1" t="n">
        <v>46001</v>
      </c>
      <c r="D580" t="inlineStr">
        <is>
          <t>VÄSTMANLANDS LÄN</t>
        </is>
      </c>
      <c r="E580" t="inlineStr">
        <is>
          <t>SALA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28863-2022</t>
        </is>
      </c>
      <c r="B581" s="1" t="n">
        <v>44749.50649305555</v>
      </c>
      <c r="C581" s="1" t="n">
        <v>46001</v>
      </c>
      <c r="D581" t="inlineStr">
        <is>
          <t>VÄSTMANLANDS LÄN</t>
        </is>
      </c>
      <c r="E581" t="inlineStr">
        <is>
          <t>SALA</t>
        </is>
      </c>
      <c r="G581" t="n">
        <v>1.6</v>
      </c>
      <c r="H581" t="n">
        <v>0</v>
      </c>
      <c r="I581" t="n">
        <v>0</v>
      </c>
      <c r="J581" t="n">
        <v>0</v>
      </c>
      <c r="K581" t="n">
        <v>0</v>
      </c>
      <c r="L581" t="n">
        <v>0</v>
      </c>
      <c r="M581" t="n">
        <v>0</v>
      </c>
      <c r="N581" t="n">
        <v>0</v>
      </c>
      <c r="O581" t="n">
        <v>0</v>
      </c>
      <c r="P581" t="n">
        <v>0</v>
      </c>
      <c r="Q581" t="n">
        <v>0</v>
      </c>
      <c r="R581" s="2" t="inlineStr"/>
    </row>
    <row r="582" ht="15" customHeight="1">
      <c r="A582" t="inlineStr">
        <is>
          <t>A 25541-2024</t>
        </is>
      </c>
      <c r="B582" s="1" t="n">
        <v>45463.56337962963</v>
      </c>
      <c r="C582" s="1" t="n">
        <v>46001</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29213-2022</t>
        </is>
      </c>
      <c r="B583" s="1" t="n">
        <v>44750.57474537037</v>
      </c>
      <c r="C583" s="1" t="n">
        <v>46001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56964-2023</t>
        </is>
      </c>
      <c r="B584" s="1" t="n">
        <v>45244.63140046296</v>
      </c>
      <c r="C584" s="1" t="n">
        <v>46001</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1555-2024</t>
        </is>
      </c>
      <c r="B585" s="1" t="n">
        <v>45306</v>
      </c>
      <c r="C585" s="1" t="n">
        <v>46001</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13188-2025</t>
        </is>
      </c>
      <c r="B586" s="1" t="n">
        <v>45735.39246527778</v>
      </c>
      <c r="C586" s="1" t="n">
        <v>46001</v>
      </c>
      <c r="D586" t="inlineStr">
        <is>
          <t>VÄSTMANLANDS LÄN</t>
        </is>
      </c>
      <c r="E586" t="inlineStr">
        <is>
          <t>SALA</t>
        </is>
      </c>
      <c r="F586" t="inlineStr">
        <is>
          <t>Naturvårdsverket</t>
        </is>
      </c>
      <c r="G586" t="n">
        <v>18.4</v>
      </c>
      <c r="H586" t="n">
        <v>0</v>
      </c>
      <c r="I586" t="n">
        <v>0</v>
      </c>
      <c r="J586" t="n">
        <v>0</v>
      </c>
      <c r="K586" t="n">
        <v>0</v>
      </c>
      <c r="L586" t="n">
        <v>0</v>
      </c>
      <c r="M586" t="n">
        <v>0</v>
      </c>
      <c r="N586" t="n">
        <v>0</v>
      </c>
      <c r="O586" t="n">
        <v>0</v>
      </c>
      <c r="P586" t="n">
        <v>0</v>
      </c>
      <c r="Q586" t="n">
        <v>0</v>
      </c>
      <c r="R586" s="2" t="inlineStr"/>
    </row>
    <row r="587" ht="15" customHeight="1">
      <c r="A587" t="inlineStr">
        <is>
          <t>A 7197-2025</t>
        </is>
      </c>
      <c r="B587" s="1" t="n">
        <v>45702</v>
      </c>
      <c r="C587" s="1" t="n">
        <v>46001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15099-2025</t>
        </is>
      </c>
      <c r="B588" s="1" t="n">
        <v>45744.3434837963</v>
      </c>
      <c r="C588" s="1" t="n">
        <v>46001</v>
      </c>
      <c r="D588" t="inlineStr">
        <is>
          <t>VÄSTMANLANDS LÄN</t>
        </is>
      </c>
      <c r="E588" t="inlineStr">
        <is>
          <t>SALA</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2928-2024</t>
        </is>
      </c>
      <c r="B589" s="1" t="n">
        <v>45315.59041666667</v>
      </c>
      <c r="C589" s="1" t="n">
        <v>46001</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9962-2025</t>
        </is>
      </c>
      <c r="B590" s="1" t="n">
        <v>45719.37072916667</v>
      </c>
      <c r="C590" s="1" t="n">
        <v>46001</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14024-2025</t>
        </is>
      </c>
      <c r="B591" s="1" t="n">
        <v>45740.34650462963</v>
      </c>
      <c r="C591" s="1" t="n">
        <v>46001</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3551-2024</t>
        </is>
      </c>
      <c r="B592" s="1" t="n">
        <v>45320.61099537037</v>
      </c>
      <c r="C592" s="1" t="n">
        <v>46001</v>
      </c>
      <c r="D592" t="inlineStr">
        <is>
          <t>VÄSTMANLANDS LÄN</t>
        </is>
      </c>
      <c r="E592" t="inlineStr">
        <is>
          <t>SALA</t>
        </is>
      </c>
      <c r="F592" t="inlineStr">
        <is>
          <t>Kommuner</t>
        </is>
      </c>
      <c r="G592" t="n">
        <v>6</v>
      </c>
      <c r="H592" t="n">
        <v>0</v>
      </c>
      <c r="I592" t="n">
        <v>0</v>
      </c>
      <c r="J592" t="n">
        <v>0</v>
      </c>
      <c r="K592" t="n">
        <v>0</v>
      </c>
      <c r="L592" t="n">
        <v>0</v>
      </c>
      <c r="M592" t="n">
        <v>0</v>
      </c>
      <c r="N592" t="n">
        <v>0</v>
      </c>
      <c r="O592" t="n">
        <v>0</v>
      </c>
      <c r="P592" t="n">
        <v>0</v>
      </c>
      <c r="Q592" t="n">
        <v>0</v>
      </c>
      <c r="R592" s="2" t="inlineStr"/>
    </row>
    <row r="593" ht="15" customHeight="1">
      <c r="A593" t="inlineStr">
        <is>
          <t>A 62635-2022</t>
        </is>
      </c>
      <c r="B593" s="1" t="n">
        <v>44917</v>
      </c>
      <c r="C593" s="1" t="n">
        <v>46001</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19304-2025</t>
        </is>
      </c>
      <c r="B594" s="1" t="n">
        <v>45769</v>
      </c>
      <c r="C594" s="1" t="n">
        <v>46001</v>
      </c>
      <c r="D594" t="inlineStr">
        <is>
          <t>VÄSTMANLANDS LÄN</t>
        </is>
      </c>
      <c r="E594" t="inlineStr">
        <is>
          <t>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56057-2023</t>
        </is>
      </c>
      <c r="B595" s="1" t="n">
        <v>45233</v>
      </c>
      <c r="C595" s="1" t="n">
        <v>46001</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55024-2023</t>
        </is>
      </c>
      <c r="B596" s="1" t="n">
        <v>45229</v>
      </c>
      <c r="C596" s="1" t="n">
        <v>46001</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55032-2023</t>
        </is>
      </c>
      <c r="B597" s="1" t="n">
        <v>45229</v>
      </c>
      <c r="C597" s="1" t="n">
        <v>46001</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29248-2022</t>
        </is>
      </c>
      <c r="B598" s="1" t="n">
        <v>44750</v>
      </c>
      <c r="C598" s="1" t="n">
        <v>46001</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44904.48502314815</v>
      </c>
      <c r="C599" s="1" t="n">
        <v>46001</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39451-2022</t>
        </is>
      </c>
      <c r="B600" s="1" t="n">
        <v>44818.36606481481</v>
      </c>
      <c r="C600" s="1" t="n">
        <v>46001</v>
      </c>
      <c r="D600" t="inlineStr">
        <is>
          <t>VÄSTMANLANDS LÄN</t>
        </is>
      </c>
      <c r="E600" t="inlineStr">
        <is>
          <t>SALA</t>
        </is>
      </c>
      <c r="G600" t="n">
        <v>9.4</v>
      </c>
      <c r="H600" t="n">
        <v>0</v>
      </c>
      <c r="I600" t="n">
        <v>0</v>
      </c>
      <c r="J600" t="n">
        <v>0</v>
      </c>
      <c r="K600" t="n">
        <v>0</v>
      </c>
      <c r="L600" t="n">
        <v>0</v>
      </c>
      <c r="M600" t="n">
        <v>0</v>
      </c>
      <c r="N600" t="n">
        <v>0</v>
      </c>
      <c r="O600" t="n">
        <v>0</v>
      </c>
      <c r="P600" t="n">
        <v>0</v>
      </c>
      <c r="Q600" t="n">
        <v>0</v>
      </c>
      <c r="R600" s="2" t="inlineStr"/>
    </row>
    <row r="601" ht="15" customHeight="1">
      <c r="A601" t="inlineStr">
        <is>
          <t>A 11631-2023</t>
        </is>
      </c>
      <c r="B601" s="1" t="n">
        <v>44994.44001157407</v>
      </c>
      <c r="C601" s="1" t="n">
        <v>46001</v>
      </c>
      <c r="D601" t="inlineStr">
        <is>
          <t>VÄSTMANLANDS LÄN</t>
        </is>
      </c>
      <c r="E601" t="inlineStr">
        <is>
          <t>SALA</t>
        </is>
      </c>
      <c r="F601" t="inlineStr">
        <is>
          <t>Kommuner</t>
        </is>
      </c>
      <c r="G601" t="n">
        <v>1.9</v>
      </c>
      <c r="H601" t="n">
        <v>0</v>
      </c>
      <c r="I601" t="n">
        <v>0</v>
      </c>
      <c r="J601" t="n">
        <v>0</v>
      </c>
      <c r="K601" t="n">
        <v>0</v>
      </c>
      <c r="L601" t="n">
        <v>0</v>
      </c>
      <c r="M601" t="n">
        <v>0</v>
      </c>
      <c r="N601" t="n">
        <v>0</v>
      </c>
      <c r="O601" t="n">
        <v>0</v>
      </c>
      <c r="P601" t="n">
        <v>0</v>
      </c>
      <c r="Q601" t="n">
        <v>0</v>
      </c>
      <c r="R601" s="2" t="inlineStr"/>
    </row>
    <row r="602" ht="15" customHeight="1">
      <c r="A602" t="inlineStr">
        <is>
          <t>A 62648-2022</t>
        </is>
      </c>
      <c r="B602" s="1" t="n">
        <v>44917</v>
      </c>
      <c r="C602" s="1" t="n">
        <v>46001</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1934-2023</t>
        </is>
      </c>
      <c r="B603" s="1" t="n">
        <v>44939.43024305555</v>
      </c>
      <c r="C603" s="1" t="n">
        <v>46001</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11927-2025</t>
        </is>
      </c>
      <c r="B604" s="1" t="n">
        <v>45728.5137962963</v>
      </c>
      <c r="C604" s="1" t="n">
        <v>46001</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60823-2024</t>
        </is>
      </c>
      <c r="B605" s="1" t="n">
        <v>45644</v>
      </c>
      <c r="C605" s="1" t="n">
        <v>46001</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96-2024</t>
        </is>
      </c>
      <c r="B606" s="1" t="n">
        <v>45293.85872685185</v>
      </c>
      <c r="C606" s="1" t="n">
        <v>46001</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23374-2023</t>
        </is>
      </c>
      <c r="B607" s="1" t="n">
        <v>45076.4399537037</v>
      </c>
      <c r="C607" s="1" t="n">
        <v>46001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61874-2021</t>
        </is>
      </c>
      <c r="B608" s="1" t="n">
        <v>44502</v>
      </c>
      <c r="C608" s="1" t="n">
        <v>46001</v>
      </c>
      <c r="D608" t="inlineStr">
        <is>
          <t>VÄSTMANLANDS LÄN</t>
        </is>
      </c>
      <c r="E608" t="inlineStr">
        <is>
          <t>SALA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9856-2022</t>
        </is>
      </c>
      <c r="B609" s="1" t="n">
        <v>44620</v>
      </c>
      <c r="C609" s="1" t="n">
        <v>46001</v>
      </c>
      <c r="D609" t="inlineStr">
        <is>
          <t>VÄSTMANLANDS LÄN</t>
        </is>
      </c>
      <c r="E609" t="inlineStr">
        <is>
          <t>SALA</t>
        </is>
      </c>
      <c r="G609" t="n">
        <v>2.4</v>
      </c>
      <c r="H609" t="n">
        <v>0</v>
      </c>
      <c r="I609" t="n">
        <v>0</v>
      </c>
      <c r="J609" t="n">
        <v>0</v>
      </c>
      <c r="K609" t="n">
        <v>0</v>
      </c>
      <c r="L609" t="n">
        <v>0</v>
      </c>
      <c r="M609" t="n">
        <v>0</v>
      </c>
      <c r="N609" t="n">
        <v>0</v>
      </c>
      <c r="O609" t="n">
        <v>0</v>
      </c>
      <c r="P609" t="n">
        <v>0</v>
      </c>
      <c r="Q609" t="n">
        <v>0</v>
      </c>
      <c r="R609" s="2" t="inlineStr"/>
    </row>
    <row r="610" ht="15" customHeight="1">
      <c r="A610" t="inlineStr">
        <is>
          <t>A 16159-2024</t>
        </is>
      </c>
      <c r="B610" s="1" t="n">
        <v>45406</v>
      </c>
      <c r="C610" s="1" t="n">
        <v>46001</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50241-2023</t>
        </is>
      </c>
      <c r="B611" s="1" t="n">
        <v>45216</v>
      </c>
      <c r="C611" s="1" t="n">
        <v>46001</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3332-2024</t>
        </is>
      </c>
      <c r="B612" s="1" t="n">
        <v>45317</v>
      </c>
      <c r="C612" s="1" t="n">
        <v>46001</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35637-2022</t>
        </is>
      </c>
      <c r="B613" s="1" t="n">
        <v>44799.55194444444</v>
      </c>
      <c r="C613" s="1" t="n">
        <v>46001</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19033-2025</t>
        </is>
      </c>
      <c r="B614" s="1" t="n">
        <v>45764.65796296296</v>
      </c>
      <c r="C614" s="1" t="n">
        <v>46001</v>
      </c>
      <c r="D614" t="inlineStr">
        <is>
          <t>VÄSTMANLANDS LÄN</t>
        </is>
      </c>
      <c r="E614" t="inlineStr">
        <is>
          <t>SALA</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57883-2024</t>
        </is>
      </c>
      <c r="B615" s="1" t="n">
        <v>45630</v>
      </c>
      <c r="C615" s="1" t="n">
        <v>46001</v>
      </c>
      <c r="D615" t="inlineStr">
        <is>
          <t>VÄSTMANLANDS LÄN</t>
        </is>
      </c>
      <c r="E615" t="inlineStr">
        <is>
          <t>SALA</t>
        </is>
      </c>
      <c r="G615" t="n">
        <v>5.4</v>
      </c>
      <c r="H615" t="n">
        <v>0</v>
      </c>
      <c r="I615" t="n">
        <v>0</v>
      </c>
      <c r="J615" t="n">
        <v>0</v>
      </c>
      <c r="K615" t="n">
        <v>0</v>
      </c>
      <c r="L615" t="n">
        <v>0</v>
      </c>
      <c r="M615" t="n">
        <v>0</v>
      </c>
      <c r="N615" t="n">
        <v>0</v>
      </c>
      <c r="O615" t="n">
        <v>0</v>
      </c>
      <c r="P615" t="n">
        <v>0</v>
      </c>
      <c r="Q615" t="n">
        <v>0</v>
      </c>
      <c r="R615" s="2" t="inlineStr"/>
    </row>
    <row r="616" ht="15" customHeight="1">
      <c r="A616" t="inlineStr">
        <is>
          <t>A 50876-2023</t>
        </is>
      </c>
      <c r="B616" s="1" t="n">
        <v>45211</v>
      </c>
      <c r="C616" s="1" t="n">
        <v>46001</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37624-2024</t>
        </is>
      </c>
      <c r="B617" s="1" t="n">
        <v>45541</v>
      </c>
      <c r="C617" s="1" t="n">
        <v>46001</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40398-2021</t>
        </is>
      </c>
      <c r="B618" s="1" t="n">
        <v>44419</v>
      </c>
      <c r="C618" s="1" t="n">
        <v>46001</v>
      </c>
      <c r="D618" t="inlineStr">
        <is>
          <t>VÄSTMANLANDS LÄN</t>
        </is>
      </c>
      <c r="E618" t="inlineStr">
        <is>
          <t>SALA</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6351-2023</t>
        </is>
      </c>
      <c r="B619" s="1" t="n">
        <v>44965</v>
      </c>
      <c r="C619" s="1" t="n">
        <v>46001</v>
      </c>
      <c r="D619" t="inlineStr">
        <is>
          <t>VÄSTMANLANDS LÄN</t>
        </is>
      </c>
      <c r="E619" t="inlineStr">
        <is>
          <t>SALA</t>
        </is>
      </c>
      <c r="F619" t="inlineStr">
        <is>
          <t>Kommuner</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27262-2024</t>
        </is>
      </c>
      <c r="B620" s="1" t="n">
        <v>45471</v>
      </c>
      <c r="C620" s="1" t="n">
        <v>46001</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15584-2021</t>
        </is>
      </c>
      <c r="B621" s="1" t="n">
        <v>44285</v>
      </c>
      <c r="C621" s="1" t="n">
        <v>46001</v>
      </c>
      <c r="D621" t="inlineStr">
        <is>
          <t>VÄSTMANLANDS LÄN</t>
        </is>
      </c>
      <c r="E621" t="inlineStr">
        <is>
          <t>SALA</t>
        </is>
      </c>
      <c r="G621" t="n">
        <v>3.4</v>
      </c>
      <c r="H621" t="n">
        <v>0</v>
      </c>
      <c r="I621" t="n">
        <v>0</v>
      </c>
      <c r="J621" t="n">
        <v>0</v>
      </c>
      <c r="K621" t="n">
        <v>0</v>
      </c>
      <c r="L621" t="n">
        <v>0</v>
      </c>
      <c r="M621" t="n">
        <v>0</v>
      </c>
      <c r="N621" t="n">
        <v>0</v>
      </c>
      <c r="O621" t="n">
        <v>0</v>
      </c>
      <c r="P621" t="n">
        <v>0</v>
      </c>
      <c r="Q621" t="n">
        <v>0</v>
      </c>
      <c r="R621" s="2" t="inlineStr"/>
    </row>
    <row r="622" ht="15" customHeight="1">
      <c r="A622" t="inlineStr">
        <is>
          <t>A 23119-2022</t>
        </is>
      </c>
      <c r="B622" s="1" t="n">
        <v>44719.56697916667</v>
      </c>
      <c r="C622" s="1" t="n">
        <v>46001</v>
      </c>
      <c r="D622" t="inlineStr">
        <is>
          <t>VÄSTMANLANDS LÄN</t>
        </is>
      </c>
      <c r="E622" t="inlineStr">
        <is>
          <t>SALA</t>
        </is>
      </c>
      <c r="G622" t="n">
        <v>7</v>
      </c>
      <c r="H622" t="n">
        <v>0</v>
      </c>
      <c r="I622" t="n">
        <v>0</v>
      </c>
      <c r="J622" t="n">
        <v>0</v>
      </c>
      <c r="K622" t="n">
        <v>0</v>
      </c>
      <c r="L622" t="n">
        <v>0</v>
      </c>
      <c r="M622" t="n">
        <v>0</v>
      </c>
      <c r="N622" t="n">
        <v>0</v>
      </c>
      <c r="O622" t="n">
        <v>0</v>
      </c>
      <c r="P622" t="n">
        <v>0</v>
      </c>
      <c r="Q622" t="n">
        <v>0</v>
      </c>
      <c r="R622" s="2" t="inlineStr"/>
    </row>
    <row r="623" ht="15" customHeight="1">
      <c r="A623" t="inlineStr">
        <is>
          <t>A 43751-2021</t>
        </is>
      </c>
      <c r="B623" s="1" t="n">
        <v>44433</v>
      </c>
      <c r="C623" s="1" t="n">
        <v>46001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59483-2022</t>
        </is>
      </c>
      <c r="B624" s="1" t="n">
        <v>44907.45679398148</v>
      </c>
      <c r="C624" s="1" t="n">
        <v>46001</v>
      </c>
      <c r="D624" t="inlineStr">
        <is>
          <t>VÄSTMANLANDS LÄN</t>
        </is>
      </c>
      <c r="E624" t="inlineStr">
        <is>
          <t>SALA</t>
        </is>
      </c>
      <c r="G624" t="n">
        <v>5.2</v>
      </c>
      <c r="H624" t="n">
        <v>0</v>
      </c>
      <c r="I624" t="n">
        <v>0</v>
      </c>
      <c r="J624" t="n">
        <v>0</v>
      </c>
      <c r="K624" t="n">
        <v>0</v>
      </c>
      <c r="L624" t="n">
        <v>0</v>
      </c>
      <c r="M624" t="n">
        <v>0</v>
      </c>
      <c r="N624" t="n">
        <v>0</v>
      </c>
      <c r="O624" t="n">
        <v>0</v>
      </c>
      <c r="P624" t="n">
        <v>0</v>
      </c>
      <c r="Q624" t="n">
        <v>0</v>
      </c>
      <c r="R624" s="2" t="inlineStr"/>
    </row>
    <row r="625" ht="15" customHeight="1">
      <c r="A625" t="inlineStr">
        <is>
          <t>A 73673-2021</t>
        </is>
      </c>
      <c r="B625" s="1" t="n">
        <v>44552.46501157407</v>
      </c>
      <c r="C625" s="1" t="n">
        <v>46001</v>
      </c>
      <c r="D625" t="inlineStr">
        <is>
          <t>VÄSTMANLANDS LÄN</t>
        </is>
      </c>
      <c r="E625" t="inlineStr">
        <is>
          <t>SALA</t>
        </is>
      </c>
      <c r="G625" t="n">
        <v>11.4</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44957.73234953704</v>
      </c>
      <c r="C626" s="1" t="n">
        <v>46001</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1993-2022</t>
        </is>
      </c>
      <c r="B627" s="1" t="n">
        <v>44575</v>
      </c>
      <c r="C627" s="1" t="n">
        <v>46001</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1793-2023</t>
        </is>
      </c>
      <c r="B628" s="1" t="n">
        <v>44937</v>
      </c>
      <c r="C628" s="1" t="n">
        <v>46001</v>
      </c>
      <c r="D628" t="inlineStr">
        <is>
          <t>VÄSTMANLANDS LÄN</t>
        </is>
      </c>
      <c r="E628" t="inlineStr">
        <is>
          <t>SALA</t>
        </is>
      </c>
      <c r="G628" t="n">
        <v>2.6</v>
      </c>
      <c r="H628" t="n">
        <v>0</v>
      </c>
      <c r="I628" t="n">
        <v>0</v>
      </c>
      <c r="J628" t="n">
        <v>0</v>
      </c>
      <c r="K628" t="n">
        <v>0</v>
      </c>
      <c r="L628" t="n">
        <v>0</v>
      </c>
      <c r="M628" t="n">
        <v>0</v>
      </c>
      <c r="N628" t="n">
        <v>0</v>
      </c>
      <c r="O628" t="n">
        <v>0</v>
      </c>
      <c r="P628" t="n">
        <v>0</v>
      </c>
      <c r="Q628" t="n">
        <v>0</v>
      </c>
      <c r="R628" s="2" t="inlineStr"/>
    </row>
    <row r="629" ht="15" customHeight="1">
      <c r="A629" t="inlineStr">
        <is>
          <t>A 42447-2022</t>
        </is>
      </c>
      <c r="B629" s="1" t="n">
        <v>44831</v>
      </c>
      <c r="C629" s="1" t="n">
        <v>46001</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11183-2023</t>
        </is>
      </c>
      <c r="B630" s="1" t="n">
        <v>44992.57782407408</v>
      </c>
      <c r="C630" s="1" t="n">
        <v>46001</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46001</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31950-2023</t>
        </is>
      </c>
      <c r="B632" s="1" t="n">
        <v>45107</v>
      </c>
      <c r="C632" s="1" t="n">
        <v>46001</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48710-2024</t>
        </is>
      </c>
      <c r="B633" s="1" t="n">
        <v>45593.53636574074</v>
      </c>
      <c r="C633" s="1" t="n">
        <v>46001</v>
      </c>
      <c r="D633" t="inlineStr">
        <is>
          <t>VÄSTMANLANDS LÄN</t>
        </is>
      </c>
      <c r="E633" t="inlineStr">
        <is>
          <t>SALA</t>
        </is>
      </c>
      <c r="G633" t="n">
        <v>6.5</v>
      </c>
      <c r="H633" t="n">
        <v>0</v>
      </c>
      <c r="I633" t="n">
        <v>0</v>
      </c>
      <c r="J633" t="n">
        <v>0</v>
      </c>
      <c r="K633" t="n">
        <v>0</v>
      </c>
      <c r="L633" t="n">
        <v>0</v>
      </c>
      <c r="M633" t="n">
        <v>0</v>
      </c>
      <c r="N633" t="n">
        <v>0</v>
      </c>
      <c r="O633" t="n">
        <v>0</v>
      </c>
      <c r="P633" t="n">
        <v>0</v>
      </c>
      <c r="Q633" t="n">
        <v>0</v>
      </c>
      <c r="R633" s="2" t="inlineStr"/>
    </row>
    <row r="634" ht="15" customHeight="1">
      <c r="A634" t="inlineStr">
        <is>
          <t>A 23406-2024</t>
        </is>
      </c>
      <c r="B634" s="1" t="n">
        <v>45453.58296296297</v>
      </c>
      <c r="C634" s="1" t="n">
        <v>46001</v>
      </c>
      <c r="D634" t="inlineStr">
        <is>
          <t>VÄSTMANLANDS LÄN</t>
        </is>
      </c>
      <c r="E634" t="inlineStr">
        <is>
          <t>SALA</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12246-2023</t>
        </is>
      </c>
      <c r="B635" s="1" t="n">
        <v>44995</v>
      </c>
      <c r="C635" s="1" t="n">
        <v>46001</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48571-2024</t>
        </is>
      </c>
      <c r="B636" s="1" t="n">
        <v>45591</v>
      </c>
      <c r="C636" s="1" t="n">
        <v>46001</v>
      </c>
      <c r="D636" t="inlineStr">
        <is>
          <t>VÄSTMANLANDS LÄN</t>
        </is>
      </c>
      <c r="E636" t="inlineStr">
        <is>
          <t>SALA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43362-2023</t>
        </is>
      </c>
      <c r="B637" s="1" t="n">
        <v>45183</v>
      </c>
      <c r="C637" s="1" t="n">
        <v>46001</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16767-2024</t>
        </is>
      </c>
      <c r="B638" s="1" t="n">
        <v>45411.38171296296</v>
      </c>
      <c r="C638" s="1" t="n">
        <v>46001</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31470-2021</t>
        </is>
      </c>
      <c r="B639" s="1" t="n">
        <v>44369</v>
      </c>
      <c r="C639" s="1" t="n">
        <v>46001</v>
      </c>
      <c r="D639" t="inlineStr">
        <is>
          <t>VÄSTMANLANDS LÄN</t>
        </is>
      </c>
      <c r="E639" t="inlineStr">
        <is>
          <t>SALA</t>
        </is>
      </c>
      <c r="F639" t="inlineStr">
        <is>
          <t>Sveaskog</t>
        </is>
      </c>
      <c r="G639" t="n">
        <v>2.1</v>
      </c>
      <c r="H639" t="n">
        <v>0</v>
      </c>
      <c r="I639" t="n">
        <v>0</v>
      </c>
      <c r="J639" t="n">
        <v>0</v>
      </c>
      <c r="K639" t="n">
        <v>0</v>
      </c>
      <c r="L639" t="n">
        <v>0</v>
      </c>
      <c r="M639" t="n">
        <v>0</v>
      </c>
      <c r="N639" t="n">
        <v>0</v>
      </c>
      <c r="O639" t="n">
        <v>0</v>
      </c>
      <c r="P639" t="n">
        <v>0</v>
      </c>
      <c r="Q639" t="n">
        <v>0</v>
      </c>
      <c r="R639" s="2" t="inlineStr"/>
    </row>
    <row r="640" ht="15" customHeight="1">
      <c r="A640" t="inlineStr">
        <is>
          <t>A 18461-2024</t>
        </is>
      </c>
      <c r="B640" s="1" t="n">
        <v>45425.47435185185</v>
      </c>
      <c r="C640" s="1" t="n">
        <v>46001</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29230-2022</t>
        </is>
      </c>
      <c r="B641" s="1" t="n">
        <v>44750</v>
      </c>
      <c r="C641" s="1" t="n">
        <v>46001</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9335-2022</t>
        </is>
      </c>
      <c r="B642" s="1" t="n">
        <v>44616.56579861111</v>
      </c>
      <c r="C642" s="1" t="n">
        <v>46001</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47479-2024</t>
        </is>
      </c>
      <c r="B643" s="1" t="n">
        <v>45587</v>
      </c>
      <c r="C643" s="1" t="n">
        <v>46001</v>
      </c>
      <c r="D643" t="inlineStr">
        <is>
          <t>VÄSTMANLANDS LÄN</t>
        </is>
      </c>
      <c r="E643" t="inlineStr">
        <is>
          <t>SALA</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19065-2022</t>
        </is>
      </c>
      <c r="B644" s="1" t="n">
        <v>44691.44309027777</v>
      </c>
      <c r="C644" s="1" t="n">
        <v>46001</v>
      </c>
      <c r="D644" t="inlineStr">
        <is>
          <t>VÄSTMANLANDS LÄN</t>
        </is>
      </c>
      <c r="E644" t="inlineStr">
        <is>
          <t>SALA</t>
        </is>
      </c>
      <c r="G644" t="n">
        <v>3.4</v>
      </c>
      <c r="H644" t="n">
        <v>0</v>
      </c>
      <c r="I644" t="n">
        <v>0</v>
      </c>
      <c r="J644" t="n">
        <v>0</v>
      </c>
      <c r="K644" t="n">
        <v>0</v>
      </c>
      <c r="L644" t="n">
        <v>0</v>
      </c>
      <c r="M644" t="n">
        <v>0</v>
      </c>
      <c r="N644" t="n">
        <v>0</v>
      </c>
      <c r="O644" t="n">
        <v>0</v>
      </c>
      <c r="P644" t="n">
        <v>0</v>
      </c>
      <c r="Q644" t="n">
        <v>0</v>
      </c>
      <c r="R644" s="2" t="inlineStr"/>
    </row>
    <row r="645" ht="15" customHeight="1">
      <c r="A645" t="inlineStr">
        <is>
          <t>A 22961-2023</t>
        </is>
      </c>
      <c r="B645" s="1" t="n">
        <v>45072</v>
      </c>
      <c r="C645" s="1" t="n">
        <v>46001</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22963-2023</t>
        </is>
      </c>
      <c r="B646" s="1" t="n">
        <v>45072</v>
      </c>
      <c r="C646" s="1" t="n">
        <v>46001</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10585-2022</t>
        </is>
      </c>
      <c r="B647" s="1" t="n">
        <v>44624</v>
      </c>
      <c r="C647" s="1" t="n">
        <v>46001</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69236-2021</t>
        </is>
      </c>
      <c r="B648" s="1" t="n">
        <v>44531.4047337963</v>
      </c>
      <c r="C648" s="1" t="n">
        <v>46001</v>
      </c>
      <c r="D648" t="inlineStr">
        <is>
          <t>VÄSTMANLANDS LÄN</t>
        </is>
      </c>
      <c r="E648" t="inlineStr">
        <is>
          <t>SALA</t>
        </is>
      </c>
      <c r="G648" t="n">
        <v>2.8</v>
      </c>
      <c r="H648" t="n">
        <v>0</v>
      </c>
      <c r="I648" t="n">
        <v>0</v>
      </c>
      <c r="J648" t="n">
        <v>0</v>
      </c>
      <c r="K648" t="n">
        <v>0</v>
      </c>
      <c r="L648" t="n">
        <v>0</v>
      </c>
      <c r="M648" t="n">
        <v>0</v>
      </c>
      <c r="N648" t="n">
        <v>0</v>
      </c>
      <c r="O648" t="n">
        <v>0</v>
      </c>
      <c r="P648" t="n">
        <v>0</v>
      </c>
      <c r="Q648" t="n">
        <v>0</v>
      </c>
      <c r="R648" s="2" t="inlineStr"/>
    </row>
    <row r="649" ht="15" customHeight="1">
      <c r="A649" t="inlineStr">
        <is>
          <t>A 48117-2024</t>
        </is>
      </c>
      <c r="B649" s="1" t="n">
        <v>45589</v>
      </c>
      <c r="C649" s="1" t="n">
        <v>46001</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12225-2023</t>
        </is>
      </c>
      <c r="B650" s="1" t="n">
        <v>44995</v>
      </c>
      <c r="C650" s="1" t="n">
        <v>46001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12252-2023</t>
        </is>
      </c>
      <c r="B651" s="1" t="n">
        <v>44995</v>
      </c>
      <c r="C651" s="1" t="n">
        <v>46001</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6116-2023</t>
        </is>
      </c>
      <c r="B652" s="1" t="n">
        <v>44964</v>
      </c>
      <c r="C652" s="1" t="n">
        <v>46001</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18100-2023</t>
        </is>
      </c>
      <c r="B653" s="1" t="n">
        <v>45040</v>
      </c>
      <c r="C653" s="1" t="n">
        <v>46001</v>
      </c>
      <c r="D653" t="inlineStr">
        <is>
          <t>VÄSTMANLANDS LÄN</t>
        </is>
      </c>
      <c r="E653" t="inlineStr">
        <is>
          <t>SALA</t>
        </is>
      </c>
      <c r="G653" t="n">
        <v>1.8</v>
      </c>
      <c r="H653" t="n">
        <v>0</v>
      </c>
      <c r="I653" t="n">
        <v>0</v>
      </c>
      <c r="J653" t="n">
        <v>0</v>
      </c>
      <c r="K653" t="n">
        <v>0</v>
      </c>
      <c r="L653" t="n">
        <v>0</v>
      </c>
      <c r="M653" t="n">
        <v>0</v>
      </c>
      <c r="N653" t="n">
        <v>0</v>
      </c>
      <c r="O653" t="n">
        <v>0</v>
      </c>
      <c r="P653" t="n">
        <v>0</v>
      </c>
      <c r="Q653" t="n">
        <v>0</v>
      </c>
      <c r="R653" s="2" t="inlineStr"/>
    </row>
    <row r="654" ht="15" customHeight="1">
      <c r="A654" t="inlineStr">
        <is>
          <t>A 13471-2025</t>
        </is>
      </c>
      <c r="B654" s="1" t="n">
        <v>45736.40579861111</v>
      </c>
      <c r="C654" s="1" t="n">
        <v>46001</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26854-2024</t>
        </is>
      </c>
      <c r="B655" s="1" t="n">
        <v>45470</v>
      </c>
      <c r="C655" s="1" t="n">
        <v>46001</v>
      </c>
      <c r="D655" t="inlineStr">
        <is>
          <t>VÄSTMANLANDS LÄN</t>
        </is>
      </c>
      <c r="E655" t="inlineStr">
        <is>
          <t>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37602-2024</t>
        </is>
      </c>
      <c r="B656" s="1" t="n">
        <v>45541</v>
      </c>
      <c r="C656" s="1" t="n">
        <v>46001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1985-2022</t>
        </is>
      </c>
      <c r="B657" s="1" t="n">
        <v>44575</v>
      </c>
      <c r="C657" s="1" t="n">
        <v>46001</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6308-2021</t>
        </is>
      </c>
      <c r="B658" s="1" t="n">
        <v>44235</v>
      </c>
      <c r="C658" s="1" t="n">
        <v>46001</v>
      </c>
      <c r="D658" t="inlineStr">
        <is>
          <t>VÄSTMANLANDS LÄN</t>
        </is>
      </c>
      <c r="E658" t="inlineStr">
        <is>
          <t>SALA</t>
        </is>
      </c>
      <c r="G658" t="n">
        <v>1.4</v>
      </c>
      <c r="H658" t="n">
        <v>0</v>
      </c>
      <c r="I658" t="n">
        <v>0</v>
      </c>
      <c r="J658" t="n">
        <v>0</v>
      </c>
      <c r="K658" t="n">
        <v>0</v>
      </c>
      <c r="L658" t="n">
        <v>0</v>
      </c>
      <c r="M658" t="n">
        <v>0</v>
      </c>
      <c r="N658" t="n">
        <v>0</v>
      </c>
      <c r="O658" t="n">
        <v>0</v>
      </c>
      <c r="P658" t="n">
        <v>0</v>
      </c>
      <c r="Q658" t="n">
        <v>0</v>
      </c>
      <c r="R658" s="2" t="inlineStr"/>
    </row>
    <row r="659" ht="15" customHeight="1">
      <c r="A659" t="inlineStr">
        <is>
          <t>A 21455-2023</t>
        </is>
      </c>
      <c r="B659" s="1" t="n">
        <v>45058</v>
      </c>
      <c r="C659" s="1" t="n">
        <v>46001</v>
      </c>
      <c r="D659" t="inlineStr">
        <is>
          <t>VÄSTMANLANDS LÄN</t>
        </is>
      </c>
      <c r="E659" t="inlineStr">
        <is>
          <t>SALA</t>
        </is>
      </c>
      <c r="G659" t="n">
        <v>6.4</v>
      </c>
      <c r="H659" t="n">
        <v>0</v>
      </c>
      <c r="I659" t="n">
        <v>0</v>
      </c>
      <c r="J659" t="n">
        <v>0</v>
      </c>
      <c r="K659" t="n">
        <v>0</v>
      </c>
      <c r="L659" t="n">
        <v>0</v>
      </c>
      <c r="M659" t="n">
        <v>0</v>
      </c>
      <c r="N659" t="n">
        <v>0</v>
      </c>
      <c r="O659" t="n">
        <v>0</v>
      </c>
      <c r="P659" t="n">
        <v>0</v>
      </c>
      <c r="Q659" t="n">
        <v>0</v>
      </c>
      <c r="R659" s="2" t="inlineStr"/>
    </row>
    <row r="660" ht="15" customHeight="1">
      <c r="A660" t="inlineStr">
        <is>
          <t>A 4797-2023</t>
        </is>
      </c>
      <c r="B660" s="1" t="n">
        <v>44957</v>
      </c>
      <c r="C660" s="1" t="n">
        <v>46001</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46001</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36858-2023</t>
        </is>
      </c>
      <c r="B662" s="1" t="n">
        <v>45154.55184027777</v>
      </c>
      <c r="C662" s="1" t="n">
        <v>46001</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58701-2021</t>
        </is>
      </c>
      <c r="B663" s="1" t="n">
        <v>44489.46454861111</v>
      </c>
      <c r="C663" s="1" t="n">
        <v>46001</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37337-2024</t>
        </is>
      </c>
      <c r="B664" s="1" t="n">
        <v>45540</v>
      </c>
      <c r="C664" s="1" t="n">
        <v>46001</v>
      </c>
      <c r="D664" t="inlineStr">
        <is>
          <t>VÄSTMANLANDS LÄN</t>
        </is>
      </c>
      <c r="E664" t="inlineStr">
        <is>
          <t>SALA</t>
        </is>
      </c>
      <c r="G664" t="n">
        <v>6.5</v>
      </c>
      <c r="H664" t="n">
        <v>0</v>
      </c>
      <c r="I664" t="n">
        <v>0</v>
      </c>
      <c r="J664" t="n">
        <v>0</v>
      </c>
      <c r="K664" t="n">
        <v>0</v>
      </c>
      <c r="L664" t="n">
        <v>0</v>
      </c>
      <c r="M664" t="n">
        <v>0</v>
      </c>
      <c r="N664" t="n">
        <v>0</v>
      </c>
      <c r="O664" t="n">
        <v>0</v>
      </c>
      <c r="P664" t="n">
        <v>0</v>
      </c>
      <c r="Q664" t="n">
        <v>0</v>
      </c>
      <c r="R664" s="2" t="inlineStr"/>
    </row>
    <row r="665" ht="15" customHeight="1">
      <c r="A665" t="inlineStr">
        <is>
          <t>A 10250-2025</t>
        </is>
      </c>
      <c r="B665" s="1" t="n">
        <v>45720.36165509259</v>
      </c>
      <c r="C665" s="1" t="n">
        <v>46001</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23180-2022</t>
        </is>
      </c>
      <c r="B666" s="1" t="n">
        <v>44719.79344907407</v>
      </c>
      <c r="C666" s="1" t="n">
        <v>46001</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21053-2022</t>
        </is>
      </c>
      <c r="B667" s="1" t="n">
        <v>44704</v>
      </c>
      <c r="C667" s="1" t="n">
        <v>46001</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18340-2025</t>
        </is>
      </c>
      <c r="B668" s="1" t="n">
        <v>45762</v>
      </c>
      <c r="C668" s="1" t="n">
        <v>46001</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16638-2023</t>
        </is>
      </c>
      <c r="B669" s="1" t="n">
        <v>45027</v>
      </c>
      <c r="C669" s="1" t="n">
        <v>46001</v>
      </c>
      <c r="D669" t="inlineStr">
        <is>
          <t>VÄSTMANLANDS LÄN</t>
        </is>
      </c>
      <c r="E669" t="inlineStr">
        <is>
          <t>SALA</t>
        </is>
      </c>
      <c r="G669" t="n">
        <v>14.8</v>
      </c>
      <c r="H669" t="n">
        <v>0</v>
      </c>
      <c r="I669" t="n">
        <v>0</v>
      </c>
      <c r="J669" t="n">
        <v>0</v>
      </c>
      <c r="K669" t="n">
        <v>0</v>
      </c>
      <c r="L669" t="n">
        <v>0</v>
      </c>
      <c r="M669" t="n">
        <v>0</v>
      </c>
      <c r="N669" t="n">
        <v>0</v>
      </c>
      <c r="O669" t="n">
        <v>0</v>
      </c>
      <c r="P669" t="n">
        <v>0</v>
      </c>
      <c r="Q669" t="n">
        <v>0</v>
      </c>
      <c r="R669" s="2" t="inlineStr"/>
    </row>
    <row r="670" ht="15" customHeight="1">
      <c r="A670" t="inlineStr">
        <is>
          <t>A 17117-2023</t>
        </is>
      </c>
      <c r="B670" s="1" t="n">
        <v>45034</v>
      </c>
      <c r="C670" s="1" t="n">
        <v>46001</v>
      </c>
      <c r="D670" t="inlineStr">
        <is>
          <t>VÄSTMANLANDS LÄN</t>
        </is>
      </c>
      <c r="E670" t="inlineStr">
        <is>
          <t>SALA</t>
        </is>
      </c>
      <c r="G670" t="n">
        <v>0.4</v>
      </c>
      <c r="H670" t="n">
        <v>0</v>
      </c>
      <c r="I670" t="n">
        <v>0</v>
      </c>
      <c r="J670" t="n">
        <v>0</v>
      </c>
      <c r="K670" t="n">
        <v>0</v>
      </c>
      <c r="L670" t="n">
        <v>0</v>
      </c>
      <c r="M670" t="n">
        <v>0</v>
      </c>
      <c r="N670" t="n">
        <v>0</v>
      </c>
      <c r="O670" t="n">
        <v>0</v>
      </c>
      <c r="P670" t="n">
        <v>0</v>
      </c>
      <c r="Q670" t="n">
        <v>0</v>
      </c>
      <c r="R670" s="2" t="inlineStr"/>
    </row>
    <row r="671" ht="15" customHeight="1">
      <c r="A671" t="inlineStr">
        <is>
          <t>A 59909-2024</t>
        </is>
      </c>
      <c r="B671" s="1" t="n">
        <v>45641</v>
      </c>
      <c r="C671" s="1" t="n">
        <v>46001</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46001</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33309-2022</t>
        </is>
      </c>
      <c r="B673" s="1" t="n">
        <v>44788.40986111111</v>
      </c>
      <c r="C673" s="1" t="n">
        <v>46001</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7377-2023</t>
        </is>
      </c>
      <c r="B674" s="1" t="n">
        <v>44971</v>
      </c>
      <c r="C674" s="1" t="n">
        <v>46001</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27229-2022</t>
        </is>
      </c>
      <c r="B675" s="1" t="n">
        <v>44741</v>
      </c>
      <c r="C675" s="1" t="n">
        <v>46001</v>
      </c>
      <c r="D675" t="inlineStr">
        <is>
          <t>VÄSTMANLANDS LÄN</t>
        </is>
      </c>
      <c r="E675" t="inlineStr">
        <is>
          <t>SALA</t>
        </is>
      </c>
      <c r="F675" t="inlineStr">
        <is>
          <t>Kommuner</t>
        </is>
      </c>
      <c r="G675" t="n">
        <v>1.4</v>
      </c>
      <c r="H675" t="n">
        <v>0</v>
      </c>
      <c r="I675" t="n">
        <v>0</v>
      </c>
      <c r="J675" t="n">
        <v>0</v>
      </c>
      <c r="K675" t="n">
        <v>0</v>
      </c>
      <c r="L675" t="n">
        <v>0</v>
      </c>
      <c r="M675" t="n">
        <v>0</v>
      </c>
      <c r="N675" t="n">
        <v>0</v>
      </c>
      <c r="O675" t="n">
        <v>0</v>
      </c>
      <c r="P675" t="n">
        <v>0</v>
      </c>
      <c r="Q675" t="n">
        <v>0</v>
      </c>
      <c r="R675" s="2" t="inlineStr"/>
    </row>
    <row r="676" ht="15" customHeight="1">
      <c r="A676" t="inlineStr">
        <is>
          <t>A 24755-2021</t>
        </is>
      </c>
      <c r="B676" s="1" t="n">
        <v>44340</v>
      </c>
      <c r="C676" s="1" t="n">
        <v>46001</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34867-2023</t>
        </is>
      </c>
      <c r="B677" s="1" t="n">
        <v>45142.33481481481</v>
      </c>
      <c r="C677" s="1" t="n">
        <v>46001</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25748-2022</t>
        </is>
      </c>
      <c r="B678" s="1" t="n">
        <v>44732</v>
      </c>
      <c r="C678" s="1" t="n">
        <v>46001</v>
      </c>
      <c r="D678" t="inlineStr">
        <is>
          <t>VÄSTMANLANDS LÄN</t>
        </is>
      </c>
      <c r="E678" t="inlineStr">
        <is>
          <t>SALA</t>
        </is>
      </c>
      <c r="G678" t="n">
        <v>7.7</v>
      </c>
      <c r="H678" t="n">
        <v>0</v>
      </c>
      <c r="I678" t="n">
        <v>0</v>
      </c>
      <c r="J678" t="n">
        <v>0</v>
      </c>
      <c r="K678" t="n">
        <v>0</v>
      </c>
      <c r="L678" t="n">
        <v>0</v>
      </c>
      <c r="M678" t="n">
        <v>0</v>
      </c>
      <c r="N678" t="n">
        <v>0</v>
      </c>
      <c r="O678" t="n">
        <v>0</v>
      </c>
      <c r="P678" t="n">
        <v>0</v>
      </c>
      <c r="Q678" t="n">
        <v>0</v>
      </c>
      <c r="R678" s="2" t="inlineStr"/>
    </row>
    <row r="679" ht="15" customHeight="1">
      <c r="A679" t="inlineStr">
        <is>
          <t>A 49512-2024</t>
        </is>
      </c>
      <c r="B679" s="1" t="n">
        <v>45591</v>
      </c>
      <c r="C679" s="1" t="n">
        <v>46001</v>
      </c>
      <c r="D679" t="inlineStr">
        <is>
          <t>VÄSTMANLANDS LÄN</t>
        </is>
      </c>
      <c r="E679" t="inlineStr">
        <is>
          <t>SALA</t>
        </is>
      </c>
      <c r="G679" t="n">
        <v>8.1</v>
      </c>
      <c r="H679" t="n">
        <v>0</v>
      </c>
      <c r="I679" t="n">
        <v>0</v>
      </c>
      <c r="J679" t="n">
        <v>0</v>
      </c>
      <c r="K679" t="n">
        <v>0</v>
      </c>
      <c r="L679" t="n">
        <v>0</v>
      </c>
      <c r="M679" t="n">
        <v>0</v>
      </c>
      <c r="N679" t="n">
        <v>0</v>
      </c>
      <c r="O679" t="n">
        <v>0</v>
      </c>
      <c r="P679" t="n">
        <v>0</v>
      </c>
      <c r="Q679" t="n">
        <v>0</v>
      </c>
      <c r="R679" s="2" t="inlineStr"/>
    </row>
    <row r="680" ht="15" customHeight="1">
      <c r="A680" t="inlineStr">
        <is>
          <t>A 13128-2023</t>
        </is>
      </c>
      <c r="B680" s="1" t="n">
        <v>45002</v>
      </c>
      <c r="C680" s="1" t="n">
        <v>46001</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37958-2024</t>
        </is>
      </c>
      <c r="B681" s="1" t="n">
        <v>45544</v>
      </c>
      <c r="C681" s="1" t="n">
        <v>46001</v>
      </c>
      <c r="D681" t="inlineStr">
        <is>
          <t>VÄSTMANLANDS LÄN</t>
        </is>
      </c>
      <c r="E681" t="inlineStr">
        <is>
          <t>SALA</t>
        </is>
      </c>
      <c r="G681" t="n">
        <v>5.6</v>
      </c>
      <c r="H681" t="n">
        <v>0</v>
      </c>
      <c r="I681" t="n">
        <v>0</v>
      </c>
      <c r="J681" t="n">
        <v>0</v>
      </c>
      <c r="K681" t="n">
        <v>0</v>
      </c>
      <c r="L681" t="n">
        <v>0</v>
      </c>
      <c r="M681" t="n">
        <v>0</v>
      </c>
      <c r="N681" t="n">
        <v>0</v>
      </c>
      <c r="O681" t="n">
        <v>0</v>
      </c>
      <c r="P681" t="n">
        <v>0</v>
      </c>
      <c r="Q681" t="n">
        <v>0</v>
      </c>
      <c r="R681" s="2" t="inlineStr"/>
    </row>
    <row r="682" ht="15" customHeight="1">
      <c r="A682" t="inlineStr">
        <is>
          <t>A 18431-2023</t>
        </is>
      </c>
      <c r="B682" s="1" t="n">
        <v>45042</v>
      </c>
      <c r="C682" s="1" t="n">
        <v>46001</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57650-2024</t>
        </is>
      </c>
      <c r="B683" s="1" t="n">
        <v>45630</v>
      </c>
      <c r="C683" s="1" t="n">
        <v>46001</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10255-2024</t>
        </is>
      </c>
      <c r="B684" s="1" t="n">
        <v>45365</v>
      </c>
      <c r="C684" s="1" t="n">
        <v>46001</v>
      </c>
      <c r="D684" t="inlineStr">
        <is>
          <t>VÄSTMANLANDS LÄN</t>
        </is>
      </c>
      <c r="E684" t="inlineStr">
        <is>
          <t>SALA</t>
        </is>
      </c>
      <c r="F684" t="inlineStr">
        <is>
          <t>Kommuner</t>
        </is>
      </c>
      <c r="G684" t="n">
        <v>0.8</v>
      </c>
      <c r="H684" t="n">
        <v>0</v>
      </c>
      <c r="I684" t="n">
        <v>0</v>
      </c>
      <c r="J684" t="n">
        <v>0</v>
      </c>
      <c r="K684" t="n">
        <v>0</v>
      </c>
      <c r="L684" t="n">
        <v>0</v>
      </c>
      <c r="M684" t="n">
        <v>0</v>
      </c>
      <c r="N684" t="n">
        <v>0</v>
      </c>
      <c r="O684" t="n">
        <v>0</v>
      </c>
      <c r="P684" t="n">
        <v>0</v>
      </c>
      <c r="Q684" t="n">
        <v>0</v>
      </c>
      <c r="R684" s="2" t="inlineStr"/>
    </row>
    <row r="685" ht="15" customHeight="1">
      <c r="A685" t="inlineStr">
        <is>
          <t>A 28696-2023</t>
        </is>
      </c>
      <c r="B685" s="1" t="n">
        <v>45103.71759259259</v>
      </c>
      <c r="C685" s="1" t="n">
        <v>46001</v>
      </c>
      <c r="D685" t="inlineStr">
        <is>
          <t>VÄSTMANLANDS LÄN</t>
        </is>
      </c>
      <c r="E685" t="inlineStr">
        <is>
          <t>SALA</t>
        </is>
      </c>
      <c r="F685" t="inlineStr">
        <is>
          <t>Kommuner</t>
        </is>
      </c>
      <c r="G685" t="n">
        <v>5.9</v>
      </c>
      <c r="H685" t="n">
        <v>0</v>
      </c>
      <c r="I685" t="n">
        <v>0</v>
      </c>
      <c r="J685" t="n">
        <v>0</v>
      </c>
      <c r="K685" t="n">
        <v>0</v>
      </c>
      <c r="L685" t="n">
        <v>0</v>
      </c>
      <c r="M685" t="n">
        <v>0</v>
      </c>
      <c r="N685" t="n">
        <v>0</v>
      </c>
      <c r="O685" t="n">
        <v>0</v>
      </c>
      <c r="P685" t="n">
        <v>0</v>
      </c>
      <c r="Q685" t="n">
        <v>0</v>
      </c>
      <c r="R685" s="2" t="inlineStr"/>
    </row>
    <row r="686" ht="15" customHeight="1">
      <c r="A686" t="inlineStr">
        <is>
          <t>A 31072-2021</t>
        </is>
      </c>
      <c r="B686" s="1" t="n">
        <v>44368</v>
      </c>
      <c r="C686" s="1" t="n">
        <v>46001</v>
      </c>
      <c r="D686" t="inlineStr">
        <is>
          <t>VÄSTMANLANDS LÄN</t>
        </is>
      </c>
      <c r="E686" t="inlineStr">
        <is>
          <t>SALA</t>
        </is>
      </c>
      <c r="G686" t="n">
        <v>1.1</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46001</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46001</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4663-2022</t>
        </is>
      </c>
      <c r="B689" s="1" t="n">
        <v>44592.45429398148</v>
      </c>
      <c r="C689" s="1" t="n">
        <v>46001</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6132-2025</t>
        </is>
      </c>
      <c r="B690" s="1" t="n">
        <v>45698</v>
      </c>
      <c r="C690" s="1" t="n">
        <v>46001</v>
      </c>
      <c r="D690" t="inlineStr">
        <is>
          <t>VÄSTMANLANDS LÄN</t>
        </is>
      </c>
      <c r="E690" t="inlineStr">
        <is>
          <t>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31859-2023</t>
        </is>
      </c>
      <c r="B691" s="1" t="n">
        <v>45118</v>
      </c>
      <c r="C691" s="1" t="n">
        <v>46001</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c r="U691">
        <f>HYPERLINK("https://klasma.github.io/Logging_1981/knärot/A 31859-2023 karta knärot.png", "A 31859-2023")</f>
        <v/>
      </c>
      <c r="V691">
        <f>HYPERLINK("https://klasma.github.io/Logging_1981/klagomål/A 31859-2023 FSC-klagomål.docx", "A 31859-2023")</f>
        <v/>
      </c>
      <c r="W691">
        <f>HYPERLINK("https://klasma.github.io/Logging_1981/klagomålsmail/A 31859-2023 FSC-klagomål mail.docx", "A 31859-2023")</f>
        <v/>
      </c>
      <c r="X691">
        <f>HYPERLINK("https://klasma.github.io/Logging_1981/tillsyn/A 31859-2023 tillsynsbegäran.docx", "A 31859-2023")</f>
        <v/>
      </c>
      <c r="Y691">
        <f>HYPERLINK("https://klasma.github.io/Logging_1981/tillsynsmail/A 31859-2023 tillsynsbegäran mail.docx", "A 31859-2023")</f>
        <v/>
      </c>
    </row>
    <row r="692" ht="15" customHeight="1">
      <c r="A692" t="inlineStr">
        <is>
          <t>A 61681-2024</t>
        </is>
      </c>
      <c r="B692" s="1" t="n">
        <v>45647</v>
      </c>
      <c r="C692" s="1" t="n">
        <v>46001</v>
      </c>
      <c r="D692" t="inlineStr">
        <is>
          <t>VÄSTMANLANDS LÄN</t>
        </is>
      </c>
      <c r="E692" t="inlineStr">
        <is>
          <t>SALA</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54960-2024</t>
        </is>
      </c>
      <c r="B693" s="1" t="n">
        <v>45619.85208333333</v>
      </c>
      <c r="C693" s="1" t="n">
        <v>46001</v>
      </c>
      <c r="D693" t="inlineStr">
        <is>
          <t>VÄSTMANLANDS LÄN</t>
        </is>
      </c>
      <c r="E693" t="inlineStr">
        <is>
          <t>SALA</t>
        </is>
      </c>
      <c r="G693" t="n">
        <v>2.6</v>
      </c>
      <c r="H693" t="n">
        <v>0</v>
      </c>
      <c r="I693" t="n">
        <v>0</v>
      </c>
      <c r="J693" t="n">
        <v>0</v>
      </c>
      <c r="K693" t="n">
        <v>0</v>
      </c>
      <c r="L693" t="n">
        <v>0</v>
      </c>
      <c r="M693" t="n">
        <v>0</v>
      </c>
      <c r="N693" t="n">
        <v>0</v>
      </c>
      <c r="O693" t="n">
        <v>0</v>
      </c>
      <c r="P693" t="n">
        <v>0</v>
      </c>
      <c r="Q693" t="n">
        <v>0</v>
      </c>
      <c r="R693" s="2" t="inlineStr"/>
    </row>
    <row r="694" ht="15" customHeight="1">
      <c r="A694" t="inlineStr">
        <is>
          <t>A 31082-2021</t>
        </is>
      </c>
      <c r="B694" s="1" t="n">
        <v>44368</v>
      </c>
      <c r="C694" s="1" t="n">
        <v>46001</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20352-2022</t>
        </is>
      </c>
      <c r="B695" s="1" t="n">
        <v>44699.37318287037</v>
      </c>
      <c r="C695" s="1" t="n">
        <v>46001</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27657-2023</t>
        </is>
      </c>
      <c r="B696" s="1" t="n">
        <v>45097.76631944445</v>
      </c>
      <c r="C696" s="1" t="n">
        <v>46001</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2766-2024</t>
        </is>
      </c>
      <c r="B697" s="1" t="n">
        <v>45314.60950231482</v>
      </c>
      <c r="C697" s="1" t="n">
        <v>46001</v>
      </c>
      <c r="D697" t="inlineStr">
        <is>
          <t>VÄSTMANLANDS LÄN</t>
        </is>
      </c>
      <c r="E697" t="inlineStr">
        <is>
          <t>SALA</t>
        </is>
      </c>
      <c r="G697" t="n">
        <v>2.8</v>
      </c>
      <c r="H697" t="n">
        <v>0</v>
      </c>
      <c r="I697" t="n">
        <v>0</v>
      </c>
      <c r="J697" t="n">
        <v>0</v>
      </c>
      <c r="K697" t="n">
        <v>0</v>
      </c>
      <c r="L697" t="n">
        <v>0</v>
      </c>
      <c r="M697" t="n">
        <v>0</v>
      </c>
      <c r="N697" t="n">
        <v>0</v>
      </c>
      <c r="O697" t="n">
        <v>0</v>
      </c>
      <c r="P697" t="n">
        <v>0</v>
      </c>
      <c r="Q697" t="n">
        <v>0</v>
      </c>
      <c r="R697" s="2" t="inlineStr"/>
    </row>
    <row r="698" ht="15" customHeight="1">
      <c r="A698" t="inlineStr">
        <is>
          <t>A 60550-2024</t>
        </is>
      </c>
      <c r="B698" s="1" t="n">
        <v>45643</v>
      </c>
      <c r="C698" s="1" t="n">
        <v>46001</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14690-2025</t>
        </is>
      </c>
      <c r="B699" s="1" t="n">
        <v>45742.58212962963</v>
      </c>
      <c r="C699" s="1" t="n">
        <v>46001</v>
      </c>
      <c r="D699" t="inlineStr">
        <is>
          <t>VÄSTMANLANDS LÄN</t>
        </is>
      </c>
      <c r="E699" t="inlineStr">
        <is>
          <t>SALA</t>
        </is>
      </c>
      <c r="G699" t="n">
        <v>3.4</v>
      </c>
      <c r="H699" t="n">
        <v>0</v>
      </c>
      <c r="I699" t="n">
        <v>0</v>
      </c>
      <c r="J699" t="n">
        <v>0</v>
      </c>
      <c r="K699" t="n">
        <v>0</v>
      </c>
      <c r="L699" t="n">
        <v>0</v>
      </c>
      <c r="M699" t="n">
        <v>0</v>
      </c>
      <c r="N699" t="n">
        <v>0</v>
      </c>
      <c r="O699" t="n">
        <v>0</v>
      </c>
      <c r="P699" t="n">
        <v>0</v>
      </c>
      <c r="Q699" t="n">
        <v>0</v>
      </c>
      <c r="R699" s="2" t="inlineStr"/>
    </row>
    <row r="700" ht="15" customHeight="1">
      <c r="A700" t="inlineStr">
        <is>
          <t>A 24175-2024</t>
        </is>
      </c>
      <c r="B700" s="1" t="n">
        <v>45456</v>
      </c>
      <c r="C700" s="1" t="n">
        <v>46001</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62449-2023</t>
        </is>
      </c>
      <c r="B701" s="1" t="n">
        <v>45268.49008101852</v>
      </c>
      <c r="C701" s="1" t="n">
        <v>46001</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54910-2023</t>
        </is>
      </c>
      <c r="B702" s="1" t="n">
        <v>45229</v>
      </c>
      <c r="C702" s="1" t="n">
        <v>46001</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19222-2025</t>
        </is>
      </c>
      <c r="B703" s="1" t="n">
        <v>45769</v>
      </c>
      <c r="C703" s="1" t="n">
        <v>46001</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19241-2025</t>
        </is>
      </c>
      <c r="B704" s="1" t="n">
        <v>45769</v>
      </c>
      <c r="C704" s="1" t="n">
        <v>46001</v>
      </c>
      <c r="D704" t="inlineStr">
        <is>
          <t>VÄSTMANLANDS LÄN</t>
        </is>
      </c>
      <c r="E704" t="inlineStr">
        <is>
          <t>SALA</t>
        </is>
      </c>
      <c r="G704" t="n">
        <v>3.6</v>
      </c>
      <c r="H704" t="n">
        <v>0</v>
      </c>
      <c r="I704" t="n">
        <v>0</v>
      </c>
      <c r="J704" t="n">
        <v>0</v>
      </c>
      <c r="K704" t="n">
        <v>0</v>
      </c>
      <c r="L704" t="n">
        <v>0</v>
      </c>
      <c r="M704" t="n">
        <v>0</v>
      </c>
      <c r="N704" t="n">
        <v>0</v>
      </c>
      <c r="O704" t="n">
        <v>0</v>
      </c>
      <c r="P704" t="n">
        <v>0</v>
      </c>
      <c r="Q704" t="n">
        <v>0</v>
      </c>
      <c r="R704" s="2" t="inlineStr"/>
    </row>
    <row r="705" ht="15" customHeight="1">
      <c r="A705" t="inlineStr">
        <is>
          <t>A 26416-2023</t>
        </is>
      </c>
      <c r="B705" s="1" t="n">
        <v>45092.38087962963</v>
      </c>
      <c r="C705" s="1" t="n">
        <v>46001</v>
      </c>
      <c r="D705" t="inlineStr">
        <is>
          <t>VÄSTMANLANDS LÄN</t>
        </is>
      </c>
      <c r="E705" t="inlineStr">
        <is>
          <t>SALA</t>
        </is>
      </c>
      <c r="G705" t="n">
        <v>2.9</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46001</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15681-2025</t>
        </is>
      </c>
      <c r="B707" s="1" t="n">
        <v>45748.45454861111</v>
      </c>
      <c r="C707" s="1" t="n">
        <v>46001</v>
      </c>
      <c r="D707" t="inlineStr">
        <is>
          <t>VÄSTMANLANDS LÄN</t>
        </is>
      </c>
      <c r="E707" t="inlineStr">
        <is>
          <t>SALA</t>
        </is>
      </c>
      <c r="F707" t="inlineStr">
        <is>
          <t>Bergvik skog öst AB</t>
        </is>
      </c>
      <c r="G707" t="n">
        <v>4.3</v>
      </c>
      <c r="H707" t="n">
        <v>0</v>
      </c>
      <c r="I707" t="n">
        <v>0</v>
      </c>
      <c r="J707" t="n">
        <v>0</v>
      </c>
      <c r="K707" t="n">
        <v>0</v>
      </c>
      <c r="L707" t="n">
        <v>0</v>
      </c>
      <c r="M707" t="n">
        <v>0</v>
      </c>
      <c r="N707" t="n">
        <v>0</v>
      </c>
      <c r="O707" t="n">
        <v>0</v>
      </c>
      <c r="P707" t="n">
        <v>0</v>
      </c>
      <c r="Q707" t="n">
        <v>0</v>
      </c>
      <c r="R707" s="2" t="inlineStr"/>
    </row>
    <row r="708" ht="15" customHeight="1">
      <c r="A708" t="inlineStr">
        <is>
          <t>A 2925-2024</t>
        </is>
      </c>
      <c r="B708" s="1" t="n">
        <v>45315.58909722222</v>
      </c>
      <c r="C708" s="1" t="n">
        <v>46001</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44746-2024</t>
        </is>
      </c>
      <c r="B709" s="1" t="n">
        <v>45574.59813657407</v>
      </c>
      <c r="C709" s="1" t="n">
        <v>46001</v>
      </c>
      <c r="D709" t="inlineStr">
        <is>
          <t>VÄSTMANLANDS LÄN</t>
        </is>
      </c>
      <c r="E709" t="inlineStr">
        <is>
          <t>SALA</t>
        </is>
      </c>
      <c r="G709" t="n">
        <v>6.7</v>
      </c>
      <c r="H709" t="n">
        <v>0</v>
      </c>
      <c r="I709" t="n">
        <v>0</v>
      </c>
      <c r="J709" t="n">
        <v>0</v>
      </c>
      <c r="K709" t="n">
        <v>0</v>
      </c>
      <c r="L709" t="n">
        <v>0</v>
      </c>
      <c r="M709" t="n">
        <v>0</v>
      </c>
      <c r="N709" t="n">
        <v>0</v>
      </c>
      <c r="O709" t="n">
        <v>0</v>
      </c>
      <c r="P709" t="n">
        <v>0</v>
      </c>
      <c r="Q709" t="n">
        <v>0</v>
      </c>
      <c r="R709" s="2" t="inlineStr"/>
    </row>
    <row r="710" ht="15" customHeight="1">
      <c r="A710" t="inlineStr">
        <is>
          <t>A 44713-2023</t>
        </is>
      </c>
      <c r="B710" s="1" t="n">
        <v>45184</v>
      </c>
      <c r="C710" s="1" t="n">
        <v>46001</v>
      </c>
      <c r="D710" t="inlineStr">
        <is>
          <t>VÄSTMANLANDS LÄN</t>
        </is>
      </c>
      <c r="E710" t="inlineStr">
        <is>
          <t>SALA</t>
        </is>
      </c>
      <c r="F710" t="inlineStr">
        <is>
          <t>Kyrkan</t>
        </is>
      </c>
      <c r="G710" t="n">
        <v>7.6</v>
      </c>
      <c r="H710" t="n">
        <v>0</v>
      </c>
      <c r="I710" t="n">
        <v>0</v>
      </c>
      <c r="J710" t="n">
        <v>0</v>
      </c>
      <c r="K710" t="n">
        <v>0</v>
      </c>
      <c r="L710" t="n">
        <v>0</v>
      </c>
      <c r="M710" t="n">
        <v>0</v>
      </c>
      <c r="N710" t="n">
        <v>0</v>
      </c>
      <c r="O710" t="n">
        <v>0</v>
      </c>
      <c r="P710" t="n">
        <v>0</v>
      </c>
      <c r="Q710" t="n">
        <v>0</v>
      </c>
      <c r="R710" s="2" t="inlineStr"/>
    </row>
    <row r="711" ht="15" customHeight="1">
      <c r="A711" t="inlineStr">
        <is>
          <t>A 23431-2024</t>
        </is>
      </c>
      <c r="B711" s="1" t="n">
        <v>45453</v>
      </c>
      <c r="C711" s="1" t="n">
        <v>46001</v>
      </c>
      <c r="D711" t="inlineStr">
        <is>
          <t>VÄSTMANLANDS LÄN</t>
        </is>
      </c>
      <c r="E711" t="inlineStr">
        <is>
          <t>SALA</t>
        </is>
      </c>
      <c r="G711" t="n">
        <v>1.6</v>
      </c>
      <c r="H711" t="n">
        <v>0</v>
      </c>
      <c r="I711" t="n">
        <v>0</v>
      </c>
      <c r="J711" t="n">
        <v>0</v>
      </c>
      <c r="K711" t="n">
        <v>0</v>
      </c>
      <c r="L711" t="n">
        <v>0</v>
      </c>
      <c r="M711" t="n">
        <v>0</v>
      </c>
      <c r="N711" t="n">
        <v>0</v>
      </c>
      <c r="O711" t="n">
        <v>0</v>
      </c>
      <c r="P711" t="n">
        <v>0</v>
      </c>
      <c r="Q711" t="n">
        <v>0</v>
      </c>
      <c r="R711" s="2" t="inlineStr"/>
    </row>
    <row r="712" ht="15" customHeight="1">
      <c r="A712" t="inlineStr">
        <is>
          <t>A 21168-2025</t>
        </is>
      </c>
      <c r="B712" s="1" t="n">
        <v>45777</v>
      </c>
      <c r="C712" s="1" t="n">
        <v>46001</v>
      </c>
      <c r="D712" t="inlineStr">
        <is>
          <t>VÄSTMANLANDS LÄN</t>
        </is>
      </c>
      <c r="E712" t="inlineStr">
        <is>
          <t>SALA</t>
        </is>
      </c>
      <c r="G712" t="n">
        <v>4.5</v>
      </c>
      <c r="H712" t="n">
        <v>0</v>
      </c>
      <c r="I712" t="n">
        <v>0</v>
      </c>
      <c r="J712" t="n">
        <v>0</v>
      </c>
      <c r="K712" t="n">
        <v>0</v>
      </c>
      <c r="L712" t="n">
        <v>0</v>
      </c>
      <c r="M712" t="n">
        <v>0</v>
      </c>
      <c r="N712" t="n">
        <v>0</v>
      </c>
      <c r="O712" t="n">
        <v>0</v>
      </c>
      <c r="P712" t="n">
        <v>0</v>
      </c>
      <c r="Q712" t="n">
        <v>0</v>
      </c>
      <c r="R712" s="2" t="inlineStr"/>
    </row>
    <row r="713" ht="15" customHeight="1">
      <c r="A713" t="inlineStr">
        <is>
          <t>A 21751-2025</t>
        </is>
      </c>
      <c r="B713" s="1" t="n">
        <v>45783.61372685185</v>
      </c>
      <c r="C713" s="1" t="n">
        <v>46001</v>
      </c>
      <c r="D713" t="inlineStr">
        <is>
          <t>VÄSTMANLANDS LÄN</t>
        </is>
      </c>
      <c r="E713" t="inlineStr">
        <is>
          <t>SALA</t>
        </is>
      </c>
      <c r="G713" t="n">
        <v>1</v>
      </c>
      <c r="H713" t="n">
        <v>0</v>
      </c>
      <c r="I713" t="n">
        <v>0</v>
      </c>
      <c r="J713" t="n">
        <v>0</v>
      </c>
      <c r="K713" t="n">
        <v>0</v>
      </c>
      <c r="L713" t="n">
        <v>0</v>
      </c>
      <c r="M713" t="n">
        <v>0</v>
      </c>
      <c r="N713" t="n">
        <v>0</v>
      </c>
      <c r="O713" t="n">
        <v>0</v>
      </c>
      <c r="P713" t="n">
        <v>0</v>
      </c>
      <c r="Q713" t="n">
        <v>0</v>
      </c>
      <c r="R713" s="2" t="inlineStr"/>
    </row>
    <row r="714" ht="15" customHeight="1">
      <c r="A714" t="inlineStr">
        <is>
          <t>A 21754-2025</t>
        </is>
      </c>
      <c r="B714" s="1" t="n">
        <v>45783.61837962963</v>
      </c>
      <c r="C714" s="1" t="n">
        <v>46001</v>
      </c>
      <c r="D714" t="inlineStr">
        <is>
          <t>VÄSTMANLANDS LÄN</t>
        </is>
      </c>
      <c r="E714" t="inlineStr">
        <is>
          <t>SALA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37587-2024</t>
        </is>
      </c>
      <c r="B715" s="1" t="n">
        <v>45541</v>
      </c>
      <c r="C715" s="1" t="n">
        <v>46001</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22353-2025</t>
        </is>
      </c>
      <c r="B716" s="1" t="n">
        <v>45786</v>
      </c>
      <c r="C716" s="1" t="n">
        <v>46001</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64724-2023</t>
        </is>
      </c>
      <c r="B717" s="1" t="n">
        <v>45281.7602662037</v>
      </c>
      <c r="C717" s="1" t="n">
        <v>46001</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22370-2025</t>
        </is>
      </c>
      <c r="B718" s="1" t="n">
        <v>45786</v>
      </c>
      <c r="C718" s="1" t="n">
        <v>46001</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c r="A719" t="inlineStr">
        <is>
          <t>A 22383-2025</t>
        </is>
      </c>
      <c r="B719" s="1" t="n">
        <v>45786</v>
      </c>
      <c r="C719" s="1" t="n">
        <v>46001</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2025-12-10T10:25:29Z</dcterms:created>
  <dcterms:modified xmlns:dcterms="http://purl.org/dc/terms/" xmlns:xsi="http://www.w3.org/2001/XMLSchema-instance" xsi:type="dcterms:W3CDTF">2025-12-10T10:25:30Z</dcterms:modified>
</cp:coreProperties>
</file>