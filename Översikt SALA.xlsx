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46045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46045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27488-2023</t>
        </is>
      </c>
      <c r="B11" s="1" t="n">
        <v>45097</v>
      </c>
      <c r="C11" s="1" t="n">
        <v>46045</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53009-2024</t>
        </is>
      </c>
      <c r="B12" s="1" t="n">
        <v>45610</v>
      </c>
      <c r="C12" s="1" t="n">
        <v>46045</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34752-2023</t>
        </is>
      </c>
      <c r="B13" s="1" t="n">
        <v>45141</v>
      </c>
      <c r="C13" s="1" t="n">
        <v>46045</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46045</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46045</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46045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46045</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3567-2024</t>
        </is>
      </c>
      <c r="B18" s="1" t="n">
        <v>45320.63706018519</v>
      </c>
      <c r="C18" s="1" t="n">
        <v>46045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46045</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46045</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62768-2021</t>
        </is>
      </c>
      <c r="B21" s="1" t="n">
        <v>44504</v>
      </c>
      <c r="C21" s="1" t="n">
        <v>46045</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47475-2024</t>
        </is>
      </c>
      <c r="B22" s="1" t="n">
        <v>45587.57552083334</v>
      </c>
      <c r="C22" s="1" t="n">
        <v>46045</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3930-2026</t>
        </is>
      </c>
      <c r="B23" s="1" t="n">
        <v>46043</v>
      </c>
      <c r="C23" s="1" t="n">
        <v>46045</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40493-2024</t>
        </is>
      </c>
      <c r="B24" s="1" t="n">
        <v>45555</v>
      </c>
      <c r="C24" s="1" t="n">
        <v>46045</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46045</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46045</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52909-2022</t>
        </is>
      </c>
      <c r="B27" s="1" t="n">
        <v>44875</v>
      </c>
      <c r="C27" s="1" t="n">
        <v>46045</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46045</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11846-2024</t>
        </is>
      </c>
      <c r="B29" s="1" t="n">
        <v>45376.4047337963</v>
      </c>
      <c r="C29" s="1" t="n">
        <v>46045</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13029-2023</t>
        </is>
      </c>
      <c r="B30" s="1" t="n">
        <v>45001</v>
      </c>
      <c r="C30" s="1" t="n">
        <v>46045</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12444-2024</t>
        </is>
      </c>
      <c r="B31" s="1" t="n">
        <v>45379.46285879629</v>
      </c>
      <c r="C31" s="1" t="n">
        <v>46045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53048-2025</t>
        </is>
      </c>
      <c r="B32" s="1" t="n">
        <v>45958.36018518519</v>
      </c>
      <c r="C32" s="1" t="n">
        <v>46045</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24872-2025</t>
        </is>
      </c>
      <c r="B33" s="1" t="n">
        <v>45799.49038194444</v>
      </c>
      <c r="C33" s="1" t="n">
        <v>46045</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63584-2025</t>
        </is>
      </c>
      <c r="B34" s="1" t="n">
        <v>46013.77002314815</v>
      </c>
      <c r="C34" s="1" t="n">
        <v>46045</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59826-2025</t>
        </is>
      </c>
      <c r="B35" s="1" t="n">
        <v>45992.65416666667</v>
      </c>
      <c r="C35" s="1" t="n">
        <v>46045</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1500-2022</t>
        </is>
      </c>
      <c r="B36" s="1" t="n">
        <v>44573.54357638889</v>
      </c>
      <c r="C36" s="1" t="n">
        <v>46045</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15102-2025</t>
        </is>
      </c>
      <c r="B37" s="1" t="n">
        <v>45744.34585648148</v>
      </c>
      <c r="C37" s="1" t="n">
        <v>46045</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44970-2021</t>
        </is>
      </c>
      <c r="B38" s="1" t="n">
        <v>44438.74399305556</v>
      </c>
      <c r="C38" s="1" t="n">
        <v>46045</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46045</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46045</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38255-2025</t>
        </is>
      </c>
      <c r="B41" s="1" t="n">
        <v>45883.38020833334</v>
      </c>
      <c r="C41" s="1" t="n">
        <v>46045</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43068-2024</t>
        </is>
      </c>
      <c r="B42" s="1" t="n">
        <v>45567</v>
      </c>
      <c r="C42" s="1" t="n">
        <v>46045</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56704-2022</t>
        </is>
      </c>
      <c r="B43" s="1" t="n">
        <v>44893.78075231481</v>
      </c>
      <c r="C43" s="1" t="n">
        <v>46045</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60852-2024</t>
        </is>
      </c>
      <c r="B44" s="1" t="n">
        <v>45644</v>
      </c>
      <c r="C44" s="1" t="n">
        <v>46045</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7731-2023</t>
        </is>
      </c>
      <c r="B45" s="1" t="n">
        <v>44973</v>
      </c>
      <c r="C45" s="1" t="n">
        <v>46045</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43175-2023</t>
        </is>
      </c>
      <c r="B46" s="1" t="n">
        <v>45183</v>
      </c>
      <c r="C46" s="1" t="n">
        <v>46045</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12509-2023</t>
        </is>
      </c>
      <c r="B47" s="1" t="n">
        <v>44999.95988425926</v>
      </c>
      <c r="C47" s="1" t="n">
        <v>46045</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55550-2023</t>
        </is>
      </c>
      <c r="B48" s="1" t="n">
        <v>45232</v>
      </c>
      <c r="C48" s="1" t="n">
        <v>46045</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21738-2025</t>
        </is>
      </c>
      <c r="B49" s="1" t="n">
        <v>45783.59173611111</v>
      </c>
      <c r="C49" s="1" t="n">
        <v>46045</v>
      </c>
      <c r="D49" t="inlineStr">
        <is>
          <t>VÄSTMANLANDS LÄN</t>
        </is>
      </c>
      <c r="E49" t="inlineStr">
        <is>
          <t>SALA</t>
        </is>
      </c>
      <c r="G49" t="n">
        <v>2.1</v>
      </c>
      <c r="H49" t="n">
        <v>0</v>
      </c>
      <c r="I49" t="n">
        <v>0</v>
      </c>
      <c r="J49" t="n">
        <v>1</v>
      </c>
      <c r="K49" t="n">
        <v>0</v>
      </c>
      <c r="L49" t="n">
        <v>0</v>
      </c>
      <c r="M49" t="n">
        <v>0</v>
      </c>
      <c r="N49" t="n">
        <v>0</v>
      </c>
      <c r="O49" t="n">
        <v>1</v>
      </c>
      <c r="P49" t="n">
        <v>0</v>
      </c>
      <c r="Q49" t="n">
        <v>1</v>
      </c>
      <c r="R49" s="2" t="inlineStr">
        <is>
          <t>Motaggsvamp</t>
        </is>
      </c>
      <c r="S49">
        <f>HYPERLINK("https://klasma.github.io/Logging_1981/artfynd/A 21738-2025 artfynd.xlsx", "A 21738-2025")</f>
        <v/>
      </c>
      <c r="T49">
        <f>HYPERLINK("https://klasma.github.io/Logging_1981/kartor/A 21738-2025 karta.png", "A 21738-2025")</f>
        <v/>
      </c>
      <c r="V49">
        <f>HYPERLINK("https://klasma.github.io/Logging_1981/klagomål/A 21738-2025 FSC-klagomål.docx", "A 21738-2025")</f>
        <v/>
      </c>
      <c r="W49">
        <f>HYPERLINK("https://klasma.github.io/Logging_1981/klagomålsmail/A 21738-2025 FSC-klagomål mail.docx", "A 21738-2025")</f>
        <v/>
      </c>
      <c r="X49">
        <f>HYPERLINK("https://klasma.github.io/Logging_1981/tillsyn/A 21738-2025 tillsynsbegäran.docx", "A 21738-2025")</f>
        <v/>
      </c>
      <c r="Y49">
        <f>HYPERLINK("https://klasma.github.io/Logging_1981/tillsynsmail/A 21738-2025 tillsynsbegäran mail.docx", "A 21738-2025")</f>
        <v/>
      </c>
    </row>
    <row r="50" ht="15" customHeight="1">
      <c r="A50" t="inlineStr">
        <is>
          <t>A 48705-2025</t>
        </is>
      </c>
      <c r="B50" s="1" t="n">
        <v>45936.62290509259</v>
      </c>
      <c r="C50" s="1" t="n">
        <v>46045</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41270-2024</t>
        </is>
      </c>
      <c r="B51" s="1" t="n">
        <v>45559</v>
      </c>
      <c r="C51" s="1" t="n">
        <v>46045</v>
      </c>
      <c r="D51" t="inlineStr">
        <is>
          <t>VÄSTMANLANDS LÄN</t>
        </is>
      </c>
      <c r="E51" t="inlineStr">
        <is>
          <t>SALA</t>
        </is>
      </c>
      <c r="G51" t="n">
        <v>15.2</v>
      </c>
      <c r="H51" t="n">
        <v>1</v>
      </c>
      <c r="I51" t="n">
        <v>0</v>
      </c>
      <c r="J51" t="n">
        <v>1</v>
      </c>
      <c r="K51" t="n">
        <v>0</v>
      </c>
      <c r="L51" t="n">
        <v>0</v>
      </c>
      <c r="M51" t="n">
        <v>0</v>
      </c>
      <c r="N51" t="n">
        <v>0</v>
      </c>
      <c r="O51" t="n">
        <v>1</v>
      </c>
      <c r="P51" t="n">
        <v>0</v>
      </c>
      <c r="Q51" t="n">
        <v>1</v>
      </c>
      <c r="R51" s="2" t="inlineStr">
        <is>
          <t>Havsörn</t>
        </is>
      </c>
      <c r="S51">
        <f>HYPERLINK("https://klasma.github.io/Logging_1981/artfynd/A 41270-2024 artfynd.xlsx", "A 41270-2024")</f>
        <v/>
      </c>
      <c r="T51">
        <f>HYPERLINK("https://klasma.github.io/Logging_1981/kartor/A 41270-2024 karta.png", "A 41270-2024")</f>
        <v/>
      </c>
      <c r="V51">
        <f>HYPERLINK("https://klasma.github.io/Logging_1981/klagomål/A 41270-2024 FSC-klagomål.docx", "A 41270-2024")</f>
        <v/>
      </c>
      <c r="W51">
        <f>HYPERLINK("https://klasma.github.io/Logging_1981/klagomålsmail/A 41270-2024 FSC-klagomål mail.docx", "A 41270-2024")</f>
        <v/>
      </c>
      <c r="X51">
        <f>HYPERLINK("https://klasma.github.io/Logging_1981/tillsyn/A 41270-2024 tillsynsbegäran.docx", "A 41270-2024")</f>
        <v/>
      </c>
      <c r="Y51">
        <f>HYPERLINK("https://klasma.github.io/Logging_1981/tillsynsmail/A 41270-2024 tillsynsbegäran mail.docx", "A 41270-2024")</f>
        <v/>
      </c>
      <c r="Z51">
        <f>HYPERLINK("https://klasma.github.io/Logging_1981/fåglar/A 41270-2024 prioriterade fågelarter.docx", "A 41270-2024")</f>
        <v/>
      </c>
    </row>
    <row r="52" ht="15" customHeight="1">
      <c r="A52" t="inlineStr">
        <is>
          <t>A 22950-2025</t>
        </is>
      </c>
      <c r="B52" s="1" t="n">
        <v>45790.50728009259</v>
      </c>
      <c r="C52" s="1" t="n">
        <v>46045</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50268-2025</t>
        </is>
      </c>
      <c r="B53" s="1" t="n">
        <v>45944.35162037037</v>
      </c>
      <c r="C53" s="1" t="n">
        <v>46045</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53052-2025</t>
        </is>
      </c>
      <c r="B54" s="1" t="n">
        <v>45958.36266203703</v>
      </c>
      <c r="C54" s="1" t="n">
        <v>46045</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14775-2023</t>
        </is>
      </c>
      <c r="B55" s="1" t="n">
        <v>45014</v>
      </c>
      <c r="C55" s="1" t="n">
        <v>46045</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19361-2025</t>
        </is>
      </c>
      <c r="B56" s="1" t="n">
        <v>45769.63357638889</v>
      </c>
      <c r="C56" s="1" t="n">
        <v>46045</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46045</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55995-2025</t>
        </is>
      </c>
      <c r="B58" s="1" t="n">
        <v>45973.56733796297</v>
      </c>
      <c r="C58" s="1" t="n">
        <v>46045</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32594-2025</t>
        </is>
      </c>
      <c r="B59" s="1" t="n">
        <v>45838</v>
      </c>
      <c r="C59" s="1" t="n">
        <v>46045</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37166-2024</t>
        </is>
      </c>
      <c r="B60" s="1" t="n">
        <v>45539</v>
      </c>
      <c r="C60" s="1" t="n">
        <v>46045</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37166-2024 artfynd.xlsx", "A 37166-2024")</f>
        <v/>
      </c>
      <c r="T60">
        <f>HYPERLINK("https://klasma.github.io/Logging_1981/kartor/A 37166-2024 karta.png", "A 37166-2024")</f>
        <v/>
      </c>
      <c r="U60">
        <f>HYPERLINK("https://klasma.github.io/Logging_1981/knärot/A 37166-2024 karta knärot.png", "A 37166-2024")</f>
        <v/>
      </c>
      <c r="V60">
        <f>HYPERLINK("https://klasma.github.io/Logging_1981/klagomål/A 37166-2024 FSC-klagomål.docx", "A 37166-2024")</f>
        <v/>
      </c>
      <c r="W60">
        <f>HYPERLINK("https://klasma.github.io/Logging_1981/klagomålsmail/A 37166-2024 FSC-klagomål mail.docx", "A 37166-2024")</f>
        <v/>
      </c>
      <c r="X60">
        <f>HYPERLINK("https://klasma.github.io/Logging_1981/tillsyn/A 37166-2024 tillsynsbegäran.docx", "A 37166-2024")</f>
        <v/>
      </c>
      <c r="Y60">
        <f>HYPERLINK("https://klasma.github.io/Logging_1981/tillsynsmail/A 37166-2024 tillsynsbegäran mail.docx", "A 37166-2024")</f>
        <v/>
      </c>
    </row>
    <row r="61" ht="15" customHeight="1">
      <c r="A61" t="inlineStr">
        <is>
          <t>A 22350-2024</t>
        </is>
      </c>
      <c r="B61" s="1" t="n">
        <v>45446</v>
      </c>
      <c r="C61" s="1" t="n">
        <v>46045</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29985-2022</t>
        </is>
      </c>
      <c r="B62" s="1" t="n">
        <v>44756</v>
      </c>
      <c r="C62" s="1" t="n">
        <v>46045</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7919-2022</t>
        </is>
      </c>
      <c r="B63" s="1" t="n">
        <v>44608</v>
      </c>
      <c r="C63" s="1" t="n">
        <v>46045</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29727-2023</t>
        </is>
      </c>
      <c r="B64" s="1" t="n">
        <v>45107</v>
      </c>
      <c r="C64" s="1" t="n">
        <v>46045</v>
      </c>
      <c r="D64" t="inlineStr">
        <is>
          <t>VÄSTMANLANDS LÄN</t>
        </is>
      </c>
      <c r="E64" t="inlineStr">
        <is>
          <t>SALA</t>
        </is>
      </c>
      <c r="G64" t="n">
        <v>1.9</v>
      </c>
      <c r="H64" t="n">
        <v>0</v>
      </c>
      <c r="I64" t="n">
        <v>0</v>
      </c>
      <c r="J64" t="n">
        <v>1</v>
      </c>
      <c r="K64" t="n">
        <v>0</v>
      </c>
      <c r="L64" t="n">
        <v>0</v>
      </c>
      <c r="M64" t="n">
        <v>0</v>
      </c>
      <c r="N64" t="n">
        <v>0</v>
      </c>
      <c r="O64" t="n">
        <v>1</v>
      </c>
      <c r="P64" t="n">
        <v>0</v>
      </c>
      <c r="Q64" t="n">
        <v>1</v>
      </c>
      <c r="R64" s="2" t="inlineStr">
        <is>
          <t>Vedtrappmossa</t>
        </is>
      </c>
      <c r="S64">
        <f>HYPERLINK("https://klasma.github.io/Logging_1981/artfynd/A 29727-2023 artfynd.xlsx", "A 29727-2023")</f>
        <v/>
      </c>
      <c r="T64">
        <f>HYPERLINK("https://klasma.github.io/Logging_1981/kartor/A 29727-2023 karta.png", "A 29727-2023")</f>
        <v/>
      </c>
      <c r="V64">
        <f>HYPERLINK("https://klasma.github.io/Logging_1981/klagomål/A 29727-2023 FSC-klagomål.docx", "A 29727-2023")</f>
        <v/>
      </c>
      <c r="W64">
        <f>HYPERLINK("https://klasma.github.io/Logging_1981/klagomålsmail/A 29727-2023 FSC-klagomål mail.docx", "A 29727-2023")</f>
        <v/>
      </c>
      <c r="X64">
        <f>HYPERLINK("https://klasma.github.io/Logging_1981/tillsyn/A 29727-2023 tillsynsbegäran.docx", "A 29727-2023")</f>
        <v/>
      </c>
      <c r="Y64">
        <f>HYPERLINK("https://klasma.github.io/Logging_1981/tillsynsmail/A 29727-2023 tillsynsbegäran mail.docx", "A 29727-2023")</f>
        <v/>
      </c>
    </row>
    <row r="65" ht="15" customHeight="1">
      <c r="A65" t="inlineStr">
        <is>
          <t>A 73124-2021</t>
        </is>
      </c>
      <c r="B65" s="1" t="n">
        <v>44550</v>
      </c>
      <c r="C65" s="1" t="n">
        <v>46045</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46045</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46045</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46045</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46045</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46045</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46045</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46045</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46045</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46045</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46045</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46045</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46045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46045</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46045</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46045</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46045</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46045</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46045</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46045</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46045</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46045</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46045</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46045</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46045</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46045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46045</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46045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46045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46045</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46045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46045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46045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46045</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46045</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46045</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46045</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46045</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46045</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46045</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46045</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46045</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46045</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46045</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46045</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46045</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46045</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46045</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46045</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46045</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46045</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46045</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46045</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46045</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46045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46045</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46045</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46045</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46045</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46045</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46045</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46045</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46045</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46045</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46045</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46045</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46045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46045</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46045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46045</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46045</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46045</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46045</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46045</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46045</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46045</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52500-2024</t>
        </is>
      </c>
      <c r="B141" s="1" t="n">
        <v>45609</v>
      </c>
      <c r="C141" s="1" t="n">
        <v>46045</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10168-2022</t>
        </is>
      </c>
      <c r="B142" s="1" t="n">
        <v>44622.37693287037</v>
      </c>
      <c r="C142" s="1" t="n">
        <v>46045</v>
      </c>
      <c r="D142" t="inlineStr">
        <is>
          <t>VÄSTMANLANDS LÄN</t>
        </is>
      </c>
      <c r="E142" t="inlineStr">
        <is>
          <t>SALA</t>
        </is>
      </c>
      <c r="G142" t="n">
        <v>2.1</v>
      </c>
      <c r="H142" t="n">
        <v>0</v>
      </c>
      <c r="I142" t="n">
        <v>0</v>
      </c>
      <c r="J142" t="n">
        <v>0</v>
      </c>
      <c r="K142" t="n">
        <v>0</v>
      </c>
      <c r="L142" t="n">
        <v>0</v>
      </c>
      <c r="M142" t="n">
        <v>0</v>
      </c>
      <c r="N142" t="n">
        <v>0</v>
      </c>
      <c r="O142" t="n">
        <v>0</v>
      </c>
      <c r="P142" t="n">
        <v>0</v>
      </c>
      <c r="Q142" t="n">
        <v>0</v>
      </c>
      <c r="R142" s="2" t="inlineStr"/>
    </row>
    <row r="143" ht="15" customHeight="1">
      <c r="A143" t="inlineStr">
        <is>
          <t>A 65353-2021</t>
        </is>
      </c>
      <c r="B143" s="1" t="n">
        <v>44515</v>
      </c>
      <c r="C143" s="1" t="n">
        <v>46045</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44535.6571412037</v>
      </c>
      <c r="C144" s="1" t="n">
        <v>46045</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46045</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26570-2021</t>
        </is>
      </c>
      <c r="B146" s="1" t="n">
        <v>44348</v>
      </c>
      <c r="C146" s="1" t="n">
        <v>46045</v>
      </c>
      <c r="D146" t="inlineStr">
        <is>
          <t>VÄSTMANLANDS LÄN</t>
        </is>
      </c>
      <c r="E146" t="inlineStr">
        <is>
          <t>SALA</t>
        </is>
      </c>
      <c r="G146" t="n">
        <v>2.5</v>
      </c>
      <c r="H146" t="n">
        <v>0</v>
      </c>
      <c r="I146" t="n">
        <v>0</v>
      </c>
      <c r="J146" t="n">
        <v>0</v>
      </c>
      <c r="K146" t="n">
        <v>0</v>
      </c>
      <c r="L146" t="n">
        <v>0</v>
      </c>
      <c r="M146" t="n">
        <v>0</v>
      </c>
      <c r="N146" t="n">
        <v>0</v>
      </c>
      <c r="O146" t="n">
        <v>0</v>
      </c>
      <c r="P146" t="n">
        <v>0</v>
      </c>
      <c r="Q146" t="n">
        <v>0</v>
      </c>
      <c r="R146" s="2" t="inlineStr"/>
    </row>
    <row r="147" ht="15" customHeight="1">
      <c r="A147" t="inlineStr">
        <is>
          <t>A 22575-2022</t>
        </is>
      </c>
      <c r="B147" s="1" t="n">
        <v>44713</v>
      </c>
      <c r="C147" s="1" t="n">
        <v>46045</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40094-2022</t>
        </is>
      </c>
      <c r="B148" s="1" t="n">
        <v>44819</v>
      </c>
      <c r="C148" s="1" t="n">
        <v>46045</v>
      </c>
      <c r="D148" t="inlineStr">
        <is>
          <t>VÄSTMANLANDS LÄN</t>
        </is>
      </c>
      <c r="E148" t="inlineStr">
        <is>
          <t>SALA</t>
        </is>
      </c>
      <c r="G148" t="n">
        <v>1.7</v>
      </c>
      <c r="H148" t="n">
        <v>0</v>
      </c>
      <c r="I148" t="n">
        <v>0</v>
      </c>
      <c r="J148" t="n">
        <v>0</v>
      </c>
      <c r="K148" t="n">
        <v>0</v>
      </c>
      <c r="L148" t="n">
        <v>0</v>
      </c>
      <c r="M148" t="n">
        <v>0</v>
      </c>
      <c r="N148" t="n">
        <v>0</v>
      </c>
      <c r="O148" t="n">
        <v>0</v>
      </c>
      <c r="P148" t="n">
        <v>0</v>
      </c>
      <c r="Q148" t="n">
        <v>0</v>
      </c>
      <c r="R148" s="2" t="inlineStr"/>
    </row>
    <row r="149" ht="15" customHeight="1">
      <c r="A149" t="inlineStr">
        <is>
          <t>A 57000-2021</t>
        </is>
      </c>
      <c r="B149" s="1" t="n">
        <v>44482.46760416667</v>
      </c>
      <c r="C149" s="1" t="n">
        <v>46045</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9075-2022</t>
        </is>
      </c>
      <c r="B150" s="1" t="n">
        <v>44615.47800925926</v>
      </c>
      <c r="C150" s="1" t="n">
        <v>46045</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14047-2021</t>
        </is>
      </c>
      <c r="B151" s="1" t="n">
        <v>44277</v>
      </c>
      <c r="C151" s="1" t="n">
        <v>46045</v>
      </c>
      <c r="D151" t="inlineStr">
        <is>
          <t>VÄSTMANLANDS LÄN</t>
        </is>
      </c>
      <c r="E151" t="inlineStr">
        <is>
          <t>SALA</t>
        </is>
      </c>
      <c r="F151" t="inlineStr">
        <is>
          <t>Kyrkan</t>
        </is>
      </c>
      <c r="G151" t="n">
        <v>0.7</v>
      </c>
      <c r="H151" t="n">
        <v>0</v>
      </c>
      <c r="I151" t="n">
        <v>0</v>
      </c>
      <c r="J151" t="n">
        <v>0</v>
      </c>
      <c r="K151" t="n">
        <v>0</v>
      </c>
      <c r="L151" t="n">
        <v>0</v>
      </c>
      <c r="M151" t="n">
        <v>0</v>
      </c>
      <c r="N151" t="n">
        <v>0</v>
      </c>
      <c r="O151" t="n">
        <v>0</v>
      </c>
      <c r="P151" t="n">
        <v>0</v>
      </c>
      <c r="Q151" t="n">
        <v>0</v>
      </c>
      <c r="R151" s="2" t="inlineStr"/>
    </row>
    <row r="152" ht="15" customHeight="1">
      <c r="A152" t="inlineStr">
        <is>
          <t>A 26579-2021</t>
        </is>
      </c>
      <c r="B152" s="1" t="n">
        <v>44348</v>
      </c>
      <c r="C152" s="1" t="n">
        <v>46045</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53630-2022</t>
        </is>
      </c>
      <c r="B153" s="1" t="n">
        <v>44879.87533564815</v>
      </c>
      <c r="C153" s="1" t="n">
        <v>46045</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29002-2022</t>
        </is>
      </c>
      <c r="B154" s="1" t="n">
        <v>44749</v>
      </c>
      <c r="C154" s="1" t="n">
        <v>46045</v>
      </c>
      <c r="D154" t="inlineStr">
        <is>
          <t>VÄSTMANLANDS LÄN</t>
        </is>
      </c>
      <c r="E154" t="inlineStr">
        <is>
          <t>SALA</t>
        </is>
      </c>
      <c r="G154" t="n">
        <v>5.4</v>
      </c>
      <c r="H154" t="n">
        <v>0</v>
      </c>
      <c r="I154" t="n">
        <v>0</v>
      </c>
      <c r="J154" t="n">
        <v>0</v>
      </c>
      <c r="K154" t="n">
        <v>0</v>
      </c>
      <c r="L154" t="n">
        <v>0</v>
      </c>
      <c r="M154" t="n">
        <v>0</v>
      </c>
      <c r="N154" t="n">
        <v>0</v>
      </c>
      <c r="O154" t="n">
        <v>0</v>
      </c>
      <c r="P154" t="n">
        <v>0</v>
      </c>
      <c r="Q154" t="n">
        <v>0</v>
      </c>
      <c r="R154" s="2" t="inlineStr"/>
    </row>
    <row r="155" ht="15" customHeight="1">
      <c r="A155" t="inlineStr">
        <is>
          <t>A 66830-2021</t>
        </is>
      </c>
      <c r="B155" s="1" t="n">
        <v>44522.40886574074</v>
      </c>
      <c r="C155" s="1" t="n">
        <v>46045</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72405-2021</t>
        </is>
      </c>
      <c r="B156" s="1" t="n">
        <v>44545</v>
      </c>
      <c r="C156" s="1" t="n">
        <v>46045</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64932-2021</t>
        </is>
      </c>
      <c r="B157" s="1" t="n">
        <v>44512</v>
      </c>
      <c r="C157" s="1" t="n">
        <v>46045</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46045</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63290-2021</t>
        </is>
      </c>
      <c r="B159" s="1" t="n">
        <v>44505</v>
      </c>
      <c r="C159" s="1" t="n">
        <v>46045</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73606-2021</t>
        </is>
      </c>
      <c r="B160" s="1" t="n">
        <v>44552</v>
      </c>
      <c r="C160" s="1" t="n">
        <v>46045</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53735-2022</t>
        </is>
      </c>
      <c r="B161" s="1" t="n">
        <v>44880.42752314815</v>
      </c>
      <c r="C161" s="1" t="n">
        <v>46045</v>
      </c>
      <c r="D161" t="inlineStr">
        <is>
          <t>VÄSTMANLANDS LÄN</t>
        </is>
      </c>
      <c r="E161" t="inlineStr">
        <is>
          <t>SALA</t>
        </is>
      </c>
      <c r="F161" t="inlineStr">
        <is>
          <t>Bergvik skog öst AB</t>
        </is>
      </c>
      <c r="G161" t="n">
        <v>1.8</v>
      </c>
      <c r="H161" t="n">
        <v>0</v>
      </c>
      <c r="I161" t="n">
        <v>0</v>
      </c>
      <c r="J161" t="n">
        <v>0</v>
      </c>
      <c r="K161" t="n">
        <v>0</v>
      </c>
      <c r="L161" t="n">
        <v>0</v>
      </c>
      <c r="M161" t="n">
        <v>0</v>
      </c>
      <c r="N161" t="n">
        <v>0</v>
      </c>
      <c r="O161" t="n">
        <v>0</v>
      </c>
      <c r="P161" t="n">
        <v>0</v>
      </c>
      <c r="Q161" t="n">
        <v>0</v>
      </c>
      <c r="R161" s="2" t="inlineStr"/>
    </row>
    <row r="162" ht="15" customHeight="1">
      <c r="A162" t="inlineStr">
        <is>
          <t>A 56688-2024</t>
        </is>
      </c>
      <c r="B162" s="1" t="n">
        <v>45627.66478009259</v>
      </c>
      <c r="C162" s="1" t="n">
        <v>46045</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7950-2025</t>
        </is>
      </c>
      <c r="B163" s="1" t="n">
        <v>45707.41799768519</v>
      </c>
      <c r="C163" s="1" t="n">
        <v>46045</v>
      </c>
      <c r="D163" t="inlineStr">
        <is>
          <t>VÄSTMANLANDS LÄN</t>
        </is>
      </c>
      <c r="E163" t="inlineStr">
        <is>
          <t>SALA</t>
        </is>
      </c>
      <c r="G163" t="n">
        <v>3.2</v>
      </c>
      <c r="H163" t="n">
        <v>0</v>
      </c>
      <c r="I163" t="n">
        <v>0</v>
      </c>
      <c r="J163" t="n">
        <v>0</v>
      </c>
      <c r="K163" t="n">
        <v>0</v>
      </c>
      <c r="L163" t="n">
        <v>0</v>
      </c>
      <c r="M163" t="n">
        <v>0</v>
      </c>
      <c r="N163" t="n">
        <v>0</v>
      </c>
      <c r="O163" t="n">
        <v>0</v>
      </c>
      <c r="P163" t="n">
        <v>0</v>
      </c>
      <c r="Q163" t="n">
        <v>0</v>
      </c>
      <c r="R163" s="2" t="inlineStr"/>
    </row>
    <row r="164" ht="15" customHeight="1">
      <c r="A164" t="inlineStr">
        <is>
          <t>A 27261-2024</t>
        </is>
      </c>
      <c r="B164" s="1" t="n">
        <v>45471</v>
      </c>
      <c r="C164" s="1" t="n">
        <v>46045</v>
      </c>
      <c r="D164" t="inlineStr">
        <is>
          <t>VÄSTMANLANDS LÄN</t>
        </is>
      </c>
      <c r="E164" t="inlineStr">
        <is>
          <t>SALA</t>
        </is>
      </c>
      <c r="G164" t="n">
        <v>6.1</v>
      </c>
      <c r="H164" t="n">
        <v>0</v>
      </c>
      <c r="I164" t="n">
        <v>0</v>
      </c>
      <c r="J164" t="n">
        <v>0</v>
      </c>
      <c r="K164" t="n">
        <v>0</v>
      </c>
      <c r="L164" t="n">
        <v>0</v>
      </c>
      <c r="M164" t="n">
        <v>0</v>
      </c>
      <c r="N164" t="n">
        <v>0</v>
      </c>
      <c r="O164" t="n">
        <v>0</v>
      </c>
      <c r="P164" t="n">
        <v>0</v>
      </c>
      <c r="Q164" t="n">
        <v>0</v>
      </c>
      <c r="R164" s="2" t="inlineStr"/>
    </row>
    <row r="165" ht="15" customHeight="1">
      <c r="A165" t="inlineStr">
        <is>
          <t>A 65856-2021</t>
        </is>
      </c>
      <c r="B165" s="1" t="n">
        <v>44517</v>
      </c>
      <c r="C165" s="1" t="n">
        <v>46045</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18713-2025</t>
        </is>
      </c>
      <c r="B166" s="1" t="n">
        <v>45763</v>
      </c>
      <c r="C166" s="1" t="n">
        <v>46045</v>
      </c>
      <c r="D166" t="inlineStr">
        <is>
          <t>VÄSTMANLANDS LÄN</t>
        </is>
      </c>
      <c r="E166" t="inlineStr">
        <is>
          <t>SALA</t>
        </is>
      </c>
      <c r="F166" t="inlineStr">
        <is>
          <t>Bergvik skog öst AB</t>
        </is>
      </c>
      <c r="G166" t="n">
        <v>11.6</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46045</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54959-2024</t>
        </is>
      </c>
      <c r="B168" s="1" t="n">
        <v>45619</v>
      </c>
      <c r="C168" s="1" t="n">
        <v>46045</v>
      </c>
      <c r="D168" t="inlineStr">
        <is>
          <t>VÄSTMANLANDS LÄN</t>
        </is>
      </c>
      <c r="E168" t="inlineStr">
        <is>
          <t>SALA</t>
        </is>
      </c>
      <c r="G168" t="n">
        <v>1.3</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46045</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44224-2022</t>
        </is>
      </c>
      <c r="B170" s="1" t="n">
        <v>44839.506875</v>
      </c>
      <c r="C170" s="1" t="n">
        <v>46045</v>
      </c>
      <c r="D170" t="inlineStr">
        <is>
          <t>VÄSTMANLANDS LÄN</t>
        </is>
      </c>
      <c r="E170" t="inlineStr">
        <is>
          <t>SALA</t>
        </is>
      </c>
      <c r="G170" t="n">
        <v>2.1</v>
      </c>
      <c r="H170" t="n">
        <v>0</v>
      </c>
      <c r="I170" t="n">
        <v>0</v>
      </c>
      <c r="J170" t="n">
        <v>0</v>
      </c>
      <c r="K170" t="n">
        <v>0</v>
      </c>
      <c r="L170" t="n">
        <v>0</v>
      </c>
      <c r="M170" t="n">
        <v>0</v>
      </c>
      <c r="N170" t="n">
        <v>0</v>
      </c>
      <c r="O170" t="n">
        <v>0</v>
      </c>
      <c r="P170" t="n">
        <v>0</v>
      </c>
      <c r="Q170" t="n">
        <v>0</v>
      </c>
      <c r="R170" s="2" t="inlineStr"/>
    </row>
    <row r="171" ht="15" customHeight="1">
      <c r="A171" t="inlineStr">
        <is>
          <t>A 72805-2021</t>
        </is>
      </c>
      <c r="B171" s="1" t="n">
        <v>44546</v>
      </c>
      <c r="C171" s="1" t="n">
        <v>46045</v>
      </c>
      <c r="D171" t="inlineStr">
        <is>
          <t>VÄSTMANLANDS LÄN</t>
        </is>
      </c>
      <c r="E171" t="inlineStr">
        <is>
          <t>SALA</t>
        </is>
      </c>
      <c r="G171" t="n">
        <v>7.8</v>
      </c>
      <c r="H171" t="n">
        <v>0</v>
      </c>
      <c r="I171" t="n">
        <v>0</v>
      </c>
      <c r="J171" t="n">
        <v>0</v>
      </c>
      <c r="K171" t="n">
        <v>0</v>
      </c>
      <c r="L171" t="n">
        <v>0</v>
      </c>
      <c r="M171" t="n">
        <v>0</v>
      </c>
      <c r="N171" t="n">
        <v>0</v>
      </c>
      <c r="O171" t="n">
        <v>0</v>
      </c>
      <c r="P171" t="n">
        <v>0</v>
      </c>
      <c r="Q171" t="n">
        <v>0</v>
      </c>
      <c r="R171" s="2" t="inlineStr"/>
    </row>
    <row r="172" ht="15" customHeight="1">
      <c r="A172" t="inlineStr">
        <is>
          <t>A 72808-2021</t>
        </is>
      </c>
      <c r="B172" s="1" t="n">
        <v>44546</v>
      </c>
      <c r="C172" s="1" t="n">
        <v>46045</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27486-2022</t>
        </is>
      </c>
      <c r="B173" s="1" t="n">
        <v>44742.60846064815</v>
      </c>
      <c r="C173" s="1" t="n">
        <v>46045</v>
      </c>
      <c r="D173" t="inlineStr">
        <is>
          <t>VÄSTMANLANDS LÄN</t>
        </is>
      </c>
      <c r="E173" t="inlineStr">
        <is>
          <t>SALA</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16651-2021</t>
        </is>
      </c>
      <c r="B174" s="1" t="n">
        <v>44294.50096064815</v>
      </c>
      <c r="C174" s="1" t="n">
        <v>46045</v>
      </c>
      <c r="D174" t="inlineStr">
        <is>
          <t>VÄSTMANLANDS LÄN</t>
        </is>
      </c>
      <c r="E174" t="inlineStr">
        <is>
          <t>SALA</t>
        </is>
      </c>
      <c r="G174" t="n">
        <v>7.7</v>
      </c>
      <c r="H174" t="n">
        <v>0</v>
      </c>
      <c r="I174" t="n">
        <v>0</v>
      </c>
      <c r="J174" t="n">
        <v>0</v>
      </c>
      <c r="K174" t="n">
        <v>0</v>
      </c>
      <c r="L174" t="n">
        <v>0</v>
      </c>
      <c r="M174" t="n">
        <v>0</v>
      </c>
      <c r="N174" t="n">
        <v>0</v>
      </c>
      <c r="O174" t="n">
        <v>0</v>
      </c>
      <c r="P174" t="n">
        <v>0</v>
      </c>
      <c r="Q174" t="n">
        <v>0</v>
      </c>
      <c r="R174" s="2" t="inlineStr"/>
    </row>
    <row r="175" ht="15" customHeight="1">
      <c r="A175" t="inlineStr">
        <is>
          <t>A 25603-2022</t>
        </is>
      </c>
      <c r="B175" s="1" t="n">
        <v>44732</v>
      </c>
      <c r="C175" s="1" t="n">
        <v>46045</v>
      </c>
      <c r="D175" t="inlineStr">
        <is>
          <t>VÄSTMANLANDS LÄN</t>
        </is>
      </c>
      <c r="E175" t="inlineStr">
        <is>
          <t>SALA</t>
        </is>
      </c>
      <c r="G175" t="n">
        <v>2</v>
      </c>
      <c r="H175" t="n">
        <v>0</v>
      </c>
      <c r="I175" t="n">
        <v>0</v>
      </c>
      <c r="J175" t="n">
        <v>0</v>
      </c>
      <c r="K175" t="n">
        <v>0</v>
      </c>
      <c r="L175" t="n">
        <v>0</v>
      </c>
      <c r="M175" t="n">
        <v>0</v>
      </c>
      <c r="N175" t="n">
        <v>0</v>
      </c>
      <c r="O175" t="n">
        <v>0</v>
      </c>
      <c r="P175" t="n">
        <v>0</v>
      </c>
      <c r="Q175" t="n">
        <v>0</v>
      </c>
      <c r="R175" s="2" t="inlineStr"/>
    </row>
    <row r="176" ht="15" customHeight="1">
      <c r="A176" t="inlineStr">
        <is>
          <t>A 10812-2021</t>
        </is>
      </c>
      <c r="B176" s="1" t="n">
        <v>44259</v>
      </c>
      <c r="C176" s="1" t="n">
        <v>46045</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10154-2021</t>
        </is>
      </c>
      <c r="B177" s="1" t="n">
        <v>44256</v>
      </c>
      <c r="C177" s="1" t="n">
        <v>46045</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6134-2024</t>
        </is>
      </c>
      <c r="B178" s="1" t="n">
        <v>45337</v>
      </c>
      <c r="C178" s="1" t="n">
        <v>46045</v>
      </c>
      <c r="D178" t="inlineStr">
        <is>
          <t>VÄSTMANLANDS LÄN</t>
        </is>
      </c>
      <c r="E178" t="inlineStr">
        <is>
          <t>SALA</t>
        </is>
      </c>
      <c r="G178" t="n">
        <v>1.8</v>
      </c>
      <c r="H178" t="n">
        <v>0</v>
      </c>
      <c r="I178" t="n">
        <v>0</v>
      </c>
      <c r="J178" t="n">
        <v>0</v>
      </c>
      <c r="K178" t="n">
        <v>0</v>
      </c>
      <c r="L178" t="n">
        <v>0</v>
      </c>
      <c r="M178" t="n">
        <v>0</v>
      </c>
      <c r="N178" t="n">
        <v>0</v>
      </c>
      <c r="O178" t="n">
        <v>0</v>
      </c>
      <c r="P178" t="n">
        <v>0</v>
      </c>
      <c r="Q178" t="n">
        <v>0</v>
      </c>
      <c r="R178" s="2" t="inlineStr"/>
    </row>
    <row r="179" ht="15" customHeight="1">
      <c r="A179" t="inlineStr">
        <is>
          <t>A 15354-2021</t>
        </is>
      </c>
      <c r="B179" s="1" t="n">
        <v>44284</v>
      </c>
      <c r="C179" s="1" t="n">
        <v>46045</v>
      </c>
      <c r="D179" t="inlineStr">
        <is>
          <t>VÄSTMANLANDS LÄN</t>
        </is>
      </c>
      <c r="E179" t="inlineStr">
        <is>
          <t>SALA</t>
        </is>
      </c>
      <c r="F179" t="inlineStr">
        <is>
          <t>Kyrkan</t>
        </is>
      </c>
      <c r="G179" t="n">
        <v>8.5</v>
      </c>
      <c r="H179" t="n">
        <v>0</v>
      </c>
      <c r="I179" t="n">
        <v>0</v>
      </c>
      <c r="J179" t="n">
        <v>0</v>
      </c>
      <c r="K179" t="n">
        <v>0</v>
      </c>
      <c r="L179" t="n">
        <v>0</v>
      </c>
      <c r="M179" t="n">
        <v>0</v>
      </c>
      <c r="N179" t="n">
        <v>0</v>
      </c>
      <c r="O179" t="n">
        <v>0</v>
      </c>
      <c r="P179" t="n">
        <v>0</v>
      </c>
      <c r="Q179" t="n">
        <v>0</v>
      </c>
      <c r="R179" s="2" t="inlineStr"/>
    </row>
    <row r="180" ht="15" customHeight="1">
      <c r="A180" t="inlineStr">
        <is>
          <t>A 40113-2022</t>
        </is>
      </c>
      <c r="B180" s="1" t="n">
        <v>44819</v>
      </c>
      <c r="C180" s="1" t="n">
        <v>46045</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53628-2022</t>
        </is>
      </c>
      <c r="B181" s="1" t="n">
        <v>44879.87171296297</v>
      </c>
      <c r="C181" s="1" t="n">
        <v>46045</v>
      </c>
      <c r="D181" t="inlineStr">
        <is>
          <t>VÄSTMANLANDS LÄN</t>
        </is>
      </c>
      <c r="E181" t="inlineStr">
        <is>
          <t>SALA</t>
        </is>
      </c>
      <c r="G181" t="n">
        <v>2.7</v>
      </c>
      <c r="H181" t="n">
        <v>0</v>
      </c>
      <c r="I181" t="n">
        <v>0</v>
      </c>
      <c r="J181" t="n">
        <v>0</v>
      </c>
      <c r="K181" t="n">
        <v>0</v>
      </c>
      <c r="L181" t="n">
        <v>0</v>
      </c>
      <c r="M181" t="n">
        <v>0</v>
      </c>
      <c r="N181" t="n">
        <v>0</v>
      </c>
      <c r="O181" t="n">
        <v>0</v>
      </c>
      <c r="P181" t="n">
        <v>0</v>
      </c>
      <c r="Q181" t="n">
        <v>0</v>
      </c>
      <c r="R181" s="2" t="inlineStr"/>
    </row>
    <row r="182" ht="15" customHeight="1">
      <c r="A182" t="inlineStr">
        <is>
          <t>A 23847-2022</t>
        </is>
      </c>
      <c r="B182" s="1" t="n">
        <v>44722</v>
      </c>
      <c r="C182" s="1" t="n">
        <v>46045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29233-2022</t>
        </is>
      </c>
      <c r="B183" s="1" t="n">
        <v>44750</v>
      </c>
      <c r="C183" s="1" t="n">
        <v>46045</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30915-2021</t>
        </is>
      </c>
      <c r="B184" s="1" t="n">
        <v>44365</v>
      </c>
      <c r="C184" s="1" t="n">
        <v>46045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30918-2021</t>
        </is>
      </c>
      <c r="B185" s="1" t="n">
        <v>44365.60569444444</v>
      </c>
      <c r="C185" s="1" t="n">
        <v>46045</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46045</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22562-2022</t>
        </is>
      </c>
      <c r="B187" s="1" t="n">
        <v>44713</v>
      </c>
      <c r="C187" s="1" t="n">
        <v>46045</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30904-2021</t>
        </is>
      </c>
      <c r="B188" s="1" t="n">
        <v>44365.5983449074</v>
      </c>
      <c r="C188" s="1" t="n">
        <v>46045</v>
      </c>
      <c r="D188" t="inlineStr">
        <is>
          <t>VÄSTMANLANDS LÄN</t>
        </is>
      </c>
      <c r="E188" t="inlineStr">
        <is>
          <t>SALA</t>
        </is>
      </c>
      <c r="G188" t="n">
        <v>1.9</v>
      </c>
      <c r="H188" t="n">
        <v>0</v>
      </c>
      <c r="I188" t="n">
        <v>0</v>
      </c>
      <c r="J188" t="n">
        <v>0</v>
      </c>
      <c r="K188" t="n">
        <v>0</v>
      </c>
      <c r="L188" t="n">
        <v>0</v>
      </c>
      <c r="M188" t="n">
        <v>0</v>
      </c>
      <c r="N188" t="n">
        <v>0</v>
      </c>
      <c r="O188" t="n">
        <v>0</v>
      </c>
      <c r="P188" t="n">
        <v>0</v>
      </c>
      <c r="Q188" t="n">
        <v>0</v>
      </c>
      <c r="R188" s="2" t="inlineStr"/>
    </row>
    <row r="189" ht="15" customHeight="1">
      <c r="A189" t="inlineStr">
        <is>
          <t>A 25860-2024</t>
        </is>
      </c>
      <c r="B189" s="1" t="n">
        <v>45467.46278935186</v>
      </c>
      <c r="C189" s="1" t="n">
        <v>46045</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41876-2022</t>
        </is>
      </c>
      <c r="B190" s="1" t="n">
        <v>44829.97008101852</v>
      </c>
      <c r="C190" s="1" t="n">
        <v>46045</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67958-2021</t>
        </is>
      </c>
      <c r="B191" s="1" t="n">
        <v>44525</v>
      </c>
      <c r="C191" s="1" t="n">
        <v>46045</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67965-2021</t>
        </is>
      </c>
      <c r="B192" s="1" t="n">
        <v>44525</v>
      </c>
      <c r="C192" s="1" t="n">
        <v>46045</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10585-2022</t>
        </is>
      </c>
      <c r="B193" s="1" t="n">
        <v>44624</v>
      </c>
      <c r="C193" s="1" t="n">
        <v>46045</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69236-2021</t>
        </is>
      </c>
      <c r="B194" s="1" t="n">
        <v>44531.4047337963</v>
      </c>
      <c r="C194" s="1" t="n">
        <v>46045</v>
      </c>
      <c r="D194" t="inlineStr">
        <is>
          <t>VÄSTMANLANDS LÄN</t>
        </is>
      </c>
      <c r="E194" t="inlineStr">
        <is>
          <t>SALA</t>
        </is>
      </c>
      <c r="G194" t="n">
        <v>2.8</v>
      </c>
      <c r="H194" t="n">
        <v>0</v>
      </c>
      <c r="I194" t="n">
        <v>0</v>
      </c>
      <c r="J194" t="n">
        <v>0</v>
      </c>
      <c r="K194" t="n">
        <v>0</v>
      </c>
      <c r="L194" t="n">
        <v>0</v>
      </c>
      <c r="M194" t="n">
        <v>0</v>
      </c>
      <c r="N194" t="n">
        <v>0</v>
      </c>
      <c r="O194" t="n">
        <v>0</v>
      </c>
      <c r="P194" t="n">
        <v>0</v>
      </c>
      <c r="Q194" t="n">
        <v>0</v>
      </c>
      <c r="R194" s="2" t="inlineStr"/>
    </row>
    <row r="195" ht="15" customHeight="1">
      <c r="A195" t="inlineStr">
        <is>
          <t>A 45015-2022</t>
        </is>
      </c>
      <c r="B195" s="1" t="n">
        <v>44841.63766203704</v>
      </c>
      <c r="C195" s="1" t="n">
        <v>46045</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22026-2021</t>
        </is>
      </c>
      <c r="B196" s="1" t="n">
        <v>44323</v>
      </c>
      <c r="C196" s="1" t="n">
        <v>46045</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16328-2025</t>
        </is>
      </c>
      <c r="B197" s="1" t="n">
        <v>45751</v>
      </c>
      <c r="C197" s="1" t="n">
        <v>46045</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48117-2024</t>
        </is>
      </c>
      <c r="B198" s="1" t="n">
        <v>45589</v>
      </c>
      <c r="C198" s="1" t="n">
        <v>46045</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12225-2023</t>
        </is>
      </c>
      <c r="B199" s="1" t="n">
        <v>44995</v>
      </c>
      <c r="C199" s="1" t="n">
        <v>46045</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12252-2023</t>
        </is>
      </c>
      <c r="B200" s="1" t="n">
        <v>44995</v>
      </c>
      <c r="C200" s="1" t="n">
        <v>46045</v>
      </c>
      <c r="D200" t="inlineStr">
        <is>
          <t>VÄSTMANLANDS LÄN</t>
        </is>
      </c>
      <c r="E200" t="inlineStr">
        <is>
          <t>SALA</t>
        </is>
      </c>
      <c r="G200" t="n">
        <v>2.6</v>
      </c>
      <c r="H200" t="n">
        <v>0</v>
      </c>
      <c r="I200" t="n">
        <v>0</v>
      </c>
      <c r="J200" t="n">
        <v>0</v>
      </c>
      <c r="K200" t="n">
        <v>0</v>
      </c>
      <c r="L200" t="n">
        <v>0</v>
      </c>
      <c r="M200" t="n">
        <v>0</v>
      </c>
      <c r="N200" t="n">
        <v>0</v>
      </c>
      <c r="O200" t="n">
        <v>0</v>
      </c>
      <c r="P200" t="n">
        <v>0</v>
      </c>
      <c r="Q200" t="n">
        <v>0</v>
      </c>
      <c r="R200" s="2" t="inlineStr"/>
    </row>
    <row r="201" ht="15" customHeight="1">
      <c r="A201" t="inlineStr">
        <is>
          <t>A 6116-2023</t>
        </is>
      </c>
      <c r="B201" s="1" t="n">
        <v>44964</v>
      </c>
      <c r="C201" s="1" t="n">
        <v>46045</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18100-2023</t>
        </is>
      </c>
      <c r="B202" s="1" t="n">
        <v>45040</v>
      </c>
      <c r="C202" s="1" t="n">
        <v>46045</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16160-2024</t>
        </is>
      </c>
      <c r="B203" s="1" t="n">
        <v>45406</v>
      </c>
      <c r="C203" s="1" t="n">
        <v>46045</v>
      </c>
      <c r="D203" t="inlineStr">
        <is>
          <t>VÄSTMANLANDS LÄN</t>
        </is>
      </c>
      <c r="E203" t="inlineStr">
        <is>
          <t>SALA</t>
        </is>
      </c>
      <c r="G203" t="n">
        <v>1.1</v>
      </c>
      <c r="H203" t="n">
        <v>0</v>
      </c>
      <c r="I203" t="n">
        <v>0</v>
      </c>
      <c r="J203" t="n">
        <v>0</v>
      </c>
      <c r="K203" t="n">
        <v>0</v>
      </c>
      <c r="L203" t="n">
        <v>0</v>
      </c>
      <c r="M203" t="n">
        <v>0</v>
      </c>
      <c r="N203" t="n">
        <v>0</v>
      </c>
      <c r="O203" t="n">
        <v>0</v>
      </c>
      <c r="P203" t="n">
        <v>0</v>
      </c>
      <c r="Q203" t="n">
        <v>0</v>
      </c>
      <c r="R203" s="2" t="inlineStr"/>
    </row>
    <row r="204" ht="15" customHeight="1">
      <c r="A204" t="inlineStr">
        <is>
          <t>A 40597-2022</t>
        </is>
      </c>
      <c r="B204" s="1" t="n">
        <v>44823.84862268518</v>
      </c>
      <c r="C204" s="1" t="n">
        <v>46045</v>
      </c>
      <c r="D204" t="inlineStr">
        <is>
          <t>VÄSTMANLANDS LÄN</t>
        </is>
      </c>
      <c r="E204" t="inlineStr">
        <is>
          <t>SALA</t>
        </is>
      </c>
      <c r="G204" t="n">
        <v>3.5</v>
      </c>
      <c r="H204" t="n">
        <v>0</v>
      </c>
      <c r="I204" t="n">
        <v>0</v>
      </c>
      <c r="J204" t="n">
        <v>0</v>
      </c>
      <c r="K204" t="n">
        <v>0</v>
      </c>
      <c r="L204" t="n">
        <v>0</v>
      </c>
      <c r="M204" t="n">
        <v>0</v>
      </c>
      <c r="N204" t="n">
        <v>0</v>
      </c>
      <c r="O204" t="n">
        <v>0</v>
      </c>
      <c r="P204" t="n">
        <v>0</v>
      </c>
      <c r="Q204" t="n">
        <v>0</v>
      </c>
      <c r="R204" s="2" t="inlineStr"/>
    </row>
    <row r="205" ht="15" customHeight="1">
      <c r="A205" t="inlineStr">
        <is>
          <t>A 13471-2025</t>
        </is>
      </c>
      <c r="B205" s="1" t="n">
        <v>45736.40579861111</v>
      </c>
      <c r="C205" s="1" t="n">
        <v>46045</v>
      </c>
      <c r="D205" t="inlineStr">
        <is>
          <t>VÄSTMANLANDS LÄN</t>
        </is>
      </c>
      <c r="E205" t="inlineStr">
        <is>
          <t>SALA</t>
        </is>
      </c>
      <c r="G205" t="n">
        <v>1.1</v>
      </c>
      <c r="H205" t="n">
        <v>0</v>
      </c>
      <c r="I205" t="n">
        <v>0</v>
      </c>
      <c r="J205" t="n">
        <v>0</v>
      </c>
      <c r="K205" t="n">
        <v>0</v>
      </c>
      <c r="L205" t="n">
        <v>0</v>
      </c>
      <c r="M205" t="n">
        <v>0</v>
      </c>
      <c r="N205" t="n">
        <v>0</v>
      </c>
      <c r="O205" t="n">
        <v>0</v>
      </c>
      <c r="P205" t="n">
        <v>0</v>
      </c>
      <c r="Q205" t="n">
        <v>0</v>
      </c>
      <c r="R205" s="2" t="inlineStr"/>
    </row>
    <row r="206" ht="15" customHeight="1">
      <c r="A206" t="inlineStr">
        <is>
          <t>A 26854-2024</t>
        </is>
      </c>
      <c r="B206" s="1" t="n">
        <v>45470</v>
      </c>
      <c r="C206" s="1" t="n">
        <v>46045</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31609-2024</t>
        </is>
      </c>
      <c r="B207" s="1" t="n">
        <v>45506</v>
      </c>
      <c r="C207" s="1" t="n">
        <v>46045</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7196-2025</t>
        </is>
      </c>
      <c r="B208" s="1" t="n">
        <v>45702</v>
      </c>
      <c r="C208" s="1" t="n">
        <v>46045</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6183-2025</t>
        </is>
      </c>
      <c r="B209" s="1" t="n">
        <v>45698</v>
      </c>
      <c r="C209" s="1" t="n">
        <v>46045</v>
      </c>
      <c r="D209" t="inlineStr">
        <is>
          <t>VÄSTMANLANDS LÄN</t>
        </is>
      </c>
      <c r="E209" t="inlineStr">
        <is>
          <t>SALA</t>
        </is>
      </c>
      <c r="F209" t="inlineStr">
        <is>
          <t>Bergvik skog öst AB</t>
        </is>
      </c>
      <c r="G209" t="n">
        <v>2.3</v>
      </c>
      <c r="H209" t="n">
        <v>0</v>
      </c>
      <c r="I209" t="n">
        <v>0</v>
      </c>
      <c r="J209" t="n">
        <v>0</v>
      </c>
      <c r="K209" t="n">
        <v>0</v>
      </c>
      <c r="L209" t="n">
        <v>0</v>
      </c>
      <c r="M209" t="n">
        <v>0</v>
      </c>
      <c r="N209" t="n">
        <v>0</v>
      </c>
      <c r="O209" t="n">
        <v>0</v>
      </c>
      <c r="P209" t="n">
        <v>0</v>
      </c>
      <c r="Q209" t="n">
        <v>0</v>
      </c>
      <c r="R209" s="2" t="inlineStr"/>
    </row>
    <row r="210" ht="15" customHeight="1">
      <c r="A210" t="inlineStr">
        <is>
          <t>A 37602-2024</t>
        </is>
      </c>
      <c r="B210" s="1" t="n">
        <v>45541</v>
      </c>
      <c r="C210" s="1" t="n">
        <v>46045</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1985-2022</t>
        </is>
      </c>
      <c r="B211" s="1" t="n">
        <v>44575</v>
      </c>
      <c r="C211" s="1" t="n">
        <v>46045</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6308-2021</t>
        </is>
      </c>
      <c r="B212" s="1" t="n">
        <v>44235</v>
      </c>
      <c r="C212" s="1" t="n">
        <v>46045</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21455-2023</t>
        </is>
      </c>
      <c r="B213" s="1" t="n">
        <v>45058</v>
      </c>
      <c r="C213" s="1" t="n">
        <v>46045</v>
      </c>
      <c r="D213" t="inlineStr">
        <is>
          <t>VÄSTMANLANDS LÄN</t>
        </is>
      </c>
      <c r="E213" t="inlineStr">
        <is>
          <t>SALA</t>
        </is>
      </c>
      <c r="G213" t="n">
        <v>6.4</v>
      </c>
      <c r="H213" t="n">
        <v>0</v>
      </c>
      <c r="I213" t="n">
        <v>0</v>
      </c>
      <c r="J213" t="n">
        <v>0</v>
      </c>
      <c r="K213" t="n">
        <v>0</v>
      </c>
      <c r="L213" t="n">
        <v>0</v>
      </c>
      <c r="M213" t="n">
        <v>0</v>
      </c>
      <c r="N213" t="n">
        <v>0</v>
      </c>
      <c r="O213" t="n">
        <v>0</v>
      </c>
      <c r="P213" t="n">
        <v>0</v>
      </c>
      <c r="Q213" t="n">
        <v>0</v>
      </c>
      <c r="R213" s="2" t="inlineStr"/>
    </row>
    <row r="214" ht="15" customHeight="1">
      <c r="A214" t="inlineStr">
        <is>
          <t>A 40871-2021</t>
        </is>
      </c>
      <c r="B214" s="1" t="n">
        <v>44421</v>
      </c>
      <c r="C214" s="1" t="n">
        <v>46045</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4797-2023</t>
        </is>
      </c>
      <c r="B215" s="1" t="n">
        <v>44957</v>
      </c>
      <c r="C215" s="1" t="n">
        <v>46045</v>
      </c>
      <c r="D215" t="inlineStr">
        <is>
          <t>VÄSTMANLANDS LÄN</t>
        </is>
      </c>
      <c r="E215" t="inlineStr">
        <is>
          <t>SALA</t>
        </is>
      </c>
      <c r="G215" t="n">
        <v>5.7</v>
      </c>
      <c r="H215" t="n">
        <v>0</v>
      </c>
      <c r="I215" t="n">
        <v>0</v>
      </c>
      <c r="J215" t="n">
        <v>0</v>
      </c>
      <c r="K215" t="n">
        <v>0</v>
      </c>
      <c r="L215" t="n">
        <v>0</v>
      </c>
      <c r="M215" t="n">
        <v>0</v>
      </c>
      <c r="N215" t="n">
        <v>0</v>
      </c>
      <c r="O215" t="n">
        <v>0</v>
      </c>
      <c r="P215" t="n">
        <v>0</v>
      </c>
      <c r="Q215" t="n">
        <v>0</v>
      </c>
      <c r="R215" s="2" t="inlineStr"/>
    </row>
    <row r="216" ht="15" customHeight="1">
      <c r="A216" t="inlineStr">
        <is>
          <t>A 4852-2023</t>
        </is>
      </c>
      <c r="B216" s="1" t="n">
        <v>44957.72496527778</v>
      </c>
      <c r="C216" s="1" t="n">
        <v>46045</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19803-2024</t>
        </is>
      </c>
      <c r="B217" s="1" t="n">
        <v>45432</v>
      </c>
      <c r="C217" s="1" t="n">
        <v>46045</v>
      </c>
      <c r="D217" t="inlineStr">
        <is>
          <t>VÄSTMANLANDS LÄN</t>
        </is>
      </c>
      <c r="E217" t="inlineStr">
        <is>
          <t>SALA</t>
        </is>
      </c>
      <c r="G217" t="n">
        <v>3.1</v>
      </c>
      <c r="H217" t="n">
        <v>0</v>
      </c>
      <c r="I217" t="n">
        <v>0</v>
      </c>
      <c r="J217" t="n">
        <v>0</v>
      </c>
      <c r="K217" t="n">
        <v>0</v>
      </c>
      <c r="L217" t="n">
        <v>0</v>
      </c>
      <c r="M217" t="n">
        <v>0</v>
      </c>
      <c r="N217" t="n">
        <v>0</v>
      </c>
      <c r="O217" t="n">
        <v>0</v>
      </c>
      <c r="P217" t="n">
        <v>0</v>
      </c>
      <c r="Q217" t="n">
        <v>0</v>
      </c>
      <c r="R217" s="2" t="inlineStr"/>
    </row>
    <row r="218" ht="15" customHeight="1">
      <c r="A218" t="inlineStr">
        <is>
          <t>A 36858-2023</t>
        </is>
      </c>
      <c r="B218" s="1" t="n">
        <v>45154.55184027777</v>
      </c>
      <c r="C218" s="1" t="n">
        <v>46045</v>
      </c>
      <c r="D218" t="inlineStr">
        <is>
          <t>VÄSTMANLANDS LÄN</t>
        </is>
      </c>
      <c r="E218" t="inlineStr">
        <is>
          <t>SALA</t>
        </is>
      </c>
      <c r="G218" t="n">
        <v>2.1</v>
      </c>
      <c r="H218" t="n">
        <v>0</v>
      </c>
      <c r="I218" t="n">
        <v>0</v>
      </c>
      <c r="J218" t="n">
        <v>0</v>
      </c>
      <c r="K218" t="n">
        <v>0</v>
      </c>
      <c r="L218" t="n">
        <v>0</v>
      </c>
      <c r="M218" t="n">
        <v>0</v>
      </c>
      <c r="N218" t="n">
        <v>0</v>
      </c>
      <c r="O218" t="n">
        <v>0</v>
      </c>
      <c r="P218" t="n">
        <v>0</v>
      </c>
      <c r="Q218" t="n">
        <v>0</v>
      </c>
      <c r="R218" s="2" t="inlineStr"/>
    </row>
    <row r="219" ht="15" customHeight="1">
      <c r="A219" t="inlineStr">
        <is>
          <t>A 58701-2021</t>
        </is>
      </c>
      <c r="B219" s="1" t="n">
        <v>44489.46454861111</v>
      </c>
      <c r="C219" s="1" t="n">
        <v>46045</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73673-2021</t>
        </is>
      </c>
      <c r="B220" s="1" t="n">
        <v>44552.46501157407</v>
      </c>
      <c r="C220" s="1" t="n">
        <v>46045</v>
      </c>
      <c r="D220" t="inlineStr">
        <is>
          <t>VÄSTMANLANDS LÄN</t>
        </is>
      </c>
      <c r="E220" t="inlineStr">
        <is>
          <t>SALA</t>
        </is>
      </c>
      <c r="G220" t="n">
        <v>11.4</v>
      </c>
      <c r="H220" t="n">
        <v>0</v>
      </c>
      <c r="I220" t="n">
        <v>0</v>
      </c>
      <c r="J220" t="n">
        <v>0</v>
      </c>
      <c r="K220" t="n">
        <v>0</v>
      </c>
      <c r="L220" t="n">
        <v>0</v>
      </c>
      <c r="M220" t="n">
        <v>0</v>
      </c>
      <c r="N220" t="n">
        <v>0</v>
      </c>
      <c r="O220" t="n">
        <v>0</v>
      </c>
      <c r="P220" t="n">
        <v>0</v>
      </c>
      <c r="Q220" t="n">
        <v>0</v>
      </c>
      <c r="R220" s="2" t="inlineStr"/>
    </row>
    <row r="221" ht="15" customHeight="1">
      <c r="A221" t="inlineStr">
        <is>
          <t>A 38574-2025</t>
        </is>
      </c>
      <c r="B221" s="1" t="n">
        <v>45884.46390046296</v>
      </c>
      <c r="C221" s="1" t="n">
        <v>46045</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16651-2021</t>
        </is>
      </c>
      <c r="B222" s="1" t="n">
        <v>44294.50096064815</v>
      </c>
      <c r="C222" s="1" t="n">
        <v>46045</v>
      </c>
      <c r="D222" t="inlineStr">
        <is>
          <t>VÄSTMANLANDS LÄN</t>
        </is>
      </c>
      <c r="E222" t="inlineStr">
        <is>
          <t>SALA</t>
        </is>
      </c>
      <c r="G222" t="n">
        <v>7.7</v>
      </c>
      <c r="H222" t="n">
        <v>0</v>
      </c>
      <c r="I222" t="n">
        <v>0</v>
      </c>
      <c r="J222" t="n">
        <v>0</v>
      </c>
      <c r="K222" t="n">
        <v>0</v>
      </c>
      <c r="L222" t="n">
        <v>0</v>
      </c>
      <c r="M222" t="n">
        <v>0</v>
      </c>
      <c r="N222" t="n">
        <v>0</v>
      </c>
      <c r="O222" t="n">
        <v>0</v>
      </c>
      <c r="P222" t="n">
        <v>0</v>
      </c>
      <c r="Q222" t="n">
        <v>0</v>
      </c>
      <c r="R222" s="2" t="inlineStr"/>
    </row>
    <row r="223" ht="15" customHeight="1">
      <c r="A223" t="inlineStr">
        <is>
          <t>A 38294-2025</t>
        </is>
      </c>
      <c r="B223" s="1" t="n">
        <v>45883.44854166666</v>
      </c>
      <c r="C223" s="1" t="n">
        <v>46045</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24864-2024</t>
        </is>
      </c>
      <c r="B224" s="1" t="n">
        <v>45461.48888888889</v>
      </c>
      <c r="C224" s="1" t="n">
        <v>46045</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35410-2022</t>
        </is>
      </c>
      <c r="B225" s="1" t="n">
        <v>44798.62576388889</v>
      </c>
      <c r="C225" s="1" t="n">
        <v>46045</v>
      </c>
      <c r="D225" t="inlineStr">
        <is>
          <t>VÄSTMANLANDS LÄN</t>
        </is>
      </c>
      <c r="E225" t="inlineStr">
        <is>
          <t>SALA</t>
        </is>
      </c>
      <c r="G225" t="n">
        <v>1.6</v>
      </c>
      <c r="H225" t="n">
        <v>0</v>
      </c>
      <c r="I225" t="n">
        <v>0</v>
      </c>
      <c r="J225" t="n">
        <v>0</v>
      </c>
      <c r="K225" t="n">
        <v>0</v>
      </c>
      <c r="L225" t="n">
        <v>0</v>
      </c>
      <c r="M225" t="n">
        <v>0</v>
      </c>
      <c r="N225" t="n">
        <v>0</v>
      </c>
      <c r="O225" t="n">
        <v>0</v>
      </c>
      <c r="P225" t="n">
        <v>0</v>
      </c>
      <c r="Q225" t="n">
        <v>0</v>
      </c>
      <c r="R225" s="2" t="inlineStr"/>
    </row>
    <row r="226" ht="15" customHeight="1">
      <c r="A226" t="inlineStr">
        <is>
          <t>A 1118-2024</t>
        </is>
      </c>
      <c r="B226" s="1" t="n">
        <v>45302</v>
      </c>
      <c r="C226" s="1" t="n">
        <v>46045</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63933-2023</t>
        </is>
      </c>
      <c r="B227" s="1" t="n">
        <v>45278</v>
      </c>
      <c r="C227" s="1" t="n">
        <v>46045</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37337-2024</t>
        </is>
      </c>
      <c r="B228" s="1" t="n">
        <v>45540</v>
      </c>
      <c r="C228" s="1" t="n">
        <v>46045</v>
      </c>
      <c r="D228" t="inlineStr">
        <is>
          <t>VÄSTMANLANDS LÄN</t>
        </is>
      </c>
      <c r="E228" t="inlineStr">
        <is>
          <t>SALA</t>
        </is>
      </c>
      <c r="G228" t="n">
        <v>6.5</v>
      </c>
      <c r="H228" t="n">
        <v>0</v>
      </c>
      <c r="I228" t="n">
        <v>0</v>
      </c>
      <c r="J228" t="n">
        <v>0</v>
      </c>
      <c r="K228" t="n">
        <v>0</v>
      </c>
      <c r="L228" t="n">
        <v>0</v>
      </c>
      <c r="M228" t="n">
        <v>0</v>
      </c>
      <c r="N228" t="n">
        <v>0</v>
      </c>
      <c r="O228" t="n">
        <v>0</v>
      </c>
      <c r="P228" t="n">
        <v>0</v>
      </c>
      <c r="Q228" t="n">
        <v>0</v>
      </c>
      <c r="R228" s="2" t="inlineStr"/>
    </row>
    <row r="229" ht="15" customHeight="1">
      <c r="A229" t="inlineStr">
        <is>
          <t>A 37190-2024</t>
        </is>
      </c>
      <c r="B229" s="1" t="n">
        <v>45539</v>
      </c>
      <c r="C229" s="1" t="n">
        <v>46045</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39439-2021</t>
        </is>
      </c>
      <c r="B230" s="1" t="n">
        <v>44414</v>
      </c>
      <c r="C230" s="1" t="n">
        <v>46045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11389-2024</t>
        </is>
      </c>
      <c r="B231" s="1" t="n">
        <v>45372.45016203704</v>
      </c>
      <c r="C231" s="1" t="n">
        <v>46045</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56706-2022</t>
        </is>
      </c>
      <c r="B232" s="1" t="n">
        <v>44893.78893518518</v>
      </c>
      <c r="C232" s="1" t="n">
        <v>46045</v>
      </c>
      <c r="D232" t="inlineStr">
        <is>
          <t>VÄSTMANLANDS LÄN</t>
        </is>
      </c>
      <c r="E232" t="inlineStr">
        <is>
          <t>SALA</t>
        </is>
      </c>
      <c r="G232" t="n">
        <v>4.5</v>
      </c>
      <c r="H232" t="n">
        <v>0</v>
      </c>
      <c r="I232" t="n">
        <v>0</v>
      </c>
      <c r="J232" t="n">
        <v>0</v>
      </c>
      <c r="K232" t="n">
        <v>0</v>
      </c>
      <c r="L232" t="n">
        <v>0</v>
      </c>
      <c r="M232" t="n">
        <v>0</v>
      </c>
      <c r="N232" t="n">
        <v>0</v>
      </c>
      <c r="O232" t="n">
        <v>0</v>
      </c>
      <c r="P232" t="n">
        <v>0</v>
      </c>
      <c r="Q232" t="n">
        <v>0</v>
      </c>
      <c r="R232" s="2" t="inlineStr"/>
    </row>
    <row r="233" ht="15" customHeight="1">
      <c r="A233" t="inlineStr">
        <is>
          <t>A 56707-2022</t>
        </is>
      </c>
      <c r="B233" s="1" t="n">
        <v>44893.79412037037</v>
      </c>
      <c r="C233" s="1" t="n">
        <v>46045</v>
      </c>
      <c r="D233" t="inlineStr">
        <is>
          <t>VÄSTMANLANDS LÄN</t>
        </is>
      </c>
      <c r="E233" t="inlineStr">
        <is>
          <t>SALA</t>
        </is>
      </c>
      <c r="G233" t="n">
        <v>1</v>
      </c>
      <c r="H233" t="n">
        <v>0</v>
      </c>
      <c r="I233" t="n">
        <v>0</v>
      </c>
      <c r="J233" t="n">
        <v>0</v>
      </c>
      <c r="K233" t="n">
        <v>0</v>
      </c>
      <c r="L233" t="n">
        <v>0</v>
      </c>
      <c r="M233" t="n">
        <v>0</v>
      </c>
      <c r="N233" t="n">
        <v>0</v>
      </c>
      <c r="O233" t="n">
        <v>0</v>
      </c>
      <c r="P233" t="n">
        <v>0</v>
      </c>
      <c r="Q233" t="n">
        <v>0</v>
      </c>
      <c r="R233" s="2" t="inlineStr"/>
    </row>
    <row r="234" ht="15" customHeight="1">
      <c r="A234" t="inlineStr">
        <is>
          <t>A 30971-2022</t>
        </is>
      </c>
      <c r="B234" s="1" t="n">
        <v>44768.46725694444</v>
      </c>
      <c r="C234" s="1" t="n">
        <v>46045</v>
      </c>
      <c r="D234" t="inlineStr">
        <is>
          <t>VÄSTMANLANDS LÄN</t>
        </is>
      </c>
      <c r="E234" t="inlineStr">
        <is>
          <t>SALA</t>
        </is>
      </c>
      <c r="G234" t="n">
        <v>2.4</v>
      </c>
      <c r="H234" t="n">
        <v>0</v>
      </c>
      <c r="I234" t="n">
        <v>0</v>
      </c>
      <c r="J234" t="n">
        <v>0</v>
      </c>
      <c r="K234" t="n">
        <v>0</v>
      </c>
      <c r="L234" t="n">
        <v>0</v>
      </c>
      <c r="M234" t="n">
        <v>0</v>
      </c>
      <c r="N234" t="n">
        <v>0</v>
      </c>
      <c r="O234" t="n">
        <v>0</v>
      </c>
      <c r="P234" t="n">
        <v>0</v>
      </c>
      <c r="Q234" t="n">
        <v>0</v>
      </c>
      <c r="R234" s="2" t="inlineStr"/>
    </row>
    <row r="235" ht="15" customHeight="1">
      <c r="A235" t="inlineStr">
        <is>
          <t>A 10250-2025</t>
        </is>
      </c>
      <c r="B235" s="1" t="n">
        <v>45720.36165509259</v>
      </c>
      <c r="C235" s="1" t="n">
        <v>46045</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23180-2022</t>
        </is>
      </c>
      <c r="B236" s="1" t="n">
        <v>44719.79344907407</v>
      </c>
      <c r="C236" s="1" t="n">
        <v>46045</v>
      </c>
      <c r="D236" t="inlineStr">
        <is>
          <t>VÄSTMANLANDS LÄN</t>
        </is>
      </c>
      <c r="E236" t="inlineStr">
        <is>
          <t>SALA</t>
        </is>
      </c>
      <c r="G236" t="n">
        <v>1.2</v>
      </c>
      <c r="H236" t="n">
        <v>0</v>
      </c>
      <c r="I236" t="n">
        <v>0</v>
      </c>
      <c r="J236" t="n">
        <v>0</v>
      </c>
      <c r="K236" t="n">
        <v>0</v>
      </c>
      <c r="L236" t="n">
        <v>0</v>
      </c>
      <c r="M236" t="n">
        <v>0</v>
      </c>
      <c r="N236" t="n">
        <v>0</v>
      </c>
      <c r="O236" t="n">
        <v>0</v>
      </c>
      <c r="P236" t="n">
        <v>0</v>
      </c>
      <c r="Q236" t="n">
        <v>0</v>
      </c>
      <c r="R236" s="2" t="inlineStr"/>
    </row>
    <row r="237" ht="15" customHeight="1">
      <c r="A237" t="inlineStr">
        <is>
          <t>A 21053-2022</t>
        </is>
      </c>
      <c r="B237" s="1" t="n">
        <v>44704</v>
      </c>
      <c r="C237" s="1" t="n">
        <v>46045</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21159-2022</t>
        </is>
      </c>
      <c r="B238" s="1" t="n">
        <v>44704</v>
      </c>
      <c r="C238" s="1" t="n">
        <v>46045</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18340-2025</t>
        </is>
      </c>
      <c r="B239" s="1" t="n">
        <v>45762</v>
      </c>
      <c r="C239" s="1" t="n">
        <v>46045</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16638-2023</t>
        </is>
      </c>
      <c r="B240" s="1" t="n">
        <v>45027</v>
      </c>
      <c r="C240" s="1" t="n">
        <v>46045</v>
      </c>
      <c r="D240" t="inlineStr">
        <is>
          <t>VÄSTMANLANDS LÄN</t>
        </is>
      </c>
      <c r="E240" t="inlineStr">
        <is>
          <t>SALA</t>
        </is>
      </c>
      <c r="G240" t="n">
        <v>14.8</v>
      </c>
      <c r="H240" t="n">
        <v>0</v>
      </c>
      <c r="I240" t="n">
        <v>0</v>
      </c>
      <c r="J240" t="n">
        <v>0</v>
      </c>
      <c r="K240" t="n">
        <v>0</v>
      </c>
      <c r="L240" t="n">
        <v>0</v>
      </c>
      <c r="M240" t="n">
        <v>0</v>
      </c>
      <c r="N240" t="n">
        <v>0</v>
      </c>
      <c r="O240" t="n">
        <v>0</v>
      </c>
      <c r="P240" t="n">
        <v>0</v>
      </c>
      <c r="Q240" t="n">
        <v>0</v>
      </c>
      <c r="R240" s="2" t="inlineStr"/>
    </row>
    <row r="241" ht="15" customHeight="1">
      <c r="A241" t="inlineStr">
        <is>
          <t>A 39182-2025</t>
        </is>
      </c>
      <c r="B241" s="1" t="n">
        <v>45888.66204861111</v>
      </c>
      <c r="C241" s="1" t="n">
        <v>46045</v>
      </c>
      <c r="D241" t="inlineStr">
        <is>
          <t>VÄSTMANLANDS LÄN</t>
        </is>
      </c>
      <c r="E241" t="inlineStr">
        <is>
          <t>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41292-2021</t>
        </is>
      </c>
      <c r="B242" s="1" t="n">
        <v>44424</v>
      </c>
      <c r="C242" s="1" t="n">
        <v>46045</v>
      </c>
      <c r="D242" t="inlineStr">
        <is>
          <t>VÄSTMANLANDS LÄN</t>
        </is>
      </c>
      <c r="E242" t="inlineStr">
        <is>
          <t>SALA</t>
        </is>
      </c>
      <c r="G242" t="n">
        <v>0.3</v>
      </c>
      <c r="H242" t="n">
        <v>0</v>
      </c>
      <c r="I242" t="n">
        <v>0</v>
      </c>
      <c r="J242" t="n">
        <v>0</v>
      </c>
      <c r="K242" t="n">
        <v>0</v>
      </c>
      <c r="L242" t="n">
        <v>0</v>
      </c>
      <c r="M242" t="n">
        <v>0</v>
      </c>
      <c r="N242" t="n">
        <v>0</v>
      </c>
      <c r="O242" t="n">
        <v>0</v>
      </c>
      <c r="P242" t="n">
        <v>0</v>
      </c>
      <c r="Q242" t="n">
        <v>0</v>
      </c>
      <c r="R242" s="2" t="inlineStr"/>
    </row>
    <row r="243" ht="15" customHeight="1">
      <c r="A243" t="inlineStr">
        <is>
          <t>A 2900-2023</t>
        </is>
      </c>
      <c r="B243" s="1" t="n">
        <v>44943</v>
      </c>
      <c r="C243" s="1" t="n">
        <v>46045</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60328-2024</t>
        </is>
      </c>
      <c r="B244" s="1" t="n">
        <v>45643.38416666666</v>
      </c>
      <c r="C244" s="1" t="n">
        <v>46045</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60730-2023</t>
        </is>
      </c>
      <c r="B245" s="1" t="n">
        <v>45260</v>
      </c>
      <c r="C245" s="1" t="n">
        <v>46045</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60731-2023</t>
        </is>
      </c>
      <c r="B246" s="1" t="n">
        <v>45260</v>
      </c>
      <c r="C246" s="1" t="n">
        <v>46045</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46279-2021</t>
        </is>
      </c>
      <c r="B247" s="1" t="n">
        <v>44442.57797453704</v>
      </c>
      <c r="C247" s="1" t="n">
        <v>46045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17117-2023</t>
        </is>
      </c>
      <c r="B248" s="1" t="n">
        <v>45034</v>
      </c>
      <c r="C248" s="1" t="n">
        <v>46045</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31864-2025</t>
        </is>
      </c>
      <c r="B249" s="1" t="n">
        <v>45834.63819444444</v>
      </c>
      <c r="C249" s="1" t="n">
        <v>46045</v>
      </c>
      <c r="D249" t="inlineStr">
        <is>
          <t>VÄSTMANLANDS LÄN</t>
        </is>
      </c>
      <c r="E249" t="inlineStr">
        <is>
          <t>SALA</t>
        </is>
      </c>
      <c r="G249" t="n">
        <v>6.3</v>
      </c>
      <c r="H249" t="n">
        <v>0</v>
      </c>
      <c r="I249" t="n">
        <v>0</v>
      </c>
      <c r="J249" t="n">
        <v>0</v>
      </c>
      <c r="K249" t="n">
        <v>0</v>
      </c>
      <c r="L249" t="n">
        <v>0</v>
      </c>
      <c r="M249" t="n">
        <v>0</v>
      </c>
      <c r="N249" t="n">
        <v>0</v>
      </c>
      <c r="O249" t="n">
        <v>0</v>
      </c>
      <c r="P249" t="n">
        <v>0</v>
      </c>
      <c r="Q249" t="n">
        <v>0</v>
      </c>
      <c r="R249" s="2" t="inlineStr"/>
    </row>
    <row r="250" ht="15" customHeight="1">
      <c r="A250" t="inlineStr">
        <is>
          <t>A 59909-2024</t>
        </is>
      </c>
      <c r="B250" s="1" t="n">
        <v>45641</v>
      </c>
      <c r="C250" s="1" t="n">
        <v>46045</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39167-2025</t>
        </is>
      </c>
      <c r="B251" s="1" t="n">
        <v>45888</v>
      </c>
      <c r="C251" s="1" t="n">
        <v>46045</v>
      </c>
      <c r="D251" t="inlineStr">
        <is>
          <t>VÄSTMANLANDS LÄN</t>
        </is>
      </c>
      <c r="E251" t="inlineStr">
        <is>
          <t>SALA</t>
        </is>
      </c>
      <c r="G251" t="n">
        <v>5.5</v>
      </c>
      <c r="H251" t="n">
        <v>0</v>
      </c>
      <c r="I251" t="n">
        <v>0</v>
      </c>
      <c r="J251" t="n">
        <v>0</v>
      </c>
      <c r="K251" t="n">
        <v>0</v>
      </c>
      <c r="L251" t="n">
        <v>0</v>
      </c>
      <c r="M251" t="n">
        <v>0</v>
      </c>
      <c r="N251" t="n">
        <v>0</v>
      </c>
      <c r="O251" t="n">
        <v>0</v>
      </c>
      <c r="P251" t="n">
        <v>0</v>
      </c>
      <c r="Q251" t="n">
        <v>0</v>
      </c>
      <c r="R251" s="2" t="inlineStr"/>
    </row>
    <row r="252" ht="15" customHeight="1">
      <c r="A252" t="inlineStr">
        <is>
          <t>A 30028-2024</t>
        </is>
      </c>
      <c r="B252" s="1" t="n">
        <v>45485</v>
      </c>
      <c r="C252" s="1" t="n">
        <v>46045</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6088-2021</t>
        </is>
      </c>
      <c r="B253" s="1" t="n">
        <v>44232</v>
      </c>
      <c r="C253" s="1" t="n">
        <v>46045</v>
      </c>
      <c r="D253" t="inlineStr">
        <is>
          <t>VÄSTMANLANDS LÄN</t>
        </is>
      </c>
      <c r="E253" t="inlineStr">
        <is>
          <t>SALA</t>
        </is>
      </c>
      <c r="G253" t="n">
        <v>0.2</v>
      </c>
      <c r="H253" t="n">
        <v>0</v>
      </c>
      <c r="I253" t="n">
        <v>0</v>
      </c>
      <c r="J253" t="n">
        <v>0</v>
      </c>
      <c r="K253" t="n">
        <v>0</v>
      </c>
      <c r="L253" t="n">
        <v>0</v>
      </c>
      <c r="M253" t="n">
        <v>0</v>
      </c>
      <c r="N253" t="n">
        <v>0</v>
      </c>
      <c r="O253" t="n">
        <v>0</v>
      </c>
      <c r="P253" t="n">
        <v>0</v>
      </c>
      <c r="Q253" t="n">
        <v>0</v>
      </c>
      <c r="R253" s="2" t="inlineStr"/>
    </row>
    <row r="254" ht="15" customHeight="1">
      <c r="A254" t="inlineStr">
        <is>
          <t>A 33273-2023</t>
        </is>
      </c>
      <c r="B254" s="1" t="n">
        <v>45127</v>
      </c>
      <c r="C254" s="1" t="n">
        <v>46045</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33309-2022</t>
        </is>
      </c>
      <c r="B255" s="1" t="n">
        <v>44788.40986111111</v>
      </c>
      <c r="C255" s="1" t="n">
        <v>46045</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7377-2023</t>
        </is>
      </c>
      <c r="B256" s="1" t="n">
        <v>44971</v>
      </c>
      <c r="C256" s="1" t="n">
        <v>46045</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27229-2022</t>
        </is>
      </c>
      <c r="B257" s="1" t="n">
        <v>44741</v>
      </c>
      <c r="C257" s="1" t="n">
        <v>46045</v>
      </c>
      <c r="D257" t="inlineStr">
        <is>
          <t>VÄSTMANLANDS LÄN</t>
        </is>
      </c>
      <c r="E257" t="inlineStr">
        <is>
          <t>SALA</t>
        </is>
      </c>
      <c r="F257" t="inlineStr">
        <is>
          <t>Kommuner</t>
        </is>
      </c>
      <c r="G257" t="n">
        <v>1.4</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46045</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24755-2021</t>
        </is>
      </c>
      <c r="B259" s="1" t="n">
        <v>44340</v>
      </c>
      <c r="C259" s="1" t="n">
        <v>46045</v>
      </c>
      <c r="D259" t="inlineStr">
        <is>
          <t>VÄSTMANLANDS LÄN</t>
        </is>
      </c>
      <c r="E259" t="inlineStr">
        <is>
          <t>SALA</t>
        </is>
      </c>
      <c r="G259" t="n">
        <v>1.2</v>
      </c>
      <c r="H259" t="n">
        <v>0</v>
      </c>
      <c r="I259" t="n">
        <v>0</v>
      </c>
      <c r="J259" t="n">
        <v>0</v>
      </c>
      <c r="K259" t="n">
        <v>0</v>
      </c>
      <c r="L259" t="n">
        <v>0</v>
      </c>
      <c r="M259" t="n">
        <v>0</v>
      </c>
      <c r="N259" t="n">
        <v>0</v>
      </c>
      <c r="O259" t="n">
        <v>0</v>
      </c>
      <c r="P259" t="n">
        <v>0</v>
      </c>
      <c r="Q259" t="n">
        <v>0</v>
      </c>
      <c r="R259" s="2" t="inlineStr"/>
    </row>
    <row r="260" ht="15" customHeight="1">
      <c r="A260" t="inlineStr">
        <is>
          <t>A 34867-2023</t>
        </is>
      </c>
      <c r="B260" s="1" t="n">
        <v>45142.33481481481</v>
      </c>
      <c r="C260" s="1" t="n">
        <v>46045</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35976-2024</t>
        </is>
      </c>
      <c r="B261" s="1" t="n">
        <v>45533.49555555556</v>
      </c>
      <c r="C261" s="1" t="n">
        <v>46045</v>
      </c>
      <c r="D261" t="inlineStr">
        <is>
          <t>VÄSTMANLANDS LÄN</t>
        </is>
      </c>
      <c r="E261" t="inlineStr">
        <is>
          <t>SALA</t>
        </is>
      </c>
      <c r="G261" t="n">
        <v>2.3</v>
      </c>
      <c r="H261" t="n">
        <v>0</v>
      </c>
      <c r="I261" t="n">
        <v>0</v>
      </c>
      <c r="J261" t="n">
        <v>0</v>
      </c>
      <c r="K261" t="n">
        <v>0</v>
      </c>
      <c r="L261" t="n">
        <v>0</v>
      </c>
      <c r="M261" t="n">
        <v>0</v>
      </c>
      <c r="N261" t="n">
        <v>0</v>
      </c>
      <c r="O261" t="n">
        <v>0</v>
      </c>
      <c r="P261" t="n">
        <v>0</v>
      </c>
      <c r="Q261" t="n">
        <v>0</v>
      </c>
      <c r="R261" s="2" t="inlineStr"/>
    </row>
    <row r="262" ht="15" customHeight="1">
      <c r="A262" t="inlineStr">
        <is>
          <t>A 25748-2022</t>
        </is>
      </c>
      <c r="B262" s="1" t="n">
        <v>44732</v>
      </c>
      <c r="C262" s="1" t="n">
        <v>46045</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52827-2024</t>
        </is>
      </c>
      <c r="B263" s="1" t="n">
        <v>45610</v>
      </c>
      <c r="C263" s="1" t="n">
        <v>46045</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53166-2024</t>
        </is>
      </c>
      <c r="B264" s="1" t="n">
        <v>45611</v>
      </c>
      <c r="C264" s="1" t="n">
        <v>46045</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11244-2024</t>
        </is>
      </c>
      <c r="B265" s="1" t="n">
        <v>45371</v>
      </c>
      <c r="C265" s="1" t="n">
        <v>46045</v>
      </c>
      <c r="D265" t="inlineStr">
        <is>
          <t>VÄSTMANLANDS LÄN</t>
        </is>
      </c>
      <c r="E265" t="inlineStr">
        <is>
          <t>SALA</t>
        </is>
      </c>
      <c r="G265" t="n">
        <v>1.2</v>
      </c>
      <c r="H265" t="n">
        <v>0</v>
      </c>
      <c r="I265" t="n">
        <v>0</v>
      </c>
      <c r="J265" t="n">
        <v>0</v>
      </c>
      <c r="K265" t="n">
        <v>0</v>
      </c>
      <c r="L265" t="n">
        <v>0</v>
      </c>
      <c r="M265" t="n">
        <v>0</v>
      </c>
      <c r="N265" t="n">
        <v>0</v>
      </c>
      <c r="O265" t="n">
        <v>0</v>
      </c>
      <c r="P265" t="n">
        <v>0</v>
      </c>
      <c r="Q265" t="n">
        <v>0</v>
      </c>
      <c r="R265" s="2" t="inlineStr"/>
    </row>
    <row r="266" ht="15" customHeight="1">
      <c r="A266" t="inlineStr">
        <is>
          <t>A 62654-2022</t>
        </is>
      </c>
      <c r="B266" s="1" t="n">
        <v>44917</v>
      </c>
      <c r="C266" s="1" t="n">
        <v>46045</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46045</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40559-2025</t>
        </is>
      </c>
      <c r="B268" s="1" t="n">
        <v>45896.45037037037</v>
      </c>
      <c r="C268" s="1" t="n">
        <v>46045</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6135-2023</t>
        </is>
      </c>
      <c r="B269" s="1" t="n">
        <v>44964.62628472222</v>
      </c>
      <c r="C269" s="1" t="n">
        <v>46045</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row>
    <row r="270" ht="15" customHeight="1">
      <c r="A270" t="inlineStr">
        <is>
          <t>A 49512-2024</t>
        </is>
      </c>
      <c r="B270" s="1" t="n">
        <v>45591</v>
      </c>
      <c r="C270" s="1" t="n">
        <v>46045</v>
      </c>
      <c r="D270" t="inlineStr">
        <is>
          <t>VÄSTMANLANDS LÄN</t>
        </is>
      </c>
      <c r="E270" t="inlineStr">
        <is>
          <t>SALA</t>
        </is>
      </c>
      <c r="G270" t="n">
        <v>8.1</v>
      </c>
      <c r="H270" t="n">
        <v>0</v>
      </c>
      <c r="I270" t="n">
        <v>0</v>
      </c>
      <c r="J270" t="n">
        <v>0</v>
      </c>
      <c r="K270" t="n">
        <v>0</v>
      </c>
      <c r="L270" t="n">
        <v>0</v>
      </c>
      <c r="M270" t="n">
        <v>0</v>
      </c>
      <c r="N270" t="n">
        <v>0</v>
      </c>
      <c r="O270" t="n">
        <v>0</v>
      </c>
      <c r="P270" t="n">
        <v>0</v>
      </c>
      <c r="Q270" t="n">
        <v>0</v>
      </c>
      <c r="R270" s="2" t="inlineStr"/>
    </row>
    <row r="271" ht="15" customHeight="1">
      <c r="A271" t="inlineStr">
        <is>
          <t>A 71471-2021</t>
        </is>
      </c>
      <c r="B271" s="1" t="n">
        <v>44540.53421296296</v>
      </c>
      <c r="C271" s="1" t="n">
        <v>46045</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53864-2022</t>
        </is>
      </c>
      <c r="B272" s="1" t="n">
        <v>44880.64016203704</v>
      </c>
      <c r="C272" s="1" t="n">
        <v>46045</v>
      </c>
      <c r="D272" t="inlineStr">
        <is>
          <t>VÄSTMANLANDS LÄN</t>
        </is>
      </c>
      <c r="E272" t="inlineStr">
        <is>
          <t>SALA</t>
        </is>
      </c>
      <c r="G272" t="n">
        <v>5.9</v>
      </c>
      <c r="H272" t="n">
        <v>0</v>
      </c>
      <c r="I272" t="n">
        <v>0</v>
      </c>
      <c r="J272" t="n">
        <v>0</v>
      </c>
      <c r="K272" t="n">
        <v>0</v>
      </c>
      <c r="L272" t="n">
        <v>0</v>
      </c>
      <c r="M272" t="n">
        <v>0</v>
      </c>
      <c r="N272" t="n">
        <v>0</v>
      </c>
      <c r="O272" t="n">
        <v>0</v>
      </c>
      <c r="P272" t="n">
        <v>0</v>
      </c>
      <c r="Q272" t="n">
        <v>0</v>
      </c>
      <c r="R272" s="2" t="inlineStr"/>
    </row>
    <row r="273" ht="15" customHeight="1">
      <c r="A273" t="inlineStr">
        <is>
          <t>A 8775-2024</t>
        </is>
      </c>
      <c r="B273" s="1" t="n">
        <v>45356</v>
      </c>
      <c r="C273" s="1" t="n">
        <v>46045</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13128-2023</t>
        </is>
      </c>
      <c r="B274" s="1" t="n">
        <v>45002</v>
      </c>
      <c r="C274" s="1" t="n">
        <v>46045</v>
      </c>
      <c r="D274" t="inlineStr">
        <is>
          <t>VÄSTMANLANDS LÄN</t>
        </is>
      </c>
      <c r="E274" t="inlineStr">
        <is>
          <t>SALA</t>
        </is>
      </c>
      <c r="G274" t="n">
        <v>7.9</v>
      </c>
      <c r="H274" t="n">
        <v>0</v>
      </c>
      <c r="I274" t="n">
        <v>0</v>
      </c>
      <c r="J274" t="n">
        <v>0</v>
      </c>
      <c r="K274" t="n">
        <v>0</v>
      </c>
      <c r="L274" t="n">
        <v>0</v>
      </c>
      <c r="M274" t="n">
        <v>0</v>
      </c>
      <c r="N274" t="n">
        <v>0</v>
      </c>
      <c r="O274" t="n">
        <v>0</v>
      </c>
      <c r="P274" t="n">
        <v>0</v>
      </c>
      <c r="Q274" t="n">
        <v>0</v>
      </c>
      <c r="R274" s="2" t="inlineStr"/>
    </row>
    <row r="275" ht="15" customHeight="1">
      <c r="A275" t="inlineStr">
        <is>
          <t>A 40620-2025</t>
        </is>
      </c>
      <c r="B275" s="1" t="n">
        <v>45896.58609953704</v>
      </c>
      <c r="C275" s="1" t="n">
        <v>46045</v>
      </c>
      <c r="D275" t="inlineStr">
        <is>
          <t>VÄSTMANLANDS LÄN</t>
        </is>
      </c>
      <c r="E275" t="inlineStr">
        <is>
          <t>SALA</t>
        </is>
      </c>
      <c r="G275" t="n">
        <v>6.7</v>
      </c>
      <c r="H275" t="n">
        <v>0</v>
      </c>
      <c r="I275" t="n">
        <v>0</v>
      </c>
      <c r="J275" t="n">
        <v>0</v>
      </c>
      <c r="K275" t="n">
        <v>0</v>
      </c>
      <c r="L275" t="n">
        <v>0</v>
      </c>
      <c r="M275" t="n">
        <v>0</v>
      </c>
      <c r="N275" t="n">
        <v>0</v>
      </c>
      <c r="O275" t="n">
        <v>0</v>
      </c>
      <c r="P275" t="n">
        <v>0</v>
      </c>
      <c r="Q275" t="n">
        <v>0</v>
      </c>
      <c r="R275" s="2" t="inlineStr"/>
    </row>
    <row r="276" ht="15" customHeight="1">
      <c r="A276" t="inlineStr">
        <is>
          <t>A 37958-2024</t>
        </is>
      </c>
      <c r="B276" s="1" t="n">
        <v>45544</v>
      </c>
      <c r="C276" s="1" t="n">
        <v>46045</v>
      </c>
      <c r="D276" t="inlineStr">
        <is>
          <t>VÄSTMANLANDS LÄN</t>
        </is>
      </c>
      <c r="E276" t="inlineStr">
        <is>
          <t>SALA</t>
        </is>
      </c>
      <c r="G276" t="n">
        <v>5.6</v>
      </c>
      <c r="H276" t="n">
        <v>0</v>
      </c>
      <c r="I276" t="n">
        <v>0</v>
      </c>
      <c r="J276" t="n">
        <v>0</v>
      </c>
      <c r="K276" t="n">
        <v>0</v>
      </c>
      <c r="L276" t="n">
        <v>0</v>
      </c>
      <c r="M276" t="n">
        <v>0</v>
      </c>
      <c r="N276" t="n">
        <v>0</v>
      </c>
      <c r="O276" t="n">
        <v>0</v>
      </c>
      <c r="P276" t="n">
        <v>0</v>
      </c>
      <c r="Q276" t="n">
        <v>0</v>
      </c>
      <c r="R276" s="2" t="inlineStr"/>
    </row>
    <row r="277" ht="15" customHeight="1">
      <c r="A277" t="inlineStr">
        <is>
          <t>A 18431-2023</t>
        </is>
      </c>
      <c r="B277" s="1" t="n">
        <v>45042</v>
      </c>
      <c r="C277" s="1" t="n">
        <v>46045</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39011-2023</t>
        </is>
      </c>
      <c r="B278" s="1" t="n">
        <v>45162</v>
      </c>
      <c r="C278" s="1" t="n">
        <v>46045</v>
      </c>
      <c r="D278" t="inlineStr">
        <is>
          <t>VÄSTMANLANDS LÄN</t>
        </is>
      </c>
      <c r="E278" t="inlineStr">
        <is>
          <t>SALA</t>
        </is>
      </c>
      <c r="G278" t="n">
        <v>1.6</v>
      </c>
      <c r="H278" t="n">
        <v>0</v>
      </c>
      <c r="I278" t="n">
        <v>0</v>
      </c>
      <c r="J278" t="n">
        <v>0</v>
      </c>
      <c r="K278" t="n">
        <v>0</v>
      </c>
      <c r="L278" t="n">
        <v>0</v>
      </c>
      <c r="M278" t="n">
        <v>0</v>
      </c>
      <c r="N278" t="n">
        <v>0</v>
      </c>
      <c r="O278" t="n">
        <v>0</v>
      </c>
      <c r="P278" t="n">
        <v>0</v>
      </c>
      <c r="Q278" t="n">
        <v>0</v>
      </c>
      <c r="R278" s="2" t="inlineStr"/>
    </row>
    <row r="279" ht="15" customHeight="1">
      <c r="A279" t="inlineStr">
        <is>
          <t>A 27255-2023</t>
        </is>
      </c>
      <c r="B279" s="1" t="n">
        <v>45096</v>
      </c>
      <c r="C279" s="1" t="n">
        <v>46045</v>
      </c>
      <c r="D279" t="inlineStr">
        <is>
          <t>VÄSTMANLANDS LÄN</t>
        </is>
      </c>
      <c r="E279" t="inlineStr">
        <is>
          <t>SALA</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56547-2022</t>
        </is>
      </c>
      <c r="B280" s="1" t="n">
        <v>44893.48284722222</v>
      </c>
      <c r="C280" s="1" t="n">
        <v>46045</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41230-2025</t>
        </is>
      </c>
      <c r="B281" s="1" t="n">
        <v>45898</v>
      </c>
      <c r="C281" s="1" t="n">
        <v>46045</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57650-2024</t>
        </is>
      </c>
      <c r="B282" s="1" t="n">
        <v>45630</v>
      </c>
      <c r="C282" s="1" t="n">
        <v>46045</v>
      </c>
      <c r="D282" t="inlineStr">
        <is>
          <t>VÄSTMANLANDS LÄN</t>
        </is>
      </c>
      <c r="E282" t="inlineStr">
        <is>
          <t>SALA</t>
        </is>
      </c>
      <c r="G282" t="n">
        <v>0.6</v>
      </c>
      <c r="H282" t="n">
        <v>0</v>
      </c>
      <c r="I282" t="n">
        <v>0</v>
      </c>
      <c r="J282" t="n">
        <v>0</v>
      </c>
      <c r="K282" t="n">
        <v>0</v>
      </c>
      <c r="L282" t="n">
        <v>0</v>
      </c>
      <c r="M282" t="n">
        <v>0</v>
      </c>
      <c r="N282" t="n">
        <v>0</v>
      </c>
      <c r="O282" t="n">
        <v>0</v>
      </c>
      <c r="P282" t="n">
        <v>0</v>
      </c>
      <c r="Q282" t="n">
        <v>0</v>
      </c>
      <c r="R282" s="2" t="inlineStr"/>
    </row>
    <row r="283" ht="15" customHeight="1">
      <c r="A283" t="inlineStr">
        <is>
          <t>A 56916-2022</t>
        </is>
      </c>
      <c r="B283" s="1" t="n">
        <v>44888</v>
      </c>
      <c r="C283" s="1" t="n">
        <v>46045</v>
      </c>
      <c r="D283" t="inlineStr">
        <is>
          <t>VÄSTMANLANDS LÄN</t>
        </is>
      </c>
      <c r="E283" t="inlineStr">
        <is>
          <t>SALA</t>
        </is>
      </c>
      <c r="G283" t="n">
        <v>1.7</v>
      </c>
      <c r="H283" t="n">
        <v>0</v>
      </c>
      <c r="I283" t="n">
        <v>0</v>
      </c>
      <c r="J283" t="n">
        <v>0</v>
      </c>
      <c r="K283" t="n">
        <v>0</v>
      </c>
      <c r="L283" t="n">
        <v>0</v>
      </c>
      <c r="M283" t="n">
        <v>0</v>
      </c>
      <c r="N283" t="n">
        <v>0</v>
      </c>
      <c r="O283" t="n">
        <v>0</v>
      </c>
      <c r="P283" t="n">
        <v>0</v>
      </c>
      <c r="Q283" t="n">
        <v>0</v>
      </c>
      <c r="R283" s="2" t="inlineStr"/>
    </row>
    <row r="284" ht="15" customHeight="1">
      <c r="A284" t="inlineStr">
        <is>
          <t>A 10255-2024</t>
        </is>
      </c>
      <c r="B284" s="1" t="n">
        <v>45365</v>
      </c>
      <c r="C284" s="1" t="n">
        <v>46045</v>
      </c>
      <c r="D284" t="inlineStr">
        <is>
          <t>VÄSTMANLANDS LÄN</t>
        </is>
      </c>
      <c r="E284" t="inlineStr">
        <is>
          <t>SALA</t>
        </is>
      </c>
      <c r="F284" t="inlineStr">
        <is>
          <t>Kommuner</t>
        </is>
      </c>
      <c r="G284" t="n">
        <v>0.8</v>
      </c>
      <c r="H284" t="n">
        <v>0</v>
      </c>
      <c r="I284" t="n">
        <v>0</v>
      </c>
      <c r="J284" t="n">
        <v>0</v>
      </c>
      <c r="K284" t="n">
        <v>0</v>
      </c>
      <c r="L284" t="n">
        <v>0</v>
      </c>
      <c r="M284" t="n">
        <v>0</v>
      </c>
      <c r="N284" t="n">
        <v>0</v>
      </c>
      <c r="O284" t="n">
        <v>0</v>
      </c>
      <c r="P284" t="n">
        <v>0</v>
      </c>
      <c r="Q284" t="n">
        <v>0</v>
      </c>
      <c r="R284" s="2" t="inlineStr"/>
    </row>
    <row r="285" ht="15" customHeight="1">
      <c r="A285" t="inlineStr">
        <is>
          <t>A 41431-2025</t>
        </is>
      </c>
      <c r="B285" s="1" t="n">
        <v>45901.39347222223</v>
      </c>
      <c r="C285" s="1" t="n">
        <v>46045</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41414-2025</t>
        </is>
      </c>
      <c r="B286" s="1" t="n">
        <v>45901.360625</v>
      </c>
      <c r="C286" s="1" t="n">
        <v>46045</v>
      </c>
      <c r="D286" t="inlineStr">
        <is>
          <t>VÄSTMANLANDS LÄN</t>
        </is>
      </c>
      <c r="E286" t="inlineStr">
        <is>
          <t>SALA</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53164-2024</t>
        </is>
      </c>
      <c r="B287" s="1" t="n">
        <v>45611.64887731482</v>
      </c>
      <c r="C287" s="1" t="n">
        <v>46045</v>
      </c>
      <c r="D287" t="inlineStr">
        <is>
          <t>VÄSTMANLANDS LÄN</t>
        </is>
      </c>
      <c r="E287" t="inlineStr">
        <is>
          <t>SALA</t>
        </is>
      </c>
      <c r="G287" t="n">
        <v>2.6</v>
      </c>
      <c r="H287" t="n">
        <v>0</v>
      </c>
      <c r="I287" t="n">
        <v>0</v>
      </c>
      <c r="J287" t="n">
        <v>0</v>
      </c>
      <c r="K287" t="n">
        <v>0</v>
      </c>
      <c r="L287" t="n">
        <v>0</v>
      </c>
      <c r="M287" t="n">
        <v>0</v>
      </c>
      <c r="N287" t="n">
        <v>0</v>
      </c>
      <c r="O287" t="n">
        <v>0</v>
      </c>
      <c r="P287" t="n">
        <v>0</v>
      </c>
      <c r="Q287" t="n">
        <v>0</v>
      </c>
      <c r="R287" s="2" t="inlineStr"/>
    </row>
    <row r="288" ht="15" customHeight="1">
      <c r="A288" t="inlineStr">
        <is>
          <t>A 60034-2024</t>
        </is>
      </c>
      <c r="B288" s="1" t="n">
        <v>45642.46261574074</v>
      </c>
      <c r="C288" s="1" t="n">
        <v>46045</v>
      </c>
      <c r="D288" t="inlineStr">
        <is>
          <t>VÄSTMANLANDS LÄN</t>
        </is>
      </c>
      <c r="E288" t="inlineStr">
        <is>
          <t>SALA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3810-2023</t>
        </is>
      </c>
      <c r="B289" s="1" t="n">
        <v>44951.60454861111</v>
      </c>
      <c r="C289" s="1" t="n">
        <v>46045</v>
      </c>
      <c r="D289" t="inlineStr">
        <is>
          <t>VÄSTMANLANDS LÄN</t>
        </is>
      </c>
      <c r="E289" t="inlineStr">
        <is>
          <t>SALA</t>
        </is>
      </c>
      <c r="G289" t="n">
        <v>4.2</v>
      </c>
      <c r="H289" t="n">
        <v>0</v>
      </c>
      <c r="I289" t="n">
        <v>0</v>
      </c>
      <c r="J289" t="n">
        <v>0</v>
      </c>
      <c r="K289" t="n">
        <v>0</v>
      </c>
      <c r="L289" t="n">
        <v>0</v>
      </c>
      <c r="M289" t="n">
        <v>0</v>
      </c>
      <c r="N289" t="n">
        <v>0</v>
      </c>
      <c r="O289" t="n">
        <v>0</v>
      </c>
      <c r="P289" t="n">
        <v>0</v>
      </c>
      <c r="Q289" t="n">
        <v>0</v>
      </c>
      <c r="R289" s="2" t="inlineStr"/>
    </row>
    <row r="290" ht="15" customHeight="1">
      <c r="A290" t="inlineStr">
        <is>
          <t>A 61717-2024</t>
        </is>
      </c>
      <c r="B290" s="1" t="n">
        <v>45648</v>
      </c>
      <c r="C290" s="1" t="n">
        <v>46045</v>
      </c>
      <c r="D290" t="inlineStr">
        <is>
          <t>VÄSTMANLANDS LÄN</t>
        </is>
      </c>
      <c r="E290" t="inlineStr">
        <is>
          <t>SALA</t>
        </is>
      </c>
      <c r="G290" t="n">
        <v>3.7</v>
      </c>
      <c r="H290" t="n">
        <v>0</v>
      </c>
      <c r="I290" t="n">
        <v>0</v>
      </c>
      <c r="J290" t="n">
        <v>0</v>
      </c>
      <c r="K290" t="n">
        <v>0</v>
      </c>
      <c r="L290" t="n">
        <v>0</v>
      </c>
      <c r="M290" t="n">
        <v>0</v>
      </c>
      <c r="N290" t="n">
        <v>0</v>
      </c>
      <c r="O290" t="n">
        <v>0</v>
      </c>
      <c r="P290" t="n">
        <v>0</v>
      </c>
      <c r="Q290" t="n">
        <v>0</v>
      </c>
      <c r="R290" s="2" t="inlineStr"/>
    </row>
    <row r="291" ht="15" customHeight="1">
      <c r="A291" t="inlineStr">
        <is>
          <t>A 28696-2023</t>
        </is>
      </c>
      <c r="B291" s="1" t="n">
        <v>45103.71759259259</v>
      </c>
      <c r="C291" s="1" t="n">
        <v>46045</v>
      </c>
      <c r="D291" t="inlineStr">
        <is>
          <t>VÄSTMANLANDS LÄN</t>
        </is>
      </c>
      <c r="E291" t="inlineStr">
        <is>
          <t>SALA</t>
        </is>
      </c>
      <c r="F291" t="inlineStr">
        <is>
          <t>Kommuner</t>
        </is>
      </c>
      <c r="G291" t="n">
        <v>5.9</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46045</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16543-2023</t>
        </is>
      </c>
      <c r="B293" s="1" t="n">
        <v>45029</v>
      </c>
      <c r="C293" s="1" t="n">
        <v>46045</v>
      </c>
      <c r="D293" t="inlineStr">
        <is>
          <t>VÄSTMANLANDS LÄN</t>
        </is>
      </c>
      <c r="E293" t="inlineStr">
        <is>
          <t>SALA</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22523-2023</t>
        </is>
      </c>
      <c r="B294" s="1" t="n">
        <v>45069</v>
      </c>
      <c r="C294" s="1" t="n">
        <v>46045</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4663-2022</t>
        </is>
      </c>
      <c r="B295" s="1" t="n">
        <v>44592.45429398148</v>
      </c>
      <c r="C295" s="1" t="n">
        <v>46045</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45313-2024</t>
        </is>
      </c>
      <c r="B296" s="1" t="n">
        <v>45576</v>
      </c>
      <c r="C296" s="1" t="n">
        <v>46045</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56535-2022</t>
        </is>
      </c>
      <c r="B297" s="1" t="n">
        <v>44893.47173611111</v>
      </c>
      <c r="C297" s="1" t="n">
        <v>46045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52503-2024</t>
        </is>
      </c>
      <c r="B298" s="1" t="n">
        <v>45609.58806712963</v>
      </c>
      <c r="C298" s="1" t="n">
        <v>46045</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47909-2022</t>
        </is>
      </c>
      <c r="B299" s="1" t="n">
        <v>44855</v>
      </c>
      <c r="C299" s="1" t="n">
        <v>46045</v>
      </c>
      <c r="D299" t="inlineStr">
        <is>
          <t>VÄSTMANLANDS LÄN</t>
        </is>
      </c>
      <c r="E299" t="inlineStr">
        <is>
          <t>SALA</t>
        </is>
      </c>
      <c r="F299" t="inlineStr">
        <is>
          <t>Bergvik skog öst AB</t>
        </is>
      </c>
      <c r="G299" t="n">
        <v>2</v>
      </c>
      <c r="H299" t="n">
        <v>0</v>
      </c>
      <c r="I299" t="n">
        <v>0</v>
      </c>
      <c r="J299" t="n">
        <v>0</v>
      </c>
      <c r="K299" t="n">
        <v>0</v>
      </c>
      <c r="L299" t="n">
        <v>0</v>
      </c>
      <c r="M299" t="n">
        <v>0</v>
      </c>
      <c r="N299" t="n">
        <v>0</v>
      </c>
      <c r="O299" t="n">
        <v>0</v>
      </c>
      <c r="P299" t="n">
        <v>0</v>
      </c>
      <c r="Q299" t="n">
        <v>0</v>
      </c>
      <c r="R299" s="2" t="inlineStr"/>
    </row>
    <row r="300" ht="15" customHeight="1">
      <c r="A300" t="inlineStr">
        <is>
          <t>A 2521-2025</t>
        </is>
      </c>
      <c r="B300" s="1" t="n">
        <v>45674</v>
      </c>
      <c r="C300" s="1" t="n">
        <v>46045</v>
      </c>
      <c r="D300" t="inlineStr">
        <is>
          <t>VÄSTMANLANDS LÄN</t>
        </is>
      </c>
      <c r="E300" t="inlineStr">
        <is>
          <t>SALA</t>
        </is>
      </c>
      <c r="G300" t="n">
        <v>3.5</v>
      </c>
      <c r="H300" t="n">
        <v>0</v>
      </c>
      <c r="I300" t="n">
        <v>0</v>
      </c>
      <c r="J300" t="n">
        <v>0</v>
      </c>
      <c r="K300" t="n">
        <v>0</v>
      </c>
      <c r="L300" t="n">
        <v>0</v>
      </c>
      <c r="M300" t="n">
        <v>0</v>
      </c>
      <c r="N300" t="n">
        <v>0</v>
      </c>
      <c r="O300" t="n">
        <v>0</v>
      </c>
      <c r="P300" t="n">
        <v>0</v>
      </c>
      <c r="Q300" t="n">
        <v>0</v>
      </c>
      <c r="R300" s="2" t="inlineStr"/>
    </row>
    <row r="301" ht="15" customHeight="1">
      <c r="A301" t="inlineStr">
        <is>
          <t>A 6132-2025</t>
        </is>
      </c>
      <c r="B301" s="1" t="n">
        <v>45698</v>
      </c>
      <c r="C301" s="1" t="n">
        <v>46045</v>
      </c>
      <c r="D301" t="inlineStr">
        <is>
          <t>VÄSTMANLANDS LÄN</t>
        </is>
      </c>
      <c r="E301" t="inlineStr">
        <is>
          <t>SALA</t>
        </is>
      </c>
      <c r="F301" t="inlineStr">
        <is>
          <t>Bergvik skog öst AB</t>
        </is>
      </c>
      <c r="G301" t="n">
        <v>1.5</v>
      </c>
      <c r="H301" t="n">
        <v>0</v>
      </c>
      <c r="I301" t="n">
        <v>0</v>
      </c>
      <c r="J301" t="n">
        <v>0</v>
      </c>
      <c r="K301" t="n">
        <v>0</v>
      </c>
      <c r="L301" t="n">
        <v>0</v>
      </c>
      <c r="M301" t="n">
        <v>0</v>
      </c>
      <c r="N301" t="n">
        <v>0</v>
      </c>
      <c r="O301" t="n">
        <v>0</v>
      </c>
      <c r="P301" t="n">
        <v>0</v>
      </c>
      <c r="Q301" t="n">
        <v>0</v>
      </c>
      <c r="R301" s="2" t="inlineStr"/>
    </row>
    <row r="302" ht="15" customHeight="1">
      <c r="A302" t="inlineStr">
        <is>
          <t>A 21968-2024</t>
        </is>
      </c>
      <c r="B302" s="1" t="n">
        <v>45443</v>
      </c>
      <c r="C302" s="1" t="n">
        <v>46045</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52630-2022</t>
        </is>
      </c>
      <c r="B303" s="1" t="n">
        <v>44874</v>
      </c>
      <c r="C303" s="1" t="n">
        <v>46045</v>
      </c>
      <c r="D303" t="inlineStr">
        <is>
          <t>VÄSTMANLANDS LÄN</t>
        </is>
      </c>
      <c r="E303" t="inlineStr">
        <is>
          <t>SALA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31859-2023</t>
        </is>
      </c>
      <c r="B304" s="1" t="n">
        <v>45118</v>
      </c>
      <c r="C304" s="1" t="n">
        <v>46045</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c r="U304">
        <f>HYPERLINK("https://klasma.github.io/Logging_1981/knärot/A 31859-2023 karta knärot.png", "A 31859-2023")</f>
        <v/>
      </c>
      <c r="V304">
        <f>HYPERLINK("https://klasma.github.io/Logging_1981/klagomål/A 31859-2023 FSC-klagomål.docx", "A 31859-2023")</f>
        <v/>
      </c>
      <c r="W304">
        <f>HYPERLINK("https://klasma.github.io/Logging_1981/klagomålsmail/A 31859-2023 FSC-klagomål mail.docx", "A 31859-2023")</f>
        <v/>
      </c>
      <c r="X304">
        <f>HYPERLINK("https://klasma.github.io/Logging_1981/tillsyn/A 31859-2023 tillsynsbegäran.docx", "A 31859-2023")</f>
        <v/>
      </c>
      <c r="Y304">
        <f>HYPERLINK("https://klasma.github.io/Logging_1981/tillsynsmail/A 31859-2023 tillsynsbegäran mail.docx", "A 31859-2023")</f>
        <v/>
      </c>
    </row>
    <row r="305" ht="15" customHeight="1">
      <c r="A305" t="inlineStr">
        <is>
          <t>A 56687-2024</t>
        </is>
      </c>
      <c r="B305" s="1" t="n">
        <v>45627.63271990741</v>
      </c>
      <c r="C305" s="1" t="n">
        <v>46045</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31000-2022</t>
        </is>
      </c>
      <c r="B306" s="1" t="n">
        <v>44768</v>
      </c>
      <c r="C306" s="1" t="n">
        <v>46045</v>
      </c>
      <c r="D306" t="inlineStr">
        <is>
          <t>VÄSTMANLANDS LÄN</t>
        </is>
      </c>
      <c r="E306" t="inlineStr">
        <is>
          <t>SALA</t>
        </is>
      </c>
      <c r="G306" t="n">
        <v>5.7</v>
      </c>
      <c r="H306" t="n">
        <v>0</v>
      </c>
      <c r="I306" t="n">
        <v>0</v>
      </c>
      <c r="J306" t="n">
        <v>0</v>
      </c>
      <c r="K306" t="n">
        <v>0</v>
      </c>
      <c r="L306" t="n">
        <v>0</v>
      </c>
      <c r="M306" t="n">
        <v>0</v>
      </c>
      <c r="N306" t="n">
        <v>0</v>
      </c>
      <c r="O306" t="n">
        <v>0</v>
      </c>
      <c r="P306" t="n">
        <v>0</v>
      </c>
      <c r="Q306" t="n">
        <v>0</v>
      </c>
      <c r="R306" s="2" t="inlineStr"/>
    </row>
    <row r="307" ht="15" customHeight="1">
      <c r="A307" t="inlineStr">
        <is>
          <t>A 61681-2024</t>
        </is>
      </c>
      <c r="B307" s="1" t="n">
        <v>45647</v>
      </c>
      <c r="C307" s="1" t="n">
        <v>46045</v>
      </c>
      <c r="D307" t="inlineStr">
        <is>
          <t>VÄSTMANLANDS LÄN</t>
        </is>
      </c>
      <c r="E307" t="inlineStr">
        <is>
          <t>SALA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61715-2024</t>
        </is>
      </c>
      <c r="B308" s="1" t="n">
        <v>45648.89519675926</v>
      </c>
      <c r="C308" s="1" t="n">
        <v>46045</v>
      </c>
      <c r="D308" t="inlineStr">
        <is>
          <t>VÄSTMANLANDS LÄN</t>
        </is>
      </c>
      <c r="E308" t="inlineStr">
        <is>
          <t>SALA</t>
        </is>
      </c>
      <c r="G308" t="n">
        <v>2.5</v>
      </c>
      <c r="H308" t="n">
        <v>0</v>
      </c>
      <c r="I308" t="n">
        <v>0</v>
      </c>
      <c r="J308" t="n">
        <v>0</v>
      </c>
      <c r="K308" t="n">
        <v>0</v>
      </c>
      <c r="L308" t="n">
        <v>0</v>
      </c>
      <c r="M308" t="n">
        <v>0</v>
      </c>
      <c r="N308" t="n">
        <v>0</v>
      </c>
      <c r="O308" t="n">
        <v>0</v>
      </c>
      <c r="P308" t="n">
        <v>0</v>
      </c>
      <c r="Q308" t="n">
        <v>0</v>
      </c>
      <c r="R308" s="2" t="inlineStr"/>
    </row>
    <row r="309" ht="15" customHeight="1">
      <c r="A309" t="inlineStr">
        <is>
          <t>A 54960-2024</t>
        </is>
      </c>
      <c r="B309" s="1" t="n">
        <v>45619.85208333333</v>
      </c>
      <c r="C309" s="1" t="n">
        <v>46045</v>
      </c>
      <c r="D309" t="inlineStr">
        <is>
          <t>VÄSTMANLANDS LÄN</t>
        </is>
      </c>
      <c r="E309" t="inlineStr">
        <is>
          <t>SALA</t>
        </is>
      </c>
      <c r="G309" t="n">
        <v>2.6</v>
      </c>
      <c r="H309" t="n">
        <v>0</v>
      </c>
      <c r="I309" t="n">
        <v>0</v>
      </c>
      <c r="J309" t="n">
        <v>0</v>
      </c>
      <c r="K309" t="n">
        <v>0</v>
      </c>
      <c r="L309" t="n">
        <v>0</v>
      </c>
      <c r="M309" t="n">
        <v>0</v>
      </c>
      <c r="N309" t="n">
        <v>0</v>
      </c>
      <c r="O309" t="n">
        <v>0</v>
      </c>
      <c r="P309" t="n">
        <v>0</v>
      </c>
      <c r="Q309" t="n">
        <v>0</v>
      </c>
      <c r="R309" s="2" t="inlineStr"/>
    </row>
    <row r="310" ht="15" customHeight="1">
      <c r="A310" t="inlineStr">
        <is>
          <t>A 42421-2025</t>
        </is>
      </c>
      <c r="B310" s="1" t="n">
        <v>45905.40067129629</v>
      </c>
      <c r="C310" s="1" t="n">
        <v>46045</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31950-2023</t>
        </is>
      </c>
      <c r="B311" s="1" t="n">
        <v>45107</v>
      </c>
      <c r="C311" s="1" t="n">
        <v>46045</v>
      </c>
      <c r="D311" t="inlineStr">
        <is>
          <t>VÄSTMANLANDS LÄN</t>
        </is>
      </c>
      <c r="E311" t="inlineStr">
        <is>
          <t>SALA</t>
        </is>
      </c>
      <c r="G311" t="n">
        <v>0.1</v>
      </c>
      <c r="H311" t="n">
        <v>0</v>
      </c>
      <c r="I311" t="n">
        <v>0</v>
      </c>
      <c r="J311" t="n">
        <v>0</v>
      </c>
      <c r="K311" t="n">
        <v>0</v>
      </c>
      <c r="L311" t="n">
        <v>0</v>
      </c>
      <c r="M311" t="n">
        <v>0</v>
      </c>
      <c r="N311" t="n">
        <v>0</v>
      </c>
      <c r="O311" t="n">
        <v>0</v>
      </c>
      <c r="P311" t="n">
        <v>0</v>
      </c>
      <c r="Q311" t="n">
        <v>0</v>
      </c>
      <c r="R311" s="2" t="inlineStr"/>
    </row>
    <row r="312" ht="15" customHeight="1">
      <c r="A312" t="inlineStr">
        <is>
          <t>A 31082-2021</t>
        </is>
      </c>
      <c r="B312" s="1" t="n">
        <v>44368</v>
      </c>
      <c r="C312" s="1" t="n">
        <v>46045</v>
      </c>
      <c r="D312" t="inlineStr">
        <is>
          <t>VÄSTMANLANDS LÄN</t>
        </is>
      </c>
      <c r="E312" t="inlineStr">
        <is>
          <t>SALA</t>
        </is>
      </c>
      <c r="G312" t="n">
        <v>2</v>
      </c>
      <c r="H312" t="n">
        <v>0</v>
      </c>
      <c r="I312" t="n">
        <v>0</v>
      </c>
      <c r="J312" t="n">
        <v>0</v>
      </c>
      <c r="K312" t="n">
        <v>0</v>
      </c>
      <c r="L312" t="n">
        <v>0</v>
      </c>
      <c r="M312" t="n">
        <v>0</v>
      </c>
      <c r="N312" t="n">
        <v>0</v>
      </c>
      <c r="O312" t="n">
        <v>0</v>
      </c>
      <c r="P312" t="n">
        <v>0</v>
      </c>
      <c r="Q312" t="n">
        <v>0</v>
      </c>
      <c r="R312" s="2" t="inlineStr"/>
    </row>
    <row r="313" ht="15" customHeight="1">
      <c r="A313" t="inlineStr">
        <is>
          <t>A 20352-2022</t>
        </is>
      </c>
      <c r="B313" s="1" t="n">
        <v>44699.37318287037</v>
      </c>
      <c r="C313" s="1" t="n">
        <v>46045</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43028-2025</t>
        </is>
      </c>
      <c r="B314" s="1" t="n">
        <v>45909.53472222222</v>
      </c>
      <c r="C314" s="1" t="n">
        <v>46045</v>
      </c>
      <c r="D314" t="inlineStr">
        <is>
          <t>VÄSTMANLANDS LÄN</t>
        </is>
      </c>
      <c r="E314" t="inlineStr">
        <is>
          <t>SALA</t>
        </is>
      </c>
      <c r="G314" t="n">
        <v>3.8</v>
      </c>
      <c r="H314" t="n">
        <v>0</v>
      </c>
      <c r="I314" t="n">
        <v>0</v>
      </c>
      <c r="J314" t="n">
        <v>0</v>
      </c>
      <c r="K314" t="n">
        <v>0</v>
      </c>
      <c r="L314" t="n">
        <v>0</v>
      </c>
      <c r="M314" t="n">
        <v>0</v>
      </c>
      <c r="N314" t="n">
        <v>0</v>
      </c>
      <c r="O314" t="n">
        <v>0</v>
      </c>
      <c r="P314" t="n">
        <v>0</v>
      </c>
      <c r="Q314" t="n">
        <v>0</v>
      </c>
      <c r="R314" s="2" t="inlineStr"/>
    </row>
    <row r="315" ht="15" customHeight="1">
      <c r="A315" t="inlineStr">
        <is>
          <t>A 16404-2022</t>
        </is>
      </c>
      <c r="B315" s="1" t="n">
        <v>44671</v>
      </c>
      <c r="C315" s="1" t="n">
        <v>46045</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16693-2023</t>
        </is>
      </c>
      <c r="B316" s="1" t="n">
        <v>45028</v>
      </c>
      <c r="C316" s="1" t="n">
        <v>46045</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23182-2022</t>
        </is>
      </c>
      <c r="B317" s="1" t="n">
        <v>44719.79707175926</v>
      </c>
      <c r="C317" s="1" t="n">
        <v>46045</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6097-2022</t>
        </is>
      </c>
      <c r="B318" s="1" t="n">
        <v>44599</v>
      </c>
      <c r="C318" s="1" t="n">
        <v>46045</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43328-2025</t>
        </is>
      </c>
      <c r="B319" s="1" t="n">
        <v>45910</v>
      </c>
      <c r="C319" s="1" t="n">
        <v>46045</v>
      </c>
      <c r="D319" t="inlineStr">
        <is>
          <t>VÄSTMANLANDS LÄN</t>
        </is>
      </c>
      <c r="E319" t="inlineStr">
        <is>
          <t>SALA</t>
        </is>
      </c>
      <c r="G319" t="n">
        <v>0.8</v>
      </c>
      <c r="H319" t="n">
        <v>0</v>
      </c>
      <c r="I319" t="n">
        <v>0</v>
      </c>
      <c r="J319" t="n">
        <v>0</v>
      </c>
      <c r="K319" t="n">
        <v>0</v>
      </c>
      <c r="L319" t="n">
        <v>0</v>
      </c>
      <c r="M319" t="n">
        <v>0</v>
      </c>
      <c r="N319" t="n">
        <v>0</v>
      </c>
      <c r="O319" t="n">
        <v>0</v>
      </c>
      <c r="P319" t="n">
        <v>0</v>
      </c>
      <c r="Q319" t="n">
        <v>0</v>
      </c>
      <c r="R319" s="2" t="inlineStr"/>
    </row>
    <row r="320" ht="15" customHeight="1">
      <c r="A320" t="inlineStr">
        <is>
          <t>A 57371-2022</t>
        </is>
      </c>
      <c r="B320" s="1" t="n">
        <v>44896.43832175926</v>
      </c>
      <c r="C320" s="1" t="n">
        <v>46045</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43031-2025</t>
        </is>
      </c>
      <c r="B321" s="1" t="n">
        <v>45909.53856481481</v>
      </c>
      <c r="C321" s="1" t="n">
        <v>46045</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17495-2024</t>
        </is>
      </c>
      <c r="B322" s="1" t="n">
        <v>45415</v>
      </c>
      <c r="C322" s="1" t="n">
        <v>46045</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37263-2025</t>
        </is>
      </c>
      <c r="B323" s="1" t="n">
        <v>45876.4584837963</v>
      </c>
      <c r="C323" s="1" t="n">
        <v>46045</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40554-2025</t>
        </is>
      </c>
      <c r="B324" s="1" t="n">
        <v>45896.44506944445</v>
      </c>
      <c r="C324" s="1" t="n">
        <v>46045</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10559-2024</t>
        </is>
      </c>
      <c r="B325" s="1" t="n">
        <v>45366</v>
      </c>
      <c r="C325" s="1" t="n">
        <v>46045</v>
      </c>
      <c r="D325" t="inlineStr">
        <is>
          <t>VÄSTMANLANDS LÄN</t>
        </is>
      </c>
      <c r="E325" t="inlineStr">
        <is>
          <t>SALA</t>
        </is>
      </c>
      <c r="G325" t="n">
        <v>0.3</v>
      </c>
      <c r="H325" t="n">
        <v>0</v>
      </c>
      <c r="I325" t="n">
        <v>0</v>
      </c>
      <c r="J325" t="n">
        <v>0</v>
      </c>
      <c r="K325" t="n">
        <v>0</v>
      </c>
      <c r="L325" t="n">
        <v>0</v>
      </c>
      <c r="M325" t="n">
        <v>0</v>
      </c>
      <c r="N325" t="n">
        <v>0</v>
      </c>
      <c r="O325" t="n">
        <v>0</v>
      </c>
      <c r="P325" t="n">
        <v>0</v>
      </c>
      <c r="Q325" t="n">
        <v>0</v>
      </c>
      <c r="R325" s="2" t="inlineStr"/>
    </row>
    <row r="326" ht="15" customHeight="1">
      <c r="A326" t="inlineStr">
        <is>
          <t>A 43129-2025</t>
        </is>
      </c>
      <c r="B326" s="1" t="n">
        <v>45909</v>
      </c>
      <c r="C326" s="1" t="n">
        <v>46045</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43130-2025</t>
        </is>
      </c>
      <c r="B327" s="1" t="n">
        <v>45909</v>
      </c>
      <c r="C327" s="1" t="n">
        <v>46045</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43128-2025</t>
        </is>
      </c>
      <c r="B328" s="1" t="n">
        <v>45909</v>
      </c>
      <c r="C328" s="1" t="n">
        <v>46045</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43127-2025</t>
        </is>
      </c>
      <c r="B329" s="1" t="n">
        <v>45909</v>
      </c>
      <c r="C329" s="1" t="n">
        <v>46045</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27657-2023</t>
        </is>
      </c>
      <c r="B330" s="1" t="n">
        <v>45097.76631944445</v>
      </c>
      <c r="C330" s="1" t="n">
        <v>46045</v>
      </c>
      <c r="D330" t="inlineStr">
        <is>
          <t>VÄSTMANLANDS LÄN</t>
        </is>
      </c>
      <c r="E330" t="inlineStr">
        <is>
          <t>SALA</t>
        </is>
      </c>
      <c r="G330" t="n">
        <v>0.1</v>
      </c>
      <c r="H330" t="n">
        <v>0</v>
      </c>
      <c r="I330" t="n">
        <v>0</v>
      </c>
      <c r="J330" t="n">
        <v>0</v>
      </c>
      <c r="K330" t="n">
        <v>0</v>
      </c>
      <c r="L330" t="n">
        <v>0</v>
      </c>
      <c r="M330" t="n">
        <v>0</v>
      </c>
      <c r="N330" t="n">
        <v>0</v>
      </c>
      <c r="O330" t="n">
        <v>0</v>
      </c>
      <c r="P330" t="n">
        <v>0</v>
      </c>
      <c r="Q330" t="n">
        <v>0</v>
      </c>
      <c r="R330" s="2" t="inlineStr"/>
    </row>
    <row r="331" ht="15" customHeight="1">
      <c r="A331" t="inlineStr">
        <is>
          <t>A 2766-2024</t>
        </is>
      </c>
      <c r="B331" s="1" t="n">
        <v>45314.60950231482</v>
      </c>
      <c r="C331" s="1" t="n">
        <v>46045</v>
      </c>
      <c r="D331" t="inlineStr">
        <is>
          <t>VÄSTMANLANDS LÄN</t>
        </is>
      </c>
      <c r="E331" t="inlineStr">
        <is>
          <t>SALA</t>
        </is>
      </c>
      <c r="G331" t="n">
        <v>2.8</v>
      </c>
      <c r="H331" t="n">
        <v>0</v>
      </c>
      <c r="I331" t="n">
        <v>0</v>
      </c>
      <c r="J331" t="n">
        <v>0</v>
      </c>
      <c r="K331" t="n">
        <v>0</v>
      </c>
      <c r="L331" t="n">
        <v>0</v>
      </c>
      <c r="M331" t="n">
        <v>0</v>
      </c>
      <c r="N331" t="n">
        <v>0</v>
      </c>
      <c r="O331" t="n">
        <v>0</v>
      </c>
      <c r="P331" t="n">
        <v>0</v>
      </c>
      <c r="Q331" t="n">
        <v>0</v>
      </c>
      <c r="R331" s="2" t="inlineStr"/>
    </row>
    <row r="332" ht="15" customHeight="1">
      <c r="A332" t="inlineStr">
        <is>
          <t>A 60545-2024</t>
        </is>
      </c>
      <c r="B332" s="1" t="n">
        <v>45643</v>
      </c>
      <c r="C332" s="1" t="n">
        <v>46045</v>
      </c>
      <c r="D332" t="inlineStr">
        <is>
          <t>VÄSTMANLANDS LÄN</t>
        </is>
      </c>
      <c r="E332" t="inlineStr">
        <is>
          <t>SALA</t>
        </is>
      </c>
      <c r="G332" t="n">
        <v>3.3</v>
      </c>
      <c r="H332" t="n">
        <v>0</v>
      </c>
      <c r="I332" t="n">
        <v>0</v>
      </c>
      <c r="J332" t="n">
        <v>0</v>
      </c>
      <c r="K332" t="n">
        <v>0</v>
      </c>
      <c r="L332" t="n">
        <v>0</v>
      </c>
      <c r="M332" t="n">
        <v>0</v>
      </c>
      <c r="N332" t="n">
        <v>0</v>
      </c>
      <c r="O332" t="n">
        <v>0</v>
      </c>
      <c r="P332" t="n">
        <v>0</v>
      </c>
      <c r="Q332" t="n">
        <v>0</v>
      </c>
      <c r="R332" s="2" t="inlineStr"/>
    </row>
    <row r="333" ht="15" customHeight="1">
      <c r="A333" t="inlineStr">
        <is>
          <t>A 60547-2024</t>
        </is>
      </c>
      <c r="B333" s="1" t="n">
        <v>45643</v>
      </c>
      <c r="C333" s="1" t="n">
        <v>46045</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60550-2024</t>
        </is>
      </c>
      <c r="B334" s="1" t="n">
        <v>45643</v>
      </c>
      <c r="C334" s="1" t="n">
        <v>46045</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14690-2025</t>
        </is>
      </c>
      <c r="B335" s="1" t="n">
        <v>45742.58212962963</v>
      </c>
      <c r="C335" s="1" t="n">
        <v>46045</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15965-2024</t>
        </is>
      </c>
      <c r="B336" s="1" t="n">
        <v>45405.55740740741</v>
      </c>
      <c r="C336" s="1" t="n">
        <v>46045</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24175-2024</t>
        </is>
      </c>
      <c r="B337" s="1" t="n">
        <v>45456</v>
      </c>
      <c r="C337" s="1" t="n">
        <v>46045</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1196-2023</t>
        </is>
      </c>
      <c r="B338" s="1" t="n">
        <v>44935.82290509259</v>
      </c>
      <c r="C338" s="1" t="n">
        <v>46045</v>
      </c>
      <c r="D338" t="inlineStr">
        <is>
          <t>VÄSTMANLANDS LÄN</t>
        </is>
      </c>
      <c r="E338" t="inlineStr">
        <is>
          <t>SALA</t>
        </is>
      </c>
      <c r="G338" t="n">
        <v>4.1</v>
      </c>
      <c r="H338" t="n">
        <v>0</v>
      </c>
      <c r="I338" t="n">
        <v>0</v>
      </c>
      <c r="J338" t="n">
        <v>0</v>
      </c>
      <c r="K338" t="n">
        <v>0</v>
      </c>
      <c r="L338" t="n">
        <v>0</v>
      </c>
      <c r="M338" t="n">
        <v>0</v>
      </c>
      <c r="N338" t="n">
        <v>0</v>
      </c>
      <c r="O338" t="n">
        <v>0</v>
      </c>
      <c r="P338" t="n">
        <v>0</v>
      </c>
      <c r="Q338" t="n">
        <v>0</v>
      </c>
      <c r="R338" s="2" t="inlineStr"/>
    </row>
    <row r="339" ht="15" customHeight="1">
      <c r="A339" t="inlineStr">
        <is>
          <t>A 62449-2023</t>
        </is>
      </c>
      <c r="B339" s="1" t="n">
        <v>45268.49008101852</v>
      </c>
      <c r="C339" s="1" t="n">
        <v>46045</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54910-2023</t>
        </is>
      </c>
      <c r="B340" s="1" t="n">
        <v>45229</v>
      </c>
      <c r="C340" s="1" t="n">
        <v>46045</v>
      </c>
      <c r="D340" t="inlineStr">
        <is>
          <t>VÄSTMANLANDS LÄN</t>
        </is>
      </c>
      <c r="E340" t="inlineStr">
        <is>
          <t>SALA</t>
        </is>
      </c>
      <c r="G340" t="n">
        <v>2.4</v>
      </c>
      <c r="H340" t="n">
        <v>0</v>
      </c>
      <c r="I340" t="n">
        <v>0</v>
      </c>
      <c r="J340" t="n">
        <v>0</v>
      </c>
      <c r="K340" t="n">
        <v>0</v>
      </c>
      <c r="L340" t="n">
        <v>0</v>
      </c>
      <c r="M340" t="n">
        <v>0</v>
      </c>
      <c r="N340" t="n">
        <v>0</v>
      </c>
      <c r="O340" t="n">
        <v>0</v>
      </c>
      <c r="P340" t="n">
        <v>0</v>
      </c>
      <c r="Q340" t="n">
        <v>0</v>
      </c>
      <c r="R340" s="2" t="inlineStr"/>
    </row>
    <row r="341" ht="15" customHeight="1">
      <c r="A341" t="inlineStr">
        <is>
          <t>A 44100-2025</t>
        </is>
      </c>
      <c r="B341" s="1" t="n">
        <v>45915.56707175926</v>
      </c>
      <c r="C341" s="1" t="n">
        <v>46045</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56548-2024</t>
        </is>
      </c>
      <c r="B342" s="1" t="n">
        <v>45625</v>
      </c>
      <c r="C342" s="1" t="n">
        <v>46045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47086-2022</t>
        </is>
      </c>
      <c r="B343" s="1" t="n">
        <v>44852</v>
      </c>
      <c r="C343" s="1" t="n">
        <v>46045</v>
      </c>
      <c r="D343" t="inlineStr">
        <is>
          <t>VÄSTMANLANDS LÄN</t>
        </is>
      </c>
      <c r="E343" t="inlineStr">
        <is>
          <t>SALA</t>
        </is>
      </c>
      <c r="G343" t="n">
        <v>12.5</v>
      </c>
      <c r="H343" t="n">
        <v>0</v>
      </c>
      <c r="I343" t="n">
        <v>0</v>
      </c>
      <c r="J343" t="n">
        <v>0</v>
      </c>
      <c r="K343" t="n">
        <v>0</v>
      </c>
      <c r="L343" t="n">
        <v>0</v>
      </c>
      <c r="M343" t="n">
        <v>0</v>
      </c>
      <c r="N343" t="n">
        <v>0</v>
      </c>
      <c r="O343" t="n">
        <v>0</v>
      </c>
      <c r="P343" t="n">
        <v>0</v>
      </c>
      <c r="Q343" t="n">
        <v>0</v>
      </c>
      <c r="R343" s="2" t="inlineStr"/>
    </row>
    <row r="344" ht="15" customHeight="1">
      <c r="A344" t="inlineStr">
        <is>
          <t>A 19222-2025</t>
        </is>
      </c>
      <c r="B344" s="1" t="n">
        <v>45769</v>
      </c>
      <c r="C344" s="1" t="n">
        <v>46045</v>
      </c>
      <c r="D344" t="inlineStr">
        <is>
          <t>VÄSTMANLANDS LÄN</t>
        </is>
      </c>
      <c r="E344" t="inlineStr">
        <is>
          <t>SALA</t>
        </is>
      </c>
      <c r="G344" t="n">
        <v>1.8</v>
      </c>
      <c r="H344" t="n">
        <v>0</v>
      </c>
      <c r="I344" t="n">
        <v>0</v>
      </c>
      <c r="J344" t="n">
        <v>0</v>
      </c>
      <c r="K344" t="n">
        <v>0</v>
      </c>
      <c r="L344" t="n">
        <v>0</v>
      </c>
      <c r="M344" t="n">
        <v>0</v>
      </c>
      <c r="N344" t="n">
        <v>0</v>
      </c>
      <c r="O344" t="n">
        <v>0</v>
      </c>
      <c r="P344" t="n">
        <v>0</v>
      </c>
      <c r="Q344" t="n">
        <v>0</v>
      </c>
      <c r="R344" s="2" t="inlineStr"/>
    </row>
    <row r="345" ht="15" customHeight="1">
      <c r="A345" t="inlineStr">
        <is>
          <t>A 19241-2025</t>
        </is>
      </c>
      <c r="B345" s="1" t="n">
        <v>45769</v>
      </c>
      <c r="C345" s="1" t="n">
        <v>46045</v>
      </c>
      <c r="D345" t="inlineStr">
        <is>
          <t>VÄSTMANLANDS LÄN</t>
        </is>
      </c>
      <c r="E345" t="inlineStr">
        <is>
          <t>SALA</t>
        </is>
      </c>
      <c r="G345" t="n">
        <v>3.6</v>
      </c>
      <c r="H345" t="n">
        <v>0</v>
      </c>
      <c r="I345" t="n">
        <v>0</v>
      </c>
      <c r="J345" t="n">
        <v>0</v>
      </c>
      <c r="K345" t="n">
        <v>0</v>
      </c>
      <c r="L345" t="n">
        <v>0</v>
      </c>
      <c r="M345" t="n">
        <v>0</v>
      </c>
      <c r="N345" t="n">
        <v>0</v>
      </c>
      <c r="O345" t="n">
        <v>0</v>
      </c>
      <c r="P345" t="n">
        <v>0</v>
      </c>
      <c r="Q345" t="n">
        <v>0</v>
      </c>
      <c r="R345" s="2" t="inlineStr"/>
    </row>
    <row r="346" ht="15" customHeight="1">
      <c r="A346" t="inlineStr">
        <is>
          <t>A 62651-2022</t>
        </is>
      </c>
      <c r="B346" s="1" t="n">
        <v>44917</v>
      </c>
      <c r="C346" s="1" t="n">
        <v>46045</v>
      </c>
      <c r="D346" t="inlineStr">
        <is>
          <t>VÄSTMANLANDS LÄN</t>
        </is>
      </c>
      <c r="E346" t="inlineStr">
        <is>
          <t>SALA</t>
        </is>
      </c>
      <c r="G346" t="n">
        <v>0.4</v>
      </c>
      <c r="H346" t="n">
        <v>0</v>
      </c>
      <c r="I346" t="n">
        <v>0</v>
      </c>
      <c r="J346" t="n">
        <v>0</v>
      </c>
      <c r="K346" t="n">
        <v>0</v>
      </c>
      <c r="L346" t="n">
        <v>0</v>
      </c>
      <c r="M346" t="n">
        <v>0</v>
      </c>
      <c r="N346" t="n">
        <v>0</v>
      </c>
      <c r="O346" t="n">
        <v>0</v>
      </c>
      <c r="P346" t="n">
        <v>0</v>
      </c>
      <c r="Q346" t="n">
        <v>0</v>
      </c>
      <c r="R346" s="2" t="inlineStr"/>
    </row>
    <row r="347" ht="15" customHeight="1">
      <c r="A347" t="inlineStr">
        <is>
          <t>A 54836-2024</t>
        </is>
      </c>
      <c r="B347" s="1" t="n">
        <v>45618</v>
      </c>
      <c r="C347" s="1" t="n">
        <v>46045</v>
      </c>
      <c r="D347" t="inlineStr">
        <is>
          <t>VÄSTMANLANDS LÄN</t>
        </is>
      </c>
      <c r="E347" t="inlineStr">
        <is>
          <t>SALA</t>
        </is>
      </c>
      <c r="G347" t="n">
        <v>0.6</v>
      </c>
      <c r="H347" t="n">
        <v>0</v>
      </c>
      <c r="I347" t="n">
        <v>0</v>
      </c>
      <c r="J347" t="n">
        <v>0</v>
      </c>
      <c r="K347" t="n">
        <v>0</v>
      </c>
      <c r="L347" t="n">
        <v>0</v>
      </c>
      <c r="M347" t="n">
        <v>0</v>
      </c>
      <c r="N347" t="n">
        <v>0</v>
      </c>
      <c r="O347" t="n">
        <v>0</v>
      </c>
      <c r="P347" t="n">
        <v>0</v>
      </c>
      <c r="Q347" t="n">
        <v>0</v>
      </c>
      <c r="R347" s="2" t="inlineStr"/>
    </row>
    <row r="348" ht="15" customHeight="1">
      <c r="A348" t="inlineStr">
        <is>
          <t>A 13987-2023</t>
        </is>
      </c>
      <c r="B348" s="1" t="n">
        <v>45007</v>
      </c>
      <c r="C348" s="1" t="n">
        <v>46045</v>
      </c>
      <c r="D348" t="inlineStr">
        <is>
          <t>VÄSTMANLANDS LÄN</t>
        </is>
      </c>
      <c r="E348" t="inlineStr">
        <is>
          <t>SALA</t>
        </is>
      </c>
      <c r="G348" t="n">
        <v>3.2</v>
      </c>
      <c r="H348" t="n">
        <v>0</v>
      </c>
      <c r="I348" t="n">
        <v>0</v>
      </c>
      <c r="J348" t="n">
        <v>0</v>
      </c>
      <c r="K348" t="n">
        <v>0</v>
      </c>
      <c r="L348" t="n">
        <v>0</v>
      </c>
      <c r="M348" t="n">
        <v>0</v>
      </c>
      <c r="N348" t="n">
        <v>0</v>
      </c>
      <c r="O348" t="n">
        <v>0</v>
      </c>
      <c r="P348" t="n">
        <v>0</v>
      </c>
      <c r="Q348" t="n">
        <v>0</v>
      </c>
      <c r="R348" s="2" t="inlineStr"/>
    </row>
    <row r="349" ht="15" customHeight="1">
      <c r="A349" t="inlineStr">
        <is>
          <t>A 13990-2023</t>
        </is>
      </c>
      <c r="B349" s="1" t="n">
        <v>45007</v>
      </c>
      <c r="C349" s="1" t="n">
        <v>46045</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51464-2024</t>
        </is>
      </c>
      <c r="B350" s="1" t="n">
        <v>45604.49768518518</v>
      </c>
      <c r="C350" s="1" t="n">
        <v>46045</v>
      </c>
      <c r="D350" t="inlineStr">
        <is>
          <t>VÄSTMANLANDS LÄN</t>
        </is>
      </c>
      <c r="E350" t="inlineStr">
        <is>
          <t>SALA</t>
        </is>
      </c>
      <c r="G350" t="n">
        <v>3.9</v>
      </c>
      <c r="H350" t="n">
        <v>0</v>
      </c>
      <c r="I350" t="n">
        <v>0</v>
      </c>
      <c r="J350" t="n">
        <v>0</v>
      </c>
      <c r="K350" t="n">
        <v>0</v>
      </c>
      <c r="L350" t="n">
        <v>0</v>
      </c>
      <c r="M350" t="n">
        <v>0</v>
      </c>
      <c r="N350" t="n">
        <v>0</v>
      </c>
      <c r="O350" t="n">
        <v>0</v>
      </c>
      <c r="P350" t="n">
        <v>0</v>
      </c>
      <c r="Q350" t="n">
        <v>0</v>
      </c>
      <c r="R350" s="2" t="inlineStr"/>
    </row>
    <row r="351" ht="15" customHeight="1">
      <c r="A351" t="inlineStr">
        <is>
          <t>A 44486-2025</t>
        </is>
      </c>
      <c r="B351" s="1" t="n">
        <v>45916.65517361111</v>
      </c>
      <c r="C351" s="1" t="n">
        <v>46045</v>
      </c>
      <c r="D351" t="inlineStr">
        <is>
          <t>VÄSTMANLANDS LÄN</t>
        </is>
      </c>
      <c r="E351" t="inlineStr">
        <is>
          <t>SALA</t>
        </is>
      </c>
      <c r="G351" t="n">
        <v>1.7</v>
      </c>
      <c r="H351" t="n">
        <v>0</v>
      </c>
      <c r="I351" t="n">
        <v>0</v>
      </c>
      <c r="J351" t="n">
        <v>0</v>
      </c>
      <c r="K351" t="n">
        <v>0</v>
      </c>
      <c r="L351" t="n">
        <v>0</v>
      </c>
      <c r="M351" t="n">
        <v>0</v>
      </c>
      <c r="N351" t="n">
        <v>0</v>
      </c>
      <c r="O351" t="n">
        <v>0</v>
      </c>
      <c r="P351" t="n">
        <v>0</v>
      </c>
      <c r="Q351" t="n">
        <v>0</v>
      </c>
      <c r="R351" s="2" t="inlineStr"/>
    </row>
    <row r="352" ht="15" customHeight="1">
      <c r="A352" t="inlineStr">
        <is>
          <t>A 44524-2025</t>
        </is>
      </c>
      <c r="B352" s="1" t="n">
        <v>45916.72920138889</v>
      </c>
      <c r="C352" s="1" t="n">
        <v>46045</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1128-2025</t>
        </is>
      </c>
      <c r="B353" s="1" t="n">
        <v>45666.68469907407</v>
      </c>
      <c r="C353" s="1" t="n">
        <v>46045</v>
      </c>
      <c r="D353" t="inlineStr">
        <is>
          <t>VÄSTMANLANDS LÄN</t>
        </is>
      </c>
      <c r="E353" t="inlineStr">
        <is>
          <t>SALA</t>
        </is>
      </c>
      <c r="G353" t="n">
        <v>2.5</v>
      </c>
      <c r="H353" t="n">
        <v>0</v>
      </c>
      <c r="I353" t="n">
        <v>0</v>
      </c>
      <c r="J353" t="n">
        <v>0</v>
      </c>
      <c r="K353" t="n">
        <v>0</v>
      </c>
      <c r="L353" t="n">
        <v>0</v>
      </c>
      <c r="M353" t="n">
        <v>0</v>
      </c>
      <c r="N353" t="n">
        <v>0</v>
      </c>
      <c r="O353" t="n">
        <v>0</v>
      </c>
      <c r="P353" t="n">
        <v>0</v>
      </c>
      <c r="Q353" t="n">
        <v>0</v>
      </c>
      <c r="R353" s="2" t="inlineStr"/>
    </row>
    <row r="354" ht="15" customHeight="1">
      <c r="A354" t="inlineStr">
        <is>
          <t>A 43176-2023</t>
        </is>
      </c>
      <c r="B354" s="1" t="n">
        <v>45183</v>
      </c>
      <c r="C354" s="1" t="n">
        <v>46045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43122-2025</t>
        </is>
      </c>
      <c r="B355" s="1" t="n">
        <v>45909</v>
      </c>
      <c r="C355" s="1" t="n">
        <v>46045</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73835-2021</t>
        </is>
      </c>
      <c r="B356" s="1" t="n">
        <v>44552.92112268518</v>
      </c>
      <c r="C356" s="1" t="n">
        <v>46045</v>
      </c>
      <c r="D356" t="inlineStr">
        <is>
          <t>VÄSTMANLANDS LÄN</t>
        </is>
      </c>
      <c r="E356" t="inlineStr">
        <is>
          <t>SALA</t>
        </is>
      </c>
      <c r="G356" t="n">
        <v>2</v>
      </c>
      <c r="H356" t="n">
        <v>0</v>
      </c>
      <c r="I356" t="n">
        <v>0</v>
      </c>
      <c r="J356" t="n">
        <v>0</v>
      </c>
      <c r="K356" t="n">
        <v>0</v>
      </c>
      <c r="L356" t="n">
        <v>0</v>
      </c>
      <c r="M356" t="n">
        <v>0</v>
      </c>
      <c r="N356" t="n">
        <v>0</v>
      </c>
      <c r="O356" t="n">
        <v>0</v>
      </c>
      <c r="P356" t="n">
        <v>0</v>
      </c>
      <c r="Q356" t="n">
        <v>0</v>
      </c>
      <c r="R356" s="2" t="inlineStr"/>
    </row>
    <row r="357" ht="15" customHeight="1">
      <c r="A357" t="inlineStr">
        <is>
          <t>A 60379-2022</t>
        </is>
      </c>
      <c r="B357" s="1" t="n">
        <v>44910</v>
      </c>
      <c r="C357" s="1" t="n">
        <v>46045</v>
      </c>
      <c r="D357" t="inlineStr">
        <is>
          <t>VÄSTMANLANDS LÄN</t>
        </is>
      </c>
      <c r="E357" t="inlineStr">
        <is>
          <t>SALA</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1638-2023</t>
        </is>
      </c>
      <c r="B358" s="1" t="n">
        <v>44937</v>
      </c>
      <c r="C358" s="1" t="n">
        <v>46045</v>
      </c>
      <c r="D358" t="inlineStr">
        <is>
          <t>VÄSTMANLANDS LÄN</t>
        </is>
      </c>
      <c r="E358" t="inlineStr">
        <is>
          <t>SALA</t>
        </is>
      </c>
      <c r="G358" t="n">
        <v>3.1</v>
      </c>
      <c r="H358" t="n">
        <v>0</v>
      </c>
      <c r="I358" t="n">
        <v>0</v>
      </c>
      <c r="J358" t="n">
        <v>0</v>
      </c>
      <c r="K358" t="n">
        <v>0</v>
      </c>
      <c r="L358" t="n">
        <v>0</v>
      </c>
      <c r="M358" t="n">
        <v>0</v>
      </c>
      <c r="N358" t="n">
        <v>0</v>
      </c>
      <c r="O358" t="n">
        <v>0</v>
      </c>
      <c r="P358" t="n">
        <v>0</v>
      </c>
      <c r="Q358" t="n">
        <v>0</v>
      </c>
      <c r="R358" s="2" t="inlineStr"/>
    </row>
    <row r="359" ht="15" customHeight="1">
      <c r="A359" t="inlineStr">
        <is>
          <t>A 26416-2023</t>
        </is>
      </c>
      <c r="B359" s="1" t="n">
        <v>45092.38087962963</v>
      </c>
      <c r="C359" s="1" t="n">
        <v>46045</v>
      </c>
      <c r="D359" t="inlineStr">
        <is>
          <t>VÄSTMANLANDS LÄN</t>
        </is>
      </c>
      <c r="E359" t="inlineStr">
        <is>
          <t>SALA</t>
        </is>
      </c>
      <c r="G359" t="n">
        <v>2.9</v>
      </c>
      <c r="H359" t="n">
        <v>0</v>
      </c>
      <c r="I359" t="n">
        <v>0</v>
      </c>
      <c r="J359" t="n">
        <v>0</v>
      </c>
      <c r="K359" t="n">
        <v>0</v>
      </c>
      <c r="L359" t="n">
        <v>0</v>
      </c>
      <c r="M359" t="n">
        <v>0</v>
      </c>
      <c r="N359" t="n">
        <v>0</v>
      </c>
      <c r="O359" t="n">
        <v>0</v>
      </c>
      <c r="P359" t="n">
        <v>0</v>
      </c>
      <c r="Q359" t="n">
        <v>0</v>
      </c>
      <c r="R359" s="2" t="inlineStr"/>
    </row>
    <row r="360" ht="15" customHeight="1">
      <c r="A360" t="inlineStr">
        <is>
          <t>A 7953-2024</t>
        </is>
      </c>
      <c r="B360" s="1" t="n">
        <v>45350</v>
      </c>
      <c r="C360" s="1" t="n">
        <v>46045</v>
      </c>
      <c r="D360" t="inlineStr">
        <is>
          <t>VÄSTMANLANDS LÄN</t>
        </is>
      </c>
      <c r="E360" t="inlineStr">
        <is>
          <t>SALA</t>
        </is>
      </c>
      <c r="G360" t="n">
        <v>2.6</v>
      </c>
      <c r="H360" t="n">
        <v>0</v>
      </c>
      <c r="I360" t="n">
        <v>0</v>
      </c>
      <c r="J360" t="n">
        <v>0</v>
      </c>
      <c r="K360" t="n">
        <v>0</v>
      </c>
      <c r="L360" t="n">
        <v>0</v>
      </c>
      <c r="M360" t="n">
        <v>0</v>
      </c>
      <c r="N360" t="n">
        <v>0</v>
      </c>
      <c r="O360" t="n">
        <v>0</v>
      </c>
      <c r="P360" t="n">
        <v>0</v>
      </c>
      <c r="Q360" t="n">
        <v>0</v>
      </c>
      <c r="R360" s="2" t="inlineStr"/>
    </row>
    <row r="361" ht="15" customHeight="1">
      <c r="A361" t="inlineStr">
        <is>
          <t>A 26692-2023</t>
        </is>
      </c>
      <c r="B361" s="1" t="n">
        <v>45093.360625</v>
      </c>
      <c r="C361" s="1" t="n">
        <v>46045</v>
      </c>
      <c r="D361" t="inlineStr">
        <is>
          <t>VÄSTMANLANDS LÄN</t>
        </is>
      </c>
      <c r="E361" t="inlineStr">
        <is>
          <t>SALA</t>
        </is>
      </c>
      <c r="G361" t="n">
        <v>1.8</v>
      </c>
      <c r="H361" t="n">
        <v>0</v>
      </c>
      <c r="I361" t="n">
        <v>0</v>
      </c>
      <c r="J361" t="n">
        <v>0</v>
      </c>
      <c r="K361" t="n">
        <v>0</v>
      </c>
      <c r="L361" t="n">
        <v>0</v>
      </c>
      <c r="M361" t="n">
        <v>0</v>
      </c>
      <c r="N361" t="n">
        <v>0</v>
      </c>
      <c r="O361" t="n">
        <v>0</v>
      </c>
      <c r="P361" t="n">
        <v>0</v>
      </c>
      <c r="Q361" t="n">
        <v>0</v>
      </c>
      <c r="R361" s="2" t="inlineStr"/>
    </row>
    <row r="362" ht="15" customHeight="1">
      <c r="A362" t="inlineStr">
        <is>
          <t>A 5477-2024</t>
        </is>
      </c>
      <c r="B362" s="1" t="n">
        <v>45333.67833333334</v>
      </c>
      <c r="C362" s="1" t="n">
        <v>46045</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15681-2025</t>
        </is>
      </c>
      <c r="B363" s="1" t="n">
        <v>45748.45454861111</v>
      </c>
      <c r="C363" s="1" t="n">
        <v>46045</v>
      </c>
      <c r="D363" t="inlineStr">
        <is>
          <t>VÄSTMANLANDS LÄN</t>
        </is>
      </c>
      <c r="E363" t="inlineStr">
        <is>
          <t>SALA</t>
        </is>
      </c>
      <c r="F363" t="inlineStr">
        <is>
          <t>Bergvik skog öst AB</t>
        </is>
      </c>
      <c r="G363" t="n">
        <v>4.3</v>
      </c>
      <c r="H363" t="n">
        <v>0</v>
      </c>
      <c r="I363" t="n">
        <v>0</v>
      </c>
      <c r="J363" t="n">
        <v>0</v>
      </c>
      <c r="K363" t="n">
        <v>0</v>
      </c>
      <c r="L363" t="n">
        <v>0</v>
      </c>
      <c r="M363" t="n">
        <v>0</v>
      </c>
      <c r="N363" t="n">
        <v>0</v>
      </c>
      <c r="O363" t="n">
        <v>0</v>
      </c>
      <c r="P363" t="n">
        <v>0</v>
      </c>
      <c r="Q363" t="n">
        <v>0</v>
      </c>
      <c r="R363" s="2" t="inlineStr"/>
    </row>
    <row r="364" ht="15" customHeight="1">
      <c r="A364" t="inlineStr">
        <is>
          <t>A 26507-2023</t>
        </is>
      </c>
      <c r="B364" s="1" t="n">
        <v>45092</v>
      </c>
      <c r="C364" s="1" t="n">
        <v>46045</v>
      </c>
      <c r="D364" t="inlineStr">
        <is>
          <t>VÄSTMANLANDS LÄN</t>
        </is>
      </c>
      <c r="E364" t="inlineStr">
        <is>
          <t>SALA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6032-2025</t>
        </is>
      </c>
      <c r="B365" s="1" t="n">
        <v>45695.6371875</v>
      </c>
      <c r="C365" s="1" t="n">
        <v>46045</v>
      </c>
      <c r="D365" t="inlineStr">
        <is>
          <t>VÄSTMANLANDS LÄN</t>
        </is>
      </c>
      <c r="E365" t="inlineStr">
        <is>
          <t>SALA</t>
        </is>
      </c>
      <c r="F365" t="inlineStr">
        <is>
          <t>Bergvik skog öst AB</t>
        </is>
      </c>
      <c r="G365" t="n">
        <v>8.1</v>
      </c>
      <c r="H365" t="n">
        <v>0</v>
      </c>
      <c r="I365" t="n">
        <v>0</v>
      </c>
      <c r="J365" t="n">
        <v>0</v>
      </c>
      <c r="K365" t="n">
        <v>0</v>
      </c>
      <c r="L365" t="n">
        <v>0</v>
      </c>
      <c r="M365" t="n">
        <v>0</v>
      </c>
      <c r="N365" t="n">
        <v>0</v>
      </c>
      <c r="O365" t="n">
        <v>0</v>
      </c>
      <c r="P365" t="n">
        <v>0</v>
      </c>
      <c r="Q365" t="n">
        <v>0</v>
      </c>
      <c r="R365" s="2" t="inlineStr"/>
    </row>
    <row r="366" ht="15" customHeight="1">
      <c r="A366" t="inlineStr">
        <is>
          <t>A 45371-2025</t>
        </is>
      </c>
      <c r="B366" s="1" t="n">
        <v>45922.39001157408</v>
      </c>
      <c r="C366" s="1" t="n">
        <v>46045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45177-2025</t>
        </is>
      </c>
      <c r="B367" s="1" t="n">
        <v>45919.52444444445</v>
      </c>
      <c r="C367" s="1" t="n">
        <v>46045</v>
      </c>
      <c r="D367" t="inlineStr">
        <is>
          <t>VÄSTMANLANDS LÄN</t>
        </is>
      </c>
      <c r="E367" t="inlineStr">
        <is>
          <t>SALA</t>
        </is>
      </c>
      <c r="G367" t="n">
        <v>2.4</v>
      </c>
      <c r="H367" t="n">
        <v>0</v>
      </c>
      <c r="I367" t="n">
        <v>0</v>
      </c>
      <c r="J367" t="n">
        <v>0</v>
      </c>
      <c r="K367" t="n">
        <v>0</v>
      </c>
      <c r="L367" t="n">
        <v>0</v>
      </c>
      <c r="M367" t="n">
        <v>0</v>
      </c>
      <c r="N367" t="n">
        <v>0</v>
      </c>
      <c r="O367" t="n">
        <v>0</v>
      </c>
      <c r="P367" t="n">
        <v>0</v>
      </c>
      <c r="Q367" t="n">
        <v>0</v>
      </c>
      <c r="R367" s="2" t="inlineStr"/>
    </row>
    <row r="368" ht="15" customHeight="1">
      <c r="A368" t="inlineStr">
        <is>
          <t>A 34814-2021</t>
        </is>
      </c>
      <c r="B368" s="1" t="n">
        <v>44383</v>
      </c>
      <c r="C368" s="1" t="n">
        <v>46045</v>
      </c>
      <c r="D368" t="inlineStr">
        <is>
          <t>VÄSTMANLANDS LÄN</t>
        </is>
      </c>
      <c r="E368" t="inlineStr">
        <is>
          <t>SALA</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54118-2023</t>
        </is>
      </c>
      <c r="B369" s="1" t="n">
        <v>45232</v>
      </c>
      <c r="C369" s="1" t="n">
        <v>46045</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35462-2024</t>
        </is>
      </c>
      <c r="B370" s="1" t="n">
        <v>45531</v>
      </c>
      <c r="C370" s="1" t="n">
        <v>46045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45914-2025</t>
        </is>
      </c>
      <c r="B371" s="1" t="n">
        <v>45923.82582175926</v>
      </c>
      <c r="C371" s="1" t="n">
        <v>46045</v>
      </c>
      <c r="D371" t="inlineStr">
        <is>
          <t>VÄSTMANLANDS LÄN</t>
        </is>
      </c>
      <c r="E371" t="inlineStr">
        <is>
          <t>SALA</t>
        </is>
      </c>
      <c r="F371" t="inlineStr">
        <is>
          <t>Kommuner</t>
        </is>
      </c>
      <c r="G371" t="n">
        <v>18.2</v>
      </c>
      <c r="H371" t="n">
        <v>0</v>
      </c>
      <c r="I371" t="n">
        <v>0</v>
      </c>
      <c r="J371" t="n">
        <v>0</v>
      </c>
      <c r="K371" t="n">
        <v>0</v>
      </c>
      <c r="L371" t="n">
        <v>0</v>
      </c>
      <c r="M371" t="n">
        <v>0</v>
      </c>
      <c r="N371" t="n">
        <v>0</v>
      </c>
      <c r="O371" t="n">
        <v>0</v>
      </c>
      <c r="P371" t="n">
        <v>0</v>
      </c>
      <c r="Q371" t="n">
        <v>0</v>
      </c>
      <c r="R371" s="2" t="inlineStr"/>
    </row>
    <row r="372" ht="15" customHeight="1">
      <c r="A372" t="inlineStr">
        <is>
          <t>A 2925-2024</t>
        </is>
      </c>
      <c r="B372" s="1" t="n">
        <v>45315.58909722222</v>
      </c>
      <c r="C372" s="1" t="n">
        <v>46045</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45909-2025</t>
        </is>
      </c>
      <c r="B373" s="1" t="n">
        <v>45923.75078703704</v>
      </c>
      <c r="C373" s="1" t="n">
        <v>46045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46597-2025</t>
        </is>
      </c>
      <c r="B374" s="1" t="n">
        <v>45926.40113425926</v>
      </c>
      <c r="C374" s="1" t="n">
        <v>46045</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44746-2024</t>
        </is>
      </c>
      <c r="B375" s="1" t="n">
        <v>45574.59813657407</v>
      </c>
      <c r="C375" s="1" t="n">
        <v>46045</v>
      </c>
      <c r="D375" t="inlineStr">
        <is>
          <t>VÄSTMANLANDS LÄN</t>
        </is>
      </c>
      <c r="E375" t="inlineStr">
        <is>
          <t>SALA</t>
        </is>
      </c>
      <c r="G375" t="n">
        <v>6.7</v>
      </c>
      <c r="H375" t="n">
        <v>0</v>
      </c>
      <c r="I375" t="n">
        <v>0</v>
      </c>
      <c r="J375" t="n">
        <v>0</v>
      </c>
      <c r="K375" t="n">
        <v>0</v>
      </c>
      <c r="L375" t="n">
        <v>0</v>
      </c>
      <c r="M375" t="n">
        <v>0</v>
      </c>
      <c r="N375" t="n">
        <v>0</v>
      </c>
      <c r="O375" t="n">
        <v>0</v>
      </c>
      <c r="P375" t="n">
        <v>0</v>
      </c>
      <c r="Q375" t="n">
        <v>0</v>
      </c>
      <c r="R375" s="2" t="inlineStr"/>
    </row>
    <row r="376" ht="15" customHeight="1">
      <c r="A376" t="inlineStr">
        <is>
          <t>A 44713-2023</t>
        </is>
      </c>
      <c r="B376" s="1" t="n">
        <v>45184</v>
      </c>
      <c r="C376" s="1" t="n">
        <v>46045</v>
      </c>
      <c r="D376" t="inlineStr">
        <is>
          <t>VÄSTMANLANDS LÄN</t>
        </is>
      </c>
      <c r="E376" t="inlineStr">
        <is>
          <t>SALA</t>
        </is>
      </c>
      <c r="F376" t="inlineStr">
        <is>
          <t>Kyrkan</t>
        </is>
      </c>
      <c r="G376" t="n">
        <v>7.6</v>
      </c>
      <c r="H376" t="n">
        <v>0</v>
      </c>
      <c r="I376" t="n">
        <v>0</v>
      </c>
      <c r="J376" t="n">
        <v>0</v>
      </c>
      <c r="K376" t="n">
        <v>0</v>
      </c>
      <c r="L376" t="n">
        <v>0</v>
      </c>
      <c r="M376" t="n">
        <v>0</v>
      </c>
      <c r="N376" t="n">
        <v>0</v>
      </c>
      <c r="O376" t="n">
        <v>0</v>
      </c>
      <c r="P376" t="n">
        <v>0</v>
      </c>
      <c r="Q376" t="n">
        <v>0</v>
      </c>
      <c r="R376" s="2" t="inlineStr"/>
    </row>
    <row r="377" ht="15" customHeight="1">
      <c r="A377" t="inlineStr">
        <is>
          <t>A 36393-2023</t>
        </is>
      </c>
      <c r="B377" s="1" t="n">
        <v>45152</v>
      </c>
      <c r="C377" s="1" t="n">
        <v>46045</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23431-2024</t>
        </is>
      </c>
      <c r="B378" s="1" t="n">
        <v>45453</v>
      </c>
      <c r="C378" s="1" t="n">
        <v>46045</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45790-2023</t>
        </is>
      </c>
      <c r="B379" s="1" t="n">
        <v>45195.45958333334</v>
      </c>
      <c r="C379" s="1" t="n">
        <v>46045</v>
      </c>
      <c r="D379" t="inlineStr">
        <is>
          <t>VÄSTMANLANDS LÄN</t>
        </is>
      </c>
      <c r="E379" t="inlineStr">
        <is>
          <t>SALA</t>
        </is>
      </c>
      <c r="G379" t="n">
        <v>5.7</v>
      </c>
      <c r="H379" t="n">
        <v>0</v>
      </c>
      <c r="I379" t="n">
        <v>0</v>
      </c>
      <c r="J379" t="n">
        <v>0</v>
      </c>
      <c r="K379" t="n">
        <v>0</v>
      </c>
      <c r="L379" t="n">
        <v>0</v>
      </c>
      <c r="M379" t="n">
        <v>0</v>
      </c>
      <c r="N379" t="n">
        <v>0</v>
      </c>
      <c r="O379" t="n">
        <v>0</v>
      </c>
      <c r="P379" t="n">
        <v>0</v>
      </c>
      <c r="Q379" t="n">
        <v>0</v>
      </c>
      <c r="R379" s="2" t="inlineStr"/>
    </row>
    <row r="380" ht="15" customHeight="1">
      <c r="A380" t="inlineStr">
        <is>
          <t>A 56949-2023</t>
        </is>
      </c>
      <c r="B380" s="1" t="n">
        <v>45244.61589120371</v>
      </c>
      <c r="C380" s="1" t="n">
        <v>46045</v>
      </c>
      <c r="D380" t="inlineStr">
        <is>
          <t>VÄSTMANLANDS LÄN</t>
        </is>
      </c>
      <c r="E380" t="inlineStr">
        <is>
          <t>SALA</t>
        </is>
      </c>
      <c r="G380" t="n">
        <v>4.7</v>
      </c>
      <c r="H380" t="n">
        <v>0</v>
      </c>
      <c r="I380" t="n">
        <v>0</v>
      </c>
      <c r="J380" t="n">
        <v>0</v>
      </c>
      <c r="K380" t="n">
        <v>0</v>
      </c>
      <c r="L380" t="n">
        <v>0</v>
      </c>
      <c r="M380" t="n">
        <v>0</v>
      </c>
      <c r="N380" t="n">
        <v>0</v>
      </c>
      <c r="O380" t="n">
        <v>0</v>
      </c>
      <c r="P380" t="n">
        <v>0</v>
      </c>
      <c r="Q380" t="n">
        <v>0</v>
      </c>
      <c r="R380" s="2" t="inlineStr"/>
    </row>
    <row r="381" ht="15" customHeight="1">
      <c r="A381" t="inlineStr">
        <is>
          <t>A 988-2025</t>
        </is>
      </c>
      <c r="B381" s="1" t="n">
        <v>45666.44038194444</v>
      </c>
      <c r="C381" s="1" t="n">
        <v>46045</v>
      </c>
      <c r="D381" t="inlineStr">
        <is>
          <t>VÄSTMANLANDS LÄN</t>
        </is>
      </c>
      <c r="E381" t="inlineStr">
        <is>
          <t>SALA</t>
        </is>
      </c>
      <c r="G381" t="n">
        <v>1.3</v>
      </c>
      <c r="H381" t="n">
        <v>0</v>
      </c>
      <c r="I381" t="n">
        <v>0</v>
      </c>
      <c r="J381" t="n">
        <v>0</v>
      </c>
      <c r="K381" t="n">
        <v>0</v>
      </c>
      <c r="L381" t="n">
        <v>0</v>
      </c>
      <c r="M381" t="n">
        <v>0</v>
      </c>
      <c r="N381" t="n">
        <v>0</v>
      </c>
      <c r="O381" t="n">
        <v>0</v>
      </c>
      <c r="P381" t="n">
        <v>0</v>
      </c>
      <c r="Q381" t="n">
        <v>0</v>
      </c>
      <c r="R381" s="2" t="inlineStr"/>
    </row>
    <row r="382" ht="15" customHeight="1">
      <c r="A382" t="inlineStr">
        <is>
          <t>A 21168-2025</t>
        </is>
      </c>
      <c r="B382" s="1" t="n">
        <v>45777</v>
      </c>
      <c r="C382" s="1" t="n">
        <v>46045</v>
      </c>
      <c r="D382" t="inlineStr">
        <is>
          <t>VÄSTMANLANDS LÄN</t>
        </is>
      </c>
      <c r="E382" t="inlineStr">
        <is>
          <t>SALA</t>
        </is>
      </c>
      <c r="G382" t="n">
        <v>4.5</v>
      </c>
      <c r="H382" t="n">
        <v>0</v>
      </c>
      <c r="I382" t="n">
        <v>0</v>
      </c>
      <c r="J382" t="n">
        <v>0</v>
      </c>
      <c r="K382" t="n">
        <v>0</v>
      </c>
      <c r="L382" t="n">
        <v>0</v>
      </c>
      <c r="M382" t="n">
        <v>0</v>
      </c>
      <c r="N382" t="n">
        <v>0</v>
      </c>
      <c r="O382" t="n">
        <v>0</v>
      </c>
      <c r="P382" t="n">
        <v>0</v>
      </c>
      <c r="Q382" t="n">
        <v>0</v>
      </c>
      <c r="R382" s="2" t="inlineStr"/>
    </row>
    <row r="383" ht="15" customHeight="1">
      <c r="A383" t="inlineStr">
        <is>
          <t>A 40214-2023</t>
        </is>
      </c>
      <c r="B383" s="1" t="n">
        <v>45169.45173611111</v>
      </c>
      <c r="C383" s="1" t="n">
        <v>46045</v>
      </c>
      <c r="D383" t="inlineStr">
        <is>
          <t>VÄSTMANLANDS LÄN</t>
        </is>
      </c>
      <c r="E383" t="inlineStr">
        <is>
          <t>SALA</t>
        </is>
      </c>
      <c r="G383" t="n">
        <v>5.5</v>
      </c>
      <c r="H383" t="n">
        <v>0</v>
      </c>
      <c r="I383" t="n">
        <v>0</v>
      </c>
      <c r="J383" t="n">
        <v>0</v>
      </c>
      <c r="K383" t="n">
        <v>0</v>
      </c>
      <c r="L383" t="n">
        <v>0</v>
      </c>
      <c r="M383" t="n">
        <v>0</v>
      </c>
      <c r="N383" t="n">
        <v>0</v>
      </c>
      <c r="O383" t="n">
        <v>0</v>
      </c>
      <c r="P383" t="n">
        <v>0</v>
      </c>
      <c r="Q383" t="n">
        <v>0</v>
      </c>
      <c r="R383" s="2" t="inlineStr"/>
    </row>
    <row r="384" ht="15" customHeight="1">
      <c r="A384" t="inlineStr">
        <is>
          <t>A 5032-2025</t>
        </is>
      </c>
      <c r="B384" s="1" t="n">
        <v>45691</v>
      </c>
      <c r="C384" s="1" t="n">
        <v>46045</v>
      </c>
      <c r="D384" t="inlineStr">
        <is>
          <t>VÄSTMANLANDS LÄN</t>
        </is>
      </c>
      <c r="E384" t="inlineStr">
        <is>
          <t>SALA</t>
        </is>
      </c>
      <c r="G384" t="n">
        <v>0.9</v>
      </c>
      <c r="H384" t="n">
        <v>0</v>
      </c>
      <c r="I384" t="n">
        <v>0</v>
      </c>
      <c r="J384" t="n">
        <v>0</v>
      </c>
      <c r="K384" t="n">
        <v>0</v>
      </c>
      <c r="L384" t="n">
        <v>0</v>
      </c>
      <c r="M384" t="n">
        <v>0</v>
      </c>
      <c r="N384" t="n">
        <v>0</v>
      </c>
      <c r="O384" t="n">
        <v>0</v>
      </c>
      <c r="P384" t="n">
        <v>0</v>
      </c>
      <c r="Q384" t="n">
        <v>0</v>
      </c>
      <c r="R384" s="2" t="inlineStr"/>
    </row>
    <row r="385" ht="15" customHeight="1">
      <c r="A385" t="inlineStr">
        <is>
          <t>A 46661-2025</t>
        </is>
      </c>
      <c r="B385" s="1" t="n">
        <v>45926</v>
      </c>
      <c r="C385" s="1" t="n">
        <v>46045</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35016-2024</t>
        </is>
      </c>
      <c r="B386" s="1" t="n">
        <v>45527.59115740741</v>
      </c>
      <c r="C386" s="1" t="n">
        <v>46045</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37612-2024</t>
        </is>
      </c>
      <c r="B387" s="1" t="n">
        <v>45541</v>
      </c>
      <c r="C387" s="1" t="n">
        <v>46045</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37615-2024</t>
        </is>
      </c>
      <c r="B388" s="1" t="n">
        <v>45541.50673611111</v>
      </c>
      <c r="C388" s="1" t="n">
        <v>46045</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5728-2022</t>
        </is>
      </c>
      <c r="B389" s="1" t="n">
        <v>44596.42082175926</v>
      </c>
      <c r="C389" s="1" t="n">
        <v>46045</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46915-2025</t>
        </is>
      </c>
      <c r="B390" s="1" t="n">
        <v>45929.42114583333</v>
      </c>
      <c r="C390" s="1" t="n">
        <v>46045</v>
      </c>
      <c r="D390" t="inlineStr">
        <is>
          <t>VÄSTMANLANDS LÄN</t>
        </is>
      </c>
      <c r="E390" t="inlineStr">
        <is>
          <t>SALA</t>
        </is>
      </c>
      <c r="G390" t="n">
        <v>1.5</v>
      </c>
      <c r="H390" t="n">
        <v>0</v>
      </c>
      <c r="I390" t="n">
        <v>0</v>
      </c>
      <c r="J390" t="n">
        <v>0</v>
      </c>
      <c r="K390" t="n">
        <v>0</v>
      </c>
      <c r="L390" t="n">
        <v>0</v>
      </c>
      <c r="M390" t="n">
        <v>0</v>
      </c>
      <c r="N390" t="n">
        <v>0</v>
      </c>
      <c r="O390" t="n">
        <v>0</v>
      </c>
      <c r="P390" t="n">
        <v>0</v>
      </c>
      <c r="Q390" t="n">
        <v>0</v>
      </c>
      <c r="R390" s="2" t="inlineStr"/>
    </row>
    <row r="391" ht="15" customHeight="1">
      <c r="A391" t="inlineStr">
        <is>
          <t>A 21751-2025</t>
        </is>
      </c>
      <c r="B391" s="1" t="n">
        <v>45783.61372685185</v>
      </c>
      <c r="C391" s="1" t="n">
        <v>46045</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7681-2021</t>
        </is>
      </c>
      <c r="B392" s="1" t="n">
        <v>44242</v>
      </c>
      <c r="C392" s="1" t="n">
        <v>46045</v>
      </c>
      <c r="D392" t="inlineStr">
        <is>
          <t>VÄSTMANLANDS LÄN</t>
        </is>
      </c>
      <c r="E392" t="inlineStr">
        <is>
          <t>SALA</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19751-2022</t>
        </is>
      </c>
      <c r="B393" s="1" t="n">
        <v>44694</v>
      </c>
      <c r="C393" s="1" t="n">
        <v>46045</v>
      </c>
      <c r="D393" t="inlineStr">
        <is>
          <t>VÄSTMANLANDS LÄN</t>
        </is>
      </c>
      <c r="E393" t="inlineStr">
        <is>
          <t>SALA</t>
        </is>
      </c>
      <c r="G393" t="n">
        <v>2.7</v>
      </c>
      <c r="H393" t="n">
        <v>0</v>
      </c>
      <c r="I393" t="n">
        <v>0</v>
      </c>
      <c r="J393" t="n">
        <v>0</v>
      </c>
      <c r="K393" t="n">
        <v>0</v>
      </c>
      <c r="L393" t="n">
        <v>0</v>
      </c>
      <c r="M393" t="n">
        <v>0</v>
      </c>
      <c r="N393" t="n">
        <v>0</v>
      </c>
      <c r="O393" t="n">
        <v>0</v>
      </c>
      <c r="P393" t="n">
        <v>0</v>
      </c>
      <c r="Q393" t="n">
        <v>0</v>
      </c>
      <c r="R393" s="2" t="inlineStr"/>
    </row>
    <row r="394" ht="15" customHeight="1">
      <c r="A394" t="inlineStr">
        <is>
          <t>A 21754-2025</t>
        </is>
      </c>
      <c r="B394" s="1" t="n">
        <v>45783.61837962963</v>
      </c>
      <c r="C394" s="1" t="n">
        <v>46045</v>
      </c>
      <c r="D394" t="inlineStr">
        <is>
          <t>VÄSTMANLANDS LÄN</t>
        </is>
      </c>
      <c r="E394" t="inlineStr">
        <is>
          <t>SALA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66908-2021</t>
        </is>
      </c>
      <c r="B395" s="1" t="n">
        <v>44522</v>
      </c>
      <c r="C395" s="1" t="n">
        <v>46045</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48057-2025</t>
        </is>
      </c>
      <c r="B396" s="1" t="n">
        <v>45932.67947916667</v>
      </c>
      <c r="C396" s="1" t="n">
        <v>46045</v>
      </c>
      <c r="D396" t="inlineStr">
        <is>
          <t>VÄSTMANLANDS LÄN</t>
        </is>
      </c>
      <c r="E396" t="inlineStr">
        <is>
          <t>SALA</t>
        </is>
      </c>
      <c r="G396" t="n">
        <v>4.3</v>
      </c>
      <c r="H396" t="n">
        <v>0</v>
      </c>
      <c r="I396" t="n">
        <v>0</v>
      </c>
      <c r="J396" t="n">
        <v>0</v>
      </c>
      <c r="K396" t="n">
        <v>0</v>
      </c>
      <c r="L396" t="n">
        <v>0</v>
      </c>
      <c r="M396" t="n">
        <v>0</v>
      </c>
      <c r="N396" t="n">
        <v>0</v>
      </c>
      <c r="O396" t="n">
        <v>0</v>
      </c>
      <c r="P396" t="n">
        <v>0</v>
      </c>
      <c r="Q396" t="n">
        <v>0</v>
      </c>
      <c r="R396" s="2" t="inlineStr"/>
    </row>
    <row r="397" ht="15" customHeight="1">
      <c r="A397" t="inlineStr">
        <is>
          <t>A 37587-2024</t>
        </is>
      </c>
      <c r="B397" s="1" t="n">
        <v>45541</v>
      </c>
      <c r="C397" s="1" t="n">
        <v>46045</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47577-2025</t>
        </is>
      </c>
      <c r="B398" s="1" t="n">
        <v>45931.4047337963</v>
      </c>
      <c r="C398" s="1" t="n">
        <v>46045</v>
      </c>
      <c r="D398" t="inlineStr">
        <is>
          <t>VÄSTMANLANDS LÄN</t>
        </is>
      </c>
      <c r="E398" t="inlineStr">
        <is>
          <t>SALA</t>
        </is>
      </c>
      <c r="G398" t="n">
        <v>3.7</v>
      </c>
      <c r="H398" t="n">
        <v>0</v>
      </c>
      <c r="I398" t="n">
        <v>0</v>
      </c>
      <c r="J398" t="n">
        <v>0</v>
      </c>
      <c r="K398" t="n">
        <v>0</v>
      </c>
      <c r="L398" t="n">
        <v>0</v>
      </c>
      <c r="M398" t="n">
        <v>0</v>
      </c>
      <c r="N398" t="n">
        <v>0</v>
      </c>
      <c r="O398" t="n">
        <v>0</v>
      </c>
      <c r="P398" t="n">
        <v>0</v>
      </c>
      <c r="Q398" t="n">
        <v>0</v>
      </c>
      <c r="R398" s="2" t="inlineStr"/>
    </row>
    <row r="399" ht="15" customHeight="1">
      <c r="A399" t="inlineStr">
        <is>
          <t>A 11696-2025</t>
        </is>
      </c>
      <c r="B399" s="1" t="n">
        <v>45727</v>
      </c>
      <c r="C399" s="1" t="n">
        <v>46045</v>
      </c>
      <c r="D399" t="inlineStr">
        <is>
          <t>VÄSTMANLANDS LÄN</t>
        </is>
      </c>
      <c r="E399" t="inlineStr">
        <is>
          <t>SALA</t>
        </is>
      </c>
      <c r="F399" t="inlineStr">
        <is>
          <t>Bergvik skog öst AB</t>
        </is>
      </c>
      <c r="G399" t="n">
        <v>1.6</v>
      </c>
      <c r="H399" t="n">
        <v>0</v>
      </c>
      <c r="I399" t="n">
        <v>0</v>
      </c>
      <c r="J399" t="n">
        <v>0</v>
      </c>
      <c r="K399" t="n">
        <v>0</v>
      </c>
      <c r="L399" t="n">
        <v>0</v>
      </c>
      <c r="M399" t="n">
        <v>0</v>
      </c>
      <c r="N399" t="n">
        <v>0</v>
      </c>
      <c r="O399" t="n">
        <v>0</v>
      </c>
      <c r="P399" t="n">
        <v>0</v>
      </c>
      <c r="Q399" t="n">
        <v>0</v>
      </c>
      <c r="R399" s="2" t="inlineStr"/>
    </row>
    <row r="400" ht="15" customHeight="1">
      <c r="A400" t="inlineStr">
        <is>
          <t>A 22353-2025</t>
        </is>
      </c>
      <c r="B400" s="1" t="n">
        <v>45786</v>
      </c>
      <c r="C400" s="1" t="n">
        <v>46045</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48710-2025</t>
        </is>
      </c>
      <c r="B401" s="1" t="n">
        <v>45936.63184027778</v>
      </c>
      <c r="C401" s="1" t="n">
        <v>46045</v>
      </c>
      <c r="D401" t="inlineStr">
        <is>
          <t>VÄSTMANLANDS LÄN</t>
        </is>
      </c>
      <c r="E401" t="inlineStr">
        <is>
          <t>SALA</t>
        </is>
      </c>
      <c r="G401" t="n">
        <v>2.7</v>
      </c>
      <c r="H401" t="n">
        <v>0</v>
      </c>
      <c r="I401" t="n">
        <v>0</v>
      </c>
      <c r="J401" t="n">
        <v>0</v>
      </c>
      <c r="K401" t="n">
        <v>0</v>
      </c>
      <c r="L401" t="n">
        <v>0</v>
      </c>
      <c r="M401" t="n">
        <v>0</v>
      </c>
      <c r="N401" t="n">
        <v>0</v>
      </c>
      <c r="O401" t="n">
        <v>0</v>
      </c>
      <c r="P401" t="n">
        <v>0</v>
      </c>
      <c r="Q401" t="n">
        <v>0</v>
      </c>
      <c r="R401" s="2" t="inlineStr"/>
    </row>
    <row r="402" ht="15" customHeight="1">
      <c r="A402" t="inlineStr">
        <is>
          <t>A 64724-2023</t>
        </is>
      </c>
      <c r="B402" s="1" t="n">
        <v>45281.7602662037</v>
      </c>
      <c r="C402" s="1" t="n">
        <v>46045</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22370-2025</t>
        </is>
      </c>
      <c r="B403" s="1" t="n">
        <v>45786</v>
      </c>
      <c r="C403" s="1" t="n">
        <v>46045</v>
      </c>
      <c r="D403" t="inlineStr">
        <is>
          <t>VÄSTMANLANDS LÄN</t>
        </is>
      </c>
      <c r="E403" t="inlineStr">
        <is>
          <t>SALA</t>
        </is>
      </c>
      <c r="G403" t="n">
        <v>3.2</v>
      </c>
      <c r="H403" t="n">
        <v>0</v>
      </c>
      <c r="I403" t="n">
        <v>0</v>
      </c>
      <c r="J403" t="n">
        <v>0</v>
      </c>
      <c r="K403" t="n">
        <v>0</v>
      </c>
      <c r="L403" t="n">
        <v>0</v>
      </c>
      <c r="M403" t="n">
        <v>0</v>
      </c>
      <c r="N403" t="n">
        <v>0</v>
      </c>
      <c r="O403" t="n">
        <v>0</v>
      </c>
      <c r="P403" t="n">
        <v>0</v>
      </c>
      <c r="Q403" t="n">
        <v>0</v>
      </c>
      <c r="R403" s="2" t="inlineStr"/>
    </row>
    <row r="404" ht="15" customHeight="1">
      <c r="A404" t="inlineStr">
        <is>
          <t>A 22383-2025</t>
        </is>
      </c>
      <c r="B404" s="1" t="n">
        <v>45786</v>
      </c>
      <c r="C404" s="1" t="n">
        <v>46045</v>
      </c>
      <c r="D404" t="inlineStr">
        <is>
          <t>VÄSTMANLANDS LÄN</t>
        </is>
      </c>
      <c r="E404" t="inlineStr">
        <is>
          <t>SALA</t>
        </is>
      </c>
      <c r="G404" t="n">
        <v>2.2</v>
      </c>
      <c r="H404" t="n">
        <v>0</v>
      </c>
      <c r="I404" t="n">
        <v>0</v>
      </c>
      <c r="J404" t="n">
        <v>0</v>
      </c>
      <c r="K404" t="n">
        <v>0</v>
      </c>
      <c r="L404" t="n">
        <v>0</v>
      </c>
      <c r="M404" t="n">
        <v>0</v>
      </c>
      <c r="N404" t="n">
        <v>0</v>
      </c>
      <c r="O404" t="n">
        <v>0</v>
      </c>
      <c r="P404" t="n">
        <v>0</v>
      </c>
      <c r="Q404" t="n">
        <v>0</v>
      </c>
      <c r="R404" s="2" t="inlineStr"/>
    </row>
    <row r="405" ht="15" customHeight="1">
      <c r="A405" t="inlineStr">
        <is>
          <t>A 43509-2021</t>
        </is>
      </c>
      <c r="B405" s="1" t="n">
        <v>44433</v>
      </c>
      <c r="C405" s="1" t="n">
        <v>46045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7176-2023</t>
        </is>
      </c>
      <c r="B406" s="1" t="n">
        <v>44970</v>
      </c>
      <c r="C406" s="1" t="n">
        <v>46045</v>
      </c>
      <c r="D406" t="inlineStr">
        <is>
          <t>VÄSTMANLANDS LÄN</t>
        </is>
      </c>
      <c r="E406" t="inlineStr">
        <is>
          <t>SALA</t>
        </is>
      </c>
      <c r="G406" t="n">
        <v>1.5</v>
      </c>
      <c r="H406" t="n">
        <v>0</v>
      </c>
      <c r="I406" t="n">
        <v>0</v>
      </c>
      <c r="J406" t="n">
        <v>0</v>
      </c>
      <c r="K406" t="n">
        <v>0</v>
      </c>
      <c r="L406" t="n">
        <v>0</v>
      </c>
      <c r="M406" t="n">
        <v>0</v>
      </c>
      <c r="N406" t="n">
        <v>0</v>
      </c>
      <c r="O406" t="n">
        <v>0</v>
      </c>
      <c r="P406" t="n">
        <v>0</v>
      </c>
      <c r="Q406" t="n">
        <v>0</v>
      </c>
      <c r="R406" s="2" t="inlineStr"/>
    </row>
    <row r="407" ht="15" customHeight="1">
      <c r="A407" t="inlineStr">
        <is>
          <t>A 6312-2025</t>
        </is>
      </c>
      <c r="B407" s="1" t="n">
        <v>45698</v>
      </c>
      <c r="C407" s="1" t="n">
        <v>46045</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22624-2025</t>
        </is>
      </c>
      <c r="B408" s="1" t="n">
        <v>45789.43327546296</v>
      </c>
      <c r="C408" s="1" t="n">
        <v>46045</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55035-2023</t>
        </is>
      </c>
      <c r="B409" s="1" t="n">
        <v>45229</v>
      </c>
      <c r="C409" s="1" t="n">
        <v>46045</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31405-2024</t>
        </is>
      </c>
      <c r="B410" s="1" t="n">
        <v>45505.5490625</v>
      </c>
      <c r="C410" s="1" t="n">
        <v>46045</v>
      </c>
      <c r="D410" t="inlineStr">
        <is>
          <t>VÄSTMANLANDS LÄN</t>
        </is>
      </c>
      <c r="E410" t="inlineStr">
        <is>
          <t>SALA</t>
        </is>
      </c>
      <c r="G410" t="n">
        <v>5.2</v>
      </c>
      <c r="H410" t="n">
        <v>0</v>
      </c>
      <c r="I410" t="n">
        <v>0</v>
      </c>
      <c r="J410" t="n">
        <v>0</v>
      </c>
      <c r="K410" t="n">
        <v>0</v>
      </c>
      <c r="L410" t="n">
        <v>0</v>
      </c>
      <c r="M410" t="n">
        <v>0</v>
      </c>
      <c r="N410" t="n">
        <v>0</v>
      </c>
      <c r="O410" t="n">
        <v>0</v>
      </c>
      <c r="P410" t="n">
        <v>0</v>
      </c>
      <c r="Q410" t="n">
        <v>0</v>
      </c>
      <c r="R410" s="2" t="inlineStr"/>
    </row>
    <row r="411" ht="15" customHeight="1">
      <c r="A411" t="inlineStr">
        <is>
          <t>A 4736-2021</t>
        </is>
      </c>
      <c r="B411" s="1" t="n">
        <v>44225</v>
      </c>
      <c r="C411" s="1" t="n">
        <v>46045</v>
      </c>
      <c r="D411" t="inlineStr">
        <is>
          <t>VÄSTMANLANDS LÄN</t>
        </is>
      </c>
      <c r="E411" t="inlineStr">
        <is>
          <t>SALA</t>
        </is>
      </c>
      <c r="G411" t="n">
        <v>4.2</v>
      </c>
      <c r="H411" t="n">
        <v>0</v>
      </c>
      <c r="I411" t="n">
        <v>0</v>
      </c>
      <c r="J411" t="n">
        <v>0</v>
      </c>
      <c r="K411" t="n">
        <v>0</v>
      </c>
      <c r="L411" t="n">
        <v>0</v>
      </c>
      <c r="M411" t="n">
        <v>0</v>
      </c>
      <c r="N411" t="n">
        <v>0</v>
      </c>
      <c r="O411" t="n">
        <v>0</v>
      </c>
      <c r="P411" t="n">
        <v>0</v>
      </c>
      <c r="Q411" t="n">
        <v>0</v>
      </c>
      <c r="R411" s="2" t="inlineStr"/>
    </row>
    <row r="412" ht="15" customHeight="1">
      <c r="A412" t="inlineStr">
        <is>
          <t>A 48910-2025</t>
        </is>
      </c>
      <c r="B412" s="1" t="n">
        <v>45937.48649305556</v>
      </c>
      <c r="C412" s="1" t="n">
        <v>46045</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22616-2025</t>
        </is>
      </c>
      <c r="B413" s="1" t="n">
        <v>45789.42752314815</v>
      </c>
      <c r="C413" s="1" t="n">
        <v>46045</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43600-2024</t>
        </is>
      </c>
      <c r="B414" s="1" t="n">
        <v>45569</v>
      </c>
      <c r="C414" s="1" t="n">
        <v>46045</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13130-2025</t>
        </is>
      </c>
      <c r="B415" s="1" t="n">
        <v>45734</v>
      </c>
      <c r="C415" s="1" t="n">
        <v>46045</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49640-2025</t>
        </is>
      </c>
      <c r="B416" s="1" t="n">
        <v>45939.61459490741</v>
      </c>
      <c r="C416" s="1" t="n">
        <v>46045</v>
      </c>
      <c r="D416" t="inlineStr">
        <is>
          <t>VÄSTMANLANDS LÄN</t>
        </is>
      </c>
      <c r="E416" t="inlineStr">
        <is>
          <t>SALA</t>
        </is>
      </c>
      <c r="F416" t="inlineStr">
        <is>
          <t>Kommuner</t>
        </is>
      </c>
      <c r="G416" t="n">
        <v>18.8</v>
      </c>
      <c r="H416" t="n">
        <v>0</v>
      </c>
      <c r="I416" t="n">
        <v>0</v>
      </c>
      <c r="J416" t="n">
        <v>0</v>
      </c>
      <c r="K416" t="n">
        <v>0</v>
      </c>
      <c r="L416" t="n">
        <v>0</v>
      </c>
      <c r="M416" t="n">
        <v>0</v>
      </c>
      <c r="N416" t="n">
        <v>0</v>
      </c>
      <c r="O416" t="n">
        <v>0</v>
      </c>
      <c r="P416" t="n">
        <v>0</v>
      </c>
      <c r="Q416" t="n">
        <v>0</v>
      </c>
      <c r="R416" s="2" t="inlineStr"/>
    </row>
    <row r="417" ht="15" customHeight="1">
      <c r="A417" t="inlineStr">
        <is>
          <t>A 49585-2025</t>
        </is>
      </c>
      <c r="B417" s="1" t="n">
        <v>45939.5043287037</v>
      </c>
      <c r="C417" s="1" t="n">
        <v>46045</v>
      </c>
      <c r="D417" t="inlineStr">
        <is>
          <t>VÄSTMANLANDS LÄN</t>
        </is>
      </c>
      <c r="E417" t="inlineStr">
        <is>
          <t>SALA</t>
        </is>
      </c>
      <c r="G417" t="n">
        <v>2.2</v>
      </c>
      <c r="H417" t="n">
        <v>0</v>
      </c>
      <c r="I417" t="n">
        <v>0</v>
      </c>
      <c r="J417" t="n">
        <v>0</v>
      </c>
      <c r="K417" t="n">
        <v>0</v>
      </c>
      <c r="L417" t="n">
        <v>0</v>
      </c>
      <c r="M417" t="n">
        <v>0</v>
      </c>
      <c r="N417" t="n">
        <v>0</v>
      </c>
      <c r="O417" t="n">
        <v>0</v>
      </c>
      <c r="P417" t="n">
        <v>0</v>
      </c>
      <c r="Q417" t="n">
        <v>0</v>
      </c>
      <c r="R417" s="2" t="inlineStr"/>
    </row>
    <row r="418" ht="15" customHeight="1">
      <c r="A418" t="inlineStr">
        <is>
          <t>A 13746-2025</t>
        </is>
      </c>
      <c r="B418" s="1" t="n">
        <v>45737.40944444444</v>
      </c>
      <c r="C418" s="1" t="n">
        <v>46045</v>
      </c>
      <c r="D418" t="inlineStr">
        <is>
          <t>VÄSTMANLANDS LÄN</t>
        </is>
      </c>
      <c r="E418" t="inlineStr">
        <is>
          <t>SALA</t>
        </is>
      </c>
      <c r="G418" t="n">
        <v>2.1</v>
      </c>
      <c r="H418" t="n">
        <v>0</v>
      </c>
      <c r="I418" t="n">
        <v>0</v>
      </c>
      <c r="J418" t="n">
        <v>0</v>
      </c>
      <c r="K418" t="n">
        <v>0</v>
      </c>
      <c r="L418" t="n">
        <v>0</v>
      </c>
      <c r="M418" t="n">
        <v>0</v>
      </c>
      <c r="N418" t="n">
        <v>0</v>
      </c>
      <c r="O418" t="n">
        <v>0</v>
      </c>
      <c r="P418" t="n">
        <v>0</v>
      </c>
      <c r="Q418" t="n">
        <v>0</v>
      </c>
      <c r="R418" s="2" t="inlineStr"/>
    </row>
    <row r="419" ht="15" customHeight="1">
      <c r="A419" t="inlineStr">
        <is>
          <t>A 50128-2025</t>
        </is>
      </c>
      <c r="B419" s="1" t="n">
        <v>45943.55318287037</v>
      </c>
      <c r="C419" s="1" t="n">
        <v>46045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25897-2024</t>
        </is>
      </c>
      <c r="B420" s="1" t="n">
        <v>45467.54435185185</v>
      </c>
      <c r="C420" s="1" t="n">
        <v>46045</v>
      </c>
      <c r="D420" t="inlineStr">
        <is>
          <t>VÄSTMANLANDS LÄN</t>
        </is>
      </c>
      <c r="E420" t="inlineStr">
        <is>
          <t>SALA</t>
        </is>
      </c>
      <c r="G420" t="n">
        <v>9.9</v>
      </c>
      <c r="H420" t="n">
        <v>0</v>
      </c>
      <c r="I420" t="n">
        <v>0</v>
      </c>
      <c r="J420" t="n">
        <v>0</v>
      </c>
      <c r="K420" t="n">
        <v>0</v>
      </c>
      <c r="L420" t="n">
        <v>0</v>
      </c>
      <c r="M420" t="n">
        <v>0</v>
      </c>
      <c r="N420" t="n">
        <v>0</v>
      </c>
      <c r="O420" t="n">
        <v>0</v>
      </c>
      <c r="P420" t="n">
        <v>0</v>
      </c>
      <c r="Q420" t="n">
        <v>0</v>
      </c>
      <c r="R420" s="2" t="inlineStr"/>
    </row>
    <row r="421" ht="15" customHeight="1">
      <c r="A421" t="inlineStr">
        <is>
          <t>A 50249-2025</t>
        </is>
      </c>
      <c r="B421" s="1" t="n">
        <v>45944.31508101852</v>
      </c>
      <c r="C421" s="1" t="n">
        <v>46045</v>
      </c>
      <c r="D421" t="inlineStr">
        <is>
          <t>VÄSTMANLANDS LÄN</t>
        </is>
      </c>
      <c r="E421" t="inlineStr">
        <is>
          <t>SALA</t>
        </is>
      </c>
      <c r="G421" t="n">
        <v>2.3</v>
      </c>
      <c r="H421" t="n">
        <v>0</v>
      </c>
      <c r="I421" t="n">
        <v>0</v>
      </c>
      <c r="J421" t="n">
        <v>0</v>
      </c>
      <c r="K421" t="n">
        <v>0</v>
      </c>
      <c r="L421" t="n">
        <v>0</v>
      </c>
      <c r="M421" t="n">
        <v>0</v>
      </c>
      <c r="N421" t="n">
        <v>0</v>
      </c>
      <c r="O421" t="n">
        <v>0</v>
      </c>
      <c r="P421" t="n">
        <v>0</v>
      </c>
      <c r="Q421" t="n">
        <v>0</v>
      </c>
      <c r="R421" s="2" t="inlineStr"/>
    </row>
    <row r="422" ht="15" customHeight="1">
      <c r="A422" t="inlineStr">
        <is>
          <t>A 50119-2025</t>
        </is>
      </c>
      <c r="B422" s="1" t="n">
        <v>45943.54883101852</v>
      </c>
      <c r="C422" s="1" t="n">
        <v>46045</v>
      </c>
      <c r="D422" t="inlineStr">
        <is>
          <t>VÄSTMANLANDS LÄN</t>
        </is>
      </c>
      <c r="E422" t="inlineStr">
        <is>
          <t>SALA</t>
        </is>
      </c>
      <c r="G422" t="n">
        <v>3.3</v>
      </c>
      <c r="H422" t="n">
        <v>0</v>
      </c>
      <c r="I422" t="n">
        <v>0</v>
      </c>
      <c r="J422" t="n">
        <v>0</v>
      </c>
      <c r="K422" t="n">
        <v>0</v>
      </c>
      <c r="L422" t="n">
        <v>0</v>
      </c>
      <c r="M422" t="n">
        <v>0</v>
      </c>
      <c r="N422" t="n">
        <v>0</v>
      </c>
      <c r="O422" t="n">
        <v>0</v>
      </c>
      <c r="P422" t="n">
        <v>0</v>
      </c>
      <c r="Q422" t="n">
        <v>0</v>
      </c>
      <c r="R422" s="2" t="inlineStr"/>
    </row>
    <row r="423" ht="15" customHeight="1">
      <c r="A423" t="inlineStr">
        <is>
          <t>A 50059-2025</t>
        </is>
      </c>
      <c r="B423" s="1" t="n">
        <v>45943.44125</v>
      </c>
      <c r="C423" s="1" t="n">
        <v>46045</v>
      </c>
      <c r="D423" t="inlineStr">
        <is>
          <t>VÄSTMANLANDS LÄN</t>
        </is>
      </c>
      <c r="E423" t="inlineStr">
        <is>
          <t>SALA</t>
        </is>
      </c>
      <c r="G423" t="n">
        <v>4.4</v>
      </c>
      <c r="H423" t="n">
        <v>0</v>
      </c>
      <c r="I423" t="n">
        <v>0</v>
      </c>
      <c r="J423" t="n">
        <v>0</v>
      </c>
      <c r="K423" t="n">
        <v>0</v>
      </c>
      <c r="L423" t="n">
        <v>0</v>
      </c>
      <c r="M423" t="n">
        <v>0</v>
      </c>
      <c r="N423" t="n">
        <v>0</v>
      </c>
      <c r="O423" t="n">
        <v>0</v>
      </c>
      <c r="P423" t="n">
        <v>0</v>
      </c>
      <c r="Q423" t="n">
        <v>0</v>
      </c>
      <c r="R423" s="2" t="inlineStr"/>
    </row>
    <row r="424" ht="15" customHeight="1">
      <c r="A424" t="inlineStr">
        <is>
          <t>A 23222-2023</t>
        </is>
      </c>
      <c r="B424" s="1" t="n">
        <v>45075</v>
      </c>
      <c r="C424" s="1" t="n">
        <v>46045</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23224-2023</t>
        </is>
      </c>
      <c r="B425" s="1" t="n">
        <v>45075.65040509259</v>
      </c>
      <c r="C425" s="1" t="n">
        <v>46045</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50479-2022</t>
        </is>
      </c>
      <c r="B426" s="1" t="n">
        <v>44861</v>
      </c>
      <c r="C426" s="1" t="n">
        <v>46045</v>
      </c>
      <c r="D426" t="inlineStr">
        <is>
          <t>VÄSTMANLANDS LÄN</t>
        </is>
      </c>
      <c r="E426" t="inlineStr">
        <is>
          <t>SALA</t>
        </is>
      </c>
      <c r="G426" t="n">
        <v>0.9</v>
      </c>
      <c r="H426" t="n">
        <v>0</v>
      </c>
      <c r="I426" t="n">
        <v>0</v>
      </c>
      <c r="J426" t="n">
        <v>0</v>
      </c>
      <c r="K426" t="n">
        <v>0</v>
      </c>
      <c r="L426" t="n">
        <v>0</v>
      </c>
      <c r="M426" t="n">
        <v>0</v>
      </c>
      <c r="N426" t="n">
        <v>0</v>
      </c>
      <c r="O426" t="n">
        <v>0</v>
      </c>
      <c r="P426" t="n">
        <v>0</v>
      </c>
      <c r="Q426" t="n">
        <v>0</v>
      </c>
      <c r="R426" s="2" t="inlineStr"/>
    </row>
    <row r="427" ht="15" customHeight="1">
      <c r="A427" t="inlineStr">
        <is>
          <t>A 24169-2025</t>
        </is>
      </c>
      <c r="B427" s="1" t="n">
        <v>45796</v>
      </c>
      <c r="C427" s="1" t="n">
        <v>46045</v>
      </c>
      <c r="D427" t="inlineStr">
        <is>
          <t>VÄSTMANLANDS LÄN</t>
        </is>
      </c>
      <c r="E427" t="inlineStr">
        <is>
          <t>SALA</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22126-2025</t>
        </is>
      </c>
      <c r="B428" s="1" t="n">
        <v>45785</v>
      </c>
      <c r="C428" s="1" t="n">
        <v>46045</v>
      </c>
      <c r="D428" t="inlineStr">
        <is>
          <t>VÄSTMANLANDS LÄN</t>
        </is>
      </c>
      <c r="E428" t="inlineStr">
        <is>
          <t>SALA</t>
        </is>
      </c>
      <c r="G428" t="n">
        <v>10.6</v>
      </c>
      <c r="H428" t="n">
        <v>0</v>
      </c>
      <c r="I428" t="n">
        <v>0</v>
      </c>
      <c r="J428" t="n">
        <v>0</v>
      </c>
      <c r="K428" t="n">
        <v>0</v>
      </c>
      <c r="L428" t="n">
        <v>0</v>
      </c>
      <c r="M428" t="n">
        <v>0</v>
      </c>
      <c r="N428" t="n">
        <v>0</v>
      </c>
      <c r="O428" t="n">
        <v>0</v>
      </c>
      <c r="P428" t="n">
        <v>0</v>
      </c>
      <c r="Q428" t="n">
        <v>0</v>
      </c>
      <c r="R428" s="2" t="inlineStr"/>
    </row>
    <row r="429" ht="15" customHeight="1">
      <c r="A429" t="inlineStr">
        <is>
          <t>A 23810-2025</t>
        </is>
      </c>
      <c r="B429" s="1" t="n">
        <v>45793.56989583333</v>
      </c>
      <c r="C429" s="1" t="n">
        <v>46045</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24944-2023</t>
        </is>
      </c>
      <c r="B430" s="1" t="n">
        <v>45085</v>
      </c>
      <c r="C430" s="1" t="n">
        <v>46045</v>
      </c>
      <c r="D430" t="inlineStr">
        <is>
          <t>VÄSTMANLANDS LÄN</t>
        </is>
      </c>
      <c r="E430" t="inlineStr">
        <is>
          <t>SALA</t>
        </is>
      </c>
      <c r="G430" t="n">
        <v>3.8</v>
      </c>
      <c r="H430" t="n">
        <v>0</v>
      </c>
      <c r="I430" t="n">
        <v>0</v>
      </c>
      <c r="J430" t="n">
        <v>0</v>
      </c>
      <c r="K430" t="n">
        <v>0</v>
      </c>
      <c r="L430" t="n">
        <v>0</v>
      </c>
      <c r="M430" t="n">
        <v>0</v>
      </c>
      <c r="N430" t="n">
        <v>0</v>
      </c>
      <c r="O430" t="n">
        <v>0</v>
      </c>
      <c r="P430" t="n">
        <v>0</v>
      </c>
      <c r="Q430" t="n">
        <v>0</v>
      </c>
      <c r="R430" s="2" t="inlineStr"/>
    </row>
    <row r="431" ht="15" customHeight="1">
      <c r="A431" t="inlineStr">
        <is>
          <t>A 23804-2025</t>
        </is>
      </c>
      <c r="B431" s="1" t="n">
        <v>45793.55995370371</v>
      </c>
      <c r="C431" s="1" t="n">
        <v>46045</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11210-2025</t>
        </is>
      </c>
      <c r="B432" s="1" t="n">
        <v>45726</v>
      </c>
      <c r="C432" s="1" t="n">
        <v>46045</v>
      </c>
      <c r="D432" t="inlineStr">
        <is>
          <t>VÄSTMANLANDS LÄN</t>
        </is>
      </c>
      <c r="E432" t="inlineStr">
        <is>
          <t>SALA</t>
        </is>
      </c>
      <c r="G432" t="n">
        <v>4.1</v>
      </c>
      <c r="H432" t="n">
        <v>0</v>
      </c>
      <c r="I432" t="n">
        <v>0</v>
      </c>
      <c r="J432" t="n">
        <v>0</v>
      </c>
      <c r="K432" t="n">
        <v>0</v>
      </c>
      <c r="L432" t="n">
        <v>0</v>
      </c>
      <c r="M432" t="n">
        <v>0</v>
      </c>
      <c r="N432" t="n">
        <v>0</v>
      </c>
      <c r="O432" t="n">
        <v>0</v>
      </c>
      <c r="P432" t="n">
        <v>0</v>
      </c>
      <c r="Q432" t="n">
        <v>0</v>
      </c>
      <c r="R432" s="2" t="inlineStr"/>
    </row>
    <row r="433" ht="15" customHeight="1">
      <c r="A433" t="inlineStr">
        <is>
          <t>A 19297-2025</t>
        </is>
      </c>
      <c r="B433" s="1" t="n">
        <v>45769.56261574074</v>
      </c>
      <c r="C433" s="1" t="n">
        <v>46045</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14919-2025</t>
        </is>
      </c>
      <c r="B434" s="1" t="n">
        <v>45743.54256944444</v>
      </c>
      <c r="C434" s="1" t="n">
        <v>46045</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14920-2025</t>
        </is>
      </c>
      <c r="B435" s="1" t="n">
        <v>45743</v>
      </c>
      <c r="C435" s="1" t="n">
        <v>46045</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24460-2025</t>
        </is>
      </c>
      <c r="B436" s="1" t="n">
        <v>45798</v>
      </c>
      <c r="C436" s="1" t="n">
        <v>46045</v>
      </c>
      <c r="D436" t="inlineStr">
        <is>
          <t>VÄSTMANLANDS LÄN</t>
        </is>
      </c>
      <c r="E436" t="inlineStr">
        <is>
          <t>SALA</t>
        </is>
      </c>
      <c r="F436" t="inlineStr">
        <is>
          <t>Bergvik skog öst AB</t>
        </is>
      </c>
      <c r="G436" t="n">
        <v>2.6</v>
      </c>
      <c r="H436" t="n">
        <v>0</v>
      </c>
      <c r="I436" t="n">
        <v>0</v>
      </c>
      <c r="J436" t="n">
        <v>0</v>
      </c>
      <c r="K436" t="n">
        <v>0</v>
      </c>
      <c r="L436" t="n">
        <v>0</v>
      </c>
      <c r="M436" t="n">
        <v>0</v>
      </c>
      <c r="N436" t="n">
        <v>0</v>
      </c>
      <c r="O436" t="n">
        <v>0</v>
      </c>
      <c r="P436" t="n">
        <v>0</v>
      </c>
      <c r="Q436" t="n">
        <v>0</v>
      </c>
      <c r="R436" s="2" t="inlineStr"/>
    </row>
    <row r="437" ht="15" customHeight="1">
      <c r="A437" t="inlineStr">
        <is>
          <t>A 13855-2023</t>
        </is>
      </c>
      <c r="B437" s="1" t="n">
        <v>45007</v>
      </c>
      <c r="C437" s="1" t="n">
        <v>46045</v>
      </c>
      <c r="D437" t="inlineStr">
        <is>
          <t>VÄSTMANLANDS LÄN</t>
        </is>
      </c>
      <c r="E437" t="inlineStr">
        <is>
          <t>SALA</t>
        </is>
      </c>
      <c r="G437" t="n">
        <v>2.9</v>
      </c>
      <c r="H437" t="n">
        <v>0</v>
      </c>
      <c r="I437" t="n">
        <v>0</v>
      </c>
      <c r="J437" t="n">
        <v>0</v>
      </c>
      <c r="K437" t="n">
        <v>0</v>
      </c>
      <c r="L437" t="n">
        <v>0</v>
      </c>
      <c r="M437" t="n">
        <v>0</v>
      </c>
      <c r="N437" t="n">
        <v>0</v>
      </c>
      <c r="O437" t="n">
        <v>0</v>
      </c>
      <c r="P437" t="n">
        <v>0</v>
      </c>
      <c r="Q437" t="n">
        <v>0</v>
      </c>
      <c r="R437" s="2" t="inlineStr"/>
    </row>
    <row r="438" ht="15" customHeight="1">
      <c r="A438" t="inlineStr">
        <is>
          <t>A 51626-2025</t>
        </is>
      </c>
      <c r="B438" s="1" t="n">
        <v>45951.41769675926</v>
      </c>
      <c r="C438" s="1" t="n">
        <v>46045</v>
      </c>
      <c r="D438" t="inlineStr">
        <is>
          <t>VÄSTMANLANDS LÄN</t>
        </is>
      </c>
      <c r="E438" t="inlineStr">
        <is>
          <t>SALA</t>
        </is>
      </c>
      <c r="G438" t="n">
        <v>2.6</v>
      </c>
      <c r="H438" t="n">
        <v>0</v>
      </c>
      <c r="I438" t="n">
        <v>0</v>
      </c>
      <c r="J438" t="n">
        <v>0</v>
      </c>
      <c r="K438" t="n">
        <v>0</v>
      </c>
      <c r="L438" t="n">
        <v>0</v>
      </c>
      <c r="M438" t="n">
        <v>0</v>
      </c>
      <c r="N438" t="n">
        <v>0</v>
      </c>
      <c r="O438" t="n">
        <v>0</v>
      </c>
      <c r="P438" t="n">
        <v>0</v>
      </c>
      <c r="Q438" t="n">
        <v>0</v>
      </c>
      <c r="R438" s="2" t="inlineStr"/>
    </row>
    <row r="439" ht="15" customHeight="1">
      <c r="A439" t="inlineStr">
        <is>
          <t>A 51690-2025</t>
        </is>
      </c>
      <c r="B439" s="1" t="n">
        <v>45951.53462962963</v>
      </c>
      <c r="C439" s="1" t="n">
        <v>46045</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51809-2025</t>
        </is>
      </c>
      <c r="B440" s="1" t="n">
        <v>45951.80116898148</v>
      </c>
      <c r="C440" s="1" t="n">
        <v>46045</v>
      </c>
      <c r="D440" t="inlineStr">
        <is>
          <t>VÄSTMANLANDS LÄN</t>
        </is>
      </c>
      <c r="E440" t="inlineStr">
        <is>
          <t>SALA</t>
        </is>
      </c>
      <c r="F440" t="inlineStr">
        <is>
          <t>Kommuner</t>
        </is>
      </c>
      <c r="G440" t="n">
        <v>3.5</v>
      </c>
      <c r="H440" t="n">
        <v>0</v>
      </c>
      <c r="I440" t="n">
        <v>0</v>
      </c>
      <c r="J440" t="n">
        <v>0</v>
      </c>
      <c r="K440" t="n">
        <v>0</v>
      </c>
      <c r="L440" t="n">
        <v>0</v>
      </c>
      <c r="M440" t="n">
        <v>0</v>
      </c>
      <c r="N440" t="n">
        <v>0</v>
      </c>
      <c r="O440" t="n">
        <v>0</v>
      </c>
      <c r="P440" t="n">
        <v>0</v>
      </c>
      <c r="Q440" t="n">
        <v>0</v>
      </c>
      <c r="R440" s="2" t="inlineStr"/>
    </row>
    <row r="441" ht="15" customHeight="1">
      <c r="A441" t="inlineStr">
        <is>
          <t>A 55065-2024</t>
        </is>
      </c>
      <c r="B441" s="1" t="n">
        <v>45618</v>
      </c>
      <c r="C441" s="1" t="n">
        <v>46045</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24463-2025</t>
        </is>
      </c>
      <c r="B442" s="1" t="n">
        <v>45798</v>
      </c>
      <c r="C442" s="1" t="n">
        <v>46045</v>
      </c>
      <c r="D442" t="inlineStr">
        <is>
          <t>VÄSTMANLANDS LÄN</t>
        </is>
      </c>
      <c r="E442" t="inlineStr">
        <is>
          <t>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51803-2025</t>
        </is>
      </c>
      <c r="B443" s="1" t="n">
        <v>45951.76818287037</v>
      </c>
      <c r="C443" s="1" t="n">
        <v>46045</v>
      </c>
      <c r="D443" t="inlineStr">
        <is>
          <t>VÄSTMANLANDS LÄN</t>
        </is>
      </c>
      <c r="E443" t="inlineStr">
        <is>
          <t>SALA</t>
        </is>
      </c>
      <c r="F443" t="inlineStr">
        <is>
          <t>Kommuner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51805-2025</t>
        </is>
      </c>
      <c r="B444" s="1" t="n">
        <v>45951.78359953704</v>
      </c>
      <c r="C444" s="1" t="n">
        <v>46045</v>
      </c>
      <c r="D444" t="inlineStr">
        <is>
          <t>VÄSTMANLANDS LÄN</t>
        </is>
      </c>
      <c r="E444" t="inlineStr">
        <is>
          <t>SALA</t>
        </is>
      </c>
      <c r="F444" t="inlineStr">
        <is>
          <t>Kommuner</t>
        </is>
      </c>
      <c r="G444" t="n">
        <v>1.3</v>
      </c>
      <c r="H444" t="n">
        <v>0</v>
      </c>
      <c r="I444" t="n">
        <v>0</v>
      </c>
      <c r="J444" t="n">
        <v>0</v>
      </c>
      <c r="K444" t="n">
        <v>0</v>
      </c>
      <c r="L444" t="n">
        <v>0</v>
      </c>
      <c r="M444" t="n">
        <v>0</v>
      </c>
      <c r="N444" t="n">
        <v>0</v>
      </c>
      <c r="O444" t="n">
        <v>0</v>
      </c>
      <c r="P444" t="n">
        <v>0</v>
      </c>
      <c r="Q444" t="n">
        <v>0</v>
      </c>
      <c r="R444" s="2" t="inlineStr"/>
    </row>
    <row r="445" ht="15" customHeight="1">
      <c r="A445" t="inlineStr">
        <is>
          <t>A 51804-2025</t>
        </is>
      </c>
      <c r="B445" s="1" t="n">
        <v>45951.77697916667</v>
      </c>
      <c r="C445" s="1" t="n">
        <v>46045</v>
      </c>
      <c r="D445" t="inlineStr">
        <is>
          <t>VÄSTMANLANDS LÄN</t>
        </is>
      </c>
      <c r="E445" t="inlineStr">
        <is>
          <t>SALA</t>
        </is>
      </c>
      <c r="F445" t="inlineStr">
        <is>
          <t>Kommuner</t>
        </is>
      </c>
      <c r="G445" t="n">
        <v>2</v>
      </c>
      <c r="H445" t="n">
        <v>0</v>
      </c>
      <c r="I445" t="n">
        <v>0</v>
      </c>
      <c r="J445" t="n">
        <v>0</v>
      </c>
      <c r="K445" t="n">
        <v>0</v>
      </c>
      <c r="L445" t="n">
        <v>0</v>
      </c>
      <c r="M445" t="n">
        <v>0</v>
      </c>
      <c r="N445" t="n">
        <v>0</v>
      </c>
      <c r="O445" t="n">
        <v>0</v>
      </c>
      <c r="P445" t="n">
        <v>0</v>
      </c>
      <c r="Q445" t="n">
        <v>0</v>
      </c>
      <c r="R445" s="2" t="inlineStr"/>
    </row>
    <row r="446" ht="15" customHeight="1">
      <c r="A446" t="inlineStr">
        <is>
          <t>A 51808-2025</t>
        </is>
      </c>
      <c r="B446" s="1" t="n">
        <v>45951.79302083333</v>
      </c>
      <c r="C446" s="1" t="n">
        <v>46045</v>
      </c>
      <c r="D446" t="inlineStr">
        <is>
          <t>VÄSTMANLANDS LÄN</t>
        </is>
      </c>
      <c r="E446" t="inlineStr">
        <is>
          <t>SALA</t>
        </is>
      </c>
      <c r="F446" t="inlineStr">
        <is>
          <t>Kommuner</t>
        </is>
      </c>
      <c r="G446" t="n">
        <v>3</v>
      </c>
      <c r="H446" t="n">
        <v>0</v>
      </c>
      <c r="I446" t="n">
        <v>0</v>
      </c>
      <c r="J446" t="n">
        <v>0</v>
      </c>
      <c r="K446" t="n">
        <v>0</v>
      </c>
      <c r="L446" t="n">
        <v>0</v>
      </c>
      <c r="M446" t="n">
        <v>0</v>
      </c>
      <c r="N446" t="n">
        <v>0</v>
      </c>
      <c r="O446" t="n">
        <v>0</v>
      </c>
      <c r="P446" t="n">
        <v>0</v>
      </c>
      <c r="Q446" t="n">
        <v>0</v>
      </c>
      <c r="R446" s="2" t="inlineStr"/>
    </row>
    <row r="447" ht="15" customHeight="1">
      <c r="A447" t="inlineStr">
        <is>
          <t>A 51764-2025</t>
        </is>
      </c>
      <c r="B447" s="1" t="n">
        <v>45951.63636574074</v>
      </c>
      <c r="C447" s="1" t="n">
        <v>46045</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18877-2023</t>
        </is>
      </c>
      <c r="B448" s="1" t="n">
        <v>45044</v>
      </c>
      <c r="C448" s="1" t="n">
        <v>46045</v>
      </c>
      <c r="D448" t="inlineStr">
        <is>
          <t>VÄSTMANLANDS LÄN</t>
        </is>
      </c>
      <c r="E448" t="inlineStr">
        <is>
          <t>SALA</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55556-2023</t>
        </is>
      </c>
      <c r="B449" s="1" t="n">
        <v>45232</v>
      </c>
      <c r="C449" s="1" t="n">
        <v>46045</v>
      </c>
      <c r="D449" t="inlineStr">
        <is>
          <t>VÄSTMANLANDS LÄN</t>
        </is>
      </c>
      <c r="E449" t="inlineStr">
        <is>
          <t>SALA</t>
        </is>
      </c>
      <c r="G449" t="n">
        <v>1.3</v>
      </c>
      <c r="H449" t="n">
        <v>0</v>
      </c>
      <c r="I449" t="n">
        <v>0</v>
      </c>
      <c r="J449" t="n">
        <v>0</v>
      </c>
      <c r="K449" t="n">
        <v>0</v>
      </c>
      <c r="L449" t="n">
        <v>0</v>
      </c>
      <c r="M449" t="n">
        <v>0</v>
      </c>
      <c r="N449" t="n">
        <v>0</v>
      </c>
      <c r="O449" t="n">
        <v>0</v>
      </c>
      <c r="P449" t="n">
        <v>0</v>
      </c>
      <c r="Q449" t="n">
        <v>0</v>
      </c>
      <c r="R449" s="2" t="inlineStr"/>
    </row>
    <row r="450" ht="15" customHeight="1">
      <c r="A450" t="inlineStr">
        <is>
          <t>A 34494-2023</t>
        </is>
      </c>
      <c r="B450" s="1" t="n">
        <v>45133</v>
      </c>
      <c r="C450" s="1" t="n">
        <v>46045</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24907-2025</t>
        </is>
      </c>
      <c r="B451" s="1" t="n">
        <v>45799</v>
      </c>
      <c r="C451" s="1" t="n">
        <v>46045</v>
      </c>
      <c r="D451" t="inlineStr">
        <is>
          <t>VÄSTMANLANDS LÄN</t>
        </is>
      </c>
      <c r="E451" t="inlineStr">
        <is>
          <t>SALA</t>
        </is>
      </c>
      <c r="G451" t="n">
        <v>3.5</v>
      </c>
      <c r="H451" t="n">
        <v>0</v>
      </c>
      <c r="I451" t="n">
        <v>0</v>
      </c>
      <c r="J451" t="n">
        <v>0</v>
      </c>
      <c r="K451" t="n">
        <v>0</v>
      </c>
      <c r="L451" t="n">
        <v>0</v>
      </c>
      <c r="M451" t="n">
        <v>0</v>
      </c>
      <c r="N451" t="n">
        <v>0</v>
      </c>
      <c r="O451" t="n">
        <v>0</v>
      </c>
      <c r="P451" t="n">
        <v>0</v>
      </c>
      <c r="Q451" t="n">
        <v>0</v>
      </c>
      <c r="R451" s="2" t="inlineStr"/>
    </row>
    <row r="452" ht="15" customHeight="1">
      <c r="A452" t="inlineStr">
        <is>
          <t>A 24910-2025</t>
        </is>
      </c>
      <c r="B452" s="1" t="n">
        <v>45799.53775462963</v>
      </c>
      <c r="C452" s="1" t="n">
        <v>46045</v>
      </c>
      <c r="D452" t="inlineStr">
        <is>
          <t>VÄSTMANLANDS LÄN</t>
        </is>
      </c>
      <c r="E452" t="inlineStr">
        <is>
          <t>SALA</t>
        </is>
      </c>
      <c r="G452" t="n">
        <v>3.5</v>
      </c>
      <c r="H452" t="n">
        <v>0</v>
      </c>
      <c r="I452" t="n">
        <v>0</v>
      </c>
      <c r="J452" t="n">
        <v>0</v>
      </c>
      <c r="K452" t="n">
        <v>0</v>
      </c>
      <c r="L452" t="n">
        <v>0</v>
      </c>
      <c r="M452" t="n">
        <v>0</v>
      </c>
      <c r="N452" t="n">
        <v>0</v>
      </c>
      <c r="O452" t="n">
        <v>0</v>
      </c>
      <c r="P452" t="n">
        <v>0</v>
      </c>
      <c r="Q452" t="n">
        <v>0</v>
      </c>
      <c r="R452" s="2" t="inlineStr"/>
    </row>
    <row r="453" ht="15" customHeight="1">
      <c r="A453" t="inlineStr">
        <is>
          <t>A 13752-2025</t>
        </is>
      </c>
      <c r="B453" s="1" t="n">
        <v>45737.41416666667</v>
      </c>
      <c r="C453" s="1" t="n">
        <v>46045</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10909-2024</t>
        </is>
      </c>
      <c r="B454" s="1" t="n">
        <v>45370</v>
      </c>
      <c r="C454" s="1" t="n">
        <v>46045</v>
      </c>
      <c r="D454" t="inlineStr">
        <is>
          <t>VÄSTMANLANDS LÄN</t>
        </is>
      </c>
      <c r="E454" t="inlineStr">
        <is>
          <t>SALA</t>
        </is>
      </c>
      <c r="G454" t="n">
        <v>3.3</v>
      </c>
      <c r="H454" t="n">
        <v>0</v>
      </c>
      <c r="I454" t="n">
        <v>0</v>
      </c>
      <c r="J454" t="n">
        <v>0</v>
      </c>
      <c r="K454" t="n">
        <v>0</v>
      </c>
      <c r="L454" t="n">
        <v>0</v>
      </c>
      <c r="M454" t="n">
        <v>0</v>
      </c>
      <c r="N454" t="n">
        <v>0</v>
      </c>
      <c r="O454" t="n">
        <v>0</v>
      </c>
      <c r="P454" t="n">
        <v>0</v>
      </c>
      <c r="Q454" t="n">
        <v>0</v>
      </c>
      <c r="R454" s="2" t="inlineStr"/>
    </row>
    <row r="455" ht="15" customHeight="1">
      <c r="A455" t="inlineStr">
        <is>
          <t>A 53744-2025</t>
        </is>
      </c>
      <c r="B455" s="1" t="n">
        <v>45960.64863425926</v>
      </c>
      <c r="C455" s="1" t="n">
        <v>46045</v>
      </c>
      <c r="D455" t="inlineStr">
        <is>
          <t>VÄSTMANLANDS LÄN</t>
        </is>
      </c>
      <c r="E455" t="inlineStr">
        <is>
          <t>SALA</t>
        </is>
      </c>
      <c r="G455" t="n">
        <v>2</v>
      </c>
      <c r="H455" t="n">
        <v>0</v>
      </c>
      <c r="I455" t="n">
        <v>0</v>
      </c>
      <c r="J455" t="n">
        <v>0</v>
      </c>
      <c r="K455" t="n">
        <v>0</v>
      </c>
      <c r="L455" t="n">
        <v>0</v>
      </c>
      <c r="M455" t="n">
        <v>0</v>
      </c>
      <c r="N455" t="n">
        <v>0</v>
      </c>
      <c r="O455" t="n">
        <v>0</v>
      </c>
      <c r="P455" t="n">
        <v>0</v>
      </c>
      <c r="Q455" t="n">
        <v>0</v>
      </c>
      <c r="R455" s="2" t="inlineStr"/>
    </row>
    <row r="456" ht="15" customHeight="1">
      <c r="A456" t="inlineStr">
        <is>
          <t>A 53725-2025</t>
        </is>
      </c>
      <c r="B456" s="1" t="n">
        <v>45960.63394675926</v>
      </c>
      <c r="C456" s="1" t="n">
        <v>46045</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19398-2025</t>
        </is>
      </c>
      <c r="B457" s="1" t="n">
        <v>45769</v>
      </c>
      <c r="C457" s="1" t="n">
        <v>46045</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53724-2025</t>
        </is>
      </c>
      <c r="B458" s="1" t="n">
        <v>45960.63174768518</v>
      </c>
      <c r="C458" s="1" t="n">
        <v>46045</v>
      </c>
      <c r="D458" t="inlineStr">
        <is>
          <t>VÄSTMANLANDS LÄN</t>
        </is>
      </c>
      <c r="E458" t="inlineStr">
        <is>
          <t>SALA</t>
        </is>
      </c>
      <c r="G458" t="n">
        <v>2.8</v>
      </c>
      <c r="H458" t="n">
        <v>0</v>
      </c>
      <c r="I458" t="n">
        <v>0</v>
      </c>
      <c r="J458" t="n">
        <v>0</v>
      </c>
      <c r="K458" t="n">
        <v>0</v>
      </c>
      <c r="L458" t="n">
        <v>0</v>
      </c>
      <c r="M458" t="n">
        <v>0</v>
      </c>
      <c r="N458" t="n">
        <v>0</v>
      </c>
      <c r="O458" t="n">
        <v>0</v>
      </c>
      <c r="P458" t="n">
        <v>0</v>
      </c>
      <c r="Q458" t="n">
        <v>0</v>
      </c>
      <c r="R458" s="2" t="inlineStr"/>
    </row>
    <row r="459" ht="15" customHeight="1">
      <c r="A459" t="inlineStr">
        <is>
          <t>A 22921-2023</t>
        </is>
      </c>
      <c r="B459" s="1" t="n">
        <v>45070</v>
      </c>
      <c r="C459" s="1" t="n">
        <v>46045</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38636-2024</t>
        </is>
      </c>
      <c r="B460" s="1" t="n">
        <v>45546</v>
      </c>
      <c r="C460" s="1" t="n">
        <v>46045</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16133-2025</t>
        </is>
      </c>
      <c r="B461" s="1" t="n">
        <v>45750</v>
      </c>
      <c r="C461" s="1" t="n">
        <v>46045</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54201-2025</t>
        </is>
      </c>
      <c r="B462" s="1" t="n">
        <v>45964.58055555556</v>
      </c>
      <c r="C462" s="1" t="n">
        <v>46045</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6127-2025</t>
        </is>
      </c>
      <c r="B463" s="1" t="n">
        <v>45698</v>
      </c>
      <c r="C463" s="1" t="n">
        <v>46045</v>
      </c>
      <c r="D463" t="inlineStr">
        <is>
          <t>VÄSTMANLANDS LÄN</t>
        </is>
      </c>
      <c r="E463" t="inlineStr">
        <is>
          <t>SALA</t>
        </is>
      </c>
      <c r="F463" t="inlineStr">
        <is>
          <t>Bergvik skog öst AB</t>
        </is>
      </c>
      <c r="G463" t="n">
        <v>4.3</v>
      </c>
      <c r="H463" t="n">
        <v>0</v>
      </c>
      <c r="I463" t="n">
        <v>0</v>
      </c>
      <c r="J463" t="n">
        <v>0</v>
      </c>
      <c r="K463" t="n">
        <v>0</v>
      </c>
      <c r="L463" t="n">
        <v>0</v>
      </c>
      <c r="M463" t="n">
        <v>0</v>
      </c>
      <c r="N463" t="n">
        <v>0</v>
      </c>
      <c r="O463" t="n">
        <v>0</v>
      </c>
      <c r="P463" t="n">
        <v>0</v>
      </c>
      <c r="Q463" t="n">
        <v>0</v>
      </c>
      <c r="R463" s="2" t="inlineStr"/>
    </row>
    <row r="464" ht="15" customHeight="1">
      <c r="A464" t="inlineStr">
        <is>
          <t>A 15272-2025</t>
        </is>
      </c>
      <c r="B464" s="1" t="n">
        <v>45744</v>
      </c>
      <c r="C464" s="1" t="n">
        <v>46045</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24248-2023</t>
        </is>
      </c>
      <c r="B465" s="1" t="n">
        <v>45079</v>
      </c>
      <c r="C465" s="1" t="n">
        <v>46045</v>
      </c>
      <c r="D465" t="inlineStr">
        <is>
          <t>VÄSTMANLANDS LÄN</t>
        </is>
      </c>
      <c r="E465" t="inlineStr">
        <is>
          <t>SALA</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54344-2025</t>
        </is>
      </c>
      <c r="B466" s="1" t="n">
        <v>45965.36462962963</v>
      </c>
      <c r="C466" s="1" t="n">
        <v>46045</v>
      </c>
      <c r="D466" t="inlineStr">
        <is>
          <t>VÄSTMANLANDS LÄN</t>
        </is>
      </c>
      <c r="E466" t="inlineStr">
        <is>
          <t>SALA</t>
        </is>
      </c>
      <c r="G466" t="n">
        <v>2</v>
      </c>
      <c r="H466" t="n">
        <v>0</v>
      </c>
      <c r="I466" t="n">
        <v>0</v>
      </c>
      <c r="J466" t="n">
        <v>0</v>
      </c>
      <c r="K466" t="n">
        <v>0</v>
      </c>
      <c r="L466" t="n">
        <v>0</v>
      </c>
      <c r="M466" t="n">
        <v>0</v>
      </c>
      <c r="N466" t="n">
        <v>0</v>
      </c>
      <c r="O466" t="n">
        <v>0</v>
      </c>
      <c r="P466" t="n">
        <v>0</v>
      </c>
      <c r="Q466" t="n">
        <v>0</v>
      </c>
      <c r="R466" s="2" t="inlineStr"/>
    </row>
    <row r="467" ht="15" customHeight="1">
      <c r="A467" t="inlineStr">
        <is>
          <t>A 26661-2025</t>
        </is>
      </c>
      <c r="B467" s="1" t="n">
        <v>45810</v>
      </c>
      <c r="C467" s="1" t="n">
        <v>46045</v>
      </c>
      <c r="D467" t="inlineStr">
        <is>
          <t>VÄSTMANLANDS LÄN</t>
        </is>
      </c>
      <c r="E467" t="inlineStr">
        <is>
          <t>SALA</t>
        </is>
      </c>
      <c r="G467" t="n">
        <v>3.5</v>
      </c>
      <c r="H467" t="n">
        <v>0</v>
      </c>
      <c r="I467" t="n">
        <v>0</v>
      </c>
      <c r="J467" t="n">
        <v>0</v>
      </c>
      <c r="K467" t="n">
        <v>0</v>
      </c>
      <c r="L467" t="n">
        <v>0</v>
      </c>
      <c r="M467" t="n">
        <v>0</v>
      </c>
      <c r="N467" t="n">
        <v>0</v>
      </c>
      <c r="O467" t="n">
        <v>0</v>
      </c>
      <c r="P467" t="n">
        <v>0</v>
      </c>
      <c r="Q467" t="n">
        <v>0</v>
      </c>
      <c r="R467" s="2" t="inlineStr"/>
    </row>
    <row r="468" ht="15" customHeight="1">
      <c r="A468" t="inlineStr">
        <is>
          <t>A 38195-2021</t>
        </is>
      </c>
      <c r="B468" s="1" t="n">
        <v>44405</v>
      </c>
      <c r="C468" s="1" t="n">
        <v>46045</v>
      </c>
      <c r="D468" t="inlineStr">
        <is>
          <t>VÄSTMANLANDS LÄN</t>
        </is>
      </c>
      <c r="E468" t="inlineStr">
        <is>
          <t>SALA</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27228-2023</t>
        </is>
      </c>
      <c r="B469" s="1" t="n">
        <v>45096.59189814814</v>
      </c>
      <c r="C469" s="1" t="n">
        <v>46045</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62523-2025</t>
        </is>
      </c>
      <c r="B470" s="1" t="n">
        <v>46007.61512731481</v>
      </c>
      <c r="C470" s="1" t="n">
        <v>46045</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54590-2025</t>
        </is>
      </c>
      <c r="B471" s="1" t="n">
        <v>45965.74199074074</v>
      </c>
      <c r="C471" s="1" t="n">
        <v>46045</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53838-2022</t>
        </is>
      </c>
      <c r="B472" s="1" t="n">
        <v>44880.59363425926</v>
      </c>
      <c r="C472" s="1" t="n">
        <v>46045</v>
      </c>
      <c r="D472" t="inlineStr">
        <is>
          <t>VÄSTMANLANDS LÄN</t>
        </is>
      </c>
      <c r="E472" t="inlineStr">
        <is>
          <t>SALA</t>
        </is>
      </c>
      <c r="G472" t="n">
        <v>3.9</v>
      </c>
      <c r="H472" t="n">
        <v>0</v>
      </c>
      <c r="I472" t="n">
        <v>0</v>
      </c>
      <c r="J472" t="n">
        <v>0</v>
      </c>
      <c r="K472" t="n">
        <v>0</v>
      </c>
      <c r="L472" t="n">
        <v>0</v>
      </c>
      <c r="M472" t="n">
        <v>0</v>
      </c>
      <c r="N472" t="n">
        <v>0</v>
      </c>
      <c r="O472" t="n">
        <v>0</v>
      </c>
      <c r="P472" t="n">
        <v>0</v>
      </c>
      <c r="Q472" t="n">
        <v>0</v>
      </c>
      <c r="R472" s="2" t="inlineStr"/>
    </row>
    <row r="473" ht="15" customHeight="1">
      <c r="A473" t="inlineStr">
        <is>
          <t>A 63046-2025</t>
        </is>
      </c>
      <c r="B473" s="1" t="n">
        <v>46009.62373842593</v>
      </c>
      <c r="C473" s="1" t="n">
        <v>46045</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28193-2025</t>
        </is>
      </c>
      <c r="B474" s="1" t="n">
        <v>45818.425625</v>
      </c>
      <c r="C474" s="1" t="n">
        <v>46045</v>
      </c>
      <c r="D474" t="inlineStr">
        <is>
          <t>VÄSTMANLANDS LÄN</t>
        </is>
      </c>
      <c r="E474" t="inlineStr">
        <is>
          <t>SALA</t>
        </is>
      </c>
      <c r="G474" t="n">
        <v>1.8</v>
      </c>
      <c r="H474" t="n">
        <v>0</v>
      </c>
      <c r="I474" t="n">
        <v>0</v>
      </c>
      <c r="J474" t="n">
        <v>0</v>
      </c>
      <c r="K474" t="n">
        <v>0</v>
      </c>
      <c r="L474" t="n">
        <v>0</v>
      </c>
      <c r="M474" t="n">
        <v>0</v>
      </c>
      <c r="N474" t="n">
        <v>0</v>
      </c>
      <c r="O474" t="n">
        <v>0</v>
      </c>
      <c r="P474" t="n">
        <v>0</v>
      </c>
      <c r="Q474" t="n">
        <v>0</v>
      </c>
      <c r="R474" s="2" t="inlineStr"/>
    </row>
    <row r="475" ht="15" customHeight="1">
      <c r="A475" t="inlineStr">
        <is>
          <t>A 27981-2025</t>
        </is>
      </c>
      <c r="B475" s="1" t="n">
        <v>45817.57471064815</v>
      </c>
      <c r="C475" s="1" t="n">
        <v>46045</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54893-2025</t>
        </is>
      </c>
      <c r="B476" s="1" t="n">
        <v>45967.36383101852</v>
      </c>
      <c r="C476" s="1" t="n">
        <v>46045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28278-2025</t>
        </is>
      </c>
      <c r="B477" s="1" t="n">
        <v>45818.58454861111</v>
      </c>
      <c r="C477" s="1" t="n">
        <v>46045</v>
      </c>
      <c r="D477" t="inlineStr">
        <is>
          <t>VÄSTMANLANDS LÄN</t>
        </is>
      </c>
      <c r="E477" t="inlineStr">
        <is>
          <t>SALA</t>
        </is>
      </c>
      <c r="G477" t="n">
        <v>7.6</v>
      </c>
      <c r="H477" t="n">
        <v>0</v>
      </c>
      <c r="I477" t="n">
        <v>0</v>
      </c>
      <c r="J477" t="n">
        <v>0</v>
      </c>
      <c r="K477" t="n">
        <v>0</v>
      </c>
      <c r="L477" t="n">
        <v>0</v>
      </c>
      <c r="M477" t="n">
        <v>0</v>
      </c>
      <c r="N477" t="n">
        <v>0</v>
      </c>
      <c r="O477" t="n">
        <v>0</v>
      </c>
      <c r="P477" t="n">
        <v>0</v>
      </c>
      <c r="Q477" t="n">
        <v>0</v>
      </c>
      <c r="R477" s="2" t="inlineStr"/>
    </row>
    <row r="478" ht="15" customHeight="1">
      <c r="A478" t="inlineStr">
        <is>
          <t>A 63051-2025</t>
        </is>
      </c>
      <c r="B478" s="1" t="n">
        <v>46009.63134259259</v>
      </c>
      <c r="C478" s="1" t="n">
        <v>46045</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63055-2025</t>
        </is>
      </c>
      <c r="B479" s="1" t="n">
        <v>46009.63619212963</v>
      </c>
      <c r="C479" s="1" t="n">
        <v>46045</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25260-2023</t>
        </is>
      </c>
      <c r="B480" s="1" t="n">
        <v>45086</v>
      </c>
      <c r="C480" s="1" t="n">
        <v>46045</v>
      </c>
      <c r="D480" t="inlineStr">
        <is>
          <t>VÄSTMANLANDS LÄN</t>
        </is>
      </c>
      <c r="E480" t="inlineStr">
        <is>
          <t>SALA</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63353-2025</t>
        </is>
      </c>
      <c r="B481" s="1" t="n">
        <v>46010.66670138889</v>
      </c>
      <c r="C481" s="1" t="n">
        <v>46045</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27989-2025</t>
        </is>
      </c>
      <c r="B482" s="1" t="n">
        <v>45817.58716435185</v>
      </c>
      <c r="C482" s="1" t="n">
        <v>46045</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28284-2025</t>
        </is>
      </c>
      <c r="B483" s="1" t="n">
        <v>45818.58893518519</v>
      </c>
      <c r="C483" s="1" t="n">
        <v>46045</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19033-2025</t>
        </is>
      </c>
      <c r="B484" s="1" t="n">
        <v>45764.65796296296</v>
      </c>
      <c r="C484" s="1" t="n">
        <v>46045</v>
      </c>
      <c r="D484" t="inlineStr">
        <is>
          <t>VÄSTMANLANDS LÄN</t>
        </is>
      </c>
      <c r="E484" t="inlineStr">
        <is>
          <t>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28632-2025</t>
        </is>
      </c>
      <c r="B485" s="1" t="n">
        <v>45819.62344907408</v>
      </c>
      <c r="C485" s="1" t="n">
        <v>46045</v>
      </c>
      <c r="D485" t="inlineStr">
        <is>
          <t>VÄSTMANLANDS LÄN</t>
        </is>
      </c>
      <c r="E485" t="inlineStr">
        <is>
          <t>SALA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16769-2024</t>
        </is>
      </c>
      <c r="B486" s="1" t="n">
        <v>45411.38738425926</v>
      </c>
      <c r="C486" s="1" t="n">
        <v>46045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28628-2025</t>
        </is>
      </c>
      <c r="B487" s="1" t="n">
        <v>45819.62158564815</v>
      </c>
      <c r="C487" s="1" t="n">
        <v>46045</v>
      </c>
      <c r="D487" t="inlineStr">
        <is>
          <t>VÄSTMANLANDS LÄN</t>
        </is>
      </c>
      <c r="E487" t="inlineStr">
        <is>
          <t>SALA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28630-2025</t>
        </is>
      </c>
      <c r="B488" s="1" t="n">
        <v>45819.62274305556</v>
      </c>
      <c r="C488" s="1" t="n">
        <v>46045</v>
      </c>
      <c r="D488" t="inlineStr">
        <is>
          <t>VÄSTMANLANDS LÄN</t>
        </is>
      </c>
      <c r="E488" t="inlineStr">
        <is>
          <t>SALA</t>
        </is>
      </c>
      <c r="F488" t="inlineStr">
        <is>
          <t>Sveaskog</t>
        </is>
      </c>
      <c r="G488" t="n">
        <v>9</v>
      </c>
      <c r="H488" t="n">
        <v>0</v>
      </c>
      <c r="I488" t="n">
        <v>0</v>
      </c>
      <c r="J488" t="n">
        <v>0</v>
      </c>
      <c r="K488" t="n">
        <v>0</v>
      </c>
      <c r="L488" t="n">
        <v>0</v>
      </c>
      <c r="M488" t="n">
        <v>0</v>
      </c>
      <c r="N488" t="n">
        <v>0</v>
      </c>
      <c r="O488" t="n">
        <v>0</v>
      </c>
      <c r="P488" t="n">
        <v>0</v>
      </c>
      <c r="Q488" t="n">
        <v>0</v>
      </c>
      <c r="R488" s="2" t="inlineStr"/>
    </row>
    <row r="489" ht="15" customHeight="1">
      <c r="A489" t="inlineStr">
        <is>
          <t>A 28837-2025</t>
        </is>
      </c>
      <c r="B489" s="1" t="n">
        <v>45820.56243055555</v>
      </c>
      <c r="C489" s="1" t="n">
        <v>46045</v>
      </c>
      <c r="D489" t="inlineStr">
        <is>
          <t>VÄSTMANLANDS LÄN</t>
        </is>
      </c>
      <c r="E489" t="inlineStr">
        <is>
          <t>SALA</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28849-2025</t>
        </is>
      </c>
      <c r="B490" s="1" t="n">
        <v>45820</v>
      </c>
      <c r="C490" s="1" t="n">
        <v>46045</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60249-2023</t>
        </is>
      </c>
      <c r="B491" s="1" t="n">
        <v>45258</v>
      </c>
      <c r="C491" s="1" t="n">
        <v>46045</v>
      </c>
      <c r="D491" t="inlineStr">
        <is>
          <t>VÄSTMANLANDS LÄN</t>
        </is>
      </c>
      <c r="E491" t="inlineStr">
        <is>
          <t>SALA</t>
        </is>
      </c>
      <c r="G491" t="n">
        <v>2</v>
      </c>
      <c r="H491" t="n">
        <v>0</v>
      </c>
      <c r="I491" t="n">
        <v>0</v>
      </c>
      <c r="J491" t="n">
        <v>0</v>
      </c>
      <c r="K491" t="n">
        <v>0</v>
      </c>
      <c r="L491" t="n">
        <v>0</v>
      </c>
      <c r="M491" t="n">
        <v>0</v>
      </c>
      <c r="N491" t="n">
        <v>0</v>
      </c>
      <c r="O491" t="n">
        <v>0</v>
      </c>
      <c r="P491" t="n">
        <v>0</v>
      </c>
      <c r="Q491" t="n">
        <v>0</v>
      </c>
      <c r="R491" s="2" t="inlineStr"/>
    </row>
    <row r="492" ht="15" customHeight="1">
      <c r="A492" t="inlineStr">
        <is>
          <t>A 14271-2025</t>
        </is>
      </c>
      <c r="B492" s="1" t="n">
        <v>45740.64129629629</v>
      </c>
      <c r="C492" s="1" t="n">
        <v>46045</v>
      </c>
      <c r="D492" t="inlineStr">
        <is>
          <t>VÄSTMANLANDS LÄN</t>
        </is>
      </c>
      <c r="E492" t="inlineStr">
        <is>
          <t>SALA</t>
        </is>
      </c>
      <c r="G492" t="n">
        <v>0.8</v>
      </c>
      <c r="H492" t="n">
        <v>0</v>
      </c>
      <c r="I492" t="n">
        <v>0</v>
      </c>
      <c r="J492" t="n">
        <v>0</v>
      </c>
      <c r="K492" t="n">
        <v>0</v>
      </c>
      <c r="L492" t="n">
        <v>0</v>
      </c>
      <c r="M492" t="n">
        <v>0</v>
      </c>
      <c r="N492" t="n">
        <v>0</v>
      </c>
      <c r="O492" t="n">
        <v>0</v>
      </c>
      <c r="P492" t="n">
        <v>0</v>
      </c>
      <c r="Q492" t="n">
        <v>0</v>
      </c>
      <c r="R492" s="2" t="inlineStr"/>
    </row>
    <row r="493" ht="15" customHeight="1">
      <c r="A493" t="inlineStr">
        <is>
          <t>A 55997-2025</t>
        </is>
      </c>
      <c r="B493" s="1" t="n">
        <v>45973.56833333334</v>
      </c>
      <c r="C493" s="1" t="n">
        <v>46045</v>
      </c>
      <c r="D493" t="inlineStr">
        <is>
          <t>VÄSTMANLANDS LÄN</t>
        </is>
      </c>
      <c r="E493" t="inlineStr">
        <is>
          <t>SALA</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69232-2021</t>
        </is>
      </c>
      <c r="B494" s="1" t="n">
        <v>44531.39696759259</v>
      </c>
      <c r="C494" s="1" t="n">
        <v>46045</v>
      </c>
      <c r="D494" t="inlineStr">
        <is>
          <t>VÄSTMANLANDS LÄN</t>
        </is>
      </c>
      <c r="E494" t="inlineStr">
        <is>
          <t>SALA</t>
        </is>
      </c>
      <c r="G494" t="n">
        <v>2.3</v>
      </c>
      <c r="H494" t="n">
        <v>0</v>
      </c>
      <c r="I494" t="n">
        <v>0</v>
      </c>
      <c r="J494" t="n">
        <v>0</v>
      </c>
      <c r="K494" t="n">
        <v>0</v>
      </c>
      <c r="L494" t="n">
        <v>0</v>
      </c>
      <c r="M494" t="n">
        <v>0</v>
      </c>
      <c r="N494" t="n">
        <v>0</v>
      </c>
      <c r="O494" t="n">
        <v>0</v>
      </c>
      <c r="P494" t="n">
        <v>0</v>
      </c>
      <c r="Q494" t="n">
        <v>0</v>
      </c>
      <c r="R494" s="2" t="inlineStr"/>
    </row>
    <row r="495" ht="15" customHeight="1">
      <c r="A495" t="inlineStr">
        <is>
          <t>A 29085-2025</t>
        </is>
      </c>
      <c r="B495" s="1" t="n">
        <v>45821</v>
      </c>
      <c r="C495" s="1" t="n">
        <v>46045</v>
      </c>
      <c r="D495" t="inlineStr">
        <is>
          <t>VÄSTMANLANDS LÄN</t>
        </is>
      </c>
      <c r="E495" t="inlineStr">
        <is>
          <t>SALA</t>
        </is>
      </c>
      <c r="G495" t="n">
        <v>3.5</v>
      </c>
      <c r="H495" t="n">
        <v>0</v>
      </c>
      <c r="I495" t="n">
        <v>0</v>
      </c>
      <c r="J495" t="n">
        <v>0</v>
      </c>
      <c r="K495" t="n">
        <v>0</v>
      </c>
      <c r="L495" t="n">
        <v>0</v>
      </c>
      <c r="M495" t="n">
        <v>0</v>
      </c>
      <c r="N495" t="n">
        <v>0</v>
      </c>
      <c r="O495" t="n">
        <v>0</v>
      </c>
      <c r="P495" t="n">
        <v>0</v>
      </c>
      <c r="Q495" t="n">
        <v>0</v>
      </c>
      <c r="R495" s="2" t="inlineStr"/>
    </row>
    <row r="496" ht="15" customHeight="1">
      <c r="A496" t="inlineStr">
        <is>
          <t>A 55714-2025</t>
        </is>
      </c>
      <c r="B496" s="1" t="n">
        <v>45972.49131944445</v>
      </c>
      <c r="C496" s="1" t="n">
        <v>46045</v>
      </c>
      <c r="D496" t="inlineStr">
        <is>
          <t>VÄSTMANLANDS LÄN</t>
        </is>
      </c>
      <c r="E496" t="inlineStr">
        <is>
          <t>SALA</t>
        </is>
      </c>
      <c r="G496" t="n">
        <v>6.6</v>
      </c>
      <c r="H496" t="n">
        <v>0</v>
      </c>
      <c r="I496" t="n">
        <v>0</v>
      </c>
      <c r="J496" t="n">
        <v>0</v>
      </c>
      <c r="K496" t="n">
        <v>0</v>
      </c>
      <c r="L496" t="n">
        <v>0</v>
      </c>
      <c r="M496" t="n">
        <v>0</v>
      </c>
      <c r="N496" t="n">
        <v>0</v>
      </c>
      <c r="O496" t="n">
        <v>0</v>
      </c>
      <c r="P496" t="n">
        <v>0</v>
      </c>
      <c r="Q496" t="n">
        <v>0</v>
      </c>
      <c r="R496" s="2" t="inlineStr"/>
    </row>
    <row r="497" ht="15" customHeight="1">
      <c r="A497" t="inlineStr">
        <is>
          <t>A 28328-2023</t>
        </is>
      </c>
      <c r="B497" s="1" t="n">
        <v>45099.71063657408</v>
      </c>
      <c r="C497" s="1" t="n">
        <v>46045</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56614-2025</t>
        </is>
      </c>
      <c r="B498" s="1" t="n">
        <v>45975.59288194445</v>
      </c>
      <c r="C498" s="1" t="n">
        <v>46045</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60541-2024</t>
        </is>
      </c>
      <c r="B499" s="1" t="n">
        <v>45643</v>
      </c>
      <c r="C499" s="1" t="n">
        <v>46045</v>
      </c>
      <c r="D499" t="inlineStr">
        <is>
          <t>VÄSTMANLANDS LÄN</t>
        </is>
      </c>
      <c r="E499" t="inlineStr">
        <is>
          <t>SALA</t>
        </is>
      </c>
      <c r="G499" t="n">
        <v>10.6</v>
      </c>
      <c r="H499" t="n">
        <v>0</v>
      </c>
      <c r="I499" t="n">
        <v>0</v>
      </c>
      <c r="J499" t="n">
        <v>0</v>
      </c>
      <c r="K499" t="n">
        <v>0</v>
      </c>
      <c r="L499" t="n">
        <v>0</v>
      </c>
      <c r="M499" t="n">
        <v>0</v>
      </c>
      <c r="N499" t="n">
        <v>0</v>
      </c>
      <c r="O499" t="n">
        <v>0</v>
      </c>
      <c r="P499" t="n">
        <v>0</v>
      </c>
      <c r="Q499" t="n">
        <v>0</v>
      </c>
      <c r="R499" s="2" t="inlineStr"/>
    </row>
    <row r="500" ht="15" customHeight="1">
      <c r="A500" t="inlineStr">
        <is>
          <t>A 56611-2025</t>
        </is>
      </c>
      <c r="B500" s="1" t="n">
        <v>45975</v>
      </c>
      <c r="C500" s="1" t="n">
        <v>46045</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29826-2025</t>
        </is>
      </c>
      <c r="B501" s="1" t="n">
        <v>45825.85761574074</v>
      </c>
      <c r="C501" s="1" t="n">
        <v>46045</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40085-2024</t>
        </is>
      </c>
      <c r="B502" s="1" t="n">
        <v>45554</v>
      </c>
      <c r="C502" s="1" t="n">
        <v>46045</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18158-2025</t>
        </is>
      </c>
      <c r="B503" s="1" t="n">
        <v>45761</v>
      </c>
      <c r="C503" s="1" t="n">
        <v>46045</v>
      </c>
      <c r="D503" t="inlineStr">
        <is>
          <t>VÄSTMANLANDS LÄN</t>
        </is>
      </c>
      <c r="E503" t="inlineStr">
        <is>
          <t>SALA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57014-2025</t>
        </is>
      </c>
      <c r="B504" s="1" t="n">
        <v>45978</v>
      </c>
      <c r="C504" s="1" t="n">
        <v>46045</v>
      </c>
      <c r="D504" t="inlineStr">
        <is>
          <t>VÄSTMANLANDS LÄN</t>
        </is>
      </c>
      <c r="E504" t="inlineStr">
        <is>
          <t>SALA</t>
        </is>
      </c>
      <c r="G504" t="n">
        <v>2.2</v>
      </c>
      <c r="H504" t="n">
        <v>0</v>
      </c>
      <c r="I504" t="n">
        <v>0</v>
      </c>
      <c r="J504" t="n">
        <v>0</v>
      </c>
      <c r="K504" t="n">
        <v>0</v>
      </c>
      <c r="L504" t="n">
        <v>0</v>
      </c>
      <c r="M504" t="n">
        <v>0</v>
      </c>
      <c r="N504" t="n">
        <v>0</v>
      </c>
      <c r="O504" t="n">
        <v>0</v>
      </c>
      <c r="P504" t="n">
        <v>0</v>
      </c>
      <c r="Q504" t="n">
        <v>0</v>
      </c>
      <c r="R504" s="2" t="inlineStr"/>
    </row>
    <row r="505" ht="15" customHeight="1">
      <c r="A505" t="inlineStr">
        <is>
          <t>A 56502-2025</t>
        </is>
      </c>
      <c r="B505" s="1" t="n">
        <v>45975</v>
      </c>
      <c r="C505" s="1" t="n">
        <v>46045</v>
      </c>
      <c r="D505" t="inlineStr">
        <is>
          <t>VÄSTMANLANDS LÄN</t>
        </is>
      </c>
      <c r="E505" t="inlineStr">
        <is>
          <t>SALA</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49661-2024</t>
        </is>
      </c>
      <c r="B506" s="1" t="n">
        <v>45596</v>
      </c>
      <c r="C506" s="1" t="n">
        <v>46045</v>
      </c>
      <c r="D506" t="inlineStr">
        <is>
          <t>VÄSTMANLANDS LÄN</t>
        </is>
      </c>
      <c r="E506" t="inlineStr">
        <is>
          <t>SALA</t>
        </is>
      </c>
      <c r="G506" t="n">
        <v>6.7</v>
      </c>
      <c r="H506" t="n">
        <v>0</v>
      </c>
      <c r="I506" t="n">
        <v>0</v>
      </c>
      <c r="J506" t="n">
        <v>0</v>
      </c>
      <c r="K506" t="n">
        <v>0</v>
      </c>
      <c r="L506" t="n">
        <v>0</v>
      </c>
      <c r="M506" t="n">
        <v>0</v>
      </c>
      <c r="N506" t="n">
        <v>0</v>
      </c>
      <c r="O506" t="n">
        <v>0</v>
      </c>
      <c r="P506" t="n">
        <v>0</v>
      </c>
      <c r="Q506" t="n">
        <v>0</v>
      </c>
      <c r="R506" s="2" t="inlineStr"/>
    </row>
    <row r="507" ht="15" customHeight="1">
      <c r="A507" t="inlineStr">
        <is>
          <t>A 56593-2025</t>
        </is>
      </c>
      <c r="B507" s="1" t="n">
        <v>45975</v>
      </c>
      <c r="C507" s="1" t="n">
        <v>46045</v>
      </c>
      <c r="D507" t="inlineStr">
        <is>
          <t>VÄSTMANLANDS LÄN</t>
        </is>
      </c>
      <c r="E507" t="inlineStr">
        <is>
          <t>SALA</t>
        </is>
      </c>
      <c r="F507" t="inlineStr">
        <is>
          <t>Kyrkan</t>
        </is>
      </c>
      <c r="G507" t="n">
        <v>0.1</v>
      </c>
      <c r="H507" t="n">
        <v>0</v>
      </c>
      <c r="I507" t="n">
        <v>0</v>
      </c>
      <c r="J507" t="n">
        <v>0</v>
      </c>
      <c r="K507" t="n">
        <v>0</v>
      </c>
      <c r="L507" t="n">
        <v>0</v>
      </c>
      <c r="M507" t="n">
        <v>0</v>
      </c>
      <c r="N507" t="n">
        <v>0</v>
      </c>
      <c r="O507" t="n">
        <v>0</v>
      </c>
      <c r="P507" t="n">
        <v>0</v>
      </c>
      <c r="Q507" t="n">
        <v>0</v>
      </c>
      <c r="R507" s="2" t="inlineStr"/>
    </row>
    <row r="508" ht="15" customHeight="1">
      <c r="A508" t="inlineStr">
        <is>
          <t>A 29691-2025</t>
        </is>
      </c>
      <c r="B508" s="1" t="n">
        <v>45825.53645833334</v>
      </c>
      <c r="C508" s="1" t="n">
        <v>46045</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63749-2025</t>
        </is>
      </c>
      <c r="B509" s="1" t="n">
        <v>46017.75243055556</v>
      </c>
      <c r="C509" s="1" t="n">
        <v>46045</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56645-2025</t>
        </is>
      </c>
      <c r="B510" s="1" t="n">
        <v>45975.63063657407</v>
      </c>
      <c r="C510" s="1" t="n">
        <v>46045</v>
      </c>
      <c r="D510" t="inlineStr">
        <is>
          <t>VÄSTMANLANDS LÄN</t>
        </is>
      </c>
      <c r="E510" t="inlineStr">
        <is>
          <t>SALA</t>
        </is>
      </c>
      <c r="F510" t="inlineStr">
        <is>
          <t>Bergvik skog öst AB</t>
        </is>
      </c>
      <c r="G510" t="n">
        <v>5.3</v>
      </c>
      <c r="H510" t="n">
        <v>0</v>
      </c>
      <c r="I510" t="n">
        <v>0</v>
      </c>
      <c r="J510" t="n">
        <v>0</v>
      </c>
      <c r="K510" t="n">
        <v>0</v>
      </c>
      <c r="L510" t="n">
        <v>0</v>
      </c>
      <c r="M510" t="n">
        <v>0</v>
      </c>
      <c r="N510" t="n">
        <v>0</v>
      </c>
      <c r="O510" t="n">
        <v>0</v>
      </c>
      <c r="P510" t="n">
        <v>0</v>
      </c>
      <c r="Q510" t="n">
        <v>0</v>
      </c>
      <c r="R510" s="2" t="inlineStr"/>
    </row>
    <row r="511" ht="15" customHeight="1">
      <c r="A511" t="inlineStr">
        <is>
          <t>A 63748-2025</t>
        </is>
      </c>
      <c r="B511" s="1" t="n">
        <v>46017.71640046296</v>
      </c>
      <c r="C511" s="1" t="n">
        <v>46045</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35519-2024</t>
        </is>
      </c>
      <c r="B512" s="1" t="n">
        <v>45531</v>
      </c>
      <c r="C512" s="1" t="n">
        <v>46045</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54347-2024</t>
        </is>
      </c>
      <c r="B513" s="1" t="n">
        <v>45617.39325231482</v>
      </c>
      <c r="C513" s="1" t="n">
        <v>46045</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13022-2023</t>
        </is>
      </c>
      <c r="B514" s="1" t="n">
        <v>45002.33291666667</v>
      </c>
      <c r="C514" s="1" t="n">
        <v>46045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35003-2024</t>
        </is>
      </c>
      <c r="B515" s="1" t="n">
        <v>45527.56790509259</v>
      </c>
      <c r="C515" s="1" t="n">
        <v>46045</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57412-2025</t>
        </is>
      </c>
      <c r="B516" s="1" t="n">
        <v>45980.44883101852</v>
      </c>
      <c r="C516" s="1" t="n">
        <v>46045</v>
      </c>
      <c r="D516" t="inlineStr">
        <is>
          <t>VÄSTMANLANDS LÄN</t>
        </is>
      </c>
      <c r="E516" t="inlineStr">
        <is>
          <t>SALA</t>
        </is>
      </c>
      <c r="F516" t="inlineStr">
        <is>
          <t>Bergvik skog öst AB</t>
        </is>
      </c>
      <c r="G516" t="n">
        <v>4.5</v>
      </c>
      <c r="H516" t="n">
        <v>0</v>
      </c>
      <c r="I516" t="n">
        <v>0</v>
      </c>
      <c r="J516" t="n">
        <v>0</v>
      </c>
      <c r="K516" t="n">
        <v>0</v>
      </c>
      <c r="L516" t="n">
        <v>0</v>
      </c>
      <c r="M516" t="n">
        <v>0</v>
      </c>
      <c r="N516" t="n">
        <v>0</v>
      </c>
      <c r="O516" t="n">
        <v>0</v>
      </c>
      <c r="P516" t="n">
        <v>0</v>
      </c>
      <c r="Q516" t="n">
        <v>0</v>
      </c>
      <c r="R516" s="2" t="inlineStr"/>
    </row>
    <row r="517" ht="15" customHeight="1">
      <c r="A517" t="inlineStr">
        <is>
          <t>A 66307-2021</t>
        </is>
      </c>
      <c r="B517" s="1" t="n">
        <v>44518.48670138889</v>
      </c>
      <c r="C517" s="1" t="n">
        <v>46045</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6030-2024</t>
        </is>
      </c>
      <c r="B518" s="1" t="n">
        <v>45336.62782407407</v>
      </c>
      <c r="C518" s="1" t="n">
        <v>46045</v>
      </c>
      <c r="D518" t="inlineStr">
        <is>
          <t>VÄSTMANLANDS LÄN</t>
        </is>
      </c>
      <c r="E518" t="inlineStr">
        <is>
          <t>SALA</t>
        </is>
      </c>
      <c r="G518" t="n">
        <v>3.9</v>
      </c>
      <c r="H518" t="n">
        <v>0</v>
      </c>
      <c r="I518" t="n">
        <v>0</v>
      </c>
      <c r="J518" t="n">
        <v>0</v>
      </c>
      <c r="K518" t="n">
        <v>0</v>
      </c>
      <c r="L518" t="n">
        <v>0</v>
      </c>
      <c r="M518" t="n">
        <v>0</v>
      </c>
      <c r="N518" t="n">
        <v>0</v>
      </c>
      <c r="O518" t="n">
        <v>0</v>
      </c>
      <c r="P518" t="n">
        <v>0</v>
      </c>
      <c r="Q518" t="n">
        <v>0</v>
      </c>
      <c r="R518" s="2" t="inlineStr"/>
    </row>
    <row r="519" ht="15" customHeight="1">
      <c r="A519" t="inlineStr">
        <is>
          <t>A 26761-2023</t>
        </is>
      </c>
      <c r="B519" s="1" t="n">
        <v>45093</v>
      </c>
      <c r="C519" s="1" t="n">
        <v>46045</v>
      </c>
      <c r="D519" t="inlineStr">
        <is>
          <t>VÄSTMANLANDS LÄN</t>
        </is>
      </c>
      <c r="E519" t="inlineStr">
        <is>
          <t>SALA</t>
        </is>
      </c>
      <c r="G519" t="n">
        <v>4.3</v>
      </c>
      <c r="H519" t="n">
        <v>0</v>
      </c>
      <c r="I519" t="n">
        <v>0</v>
      </c>
      <c r="J519" t="n">
        <v>0</v>
      </c>
      <c r="K519" t="n">
        <v>0</v>
      </c>
      <c r="L519" t="n">
        <v>0</v>
      </c>
      <c r="M519" t="n">
        <v>0</v>
      </c>
      <c r="N519" t="n">
        <v>0</v>
      </c>
      <c r="O519" t="n">
        <v>0</v>
      </c>
      <c r="P519" t="n">
        <v>0</v>
      </c>
      <c r="Q519" t="n">
        <v>0</v>
      </c>
      <c r="R519" s="2" t="inlineStr"/>
    </row>
    <row r="520" ht="15" customHeight="1">
      <c r="A520" t="inlineStr">
        <is>
          <t>A 57414-2025</t>
        </is>
      </c>
      <c r="B520" s="1" t="n">
        <v>45980.45003472222</v>
      </c>
      <c r="C520" s="1" t="n">
        <v>46045</v>
      </c>
      <c r="D520" t="inlineStr">
        <is>
          <t>VÄSTMANLANDS LÄN</t>
        </is>
      </c>
      <c r="E520" t="inlineStr">
        <is>
          <t>SALA</t>
        </is>
      </c>
      <c r="F520" t="inlineStr">
        <is>
          <t>Bergvik skog öst AB</t>
        </is>
      </c>
      <c r="G520" t="n">
        <v>2</v>
      </c>
      <c r="H520" t="n">
        <v>0</v>
      </c>
      <c r="I520" t="n">
        <v>0</v>
      </c>
      <c r="J520" t="n">
        <v>0</v>
      </c>
      <c r="K520" t="n">
        <v>0</v>
      </c>
      <c r="L520" t="n">
        <v>0</v>
      </c>
      <c r="M520" t="n">
        <v>0</v>
      </c>
      <c r="N520" t="n">
        <v>0</v>
      </c>
      <c r="O520" t="n">
        <v>0</v>
      </c>
      <c r="P520" t="n">
        <v>0</v>
      </c>
      <c r="Q520" t="n">
        <v>0</v>
      </c>
      <c r="R520" s="2" t="inlineStr"/>
    </row>
    <row r="521" ht="15" customHeight="1">
      <c r="A521" t="inlineStr">
        <is>
          <t>A 57415-2025</t>
        </is>
      </c>
      <c r="B521" s="1" t="n">
        <v>45980.45099537037</v>
      </c>
      <c r="C521" s="1" t="n">
        <v>46045</v>
      </c>
      <c r="D521" t="inlineStr">
        <is>
          <t>VÄSTMANLANDS LÄN</t>
        </is>
      </c>
      <c r="E521" t="inlineStr">
        <is>
          <t>SALA</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61892-2021</t>
        </is>
      </c>
      <c r="B522" s="1" t="n">
        <v>44502</v>
      </c>
      <c r="C522" s="1" t="n">
        <v>46045</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30874-2025</t>
        </is>
      </c>
      <c r="B523" s="1" t="n">
        <v>45832.34430555555</v>
      </c>
      <c r="C523" s="1" t="n">
        <v>46045</v>
      </c>
      <c r="D523" t="inlineStr">
        <is>
          <t>VÄSTMANLANDS LÄN</t>
        </is>
      </c>
      <c r="E523" t="inlineStr">
        <is>
          <t>SALA</t>
        </is>
      </c>
      <c r="G523" t="n">
        <v>8.4</v>
      </c>
      <c r="H523" t="n">
        <v>0</v>
      </c>
      <c r="I523" t="n">
        <v>0</v>
      </c>
      <c r="J523" t="n">
        <v>0</v>
      </c>
      <c r="K523" t="n">
        <v>0</v>
      </c>
      <c r="L523" t="n">
        <v>0</v>
      </c>
      <c r="M523" t="n">
        <v>0</v>
      </c>
      <c r="N523" t="n">
        <v>0</v>
      </c>
      <c r="O523" t="n">
        <v>0</v>
      </c>
      <c r="P523" t="n">
        <v>0</v>
      </c>
      <c r="Q523" t="n">
        <v>0</v>
      </c>
      <c r="R523" s="2" t="inlineStr"/>
    </row>
    <row r="524" ht="15" customHeight="1">
      <c r="A524" t="inlineStr">
        <is>
          <t>A 30899-2025</t>
        </is>
      </c>
      <c r="B524" s="1" t="n">
        <v>45832.35767361111</v>
      </c>
      <c r="C524" s="1" t="n">
        <v>46045</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30866-2025</t>
        </is>
      </c>
      <c r="B525" s="1" t="n">
        <v>45832.3246875</v>
      </c>
      <c r="C525" s="1" t="n">
        <v>46045</v>
      </c>
      <c r="D525" t="inlineStr">
        <is>
          <t>VÄSTMANLANDS LÄN</t>
        </is>
      </c>
      <c r="E525" t="inlineStr">
        <is>
          <t>SALA</t>
        </is>
      </c>
      <c r="G525" t="n">
        <v>14.3</v>
      </c>
      <c r="H525" t="n">
        <v>0</v>
      </c>
      <c r="I525" t="n">
        <v>0</v>
      </c>
      <c r="J525" t="n">
        <v>0</v>
      </c>
      <c r="K525" t="n">
        <v>0</v>
      </c>
      <c r="L525" t="n">
        <v>0</v>
      </c>
      <c r="M525" t="n">
        <v>0</v>
      </c>
      <c r="N525" t="n">
        <v>0</v>
      </c>
      <c r="O525" t="n">
        <v>0</v>
      </c>
      <c r="P525" t="n">
        <v>0</v>
      </c>
      <c r="Q525" t="n">
        <v>0</v>
      </c>
      <c r="R525" s="2" t="inlineStr"/>
    </row>
    <row r="526" ht="15" customHeight="1">
      <c r="A526" t="inlineStr">
        <is>
          <t>A 31065-2025</t>
        </is>
      </c>
      <c r="B526" s="1" t="n">
        <v>45832.57571759259</v>
      </c>
      <c r="C526" s="1" t="n">
        <v>46045</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58357-2025</t>
        </is>
      </c>
      <c r="B527" s="1" t="n">
        <v>45985.51518518518</v>
      </c>
      <c r="C527" s="1" t="n">
        <v>46045</v>
      </c>
      <c r="D527" t="inlineStr">
        <is>
          <t>VÄSTMANLANDS LÄN</t>
        </is>
      </c>
      <c r="E527" t="inlineStr">
        <is>
          <t>SALA</t>
        </is>
      </c>
      <c r="G527" t="n">
        <v>3</v>
      </c>
      <c r="H527" t="n">
        <v>0</v>
      </c>
      <c r="I527" t="n">
        <v>0</v>
      </c>
      <c r="J527" t="n">
        <v>0</v>
      </c>
      <c r="K527" t="n">
        <v>0</v>
      </c>
      <c r="L527" t="n">
        <v>0</v>
      </c>
      <c r="M527" t="n">
        <v>0</v>
      </c>
      <c r="N527" t="n">
        <v>0</v>
      </c>
      <c r="O527" t="n">
        <v>0</v>
      </c>
      <c r="P527" t="n">
        <v>0</v>
      </c>
      <c r="Q527" t="n">
        <v>0</v>
      </c>
      <c r="R527" s="2" t="inlineStr"/>
    </row>
    <row r="528" ht="15" customHeight="1">
      <c r="A528" t="inlineStr">
        <is>
          <t>A 31612-2025</t>
        </is>
      </c>
      <c r="B528" s="1" t="n">
        <v>45833.80056712963</v>
      </c>
      <c r="C528" s="1" t="n">
        <v>46045</v>
      </c>
      <c r="D528" t="inlineStr">
        <is>
          <t>VÄSTMANLANDS LÄN</t>
        </is>
      </c>
      <c r="E528" t="inlineStr">
        <is>
          <t>SALA</t>
        </is>
      </c>
      <c r="G528" t="n">
        <v>6.3</v>
      </c>
      <c r="H528" t="n">
        <v>0</v>
      </c>
      <c r="I528" t="n">
        <v>0</v>
      </c>
      <c r="J528" t="n">
        <v>0</v>
      </c>
      <c r="K528" t="n">
        <v>0</v>
      </c>
      <c r="L528" t="n">
        <v>0</v>
      </c>
      <c r="M528" t="n">
        <v>0</v>
      </c>
      <c r="N528" t="n">
        <v>0</v>
      </c>
      <c r="O528" t="n">
        <v>0</v>
      </c>
      <c r="P528" t="n">
        <v>0</v>
      </c>
      <c r="Q528" t="n">
        <v>0</v>
      </c>
      <c r="R528" s="2" t="inlineStr"/>
    </row>
    <row r="529" ht="15" customHeight="1">
      <c r="A529" t="inlineStr">
        <is>
          <t>A 31748-2025</t>
        </is>
      </c>
      <c r="B529" s="1" t="n">
        <v>45834</v>
      </c>
      <c r="C529" s="1" t="n">
        <v>46045</v>
      </c>
      <c r="D529" t="inlineStr">
        <is>
          <t>VÄSTMANLANDS LÄN</t>
        </is>
      </c>
      <c r="E529" t="inlineStr">
        <is>
          <t>SALA</t>
        </is>
      </c>
      <c r="G529" t="n">
        <v>2</v>
      </c>
      <c r="H529" t="n">
        <v>0</v>
      </c>
      <c r="I529" t="n">
        <v>0</v>
      </c>
      <c r="J529" t="n">
        <v>0</v>
      </c>
      <c r="K529" t="n">
        <v>0</v>
      </c>
      <c r="L529" t="n">
        <v>0</v>
      </c>
      <c r="M529" t="n">
        <v>0</v>
      </c>
      <c r="N529" t="n">
        <v>0</v>
      </c>
      <c r="O529" t="n">
        <v>0</v>
      </c>
      <c r="P529" t="n">
        <v>0</v>
      </c>
      <c r="Q529" t="n">
        <v>0</v>
      </c>
      <c r="R529" s="2" t="inlineStr"/>
    </row>
    <row r="530" ht="15" customHeight="1">
      <c r="A530" t="inlineStr">
        <is>
          <t>A 31288-2025</t>
        </is>
      </c>
      <c r="B530" s="1" t="n">
        <v>45833</v>
      </c>
      <c r="C530" s="1" t="n">
        <v>46045</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55760-2025</t>
        </is>
      </c>
      <c r="B531" s="1" t="n">
        <v>45972</v>
      </c>
      <c r="C531" s="1" t="n">
        <v>46045</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58365-2025</t>
        </is>
      </c>
      <c r="B532" s="1" t="n">
        <v>45985.52288194445</v>
      </c>
      <c r="C532" s="1" t="n">
        <v>46045</v>
      </c>
      <c r="D532" t="inlineStr">
        <is>
          <t>VÄSTMANLANDS LÄN</t>
        </is>
      </c>
      <c r="E532" t="inlineStr">
        <is>
          <t>SALA</t>
        </is>
      </c>
      <c r="G532" t="n">
        <v>3.9</v>
      </c>
      <c r="H532" t="n">
        <v>0</v>
      </c>
      <c r="I532" t="n">
        <v>0</v>
      </c>
      <c r="J532" t="n">
        <v>0</v>
      </c>
      <c r="K532" t="n">
        <v>0</v>
      </c>
      <c r="L532" t="n">
        <v>0</v>
      </c>
      <c r="M532" t="n">
        <v>0</v>
      </c>
      <c r="N532" t="n">
        <v>0</v>
      </c>
      <c r="O532" t="n">
        <v>0</v>
      </c>
      <c r="P532" t="n">
        <v>0</v>
      </c>
      <c r="Q532" t="n">
        <v>0</v>
      </c>
      <c r="R532" s="2" t="inlineStr"/>
    </row>
    <row r="533" ht="15" customHeight="1">
      <c r="A533" t="inlineStr">
        <is>
          <t>A 31771-2025</t>
        </is>
      </c>
      <c r="B533" s="1" t="n">
        <v>45834.50910879629</v>
      </c>
      <c r="C533" s="1" t="n">
        <v>46045</v>
      </c>
      <c r="D533" t="inlineStr">
        <is>
          <t>VÄSTMANLANDS LÄN</t>
        </is>
      </c>
      <c r="E533" t="inlineStr">
        <is>
          <t>SALA</t>
        </is>
      </c>
      <c r="G533" t="n">
        <v>5.1</v>
      </c>
      <c r="H533" t="n">
        <v>0</v>
      </c>
      <c r="I533" t="n">
        <v>0</v>
      </c>
      <c r="J533" t="n">
        <v>0</v>
      </c>
      <c r="K533" t="n">
        <v>0</v>
      </c>
      <c r="L533" t="n">
        <v>0</v>
      </c>
      <c r="M533" t="n">
        <v>0</v>
      </c>
      <c r="N533" t="n">
        <v>0</v>
      </c>
      <c r="O533" t="n">
        <v>0</v>
      </c>
      <c r="P533" t="n">
        <v>0</v>
      </c>
      <c r="Q533" t="n">
        <v>0</v>
      </c>
      <c r="R533" s="2" t="inlineStr"/>
    </row>
    <row r="534" ht="15" customHeight="1">
      <c r="A534" t="inlineStr">
        <is>
          <t>A 58282-2025</t>
        </is>
      </c>
      <c r="B534" s="1" t="n">
        <v>45985.44309027777</v>
      </c>
      <c r="C534" s="1" t="n">
        <v>46045</v>
      </c>
      <c r="D534" t="inlineStr">
        <is>
          <t>VÄSTMANLANDS LÄN</t>
        </is>
      </c>
      <c r="E534" t="inlineStr">
        <is>
          <t>SALA</t>
        </is>
      </c>
      <c r="G534" t="n">
        <v>8.9</v>
      </c>
      <c r="H534" t="n">
        <v>0</v>
      </c>
      <c r="I534" t="n">
        <v>0</v>
      </c>
      <c r="J534" t="n">
        <v>0</v>
      </c>
      <c r="K534" t="n">
        <v>0</v>
      </c>
      <c r="L534" t="n">
        <v>0</v>
      </c>
      <c r="M534" t="n">
        <v>0</v>
      </c>
      <c r="N534" t="n">
        <v>0</v>
      </c>
      <c r="O534" t="n">
        <v>0</v>
      </c>
      <c r="P534" t="n">
        <v>0</v>
      </c>
      <c r="Q534" t="n">
        <v>0</v>
      </c>
      <c r="R534" s="2" t="inlineStr"/>
    </row>
    <row r="535" ht="15" customHeight="1">
      <c r="A535" t="inlineStr">
        <is>
          <t>A 58359-2025</t>
        </is>
      </c>
      <c r="B535" s="1" t="n">
        <v>45985.51594907408</v>
      </c>
      <c r="C535" s="1" t="n">
        <v>46045</v>
      </c>
      <c r="D535" t="inlineStr">
        <is>
          <t>VÄSTMANLANDS LÄN</t>
        </is>
      </c>
      <c r="E535" t="inlineStr">
        <is>
          <t>SALA</t>
        </is>
      </c>
      <c r="G535" t="n">
        <v>3.7</v>
      </c>
      <c r="H535" t="n">
        <v>0</v>
      </c>
      <c r="I535" t="n">
        <v>0</v>
      </c>
      <c r="J535" t="n">
        <v>0</v>
      </c>
      <c r="K535" t="n">
        <v>0</v>
      </c>
      <c r="L535" t="n">
        <v>0</v>
      </c>
      <c r="M535" t="n">
        <v>0</v>
      </c>
      <c r="N535" t="n">
        <v>0</v>
      </c>
      <c r="O535" t="n">
        <v>0</v>
      </c>
      <c r="P535" t="n">
        <v>0</v>
      </c>
      <c r="Q535" t="n">
        <v>0</v>
      </c>
      <c r="R535" s="2" t="inlineStr"/>
    </row>
    <row r="536" ht="15" customHeight="1">
      <c r="A536" t="inlineStr">
        <is>
          <t>A 58364-2025</t>
        </is>
      </c>
      <c r="B536" s="1" t="n">
        <v>45985.5228125</v>
      </c>
      <c r="C536" s="1" t="n">
        <v>46045</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7772-2023</t>
        </is>
      </c>
      <c r="B537" s="1" t="n">
        <v>44973.40076388889</v>
      </c>
      <c r="C537" s="1" t="n">
        <v>46045</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31554-2025</t>
        </is>
      </c>
      <c r="B538" s="1" t="n">
        <v>45833</v>
      </c>
      <c r="C538" s="1" t="n">
        <v>46045</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31762-2025</t>
        </is>
      </c>
      <c r="B539" s="1" t="n">
        <v>45834.49288194445</v>
      </c>
      <c r="C539" s="1" t="n">
        <v>46045</v>
      </c>
      <c r="D539" t="inlineStr">
        <is>
          <t>VÄSTMANLANDS LÄN</t>
        </is>
      </c>
      <c r="E539" t="inlineStr">
        <is>
          <t>SALA</t>
        </is>
      </c>
      <c r="G539" t="n">
        <v>5.9</v>
      </c>
      <c r="H539" t="n">
        <v>0</v>
      </c>
      <c r="I539" t="n">
        <v>0</v>
      </c>
      <c r="J539" t="n">
        <v>0</v>
      </c>
      <c r="K539" t="n">
        <v>0</v>
      </c>
      <c r="L539" t="n">
        <v>0</v>
      </c>
      <c r="M539" t="n">
        <v>0</v>
      </c>
      <c r="N539" t="n">
        <v>0</v>
      </c>
      <c r="O539" t="n">
        <v>0</v>
      </c>
      <c r="P539" t="n">
        <v>0</v>
      </c>
      <c r="Q539" t="n">
        <v>0</v>
      </c>
      <c r="R539" s="2" t="inlineStr"/>
    </row>
    <row r="540" ht="15" customHeight="1">
      <c r="A540" t="inlineStr">
        <is>
          <t>A 31608-2025</t>
        </is>
      </c>
      <c r="B540" s="1" t="n">
        <v>45833</v>
      </c>
      <c r="C540" s="1" t="n">
        <v>46045</v>
      </c>
      <c r="D540" t="inlineStr">
        <is>
          <t>VÄSTMANLANDS LÄN</t>
        </is>
      </c>
      <c r="E540" t="inlineStr">
        <is>
          <t>SALA</t>
        </is>
      </c>
      <c r="G540" t="n">
        <v>6.1</v>
      </c>
      <c r="H540" t="n">
        <v>0</v>
      </c>
      <c r="I540" t="n">
        <v>0</v>
      </c>
      <c r="J540" t="n">
        <v>0</v>
      </c>
      <c r="K540" t="n">
        <v>0</v>
      </c>
      <c r="L540" t="n">
        <v>0</v>
      </c>
      <c r="M540" t="n">
        <v>0</v>
      </c>
      <c r="N540" t="n">
        <v>0</v>
      </c>
      <c r="O540" t="n">
        <v>0</v>
      </c>
      <c r="P540" t="n">
        <v>0</v>
      </c>
      <c r="Q540" t="n">
        <v>0</v>
      </c>
      <c r="R540" s="2" t="inlineStr"/>
    </row>
    <row r="541" ht="15" customHeight="1">
      <c r="A541" t="inlineStr">
        <is>
          <t>A 63269-2025</t>
        </is>
      </c>
      <c r="B541" s="1" t="n">
        <v>46010</v>
      </c>
      <c r="C541" s="1" t="n">
        <v>46045</v>
      </c>
      <c r="D541" t="inlineStr">
        <is>
          <t>VÄSTMANLANDS LÄN</t>
        </is>
      </c>
      <c r="E541" t="inlineStr">
        <is>
          <t>SALA</t>
        </is>
      </c>
      <c r="G541" t="n">
        <v>6.4</v>
      </c>
      <c r="H541" t="n">
        <v>0</v>
      </c>
      <c r="I541" t="n">
        <v>0</v>
      </c>
      <c r="J541" t="n">
        <v>0</v>
      </c>
      <c r="K541" t="n">
        <v>0</v>
      </c>
      <c r="L541" t="n">
        <v>0</v>
      </c>
      <c r="M541" t="n">
        <v>0</v>
      </c>
      <c r="N541" t="n">
        <v>0</v>
      </c>
      <c r="O541" t="n">
        <v>0</v>
      </c>
      <c r="P541" t="n">
        <v>0</v>
      </c>
      <c r="Q541" t="n">
        <v>0</v>
      </c>
      <c r="R541" s="2" t="inlineStr"/>
    </row>
    <row r="542" ht="15" customHeight="1">
      <c r="A542" t="inlineStr">
        <is>
          <t>A 31610-2025</t>
        </is>
      </c>
      <c r="B542" s="1" t="n">
        <v>45833.78650462963</v>
      </c>
      <c r="C542" s="1" t="n">
        <v>46045</v>
      </c>
      <c r="D542" t="inlineStr">
        <is>
          <t>VÄSTMANLANDS LÄN</t>
        </is>
      </c>
      <c r="E542" t="inlineStr">
        <is>
          <t>SALA</t>
        </is>
      </c>
      <c r="G542" t="n">
        <v>8</v>
      </c>
      <c r="H542" t="n">
        <v>0</v>
      </c>
      <c r="I542" t="n">
        <v>0</v>
      </c>
      <c r="J542" t="n">
        <v>0</v>
      </c>
      <c r="K542" t="n">
        <v>0</v>
      </c>
      <c r="L542" t="n">
        <v>0</v>
      </c>
      <c r="M542" t="n">
        <v>0</v>
      </c>
      <c r="N542" t="n">
        <v>0</v>
      </c>
      <c r="O542" t="n">
        <v>0</v>
      </c>
      <c r="P542" t="n">
        <v>0</v>
      </c>
      <c r="Q542" t="n">
        <v>0</v>
      </c>
      <c r="R542" s="2" t="inlineStr"/>
    </row>
    <row r="543" ht="15" customHeight="1">
      <c r="A543" t="inlineStr">
        <is>
          <t>A 31296-2025</t>
        </is>
      </c>
      <c r="B543" s="1" t="n">
        <v>45833.36765046296</v>
      </c>
      <c r="C543" s="1" t="n">
        <v>46045</v>
      </c>
      <c r="D543" t="inlineStr">
        <is>
          <t>VÄSTMANLANDS LÄN</t>
        </is>
      </c>
      <c r="E543" t="inlineStr">
        <is>
          <t>SALA</t>
        </is>
      </c>
      <c r="G543" t="n">
        <v>3.7</v>
      </c>
      <c r="H543" t="n">
        <v>0</v>
      </c>
      <c r="I543" t="n">
        <v>0</v>
      </c>
      <c r="J543" t="n">
        <v>0</v>
      </c>
      <c r="K543" t="n">
        <v>0</v>
      </c>
      <c r="L543" t="n">
        <v>0</v>
      </c>
      <c r="M543" t="n">
        <v>0</v>
      </c>
      <c r="N543" t="n">
        <v>0</v>
      </c>
      <c r="O543" t="n">
        <v>0</v>
      </c>
      <c r="P543" t="n">
        <v>0</v>
      </c>
      <c r="Q543" t="n">
        <v>0</v>
      </c>
      <c r="R543" s="2" t="inlineStr"/>
    </row>
    <row r="544" ht="15" customHeight="1">
      <c r="A544" t="inlineStr">
        <is>
          <t>A 31573-2025</t>
        </is>
      </c>
      <c r="B544" s="1" t="n">
        <v>45833</v>
      </c>
      <c r="C544" s="1" t="n">
        <v>46045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32201-2025</t>
        </is>
      </c>
      <c r="B545" s="1" t="n">
        <v>45835</v>
      </c>
      <c r="C545" s="1" t="n">
        <v>46045</v>
      </c>
      <c r="D545" t="inlineStr">
        <is>
          <t>VÄSTMANLANDS LÄN</t>
        </is>
      </c>
      <c r="E545" t="inlineStr">
        <is>
          <t>SALA</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32205-2025</t>
        </is>
      </c>
      <c r="B546" s="1" t="n">
        <v>45835</v>
      </c>
      <c r="C546" s="1" t="n">
        <v>46045</v>
      </c>
      <c r="D546" t="inlineStr">
        <is>
          <t>VÄSTMANLANDS LÄN</t>
        </is>
      </c>
      <c r="E546" t="inlineStr">
        <is>
          <t>SALA</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32210-2025</t>
        </is>
      </c>
      <c r="B547" s="1" t="n">
        <v>45835</v>
      </c>
      <c r="C547" s="1" t="n">
        <v>46045</v>
      </c>
      <c r="D547" t="inlineStr">
        <is>
          <t>VÄSTMANLANDS LÄN</t>
        </is>
      </c>
      <c r="E547" t="inlineStr">
        <is>
          <t>SALA</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910-2026</t>
        </is>
      </c>
      <c r="B548" s="1" t="n">
        <v>46030.4771412037</v>
      </c>
      <c r="C548" s="1" t="n">
        <v>46045</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46045</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32286-2025</t>
        </is>
      </c>
      <c r="B550" s="1" t="n">
        <v>45835</v>
      </c>
      <c r="C550" s="1" t="n">
        <v>46045</v>
      </c>
      <c r="D550" t="inlineStr">
        <is>
          <t>VÄSTMANLANDS LÄN</t>
        </is>
      </c>
      <c r="E550" t="inlineStr">
        <is>
          <t>SALA</t>
        </is>
      </c>
      <c r="G550" t="n">
        <v>6.4</v>
      </c>
      <c r="H550" t="n">
        <v>0</v>
      </c>
      <c r="I550" t="n">
        <v>0</v>
      </c>
      <c r="J550" t="n">
        <v>0</v>
      </c>
      <c r="K550" t="n">
        <v>0</v>
      </c>
      <c r="L550" t="n">
        <v>0</v>
      </c>
      <c r="M550" t="n">
        <v>0</v>
      </c>
      <c r="N550" t="n">
        <v>0</v>
      </c>
      <c r="O550" t="n">
        <v>0</v>
      </c>
      <c r="P550" t="n">
        <v>0</v>
      </c>
      <c r="Q550" t="n">
        <v>0</v>
      </c>
      <c r="R550" s="2" t="inlineStr"/>
    </row>
    <row r="551" ht="15" customHeight="1">
      <c r="A551" t="inlineStr">
        <is>
          <t>A 19381-2025</t>
        </is>
      </c>
      <c r="B551" s="1" t="n">
        <v>45769</v>
      </c>
      <c r="C551" s="1" t="n">
        <v>46045</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32207-2025</t>
        </is>
      </c>
      <c r="B552" s="1" t="n">
        <v>45835</v>
      </c>
      <c r="C552" s="1" t="n">
        <v>46045</v>
      </c>
      <c r="D552" t="inlineStr">
        <is>
          <t>VÄSTMANLANDS LÄN</t>
        </is>
      </c>
      <c r="E552" t="inlineStr">
        <is>
          <t>SALA</t>
        </is>
      </c>
      <c r="F552" t="inlineStr">
        <is>
          <t>Bergvik skog öst AB</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51247-2025</t>
        </is>
      </c>
      <c r="B553" s="1" t="n">
        <v>45947.86487268518</v>
      </c>
      <c r="C553" s="1" t="n">
        <v>46045</v>
      </c>
      <c r="D553" t="inlineStr">
        <is>
          <t>VÄSTMANLANDS LÄN</t>
        </is>
      </c>
      <c r="E553" t="inlineStr">
        <is>
          <t>SALA</t>
        </is>
      </c>
      <c r="G553" t="n">
        <v>10.4</v>
      </c>
      <c r="H553" t="n">
        <v>0</v>
      </c>
      <c r="I553" t="n">
        <v>0</v>
      </c>
      <c r="J553" t="n">
        <v>0</v>
      </c>
      <c r="K553" t="n">
        <v>0</v>
      </c>
      <c r="L553" t="n">
        <v>0</v>
      </c>
      <c r="M553" t="n">
        <v>0</v>
      </c>
      <c r="N553" t="n">
        <v>0</v>
      </c>
      <c r="O553" t="n">
        <v>0</v>
      </c>
      <c r="P553" t="n">
        <v>0</v>
      </c>
      <c r="Q553" t="n">
        <v>0</v>
      </c>
      <c r="R553" s="2" t="inlineStr"/>
    </row>
    <row r="554" ht="15" customHeight="1">
      <c r="A554" t="inlineStr">
        <is>
          <t>A 48688-2024</t>
        </is>
      </c>
      <c r="B554" s="1" t="n">
        <v>45593.50541666667</v>
      </c>
      <c r="C554" s="1" t="n">
        <v>46045</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914-2026</t>
        </is>
      </c>
      <c r="B555" s="1" t="n">
        <v>46030.47952546296</v>
      </c>
      <c r="C555" s="1" t="n">
        <v>46045</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32902-2025</t>
        </is>
      </c>
      <c r="B556" s="1" t="n">
        <v>45839</v>
      </c>
      <c r="C556" s="1" t="n">
        <v>46045</v>
      </c>
      <c r="D556" t="inlineStr">
        <is>
          <t>VÄSTMANLANDS LÄN</t>
        </is>
      </c>
      <c r="E556" t="inlineStr">
        <is>
          <t>SALA</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948-2026</t>
        </is>
      </c>
      <c r="B557" s="1" t="n">
        <v>46030.53986111111</v>
      </c>
      <c r="C557" s="1" t="n">
        <v>46045</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34069-2025</t>
        </is>
      </c>
      <c r="B558" s="1" t="n">
        <v>45845.43560185185</v>
      </c>
      <c r="C558" s="1" t="n">
        <v>46045</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c r="U558">
        <f>HYPERLINK("https://klasma.github.io/Logging_1981/knärot/A 34069-2025 karta knärot.png", "A 34069-2025")</f>
        <v/>
      </c>
      <c r="V558">
        <f>HYPERLINK("https://klasma.github.io/Logging_1981/klagomål/A 34069-2025 FSC-klagomål.docx", "A 34069-2025")</f>
        <v/>
      </c>
      <c r="W558">
        <f>HYPERLINK("https://klasma.github.io/Logging_1981/klagomålsmail/A 34069-2025 FSC-klagomål mail.docx", "A 34069-2025")</f>
        <v/>
      </c>
      <c r="X558">
        <f>HYPERLINK("https://klasma.github.io/Logging_1981/tillsyn/A 34069-2025 tillsynsbegäran.docx", "A 34069-2025")</f>
        <v/>
      </c>
      <c r="Y558">
        <f>HYPERLINK("https://klasma.github.io/Logging_1981/tillsynsmail/A 34069-2025 tillsynsbegäran mail.docx", "A 34069-2025")</f>
        <v/>
      </c>
    </row>
    <row r="559" ht="15" customHeight="1">
      <c r="A559" t="inlineStr">
        <is>
          <t>A 45187-2024</t>
        </is>
      </c>
      <c r="B559" s="1" t="n">
        <v>45575</v>
      </c>
      <c r="C559" s="1" t="n">
        <v>46045</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59817-2025</t>
        </is>
      </c>
      <c r="B560" s="1" t="n">
        <v>45992.63711805556</v>
      </c>
      <c r="C560" s="1" t="n">
        <v>46045</v>
      </c>
      <c r="D560" t="inlineStr">
        <is>
          <t>VÄSTMANLANDS LÄN</t>
        </is>
      </c>
      <c r="E560" t="inlineStr">
        <is>
          <t>SALA</t>
        </is>
      </c>
      <c r="G560" t="n">
        <v>6.9</v>
      </c>
      <c r="H560" t="n">
        <v>0</v>
      </c>
      <c r="I560" t="n">
        <v>0</v>
      </c>
      <c r="J560" t="n">
        <v>0</v>
      </c>
      <c r="K560" t="n">
        <v>0</v>
      </c>
      <c r="L560" t="n">
        <v>0</v>
      </c>
      <c r="M560" t="n">
        <v>0</v>
      </c>
      <c r="N560" t="n">
        <v>0</v>
      </c>
      <c r="O560" t="n">
        <v>0</v>
      </c>
      <c r="P560" t="n">
        <v>0</v>
      </c>
      <c r="Q560" t="n">
        <v>0</v>
      </c>
      <c r="R560" s="2" t="inlineStr"/>
    </row>
    <row r="561" ht="15" customHeight="1">
      <c r="A561" t="inlineStr">
        <is>
          <t>A 15968-2024</t>
        </is>
      </c>
      <c r="B561" s="1" t="n">
        <v>45405.56021990741</v>
      </c>
      <c r="C561" s="1" t="n">
        <v>46045</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59390-2025</t>
        </is>
      </c>
      <c r="B562" s="1" t="n">
        <v>45989.4640162037</v>
      </c>
      <c r="C562" s="1" t="n">
        <v>46045</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59385-2025</t>
        </is>
      </c>
      <c r="B563" s="1" t="n">
        <v>45989.45746527778</v>
      </c>
      <c r="C563" s="1" t="n">
        <v>46045</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1705-2026</t>
        </is>
      </c>
      <c r="B564" s="1" t="n">
        <v>46034.59930555556</v>
      </c>
      <c r="C564" s="1" t="n">
        <v>46045</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3733-2023</t>
        </is>
      </c>
      <c r="B565" s="1" t="n">
        <v>44951.42501157407</v>
      </c>
      <c r="C565" s="1" t="n">
        <v>46045</v>
      </c>
      <c r="D565" t="inlineStr">
        <is>
          <t>VÄSTMANLANDS LÄN</t>
        </is>
      </c>
      <c r="E565" t="inlineStr">
        <is>
          <t>SALA</t>
        </is>
      </c>
      <c r="G565" t="n">
        <v>3.1</v>
      </c>
      <c r="H565" t="n">
        <v>0</v>
      </c>
      <c r="I565" t="n">
        <v>0</v>
      </c>
      <c r="J565" t="n">
        <v>0</v>
      </c>
      <c r="K565" t="n">
        <v>0</v>
      </c>
      <c r="L565" t="n">
        <v>0</v>
      </c>
      <c r="M565" t="n">
        <v>0</v>
      </c>
      <c r="N565" t="n">
        <v>0</v>
      </c>
      <c r="O565" t="n">
        <v>0</v>
      </c>
      <c r="P565" t="n">
        <v>0</v>
      </c>
      <c r="Q565" t="n">
        <v>0</v>
      </c>
      <c r="R565" s="2" t="inlineStr"/>
    </row>
    <row r="566" ht="15" customHeight="1">
      <c r="A566" t="inlineStr">
        <is>
          <t>A 15744-2025</t>
        </is>
      </c>
      <c r="B566" s="1" t="n">
        <v>45748</v>
      </c>
      <c r="C566" s="1" t="n">
        <v>46045</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60017-2025</t>
        </is>
      </c>
      <c r="B567" s="1" t="n">
        <v>45993.59998842593</v>
      </c>
      <c r="C567" s="1" t="n">
        <v>46045</v>
      </c>
      <c r="D567" t="inlineStr">
        <is>
          <t>VÄSTMANLANDS LÄN</t>
        </is>
      </c>
      <c r="E567" t="inlineStr">
        <is>
          <t>SALA</t>
        </is>
      </c>
      <c r="G567" t="n">
        <v>4.4</v>
      </c>
      <c r="H567" t="n">
        <v>0</v>
      </c>
      <c r="I567" t="n">
        <v>0</v>
      </c>
      <c r="J567" t="n">
        <v>0</v>
      </c>
      <c r="K567" t="n">
        <v>0</v>
      </c>
      <c r="L567" t="n">
        <v>0</v>
      </c>
      <c r="M567" t="n">
        <v>0</v>
      </c>
      <c r="N567" t="n">
        <v>0</v>
      </c>
      <c r="O567" t="n">
        <v>0</v>
      </c>
      <c r="P567" t="n">
        <v>0</v>
      </c>
      <c r="Q567" t="n">
        <v>0</v>
      </c>
      <c r="R567" s="2" t="inlineStr"/>
    </row>
    <row r="568" ht="15" customHeight="1">
      <c r="A568" t="inlineStr">
        <is>
          <t>A 60258-2025</t>
        </is>
      </c>
      <c r="B568" s="1" t="n">
        <v>45994.6064699074</v>
      </c>
      <c r="C568" s="1" t="n">
        <v>46045</v>
      </c>
      <c r="D568" t="inlineStr">
        <is>
          <t>VÄSTMANLANDS LÄN</t>
        </is>
      </c>
      <c r="E568" t="inlineStr">
        <is>
          <t>SALA</t>
        </is>
      </c>
      <c r="G568" t="n">
        <v>2.2</v>
      </c>
      <c r="H568" t="n">
        <v>0</v>
      </c>
      <c r="I568" t="n">
        <v>0</v>
      </c>
      <c r="J568" t="n">
        <v>0</v>
      </c>
      <c r="K568" t="n">
        <v>0</v>
      </c>
      <c r="L568" t="n">
        <v>0</v>
      </c>
      <c r="M568" t="n">
        <v>0</v>
      </c>
      <c r="N568" t="n">
        <v>0</v>
      </c>
      <c r="O568" t="n">
        <v>0</v>
      </c>
      <c r="P568" t="n">
        <v>0</v>
      </c>
      <c r="Q568" t="n">
        <v>0</v>
      </c>
      <c r="R568" s="2" t="inlineStr"/>
    </row>
    <row r="569" ht="15" customHeight="1">
      <c r="A569" t="inlineStr">
        <is>
          <t>A 60241-2025</t>
        </is>
      </c>
      <c r="B569" s="1" t="n">
        <v>45994.58454861111</v>
      </c>
      <c r="C569" s="1" t="n">
        <v>46045</v>
      </c>
      <c r="D569" t="inlineStr">
        <is>
          <t>VÄSTMANLANDS LÄN</t>
        </is>
      </c>
      <c r="E569" t="inlineStr">
        <is>
          <t>SALA</t>
        </is>
      </c>
      <c r="G569" t="n">
        <v>1.6</v>
      </c>
      <c r="H569" t="n">
        <v>0</v>
      </c>
      <c r="I569" t="n">
        <v>0</v>
      </c>
      <c r="J569" t="n">
        <v>0</v>
      </c>
      <c r="K569" t="n">
        <v>0</v>
      </c>
      <c r="L569" t="n">
        <v>0</v>
      </c>
      <c r="M569" t="n">
        <v>0</v>
      </c>
      <c r="N569" t="n">
        <v>0</v>
      </c>
      <c r="O569" t="n">
        <v>0</v>
      </c>
      <c r="P569" t="n">
        <v>0</v>
      </c>
      <c r="Q569" t="n">
        <v>0</v>
      </c>
      <c r="R569" s="2" t="inlineStr"/>
    </row>
    <row r="570" ht="15" customHeight="1">
      <c r="A570" t="inlineStr">
        <is>
          <t>A 59870-2025</t>
        </is>
      </c>
      <c r="B570" s="1" t="n">
        <v>45992.92226851852</v>
      </c>
      <c r="C570" s="1" t="n">
        <v>46045</v>
      </c>
      <c r="D570" t="inlineStr">
        <is>
          <t>VÄSTMANLANDS LÄN</t>
        </is>
      </c>
      <c r="E570" t="inlineStr">
        <is>
          <t>SALA</t>
        </is>
      </c>
      <c r="G570" t="n">
        <v>3.4</v>
      </c>
      <c r="H570" t="n">
        <v>0</v>
      </c>
      <c r="I570" t="n">
        <v>0</v>
      </c>
      <c r="J570" t="n">
        <v>0</v>
      </c>
      <c r="K570" t="n">
        <v>0</v>
      </c>
      <c r="L570" t="n">
        <v>0</v>
      </c>
      <c r="M570" t="n">
        <v>0</v>
      </c>
      <c r="N570" t="n">
        <v>0</v>
      </c>
      <c r="O570" t="n">
        <v>0</v>
      </c>
      <c r="P570" t="n">
        <v>0</v>
      </c>
      <c r="Q570" t="n">
        <v>0</v>
      </c>
      <c r="R570" s="2" t="inlineStr"/>
    </row>
    <row r="571" ht="15" customHeight="1">
      <c r="A571" t="inlineStr">
        <is>
          <t>A 44544-2024</t>
        </is>
      </c>
      <c r="B571" s="1" t="n">
        <v>45574.46119212963</v>
      </c>
      <c r="C571" s="1" t="n">
        <v>46045</v>
      </c>
      <c r="D571" t="inlineStr">
        <is>
          <t>VÄSTMANLANDS LÄN</t>
        </is>
      </c>
      <c r="E571" t="inlineStr">
        <is>
          <t>SALA</t>
        </is>
      </c>
      <c r="G571" t="n">
        <v>3.3</v>
      </c>
      <c r="H571" t="n">
        <v>0</v>
      </c>
      <c r="I571" t="n">
        <v>0</v>
      </c>
      <c r="J571" t="n">
        <v>0</v>
      </c>
      <c r="K571" t="n">
        <v>0</v>
      </c>
      <c r="L571" t="n">
        <v>0</v>
      </c>
      <c r="M571" t="n">
        <v>0</v>
      </c>
      <c r="N571" t="n">
        <v>0</v>
      </c>
      <c r="O571" t="n">
        <v>0</v>
      </c>
      <c r="P571" t="n">
        <v>0</v>
      </c>
      <c r="Q571" t="n">
        <v>0</v>
      </c>
      <c r="R571" s="2" t="inlineStr"/>
    </row>
    <row r="572" ht="15" customHeight="1">
      <c r="A572" t="inlineStr">
        <is>
          <t>A 60259-2025</t>
        </is>
      </c>
      <c r="B572" s="1" t="n">
        <v>45994.60913194445</v>
      </c>
      <c r="C572" s="1" t="n">
        <v>46045</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60246-2025</t>
        </is>
      </c>
      <c r="B573" s="1" t="n">
        <v>45994.58931712963</v>
      </c>
      <c r="C573" s="1" t="n">
        <v>46045</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60254-2025</t>
        </is>
      </c>
      <c r="B574" s="1" t="n">
        <v>45994.60146990741</v>
      </c>
      <c r="C574" s="1" t="n">
        <v>46045</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59926-2025</t>
        </is>
      </c>
      <c r="B575" s="1" t="n">
        <v>45993.39221064815</v>
      </c>
      <c r="C575" s="1" t="n">
        <v>46045</v>
      </c>
      <c r="D575" t="inlineStr">
        <is>
          <t>VÄSTMANLANDS LÄN</t>
        </is>
      </c>
      <c r="E575" t="inlineStr">
        <is>
          <t>SALA</t>
        </is>
      </c>
      <c r="G575" t="n">
        <v>7.1</v>
      </c>
      <c r="H575" t="n">
        <v>0</v>
      </c>
      <c r="I575" t="n">
        <v>0</v>
      </c>
      <c r="J575" t="n">
        <v>0</v>
      </c>
      <c r="K575" t="n">
        <v>0</v>
      </c>
      <c r="L575" t="n">
        <v>0</v>
      </c>
      <c r="M575" t="n">
        <v>0</v>
      </c>
      <c r="N575" t="n">
        <v>0</v>
      </c>
      <c r="O575" t="n">
        <v>0</v>
      </c>
      <c r="P575" t="n">
        <v>0</v>
      </c>
      <c r="Q575" t="n">
        <v>0</v>
      </c>
      <c r="R575" s="2" t="inlineStr"/>
    </row>
    <row r="576" ht="15" customHeight="1">
      <c r="A576" t="inlineStr">
        <is>
          <t>A 64729-2023</t>
        </is>
      </c>
      <c r="B576" s="1" t="n">
        <v>45281</v>
      </c>
      <c r="C576" s="1" t="n">
        <v>46045</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35715-2025</t>
        </is>
      </c>
      <c r="B577" s="1" t="n">
        <v>45860.42148148148</v>
      </c>
      <c r="C577" s="1" t="n">
        <v>46045</v>
      </c>
      <c r="D577" t="inlineStr">
        <is>
          <t>VÄSTMANLANDS LÄN</t>
        </is>
      </c>
      <c r="E577" t="inlineStr">
        <is>
          <t>SALA</t>
        </is>
      </c>
      <c r="G577" t="n">
        <v>3.8</v>
      </c>
      <c r="H577" t="n">
        <v>0</v>
      </c>
      <c r="I577" t="n">
        <v>0</v>
      </c>
      <c r="J577" t="n">
        <v>0</v>
      </c>
      <c r="K577" t="n">
        <v>0</v>
      </c>
      <c r="L577" t="n">
        <v>0</v>
      </c>
      <c r="M577" t="n">
        <v>0</v>
      </c>
      <c r="N577" t="n">
        <v>0</v>
      </c>
      <c r="O577" t="n">
        <v>0</v>
      </c>
      <c r="P577" t="n">
        <v>0</v>
      </c>
      <c r="Q577" t="n">
        <v>0</v>
      </c>
      <c r="R577" s="2" t="inlineStr"/>
    </row>
    <row r="578" ht="15" customHeight="1">
      <c r="A578" t="inlineStr">
        <is>
          <t>A 35651-2025</t>
        </is>
      </c>
      <c r="B578" s="1" t="n">
        <v>45859.52435185185</v>
      </c>
      <c r="C578" s="1" t="n">
        <v>46045</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35775-2025</t>
        </is>
      </c>
      <c r="B579" s="1" t="n">
        <v>45860</v>
      </c>
      <c r="C579" s="1" t="n">
        <v>46045</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35774-2025</t>
        </is>
      </c>
      <c r="B580" s="1" t="n">
        <v>45860.68780092592</v>
      </c>
      <c r="C580" s="1" t="n">
        <v>46045</v>
      </c>
      <c r="D580" t="inlineStr">
        <is>
          <t>VÄSTMANLANDS LÄN</t>
        </is>
      </c>
      <c r="E580" t="inlineStr">
        <is>
          <t>SALA</t>
        </is>
      </c>
      <c r="G580" t="n">
        <v>6.5</v>
      </c>
      <c r="H580" t="n">
        <v>0</v>
      </c>
      <c r="I580" t="n">
        <v>0</v>
      </c>
      <c r="J580" t="n">
        <v>0</v>
      </c>
      <c r="K580" t="n">
        <v>0</v>
      </c>
      <c r="L580" t="n">
        <v>0</v>
      </c>
      <c r="M580" t="n">
        <v>0</v>
      </c>
      <c r="N580" t="n">
        <v>0</v>
      </c>
      <c r="O580" t="n">
        <v>0</v>
      </c>
      <c r="P580" t="n">
        <v>0</v>
      </c>
      <c r="Q580" t="n">
        <v>0</v>
      </c>
      <c r="R580" s="2" t="inlineStr"/>
    </row>
    <row r="581" ht="15" customHeight="1">
      <c r="A581" t="inlineStr">
        <is>
          <t>A 35776-2025</t>
        </is>
      </c>
      <c r="B581" s="1" t="n">
        <v>45860.69211805556</v>
      </c>
      <c r="C581" s="1" t="n">
        <v>46045</v>
      </c>
      <c r="D581" t="inlineStr">
        <is>
          <t>VÄSTMANLANDS LÄN</t>
        </is>
      </c>
      <c r="E581" t="inlineStr">
        <is>
          <t>SALA</t>
        </is>
      </c>
      <c r="G581" t="n">
        <v>14.2</v>
      </c>
      <c r="H581" t="n">
        <v>0</v>
      </c>
      <c r="I581" t="n">
        <v>0</v>
      </c>
      <c r="J581" t="n">
        <v>0</v>
      </c>
      <c r="K581" t="n">
        <v>0</v>
      </c>
      <c r="L581" t="n">
        <v>0</v>
      </c>
      <c r="M581" t="n">
        <v>0</v>
      </c>
      <c r="N581" t="n">
        <v>0</v>
      </c>
      <c r="O581" t="n">
        <v>0</v>
      </c>
      <c r="P581" t="n">
        <v>0</v>
      </c>
      <c r="Q581" t="n">
        <v>0</v>
      </c>
      <c r="R581" s="2" t="inlineStr"/>
    </row>
    <row r="582" ht="15" customHeight="1">
      <c r="A582" t="inlineStr">
        <is>
          <t>A 35779-2025</t>
        </is>
      </c>
      <c r="B582" s="1" t="n">
        <v>45860.69495370371</v>
      </c>
      <c r="C582" s="1" t="n">
        <v>46045</v>
      </c>
      <c r="D582" t="inlineStr">
        <is>
          <t>VÄSTMANLANDS LÄN</t>
        </is>
      </c>
      <c r="E582" t="inlineStr">
        <is>
          <t>SALA</t>
        </is>
      </c>
      <c r="G582" t="n">
        <v>2.4</v>
      </c>
      <c r="H582" t="n">
        <v>0</v>
      </c>
      <c r="I582" t="n">
        <v>0</v>
      </c>
      <c r="J582" t="n">
        <v>0</v>
      </c>
      <c r="K582" t="n">
        <v>0</v>
      </c>
      <c r="L582" t="n">
        <v>0</v>
      </c>
      <c r="M582" t="n">
        <v>0</v>
      </c>
      <c r="N582" t="n">
        <v>0</v>
      </c>
      <c r="O582" t="n">
        <v>0</v>
      </c>
      <c r="P582" t="n">
        <v>0</v>
      </c>
      <c r="Q582" t="n">
        <v>0</v>
      </c>
      <c r="R582" s="2" t="inlineStr"/>
    </row>
    <row r="583" ht="15" customHeight="1">
      <c r="A583" t="inlineStr">
        <is>
          <t>A 60629-2025</t>
        </is>
      </c>
      <c r="B583" s="1" t="n">
        <v>45996.41972222222</v>
      </c>
      <c r="C583" s="1" t="n">
        <v>46045</v>
      </c>
      <c r="D583" t="inlineStr">
        <is>
          <t>VÄSTMANLANDS LÄN</t>
        </is>
      </c>
      <c r="E583" t="inlineStr">
        <is>
          <t>SALA</t>
        </is>
      </c>
      <c r="G583" t="n">
        <v>4.3</v>
      </c>
      <c r="H583" t="n">
        <v>0</v>
      </c>
      <c r="I583" t="n">
        <v>0</v>
      </c>
      <c r="J583" t="n">
        <v>0</v>
      </c>
      <c r="K583" t="n">
        <v>0</v>
      </c>
      <c r="L583" t="n">
        <v>0</v>
      </c>
      <c r="M583" t="n">
        <v>0</v>
      </c>
      <c r="N583" t="n">
        <v>0</v>
      </c>
      <c r="O583" t="n">
        <v>0</v>
      </c>
      <c r="P583" t="n">
        <v>0</v>
      </c>
      <c r="Q583" t="n">
        <v>0</v>
      </c>
      <c r="R583" s="2" t="inlineStr"/>
    </row>
    <row r="584" ht="15" customHeight="1">
      <c r="A584" t="inlineStr">
        <is>
          <t>A 68864-2021</t>
        </is>
      </c>
      <c r="B584" s="1" t="n">
        <v>44530</v>
      </c>
      <c r="C584" s="1" t="n">
        <v>46045</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36049-2025</t>
        </is>
      </c>
      <c r="B585" s="1" t="n">
        <v>45866.37065972222</v>
      </c>
      <c r="C585" s="1" t="n">
        <v>46045</v>
      </c>
      <c r="D585" t="inlineStr">
        <is>
          <t>VÄSTMANLANDS LÄN</t>
        </is>
      </c>
      <c r="E585" t="inlineStr">
        <is>
          <t>SALA</t>
        </is>
      </c>
      <c r="F585" t="inlineStr">
        <is>
          <t>Kommuner</t>
        </is>
      </c>
      <c r="G585" t="n">
        <v>1.9</v>
      </c>
      <c r="H585" t="n">
        <v>0</v>
      </c>
      <c r="I585" t="n">
        <v>0</v>
      </c>
      <c r="J585" t="n">
        <v>0</v>
      </c>
      <c r="K585" t="n">
        <v>0</v>
      </c>
      <c r="L585" t="n">
        <v>0</v>
      </c>
      <c r="M585" t="n">
        <v>0</v>
      </c>
      <c r="N585" t="n">
        <v>0</v>
      </c>
      <c r="O585" t="n">
        <v>0</v>
      </c>
      <c r="P585" t="n">
        <v>0</v>
      </c>
      <c r="Q585" t="n">
        <v>0</v>
      </c>
      <c r="R585" s="2" t="inlineStr"/>
    </row>
    <row r="586" ht="15" customHeight="1">
      <c r="A586" t="inlineStr">
        <is>
          <t>A 36031-2025</t>
        </is>
      </c>
      <c r="B586" s="1" t="n">
        <v>45865.46111111111</v>
      </c>
      <c r="C586" s="1" t="n">
        <v>46045</v>
      </c>
      <c r="D586" t="inlineStr">
        <is>
          <t>VÄSTMANLANDS LÄN</t>
        </is>
      </c>
      <c r="E586" t="inlineStr">
        <is>
          <t>SALA</t>
        </is>
      </c>
      <c r="G586" t="n">
        <v>7.2</v>
      </c>
      <c r="H586" t="n">
        <v>0</v>
      </c>
      <c r="I586" t="n">
        <v>0</v>
      </c>
      <c r="J586" t="n">
        <v>0</v>
      </c>
      <c r="K586" t="n">
        <v>0</v>
      </c>
      <c r="L586" t="n">
        <v>0</v>
      </c>
      <c r="M586" t="n">
        <v>0</v>
      </c>
      <c r="N586" t="n">
        <v>0</v>
      </c>
      <c r="O586" t="n">
        <v>0</v>
      </c>
      <c r="P586" t="n">
        <v>0</v>
      </c>
      <c r="Q586" t="n">
        <v>0</v>
      </c>
      <c r="R586" s="2" t="inlineStr"/>
    </row>
    <row r="587" ht="15" customHeight="1">
      <c r="A587" t="inlineStr">
        <is>
          <t>A 36060-2025</t>
        </is>
      </c>
      <c r="B587" s="1" t="n">
        <v>45866.39469907407</v>
      </c>
      <c r="C587" s="1" t="n">
        <v>46045</v>
      </c>
      <c r="D587" t="inlineStr">
        <is>
          <t>VÄSTMANLANDS LÄN</t>
        </is>
      </c>
      <c r="E587" t="inlineStr">
        <is>
          <t>SALA</t>
        </is>
      </c>
      <c r="F587" t="inlineStr">
        <is>
          <t>Kommuner</t>
        </is>
      </c>
      <c r="G587" t="n">
        <v>4.3</v>
      </c>
      <c r="H587" t="n">
        <v>0</v>
      </c>
      <c r="I587" t="n">
        <v>0</v>
      </c>
      <c r="J587" t="n">
        <v>0</v>
      </c>
      <c r="K587" t="n">
        <v>0</v>
      </c>
      <c r="L587" t="n">
        <v>0</v>
      </c>
      <c r="M587" t="n">
        <v>0</v>
      </c>
      <c r="N587" t="n">
        <v>0</v>
      </c>
      <c r="O587" t="n">
        <v>0</v>
      </c>
      <c r="P587" t="n">
        <v>0</v>
      </c>
      <c r="Q587" t="n">
        <v>0</v>
      </c>
      <c r="R587" s="2" t="inlineStr"/>
    </row>
    <row r="588" ht="15" customHeight="1">
      <c r="A588" t="inlineStr">
        <is>
          <t>A 36032-2025</t>
        </is>
      </c>
      <c r="B588" s="1" t="n">
        <v>45865.48740740741</v>
      </c>
      <c r="C588" s="1" t="n">
        <v>46045</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36043-2025</t>
        </is>
      </c>
      <c r="B589" s="1" t="n">
        <v>45866.35333333333</v>
      </c>
      <c r="C589" s="1" t="n">
        <v>46045</v>
      </c>
      <c r="D589" t="inlineStr">
        <is>
          <t>VÄSTMANLANDS LÄN</t>
        </is>
      </c>
      <c r="E589" t="inlineStr">
        <is>
          <t>SALA</t>
        </is>
      </c>
      <c r="F589" t="inlineStr">
        <is>
          <t>Kommuner</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36045-2025</t>
        </is>
      </c>
      <c r="B590" s="1" t="n">
        <v>45866.36200231482</v>
      </c>
      <c r="C590" s="1" t="n">
        <v>46045</v>
      </c>
      <c r="D590" t="inlineStr">
        <is>
          <t>VÄSTMANLANDS LÄN</t>
        </is>
      </c>
      <c r="E590" t="inlineStr">
        <is>
          <t>SALA</t>
        </is>
      </c>
      <c r="F590" t="inlineStr">
        <is>
          <t>Kommuner</t>
        </is>
      </c>
      <c r="G590" t="n">
        <v>1.7</v>
      </c>
      <c r="H590" t="n">
        <v>0</v>
      </c>
      <c r="I590" t="n">
        <v>0</v>
      </c>
      <c r="J590" t="n">
        <v>0</v>
      </c>
      <c r="K590" t="n">
        <v>0</v>
      </c>
      <c r="L590" t="n">
        <v>0</v>
      </c>
      <c r="M590" t="n">
        <v>0</v>
      </c>
      <c r="N590" t="n">
        <v>0</v>
      </c>
      <c r="O590" t="n">
        <v>0</v>
      </c>
      <c r="P590" t="n">
        <v>0</v>
      </c>
      <c r="Q590" t="n">
        <v>0</v>
      </c>
      <c r="R590" s="2" t="inlineStr"/>
    </row>
    <row r="591" ht="15" customHeight="1">
      <c r="A591" t="inlineStr">
        <is>
          <t>A 17985-2025</t>
        </is>
      </c>
      <c r="B591" s="1" t="n">
        <v>45761</v>
      </c>
      <c r="C591" s="1" t="n">
        <v>46045</v>
      </c>
      <c r="D591" t="inlineStr">
        <is>
          <t>VÄSTMANLANDS LÄN</t>
        </is>
      </c>
      <c r="E591" t="inlineStr">
        <is>
          <t>SALA</t>
        </is>
      </c>
      <c r="G591" t="n">
        <v>12.5</v>
      </c>
      <c r="H591" t="n">
        <v>0</v>
      </c>
      <c r="I591" t="n">
        <v>0</v>
      </c>
      <c r="J591" t="n">
        <v>0</v>
      </c>
      <c r="K591" t="n">
        <v>0</v>
      </c>
      <c r="L591" t="n">
        <v>0</v>
      </c>
      <c r="M591" t="n">
        <v>0</v>
      </c>
      <c r="N591" t="n">
        <v>0</v>
      </c>
      <c r="O591" t="n">
        <v>0</v>
      </c>
      <c r="P591" t="n">
        <v>0</v>
      </c>
      <c r="Q591" t="n">
        <v>0</v>
      </c>
      <c r="R591" s="2" t="inlineStr"/>
    </row>
    <row r="592" ht="15" customHeight="1">
      <c r="A592" t="inlineStr">
        <is>
          <t>A 31869-2025</t>
        </is>
      </c>
      <c r="B592" s="1" t="n">
        <v>45834.64555555556</v>
      </c>
      <c r="C592" s="1" t="n">
        <v>46045</v>
      </c>
      <c r="D592" t="inlineStr">
        <is>
          <t>VÄSTMANLANDS LÄN</t>
        </is>
      </c>
      <c r="E592" t="inlineStr">
        <is>
          <t>SALA</t>
        </is>
      </c>
      <c r="G592" t="n">
        <v>17.5</v>
      </c>
      <c r="H592" t="n">
        <v>0</v>
      </c>
      <c r="I592" t="n">
        <v>0</v>
      </c>
      <c r="J592" t="n">
        <v>0</v>
      </c>
      <c r="K592" t="n">
        <v>0</v>
      </c>
      <c r="L592" t="n">
        <v>0</v>
      </c>
      <c r="M592" t="n">
        <v>0</v>
      </c>
      <c r="N592" t="n">
        <v>0</v>
      </c>
      <c r="O592" t="n">
        <v>0</v>
      </c>
      <c r="P592" t="n">
        <v>0</v>
      </c>
      <c r="Q592" t="n">
        <v>0</v>
      </c>
      <c r="R592" s="2" t="inlineStr"/>
    </row>
    <row r="593" ht="15" customHeight="1">
      <c r="A593" t="inlineStr">
        <is>
          <t>A 31863-2025</t>
        </is>
      </c>
      <c r="B593" s="1" t="n">
        <v>45834.63303240741</v>
      </c>
      <c r="C593" s="1" t="n">
        <v>46045</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17766-2025</t>
        </is>
      </c>
      <c r="B594" s="1" t="n">
        <v>45758</v>
      </c>
      <c r="C594" s="1" t="n">
        <v>46045</v>
      </c>
      <c r="D594" t="inlineStr">
        <is>
          <t>VÄSTMANLANDS LÄN</t>
        </is>
      </c>
      <c r="E594" t="inlineStr">
        <is>
          <t>SALA</t>
        </is>
      </c>
      <c r="G594" t="n">
        <v>16.5</v>
      </c>
      <c r="H594" t="n">
        <v>0</v>
      </c>
      <c r="I594" t="n">
        <v>0</v>
      </c>
      <c r="J594" t="n">
        <v>0</v>
      </c>
      <c r="K594" t="n">
        <v>0</v>
      </c>
      <c r="L594" t="n">
        <v>0</v>
      </c>
      <c r="M594" t="n">
        <v>0</v>
      </c>
      <c r="N594" t="n">
        <v>0</v>
      </c>
      <c r="O594" t="n">
        <v>0</v>
      </c>
      <c r="P594" t="n">
        <v>0</v>
      </c>
      <c r="Q594" t="n">
        <v>0</v>
      </c>
      <c r="R594" s="2" t="inlineStr"/>
    </row>
    <row r="595" ht="15" customHeight="1">
      <c r="A595" t="inlineStr">
        <is>
          <t>A 7664-2023</t>
        </is>
      </c>
      <c r="B595" s="1" t="n">
        <v>44972</v>
      </c>
      <c r="C595" s="1" t="n">
        <v>46045</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3546-2025</t>
        </is>
      </c>
      <c r="B596" s="1" t="n">
        <v>45680</v>
      </c>
      <c r="C596" s="1" t="n">
        <v>46045</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64925-2023</t>
        </is>
      </c>
      <c r="B597" s="1" t="n">
        <v>45282</v>
      </c>
      <c r="C597" s="1" t="n">
        <v>46045</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48570-2024</t>
        </is>
      </c>
      <c r="B598" s="1" t="n">
        <v>45591</v>
      </c>
      <c r="C598" s="1" t="n">
        <v>46045</v>
      </c>
      <c r="D598" t="inlineStr">
        <is>
          <t>VÄSTMANLANDS LÄN</t>
        </is>
      </c>
      <c r="E598" t="inlineStr">
        <is>
          <t>SALA</t>
        </is>
      </c>
      <c r="G598" t="n">
        <v>3</v>
      </c>
      <c r="H598" t="n">
        <v>0</v>
      </c>
      <c r="I598" t="n">
        <v>0</v>
      </c>
      <c r="J598" t="n">
        <v>0</v>
      </c>
      <c r="K598" t="n">
        <v>0</v>
      </c>
      <c r="L598" t="n">
        <v>0</v>
      </c>
      <c r="M598" t="n">
        <v>0</v>
      </c>
      <c r="N598" t="n">
        <v>0</v>
      </c>
      <c r="O598" t="n">
        <v>0</v>
      </c>
      <c r="P598" t="n">
        <v>0</v>
      </c>
      <c r="Q598" t="n">
        <v>0</v>
      </c>
      <c r="R598" s="2" t="inlineStr"/>
    </row>
    <row r="599" ht="15" customHeight="1">
      <c r="A599" t="inlineStr">
        <is>
          <t>A 37017-2025</t>
        </is>
      </c>
      <c r="B599" s="1" t="n">
        <v>45874</v>
      </c>
      <c r="C599" s="1" t="n">
        <v>46045</v>
      </c>
      <c r="D599" t="inlineStr">
        <is>
          <t>VÄSTMANLANDS LÄN</t>
        </is>
      </c>
      <c r="E599" t="inlineStr">
        <is>
          <t>SALA</t>
        </is>
      </c>
      <c r="G599" t="n">
        <v>11.1</v>
      </c>
      <c r="H599" t="n">
        <v>0</v>
      </c>
      <c r="I599" t="n">
        <v>0</v>
      </c>
      <c r="J599" t="n">
        <v>0</v>
      </c>
      <c r="K599" t="n">
        <v>0</v>
      </c>
      <c r="L599" t="n">
        <v>0</v>
      </c>
      <c r="M599" t="n">
        <v>0</v>
      </c>
      <c r="N599" t="n">
        <v>0</v>
      </c>
      <c r="O599" t="n">
        <v>0</v>
      </c>
      <c r="P599" t="n">
        <v>0</v>
      </c>
      <c r="Q599" t="n">
        <v>0</v>
      </c>
      <c r="R599" s="2" t="inlineStr"/>
    </row>
    <row r="600" ht="15" customHeight="1">
      <c r="A600" t="inlineStr">
        <is>
          <t>A 37103-2025</t>
        </is>
      </c>
      <c r="B600" s="1" t="n">
        <v>45875.47743055555</v>
      </c>
      <c r="C600" s="1" t="n">
        <v>46045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37246-2025</t>
        </is>
      </c>
      <c r="B601" s="1" t="n">
        <v>45876.39435185185</v>
      </c>
      <c r="C601" s="1" t="n">
        <v>46045</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61517-2024</t>
        </is>
      </c>
      <c r="B602" s="1" t="n">
        <v>45645</v>
      </c>
      <c r="C602" s="1" t="n">
        <v>46045</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17722-2025</t>
        </is>
      </c>
      <c r="B603" s="1" t="n">
        <v>45758</v>
      </c>
      <c r="C603" s="1" t="n">
        <v>46045</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16760-2024</t>
        </is>
      </c>
      <c r="B604" s="1" t="n">
        <v>45411</v>
      </c>
      <c r="C604" s="1" t="n">
        <v>46045</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4214-2026</t>
        </is>
      </c>
      <c r="B605" s="1" t="n">
        <v>46044.76459490741</v>
      </c>
      <c r="C605" s="1" t="n">
        <v>46045</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37590-2025</t>
        </is>
      </c>
      <c r="B606" s="1" t="n">
        <v>45880.41138888889</v>
      </c>
      <c r="C606" s="1" t="n">
        <v>46045</v>
      </c>
      <c r="D606" t="inlineStr">
        <is>
          <t>VÄSTMANLANDS LÄN</t>
        </is>
      </c>
      <c r="E606" t="inlineStr">
        <is>
          <t>SALA</t>
        </is>
      </c>
      <c r="G606" t="n">
        <v>2.2</v>
      </c>
      <c r="H606" t="n">
        <v>0</v>
      </c>
      <c r="I606" t="n">
        <v>0</v>
      </c>
      <c r="J606" t="n">
        <v>0</v>
      </c>
      <c r="K606" t="n">
        <v>0</v>
      </c>
      <c r="L606" t="n">
        <v>0</v>
      </c>
      <c r="M606" t="n">
        <v>0</v>
      </c>
      <c r="N606" t="n">
        <v>0</v>
      </c>
      <c r="O606" t="n">
        <v>0</v>
      </c>
      <c r="P606" t="n">
        <v>0</v>
      </c>
      <c r="Q606" t="n">
        <v>0</v>
      </c>
      <c r="R606" s="2" t="inlineStr"/>
    </row>
    <row r="607" ht="15" customHeight="1">
      <c r="A607" t="inlineStr">
        <is>
          <t>A 37593-2025</t>
        </is>
      </c>
      <c r="B607" s="1" t="n">
        <v>45880.41325231481</v>
      </c>
      <c r="C607" s="1" t="n">
        <v>46045</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61522-2025</t>
        </is>
      </c>
      <c r="B608" s="1" t="n">
        <v>46001.68684027778</v>
      </c>
      <c r="C608" s="1" t="n">
        <v>46045</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54603-2024</t>
        </is>
      </c>
      <c r="B609" s="1" t="n">
        <v>45617.68224537037</v>
      </c>
      <c r="C609" s="1" t="n">
        <v>46045</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43359-2024</t>
        </is>
      </c>
      <c r="B610" s="1" t="n">
        <v>45568.57724537037</v>
      </c>
      <c r="C610" s="1" t="n">
        <v>46045</v>
      </c>
      <c r="D610" t="inlineStr">
        <is>
          <t>VÄSTMANLANDS LÄN</t>
        </is>
      </c>
      <c r="E610" t="inlineStr">
        <is>
          <t>SALA</t>
        </is>
      </c>
      <c r="G610" t="n">
        <v>1.6</v>
      </c>
      <c r="H610" t="n">
        <v>0</v>
      </c>
      <c r="I610" t="n">
        <v>0</v>
      </c>
      <c r="J610" t="n">
        <v>0</v>
      </c>
      <c r="K610" t="n">
        <v>0</v>
      </c>
      <c r="L610" t="n">
        <v>0</v>
      </c>
      <c r="M610" t="n">
        <v>0</v>
      </c>
      <c r="N610" t="n">
        <v>0</v>
      </c>
      <c r="O610" t="n">
        <v>0</v>
      </c>
      <c r="P610" t="n">
        <v>0</v>
      </c>
      <c r="Q610" t="n">
        <v>0</v>
      </c>
      <c r="R610" s="2" t="inlineStr"/>
    </row>
    <row r="611" ht="15" customHeight="1">
      <c r="A611" t="inlineStr">
        <is>
          <t>A 29972-2025</t>
        </is>
      </c>
      <c r="B611" s="1" t="n">
        <v>45826</v>
      </c>
      <c r="C611" s="1" t="n">
        <v>46045</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18762-2024</t>
        </is>
      </c>
      <c r="B612" s="1" t="n">
        <v>45426.55240740741</v>
      </c>
      <c r="C612" s="1" t="n">
        <v>46045</v>
      </c>
      <c r="D612" t="inlineStr">
        <is>
          <t>VÄSTMANLANDS LÄN</t>
        </is>
      </c>
      <c r="E612" t="inlineStr">
        <is>
          <t>SALA</t>
        </is>
      </c>
      <c r="G612" t="n">
        <v>6.2</v>
      </c>
      <c r="H612" t="n">
        <v>0</v>
      </c>
      <c r="I612" t="n">
        <v>0</v>
      </c>
      <c r="J612" t="n">
        <v>0</v>
      </c>
      <c r="K612" t="n">
        <v>0</v>
      </c>
      <c r="L612" t="n">
        <v>0</v>
      </c>
      <c r="M612" t="n">
        <v>0</v>
      </c>
      <c r="N612" t="n">
        <v>0</v>
      </c>
      <c r="O612" t="n">
        <v>0</v>
      </c>
      <c r="P612" t="n">
        <v>0</v>
      </c>
      <c r="Q612" t="n">
        <v>0</v>
      </c>
      <c r="R612" s="2" t="inlineStr"/>
    </row>
    <row r="613" ht="15" customHeight="1">
      <c r="A613" t="inlineStr">
        <is>
          <t>A 17120-2023</t>
        </is>
      </c>
      <c r="B613" s="1" t="n">
        <v>45034</v>
      </c>
      <c r="C613" s="1" t="n">
        <v>46045</v>
      </c>
      <c r="D613" t="inlineStr">
        <is>
          <t>VÄSTMANLANDS LÄN</t>
        </is>
      </c>
      <c r="E613" t="inlineStr">
        <is>
          <t>SALA</t>
        </is>
      </c>
      <c r="G613" t="n">
        <v>0.1</v>
      </c>
      <c r="H613" t="n">
        <v>0</v>
      </c>
      <c r="I613" t="n">
        <v>0</v>
      </c>
      <c r="J613" t="n">
        <v>0</v>
      </c>
      <c r="K613" t="n">
        <v>0</v>
      </c>
      <c r="L613" t="n">
        <v>0</v>
      </c>
      <c r="M613" t="n">
        <v>0</v>
      </c>
      <c r="N613" t="n">
        <v>0</v>
      </c>
      <c r="O613" t="n">
        <v>0</v>
      </c>
      <c r="P613" t="n">
        <v>0</v>
      </c>
      <c r="Q613" t="n">
        <v>0</v>
      </c>
      <c r="R613" s="2" t="inlineStr"/>
    </row>
    <row r="614" ht="15" customHeight="1">
      <c r="A614" t="inlineStr">
        <is>
          <t>A 42938-2023</t>
        </is>
      </c>
      <c r="B614" s="1" t="n">
        <v>45179</v>
      </c>
      <c r="C614" s="1" t="n">
        <v>46045</v>
      </c>
      <c r="D614" t="inlineStr">
        <is>
          <t>VÄSTMANLANDS LÄN</t>
        </is>
      </c>
      <c r="E614" t="inlineStr">
        <is>
          <t>SALA</t>
        </is>
      </c>
      <c r="G614" t="n">
        <v>10.9</v>
      </c>
      <c r="H614" t="n">
        <v>0</v>
      </c>
      <c r="I614" t="n">
        <v>0</v>
      </c>
      <c r="J614" t="n">
        <v>0</v>
      </c>
      <c r="K614" t="n">
        <v>0</v>
      </c>
      <c r="L614" t="n">
        <v>0</v>
      </c>
      <c r="M614" t="n">
        <v>0</v>
      </c>
      <c r="N614" t="n">
        <v>0</v>
      </c>
      <c r="O614" t="n">
        <v>0</v>
      </c>
      <c r="P614" t="n">
        <v>0</v>
      </c>
      <c r="Q614" t="n">
        <v>0</v>
      </c>
      <c r="R614" s="2" t="inlineStr"/>
    </row>
    <row r="615" ht="15" customHeight="1">
      <c r="A615" t="inlineStr">
        <is>
          <t>A 42984-2023</t>
        </is>
      </c>
      <c r="B615" s="1" t="n">
        <v>45179</v>
      </c>
      <c r="C615" s="1" t="n">
        <v>46045</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15972-2024</t>
        </is>
      </c>
      <c r="B616" s="1" t="n">
        <v>45405.56498842593</v>
      </c>
      <c r="C616" s="1" t="n">
        <v>46045</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39714-2023</t>
        </is>
      </c>
      <c r="B617" s="1" t="n">
        <v>45167.62133101852</v>
      </c>
      <c r="C617" s="1" t="n">
        <v>46045</v>
      </c>
      <c r="D617" t="inlineStr">
        <is>
          <t>VÄSTMANLANDS LÄN</t>
        </is>
      </c>
      <c r="E617" t="inlineStr">
        <is>
          <t>SALA</t>
        </is>
      </c>
      <c r="G617" t="n">
        <v>1.3</v>
      </c>
      <c r="H617" t="n">
        <v>0</v>
      </c>
      <c r="I617" t="n">
        <v>0</v>
      </c>
      <c r="J617" t="n">
        <v>0</v>
      </c>
      <c r="K617" t="n">
        <v>0</v>
      </c>
      <c r="L617" t="n">
        <v>0</v>
      </c>
      <c r="M617" t="n">
        <v>0</v>
      </c>
      <c r="N617" t="n">
        <v>0</v>
      </c>
      <c r="O617" t="n">
        <v>0</v>
      </c>
      <c r="P617" t="n">
        <v>0</v>
      </c>
      <c r="Q617" t="n">
        <v>0</v>
      </c>
      <c r="R617" s="2" t="inlineStr"/>
    </row>
    <row r="618" ht="15" customHeight="1">
      <c r="A618" t="inlineStr">
        <is>
          <t>A 33527-2023</t>
        </is>
      </c>
      <c r="B618" s="1" t="n">
        <v>45131</v>
      </c>
      <c r="C618" s="1" t="n">
        <v>46045</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10913-2025</t>
        </is>
      </c>
      <c r="B619" s="1" t="n">
        <v>45722.73423611111</v>
      </c>
      <c r="C619" s="1" t="n">
        <v>46045</v>
      </c>
      <c r="D619" t="inlineStr">
        <is>
          <t>VÄSTMANLANDS LÄN</t>
        </is>
      </c>
      <c r="E619" t="inlineStr">
        <is>
          <t>SALA</t>
        </is>
      </c>
      <c r="G619" t="n">
        <v>7.6</v>
      </c>
      <c r="H619" t="n">
        <v>0</v>
      </c>
      <c r="I619" t="n">
        <v>0</v>
      </c>
      <c r="J619" t="n">
        <v>0</v>
      </c>
      <c r="K619" t="n">
        <v>0</v>
      </c>
      <c r="L619" t="n">
        <v>0</v>
      </c>
      <c r="M619" t="n">
        <v>0</v>
      </c>
      <c r="N619" t="n">
        <v>0</v>
      </c>
      <c r="O619" t="n">
        <v>0</v>
      </c>
      <c r="P619" t="n">
        <v>0</v>
      </c>
      <c r="Q619" t="n">
        <v>0</v>
      </c>
      <c r="R619" s="2" t="inlineStr"/>
    </row>
    <row r="620" ht="15" customHeight="1">
      <c r="A620" t="inlineStr">
        <is>
          <t>A 58107-2021</t>
        </is>
      </c>
      <c r="B620" s="1" t="n">
        <v>44487</v>
      </c>
      <c r="C620" s="1" t="n">
        <v>46045</v>
      </c>
      <c r="D620" t="inlineStr">
        <is>
          <t>VÄSTMANLANDS LÄN</t>
        </is>
      </c>
      <c r="E620" t="inlineStr">
        <is>
          <t>SALA</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2927-2024</t>
        </is>
      </c>
      <c r="B621" s="1" t="n">
        <v>45315.58989583333</v>
      </c>
      <c r="C621" s="1" t="n">
        <v>46045</v>
      </c>
      <c r="D621" t="inlineStr">
        <is>
          <t>VÄSTMANLANDS LÄN</t>
        </is>
      </c>
      <c r="E621" t="inlineStr">
        <is>
          <t>SALA</t>
        </is>
      </c>
      <c r="G621" t="n">
        <v>2.5</v>
      </c>
      <c r="H621" t="n">
        <v>0</v>
      </c>
      <c r="I621" t="n">
        <v>0</v>
      </c>
      <c r="J621" t="n">
        <v>0</v>
      </c>
      <c r="K621" t="n">
        <v>0</v>
      </c>
      <c r="L621" t="n">
        <v>0</v>
      </c>
      <c r="M621" t="n">
        <v>0</v>
      </c>
      <c r="N621" t="n">
        <v>0</v>
      </c>
      <c r="O621" t="n">
        <v>0</v>
      </c>
      <c r="P621" t="n">
        <v>0</v>
      </c>
      <c r="Q621" t="n">
        <v>0</v>
      </c>
      <c r="R621" s="2" t="inlineStr"/>
    </row>
    <row r="622" ht="15" customHeight="1">
      <c r="A622" t="inlineStr">
        <is>
          <t>A 37183-2024</t>
        </is>
      </c>
      <c r="B622" s="1" t="n">
        <v>45539</v>
      </c>
      <c r="C622" s="1" t="n">
        <v>46045</v>
      </c>
      <c r="D622" t="inlineStr">
        <is>
          <t>VÄSTMANLANDS LÄN</t>
        </is>
      </c>
      <c r="E622" t="inlineStr">
        <is>
          <t>SALA</t>
        </is>
      </c>
      <c r="G622" t="n">
        <v>1.2</v>
      </c>
      <c r="H622" t="n">
        <v>0</v>
      </c>
      <c r="I622" t="n">
        <v>0</v>
      </c>
      <c r="J622" t="n">
        <v>0</v>
      </c>
      <c r="K622" t="n">
        <v>0</v>
      </c>
      <c r="L622" t="n">
        <v>0</v>
      </c>
      <c r="M622" t="n">
        <v>0</v>
      </c>
      <c r="N622" t="n">
        <v>0</v>
      </c>
      <c r="O622" t="n">
        <v>0</v>
      </c>
      <c r="P622" t="n">
        <v>0</v>
      </c>
      <c r="Q622" t="n">
        <v>0</v>
      </c>
      <c r="R622" s="2" t="inlineStr"/>
    </row>
    <row r="623" ht="15" customHeight="1">
      <c r="A623" t="inlineStr">
        <is>
          <t>A 54199-2024</t>
        </is>
      </c>
      <c r="B623" s="1" t="n">
        <v>45616.64703703704</v>
      </c>
      <c r="C623" s="1" t="n">
        <v>46045</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60548-2024</t>
        </is>
      </c>
      <c r="B624" s="1" t="n">
        <v>45643.80978009259</v>
      </c>
      <c r="C624" s="1" t="n">
        <v>46045</v>
      </c>
      <c r="D624" t="inlineStr">
        <is>
          <t>VÄSTMANLANDS LÄN</t>
        </is>
      </c>
      <c r="E624" t="inlineStr">
        <is>
          <t>SALA</t>
        </is>
      </c>
      <c r="G624" t="n">
        <v>1.6</v>
      </c>
      <c r="H624" t="n">
        <v>0</v>
      </c>
      <c r="I624" t="n">
        <v>0</v>
      </c>
      <c r="J624" t="n">
        <v>0</v>
      </c>
      <c r="K624" t="n">
        <v>0</v>
      </c>
      <c r="L624" t="n">
        <v>0</v>
      </c>
      <c r="M624" t="n">
        <v>0</v>
      </c>
      <c r="N624" t="n">
        <v>0</v>
      </c>
      <c r="O624" t="n">
        <v>0</v>
      </c>
      <c r="P624" t="n">
        <v>0</v>
      </c>
      <c r="Q624" t="n">
        <v>0</v>
      </c>
      <c r="R624" s="2" t="inlineStr"/>
    </row>
    <row r="625" ht="15" customHeight="1">
      <c r="A625" t="inlineStr">
        <is>
          <t>A 57895-2024</t>
        </is>
      </c>
      <c r="B625" s="1" t="n">
        <v>45631</v>
      </c>
      <c r="C625" s="1" t="n">
        <v>46045</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31597-2024</t>
        </is>
      </c>
      <c r="B626" s="1" t="n">
        <v>45506</v>
      </c>
      <c r="C626" s="1" t="n">
        <v>46045</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17458-2024</t>
        </is>
      </c>
      <c r="B627" s="1" t="n">
        <v>45415</v>
      </c>
      <c r="C627" s="1" t="n">
        <v>46045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56543-2024</t>
        </is>
      </c>
      <c r="B628" s="1" t="n">
        <v>45625</v>
      </c>
      <c r="C628" s="1" t="n">
        <v>46045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28661-2024</t>
        </is>
      </c>
      <c r="B629" s="1" t="n">
        <v>45478</v>
      </c>
      <c r="C629" s="1" t="n">
        <v>46045</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2529-2022</t>
        </is>
      </c>
      <c r="B630" s="1" t="n">
        <v>44579.86452546297</v>
      </c>
      <c r="C630" s="1" t="n">
        <v>46045</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56540-2024</t>
        </is>
      </c>
      <c r="B631" s="1" t="n">
        <v>45625</v>
      </c>
      <c r="C631" s="1" t="n">
        <v>46045</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31599-2024</t>
        </is>
      </c>
      <c r="B632" s="1" t="n">
        <v>45506</v>
      </c>
      <c r="C632" s="1" t="n">
        <v>46045</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31601-2024</t>
        </is>
      </c>
      <c r="B633" s="1" t="n">
        <v>45506</v>
      </c>
      <c r="C633" s="1" t="n">
        <v>46045</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31608-2024</t>
        </is>
      </c>
      <c r="B634" s="1" t="n">
        <v>45506</v>
      </c>
      <c r="C634" s="1" t="n">
        <v>46045</v>
      </c>
      <c r="D634" t="inlineStr">
        <is>
          <t>VÄSTMANLANDS LÄN</t>
        </is>
      </c>
      <c r="E634" t="inlineStr">
        <is>
          <t>SALA</t>
        </is>
      </c>
      <c r="G634" t="n">
        <v>1.7</v>
      </c>
      <c r="H634" t="n">
        <v>0</v>
      </c>
      <c r="I634" t="n">
        <v>0</v>
      </c>
      <c r="J634" t="n">
        <v>0</v>
      </c>
      <c r="K634" t="n">
        <v>0</v>
      </c>
      <c r="L634" t="n">
        <v>0</v>
      </c>
      <c r="M634" t="n">
        <v>0</v>
      </c>
      <c r="N634" t="n">
        <v>0</v>
      </c>
      <c r="O634" t="n">
        <v>0</v>
      </c>
      <c r="P634" t="n">
        <v>0</v>
      </c>
      <c r="Q634" t="n">
        <v>0</v>
      </c>
      <c r="R634" s="2" t="inlineStr"/>
    </row>
    <row r="635" ht="15" customHeight="1">
      <c r="A635" t="inlineStr">
        <is>
          <t>A 31612-2024</t>
        </is>
      </c>
      <c r="B635" s="1" t="n">
        <v>45506</v>
      </c>
      <c r="C635" s="1" t="n">
        <v>46045</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10579-2022</t>
        </is>
      </c>
      <c r="B636" s="1" t="n">
        <v>44624</v>
      </c>
      <c r="C636" s="1" t="n">
        <v>46045</v>
      </c>
      <c r="D636" t="inlineStr">
        <is>
          <t>VÄSTMANLANDS LÄN</t>
        </is>
      </c>
      <c r="E636" t="inlineStr">
        <is>
          <t>SALA</t>
        </is>
      </c>
      <c r="G636" t="n">
        <v>1</v>
      </c>
      <c r="H636" t="n">
        <v>0</v>
      </c>
      <c r="I636" t="n">
        <v>0</v>
      </c>
      <c r="J636" t="n">
        <v>0</v>
      </c>
      <c r="K636" t="n">
        <v>0</v>
      </c>
      <c r="L636" t="n">
        <v>0</v>
      </c>
      <c r="M636" t="n">
        <v>0</v>
      </c>
      <c r="N636" t="n">
        <v>0</v>
      </c>
      <c r="O636" t="n">
        <v>0</v>
      </c>
      <c r="P636" t="n">
        <v>0</v>
      </c>
      <c r="Q636" t="n">
        <v>0</v>
      </c>
      <c r="R636" s="2" t="inlineStr"/>
    </row>
    <row r="637" ht="15" customHeight="1">
      <c r="A637" t="inlineStr">
        <is>
          <t>A 64693-2023</t>
        </is>
      </c>
      <c r="B637" s="1" t="n">
        <v>45281.63850694444</v>
      </c>
      <c r="C637" s="1" t="n">
        <v>46045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64695-2023</t>
        </is>
      </c>
      <c r="B638" s="1" t="n">
        <v>45281.64099537037</v>
      </c>
      <c r="C638" s="1" t="n">
        <v>46045</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55784-2024</t>
        </is>
      </c>
      <c r="B639" s="1" t="n">
        <v>45623</v>
      </c>
      <c r="C639" s="1" t="n">
        <v>46045</v>
      </c>
      <c r="D639" t="inlineStr">
        <is>
          <t>VÄSTMANLANDS LÄN</t>
        </is>
      </c>
      <c r="E639" t="inlineStr">
        <is>
          <t>SALA</t>
        </is>
      </c>
      <c r="F639" t="inlineStr">
        <is>
          <t>Bergvik skog öst AB</t>
        </is>
      </c>
      <c r="G639" t="n">
        <v>28.4</v>
      </c>
      <c r="H639" t="n">
        <v>0</v>
      </c>
      <c r="I639" t="n">
        <v>0</v>
      </c>
      <c r="J639" t="n">
        <v>0</v>
      </c>
      <c r="K639" t="n">
        <v>0</v>
      </c>
      <c r="L639" t="n">
        <v>0</v>
      </c>
      <c r="M639" t="n">
        <v>0</v>
      </c>
      <c r="N639" t="n">
        <v>0</v>
      </c>
      <c r="O639" t="n">
        <v>0</v>
      </c>
      <c r="P639" t="n">
        <v>0</v>
      </c>
      <c r="Q639" t="n">
        <v>0</v>
      </c>
      <c r="R639" s="2" t="inlineStr"/>
    </row>
    <row r="640" ht="15" customHeight="1">
      <c r="A640" t="inlineStr">
        <is>
          <t>A 29542-2023</t>
        </is>
      </c>
      <c r="B640" s="1" t="n">
        <v>45098</v>
      </c>
      <c r="C640" s="1" t="n">
        <v>46045</v>
      </c>
      <c r="D640" t="inlineStr">
        <is>
          <t>VÄSTMANLANDS LÄN</t>
        </is>
      </c>
      <c r="E640" t="inlineStr">
        <is>
          <t>SALA</t>
        </is>
      </c>
      <c r="G640" t="n">
        <v>4.8</v>
      </c>
      <c r="H640" t="n">
        <v>0</v>
      </c>
      <c r="I640" t="n">
        <v>0</v>
      </c>
      <c r="J640" t="n">
        <v>0</v>
      </c>
      <c r="K640" t="n">
        <v>0</v>
      </c>
      <c r="L640" t="n">
        <v>0</v>
      </c>
      <c r="M640" t="n">
        <v>0</v>
      </c>
      <c r="N640" t="n">
        <v>0</v>
      </c>
      <c r="O640" t="n">
        <v>0</v>
      </c>
      <c r="P640" t="n">
        <v>0</v>
      </c>
      <c r="Q640" t="n">
        <v>0</v>
      </c>
      <c r="R640" s="2" t="inlineStr"/>
    </row>
    <row r="641" ht="15" customHeight="1">
      <c r="A641" t="inlineStr">
        <is>
          <t>A 27038-2023</t>
        </is>
      </c>
      <c r="B641" s="1" t="n">
        <v>45095</v>
      </c>
      <c r="C641" s="1" t="n">
        <v>46045</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17051-2025</t>
        </is>
      </c>
      <c r="B642" s="1" t="n">
        <v>45755</v>
      </c>
      <c r="C642" s="1" t="n">
        <v>46045</v>
      </c>
      <c r="D642" t="inlineStr">
        <is>
          <t>VÄSTMANLANDS LÄN</t>
        </is>
      </c>
      <c r="E642" t="inlineStr">
        <is>
          <t>SALA</t>
        </is>
      </c>
      <c r="G642" t="n">
        <v>2.9</v>
      </c>
      <c r="H642" t="n">
        <v>0</v>
      </c>
      <c r="I642" t="n">
        <v>0</v>
      </c>
      <c r="J642" t="n">
        <v>0</v>
      </c>
      <c r="K642" t="n">
        <v>0</v>
      </c>
      <c r="L642" t="n">
        <v>0</v>
      </c>
      <c r="M642" t="n">
        <v>0</v>
      </c>
      <c r="N642" t="n">
        <v>0</v>
      </c>
      <c r="O642" t="n">
        <v>0</v>
      </c>
      <c r="P642" t="n">
        <v>0</v>
      </c>
      <c r="Q642" t="n">
        <v>0</v>
      </c>
      <c r="R642" s="2" t="inlineStr"/>
    </row>
    <row r="643" ht="15" customHeight="1">
      <c r="A643" t="inlineStr">
        <is>
          <t>A 8285-2025</t>
        </is>
      </c>
      <c r="B643" s="1" t="n">
        <v>45708</v>
      </c>
      <c r="C643" s="1" t="n">
        <v>46045</v>
      </c>
      <c r="D643" t="inlineStr">
        <is>
          <t>VÄSTMANLANDS LÄN</t>
        </is>
      </c>
      <c r="E643" t="inlineStr">
        <is>
          <t>SALA</t>
        </is>
      </c>
      <c r="G643" t="n">
        <v>5.7</v>
      </c>
      <c r="H643" t="n">
        <v>0</v>
      </c>
      <c r="I643" t="n">
        <v>0</v>
      </c>
      <c r="J643" t="n">
        <v>0</v>
      </c>
      <c r="K643" t="n">
        <v>0</v>
      </c>
      <c r="L643" t="n">
        <v>0</v>
      </c>
      <c r="M643" t="n">
        <v>0</v>
      </c>
      <c r="N643" t="n">
        <v>0</v>
      </c>
      <c r="O643" t="n">
        <v>0</v>
      </c>
      <c r="P643" t="n">
        <v>0</v>
      </c>
      <c r="Q643" t="n">
        <v>0</v>
      </c>
      <c r="R643" s="2" t="inlineStr"/>
    </row>
    <row r="644" ht="15" customHeight="1">
      <c r="A644" t="inlineStr">
        <is>
          <t>A 14010-2021</t>
        </is>
      </c>
      <c r="B644" s="1" t="n">
        <v>44277.63396990741</v>
      </c>
      <c r="C644" s="1" t="n">
        <v>46045</v>
      </c>
      <c r="D644" t="inlineStr">
        <is>
          <t>VÄSTMANLANDS LÄN</t>
        </is>
      </c>
      <c r="E644" t="inlineStr">
        <is>
          <t>SALA</t>
        </is>
      </c>
      <c r="G644" t="n">
        <v>3.5</v>
      </c>
      <c r="H644" t="n">
        <v>0</v>
      </c>
      <c r="I644" t="n">
        <v>0</v>
      </c>
      <c r="J644" t="n">
        <v>0</v>
      </c>
      <c r="K644" t="n">
        <v>0</v>
      </c>
      <c r="L644" t="n">
        <v>0</v>
      </c>
      <c r="M644" t="n">
        <v>0</v>
      </c>
      <c r="N644" t="n">
        <v>0</v>
      </c>
      <c r="O644" t="n">
        <v>0</v>
      </c>
      <c r="P644" t="n">
        <v>0</v>
      </c>
      <c r="Q644" t="n">
        <v>0</v>
      </c>
      <c r="R644" s="2" t="inlineStr"/>
    </row>
    <row r="645" ht="15" customHeight="1">
      <c r="A645" t="inlineStr">
        <is>
          <t>A 22019-2021</t>
        </is>
      </c>
      <c r="B645" s="1" t="n">
        <v>44323</v>
      </c>
      <c r="C645" s="1" t="n">
        <v>46045</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57404-2024</t>
        </is>
      </c>
      <c r="B646" s="1" t="n">
        <v>45629.71967592592</v>
      </c>
      <c r="C646" s="1" t="n">
        <v>46045</v>
      </c>
      <c r="D646" t="inlineStr">
        <is>
          <t>VÄSTMANLANDS LÄN</t>
        </is>
      </c>
      <c r="E646" t="inlineStr">
        <is>
          <t>SALA</t>
        </is>
      </c>
      <c r="G646" t="n">
        <v>0.3</v>
      </c>
      <c r="H646" t="n">
        <v>0</v>
      </c>
      <c r="I646" t="n">
        <v>0</v>
      </c>
      <c r="J646" t="n">
        <v>0</v>
      </c>
      <c r="K646" t="n">
        <v>0</v>
      </c>
      <c r="L646" t="n">
        <v>0</v>
      </c>
      <c r="M646" t="n">
        <v>0</v>
      </c>
      <c r="N646" t="n">
        <v>0</v>
      </c>
      <c r="O646" t="n">
        <v>0</v>
      </c>
      <c r="P646" t="n">
        <v>0</v>
      </c>
      <c r="Q646" t="n">
        <v>0</v>
      </c>
      <c r="R646" s="2" t="inlineStr"/>
    </row>
    <row r="647" ht="15" customHeight="1">
      <c r="A647" t="inlineStr">
        <is>
          <t>A 21777-2022</t>
        </is>
      </c>
      <c r="B647" s="1" t="n">
        <v>44708.48194444444</v>
      </c>
      <c r="C647" s="1" t="n">
        <v>46045</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17866-2025</t>
        </is>
      </c>
      <c r="B648" s="1" t="n">
        <v>45758</v>
      </c>
      <c r="C648" s="1" t="n">
        <v>46045</v>
      </c>
      <c r="D648" t="inlineStr">
        <is>
          <t>VÄSTMANLANDS LÄN</t>
        </is>
      </c>
      <c r="E648" t="inlineStr">
        <is>
          <t>SALA</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33732-2023</t>
        </is>
      </c>
      <c r="B649" s="1" t="n">
        <v>45133.32409722222</v>
      </c>
      <c r="C649" s="1" t="n">
        <v>46045</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7166-2025</t>
        </is>
      </c>
      <c r="B650" s="1" t="n">
        <v>45702</v>
      </c>
      <c r="C650" s="1" t="n">
        <v>46045</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44857-2023</t>
        </is>
      </c>
      <c r="B651" s="1" t="n">
        <v>45190.58479166667</v>
      </c>
      <c r="C651" s="1" t="n">
        <v>46045</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46352-2023</t>
        </is>
      </c>
      <c r="B652" s="1" t="n">
        <v>45192</v>
      </c>
      <c r="C652" s="1" t="n">
        <v>46045</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22397-2022</t>
        </is>
      </c>
      <c r="B653" s="1" t="n">
        <v>44713</v>
      </c>
      <c r="C653" s="1" t="n">
        <v>46045</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27424-2023</t>
        </is>
      </c>
      <c r="B654" s="1" t="n">
        <v>45097.37690972222</v>
      </c>
      <c r="C654" s="1" t="n">
        <v>46045</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7469-2025</t>
        </is>
      </c>
      <c r="B655" s="1" t="n">
        <v>45705</v>
      </c>
      <c r="C655" s="1" t="n">
        <v>46045</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6691-2025</t>
        </is>
      </c>
      <c r="B656" s="1" t="n">
        <v>45700.50625</v>
      </c>
      <c r="C656" s="1" t="n">
        <v>46045</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60036-2024</t>
        </is>
      </c>
      <c r="B657" s="1" t="n">
        <v>45642.46434027778</v>
      </c>
      <c r="C657" s="1" t="n">
        <v>46045</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43188-2023</t>
        </is>
      </c>
      <c r="B658" s="1" t="n">
        <v>45183</v>
      </c>
      <c r="C658" s="1" t="n">
        <v>46045</v>
      </c>
      <c r="D658" t="inlineStr">
        <is>
          <t>VÄSTMANLANDS LÄN</t>
        </is>
      </c>
      <c r="E658" t="inlineStr">
        <is>
          <t>SALA</t>
        </is>
      </c>
      <c r="G658" t="n">
        <v>1.2</v>
      </c>
      <c r="H658" t="n">
        <v>0</v>
      </c>
      <c r="I658" t="n">
        <v>0</v>
      </c>
      <c r="J658" t="n">
        <v>0</v>
      </c>
      <c r="K658" t="n">
        <v>0</v>
      </c>
      <c r="L658" t="n">
        <v>0</v>
      </c>
      <c r="M658" t="n">
        <v>0</v>
      </c>
      <c r="N658" t="n">
        <v>0</v>
      </c>
      <c r="O658" t="n">
        <v>0</v>
      </c>
      <c r="P658" t="n">
        <v>0</v>
      </c>
      <c r="Q658" t="n">
        <v>0</v>
      </c>
      <c r="R658" s="2" t="inlineStr"/>
    </row>
    <row r="659" ht="15" customHeight="1">
      <c r="A659" t="inlineStr">
        <is>
          <t>A 43205-2023</t>
        </is>
      </c>
      <c r="B659" s="1" t="n">
        <v>45183</v>
      </c>
      <c r="C659" s="1" t="n">
        <v>46045</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28827-2022</t>
        </is>
      </c>
      <c r="B660" s="1" t="n">
        <v>44749.45561342593</v>
      </c>
      <c r="C660" s="1" t="n">
        <v>46045</v>
      </c>
      <c r="D660" t="inlineStr">
        <is>
          <t>VÄSTMANLANDS LÄN</t>
        </is>
      </c>
      <c r="E660" t="inlineStr">
        <is>
          <t>SALA</t>
        </is>
      </c>
      <c r="F660" t="inlineStr">
        <is>
          <t>Kommuner</t>
        </is>
      </c>
      <c r="G660" t="n">
        <v>11.9</v>
      </c>
      <c r="H660" t="n">
        <v>0</v>
      </c>
      <c r="I660" t="n">
        <v>0</v>
      </c>
      <c r="J660" t="n">
        <v>0</v>
      </c>
      <c r="K660" t="n">
        <v>0</v>
      </c>
      <c r="L660" t="n">
        <v>0</v>
      </c>
      <c r="M660" t="n">
        <v>0</v>
      </c>
      <c r="N660" t="n">
        <v>0</v>
      </c>
      <c r="O660" t="n">
        <v>0</v>
      </c>
      <c r="P660" t="n">
        <v>0</v>
      </c>
      <c r="Q660" t="n">
        <v>0</v>
      </c>
      <c r="R660" s="2" t="inlineStr"/>
    </row>
    <row r="661" ht="15" customHeight="1">
      <c r="A661" t="inlineStr">
        <is>
          <t>A 15756-2025</t>
        </is>
      </c>
      <c r="B661" s="1" t="n">
        <v>45748.56810185185</v>
      </c>
      <c r="C661" s="1" t="n">
        <v>46045</v>
      </c>
      <c r="D661" t="inlineStr">
        <is>
          <t>VÄSTMANLANDS LÄN</t>
        </is>
      </c>
      <c r="E661" t="inlineStr">
        <is>
          <t>SALA</t>
        </is>
      </c>
      <c r="F661" t="inlineStr">
        <is>
          <t>Bergvik skog öst AB</t>
        </is>
      </c>
      <c r="G661" t="n">
        <v>0.8</v>
      </c>
      <c r="H661" t="n">
        <v>0</v>
      </c>
      <c r="I661" t="n">
        <v>0</v>
      </c>
      <c r="J661" t="n">
        <v>0</v>
      </c>
      <c r="K661" t="n">
        <v>0</v>
      </c>
      <c r="L661" t="n">
        <v>0</v>
      </c>
      <c r="M661" t="n">
        <v>0</v>
      </c>
      <c r="N661" t="n">
        <v>0</v>
      </c>
      <c r="O661" t="n">
        <v>0</v>
      </c>
      <c r="P661" t="n">
        <v>0</v>
      </c>
      <c r="Q661" t="n">
        <v>0</v>
      </c>
      <c r="R661" s="2" t="inlineStr"/>
    </row>
    <row r="662" ht="15" customHeight="1">
      <c r="A662" t="inlineStr">
        <is>
          <t>A 19243-2025</t>
        </is>
      </c>
      <c r="B662" s="1" t="n">
        <v>45769</v>
      </c>
      <c r="C662" s="1" t="n">
        <v>46045</v>
      </c>
      <c r="D662" t="inlineStr">
        <is>
          <t>VÄSTMANLANDS LÄN</t>
        </is>
      </c>
      <c r="E662" t="inlineStr">
        <is>
          <t>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59297-2023</t>
        </is>
      </c>
      <c r="B663" s="1" t="n">
        <v>45253</v>
      </c>
      <c r="C663" s="1" t="n">
        <v>46045</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6136-2025</t>
        </is>
      </c>
      <c r="B664" s="1" t="n">
        <v>45698.37601851852</v>
      </c>
      <c r="C664" s="1" t="n">
        <v>46045</v>
      </c>
      <c r="D664" t="inlineStr">
        <is>
          <t>VÄSTMANLANDS LÄN</t>
        </is>
      </c>
      <c r="E664" t="inlineStr">
        <is>
          <t>SALA</t>
        </is>
      </c>
      <c r="F664" t="inlineStr">
        <is>
          <t>Bergvik skog öst AB</t>
        </is>
      </c>
      <c r="G664" t="n">
        <v>2.2</v>
      </c>
      <c r="H664" t="n">
        <v>0</v>
      </c>
      <c r="I664" t="n">
        <v>0</v>
      </c>
      <c r="J664" t="n">
        <v>0</v>
      </c>
      <c r="K664" t="n">
        <v>0</v>
      </c>
      <c r="L664" t="n">
        <v>0</v>
      </c>
      <c r="M664" t="n">
        <v>0</v>
      </c>
      <c r="N664" t="n">
        <v>0</v>
      </c>
      <c r="O664" t="n">
        <v>0</v>
      </c>
      <c r="P664" t="n">
        <v>0</v>
      </c>
      <c r="Q664" t="n">
        <v>0</v>
      </c>
      <c r="R664" s="2" t="inlineStr"/>
    </row>
    <row r="665" ht="15" customHeight="1">
      <c r="A665" t="inlineStr">
        <is>
          <t>A 6190-2025</t>
        </is>
      </c>
      <c r="B665" s="1" t="n">
        <v>45698</v>
      </c>
      <c r="C665" s="1" t="n">
        <v>46045</v>
      </c>
      <c r="D665" t="inlineStr">
        <is>
          <t>VÄSTMANLANDS LÄN</t>
        </is>
      </c>
      <c r="E665" t="inlineStr">
        <is>
          <t>SALA</t>
        </is>
      </c>
      <c r="F665" t="inlineStr">
        <is>
          <t>Bergvik skog öst AB</t>
        </is>
      </c>
      <c r="G665" t="n">
        <v>4.6</v>
      </c>
      <c r="H665" t="n">
        <v>0</v>
      </c>
      <c r="I665" t="n">
        <v>0</v>
      </c>
      <c r="J665" t="n">
        <v>0</v>
      </c>
      <c r="K665" t="n">
        <v>0</v>
      </c>
      <c r="L665" t="n">
        <v>0</v>
      </c>
      <c r="M665" t="n">
        <v>0</v>
      </c>
      <c r="N665" t="n">
        <v>0</v>
      </c>
      <c r="O665" t="n">
        <v>0</v>
      </c>
      <c r="P665" t="n">
        <v>0</v>
      </c>
      <c r="Q665" t="n">
        <v>0</v>
      </c>
      <c r="R665" s="2" t="inlineStr"/>
    </row>
    <row r="666" ht="15" customHeight="1">
      <c r="A666" t="inlineStr">
        <is>
          <t>A 28863-2022</t>
        </is>
      </c>
      <c r="B666" s="1" t="n">
        <v>44749.50649305555</v>
      </c>
      <c r="C666" s="1" t="n">
        <v>46045</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25541-2024</t>
        </is>
      </c>
      <c r="B667" s="1" t="n">
        <v>45463.56337962963</v>
      </c>
      <c r="C667" s="1" t="n">
        <v>46045</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29213-2022</t>
        </is>
      </c>
      <c r="B668" s="1" t="n">
        <v>44750.57474537037</v>
      </c>
      <c r="C668" s="1" t="n">
        <v>46045</v>
      </c>
      <c r="D668" t="inlineStr">
        <is>
          <t>VÄSTMANLANDS LÄN</t>
        </is>
      </c>
      <c r="E668" t="inlineStr">
        <is>
          <t>SALA</t>
        </is>
      </c>
      <c r="G668" t="n">
        <v>1</v>
      </c>
      <c r="H668" t="n">
        <v>0</v>
      </c>
      <c r="I668" t="n">
        <v>0</v>
      </c>
      <c r="J668" t="n">
        <v>0</v>
      </c>
      <c r="K668" t="n">
        <v>0</v>
      </c>
      <c r="L668" t="n">
        <v>0</v>
      </c>
      <c r="M668" t="n">
        <v>0</v>
      </c>
      <c r="N668" t="n">
        <v>0</v>
      </c>
      <c r="O668" t="n">
        <v>0</v>
      </c>
      <c r="P668" t="n">
        <v>0</v>
      </c>
      <c r="Q668" t="n">
        <v>0</v>
      </c>
      <c r="R668" s="2" t="inlineStr"/>
    </row>
    <row r="669" ht="15" customHeight="1">
      <c r="A669" t="inlineStr">
        <is>
          <t>A 56964-2023</t>
        </is>
      </c>
      <c r="B669" s="1" t="n">
        <v>45244.63140046296</v>
      </c>
      <c r="C669" s="1" t="n">
        <v>46045</v>
      </c>
      <c r="D669" t="inlineStr">
        <is>
          <t>VÄSTMANLANDS LÄN</t>
        </is>
      </c>
      <c r="E669" t="inlineStr">
        <is>
          <t>SALA</t>
        </is>
      </c>
      <c r="G669" t="n">
        <v>4.6</v>
      </c>
      <c r="H669" t="n">
        <v>0</v>
      </c>
      <c r="I669" t="n">
        <v>0</v>
      </c>
      <c r="J669" t="n">
        <v>0</v>
      </c>
      <c r="K669" t="n">
        <v>0</v>
      </c>
      <c r="L669" t="n">
        <v>0</v>
      </c>
      <c r="M669" t="n">
        <v>0</v>
      </c>
      <c r="N669" t="n">
        <v>0</v>
      </c>
      <c r="O669" t="n">
        <v>0</v>
      </c>
      <c r="P669" t="n">
        <v>0</v>
      </c>
      <c r="Q669" t="n">
        <v>0</v>
      </c>
      <c r="R669" s="2" t="inlineStr"/>
    </row>
    <row r="670" ht="15" customHeight="1">
      <c r="A670" t="inlineStr">
        <is>
          <t>A 1555-2024</t>
        </is>
      </c>
      <c r="B670" s="1" t="n">
        <v>45306</v>
      </c>
      <c r="C670" s="1" t="n">
        <v>46045</v>
      </c>
      <c r="D670" t="inlineStr">
        <is>
          <t>VÄSTMANLANDS LÄN</t>
        </is>
      </c>
      <c r="E670" t="inlineStr">
        <is>
          <t>SALA</t>
        </is>
      </c>
      <c r="G670" t="n">
        <v>1.3</v>
      </c>
      <c r="H670" t="n">
        <v>0</v>
      </c>
      <c r="I670" t="n">
        <v>0</v>
      </c>
      <c r="J670" t="n">
        <v>0</v>
      </c>
      <c r="K670" t="n">
        <v>0</v>
      </c>
      <c r="L670" t="n">
        <v>0</v>
      </c>
      <c r="M670" t="n">
        <v>0</v>
      </c>
      <c r="N670" t="n">
        <v>0</v>
      </c>
      <c r="O670" t="n">
        <v>0</v>
      </c>
      <c r="P670" t="n">
        <v>0</v>
      </c>
      <c r="Q670" t="n">
        <v>0</v>
      </c>
      <c r="R670" s="2" t="inlineStr"/>
    </row>
    <row r="671" ht="15" customHeight="1">
      <c r="A671" t="inlineStr">
        <is>
          <t>A 13188-2025</t>
        </is>
      </c>
      <c r="B671" s="1" t="n">
        <v>45735.39246527778</v>
      </c>
      <c r="C671" s="1" t="n">
        <v>46045</v>
      </c>
      <c r="D671" t="inlineStr">
        <is>
          <t>VÄSTMANLANDS LÄN</t>
        </is>
      </c>
      <c r="E671" t="inlineStr">
        <is>
          <t>SALA</t>
        </is>
      </c>
      <c r="F671" t="inlineStr">
        <is>
          <t>Naturvårdsverket</t>
        </is>
      </c>
      <c r="G671" t="n">
        <v>18.4</v>
      </c>
      <c r="H671" t="n">
        <v>0</v>
      </c>
      <c r="I671" t="n">
        <v>0</v>
      </c>
      <c r="J671" t="n">
        <v>0</v>
      </c>
      <c r="K671" t="n">
        <v>0</v>
      </c>
      <c r="L671" t="n">
        <v>0</v>
      </c>
      <c r="M671" t="n">
        <v>0</v>
      </c>
      <c r="N671" t="n">
        <v>0</v>
      </c>
      <c r="O671" t="n">
        <v>0</v>
      </c>
      <c r="P671" t="n">
        <v>0</v>
      </c>
      <c r="Q671" t="n">
        <v>0</v>
      </c>
      <c r="R671" s="2" t="inlineStr"/>
    </row>
    <row r="672" ht="15" customHeight="1">
      <c r="A672" t="inlineStr">
        <is>
          <t>A 7197-2025</t>
        </is>
      </c>
      <c r="B672" s="1" t="n">
        <v>45702</v>
      </c>
      <c r="C672" s="1" t="n">
        <v>46045</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15099-2025</t>
        </is>
      </c>
      <c r="B673" s="1" t="n">
        <v>45744.3434837963</v>
      </c>
      <c r="C673" s="1" t="n">
        <v>46045</v>
      </c>
      <c r="D673" t="inlineStr">
        <is>
          <t>VÄSTMANLANDS LÄN</t>
        </is>
      </c>
      <c r="E673" t="inlineStr">
        <is>
          <t>SALA</t>
        </is>
      </c>
      <c r="F673" t="inlineStr">
        <is>
          <t>Sveaskog</t>
        </is>
      </c>
      <c r="G673" t="n">
        <v>14.4</v>
      </c>
      <c r="H673" t="n">
        <v>0</v>
      </c>
      <c r="I673" t="n">
        <v>0</v>
      </c>
      <c r="J673" t="n">
        <v>0</v>
      </c>
      <c r="K673" t="n">
        <v>0</v>
      </c>
      <c r="L673" t="n">
        <v>0</v>
      </c>
      <c r="M673" t="n">
        <v>0</v>
      </c>
      <c r="N673" t="n">
        <v>0</v>
      </c>
      <c r="O673" t="n">
        <v>0</v>
      </c>
      <c r="P673" t="n">
        <v>0</v>
      </c>
      <c r="Q673" t="n">
        <v>0</v>
      </c>
      <c r="R673" s="2" t="inlineStr"/>
    </row>
    <row r="674" ht="15" customHeight="1">
      <c r="A674" t="inlineStr">
        <is>
          <t>A 2928-2024</t>
        </is>
      </c>
      <c r="B674" s="1" t="n">
        <v>45315.59041666667</v>
      </c>
      <c r="C674" s="1" t="n">
        <v>46045</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9962-2025</t>
        </is>
      </c>
      <c r="B675" s="1" t="n">
        <v>45719.37072916667</v>
      </c>
      <c r="C675" s="1" t="n">
        <v>46045</v>
      </c>
      <c r="D675" t="inlineStr">
        <is>
          <t>VÄSTMANLANDS LÄN</t>
        </is>
      </c>
      <c r="E675" t="inlineStr">
        <is>
          <t>SALA</t>
        </is>
      </c>
      <c r="G675" t="n">
        <v>4.5</v>
      </c>
      <c r="H675" t="n">
        <v>0</v>
      </c>
      <c r="I675" t="n">
        <v>0</v>
      </c>
      <c r="J675" t="n">
        <v>0</v>
      </c>
      <c r="K675" t="n">
        <v>0</v>
      </c>
      <c r="L675" t="n">
        <v>0</v>
      </c>
      <c r="M675" t="n">
        <v>0</v>
      </c>
      <c r="N675" t="n">
        <v>0</v>
      </c>
      <c r="O675" t="n">
        <v>0</v>
      </c>
      <c r="P675" t="n">
        <v>0</v>
      </c>
      <c r="Q675" t="n">
        <v>0</v>
      </c>
      <c r="R675" s="2" t="inlineStr"/>
    </row>
    <row r="676" ht="15" customHeight="1">
      <c r="A676" t="inlineStr">
        <is>
          <t>A 14024-2025</t>
        </is>
      </c>
      <c r="B676" s="1" t="n">
        <v>45740.34650462963</v>
      </c>
      <c r="C676" s="1" t="n">
        <v>46045</v>
      </c>
      <c r="D676" t="inlineStr">
        <is>
          <t>VÄSTMANLANDS LÄN</t>
        </is>
      </c>
      <c r="E676" t="inlineStr">
        <is>
          <t>SALA</t>
        </is>
      </c>
      <c r="G676" t="n">
        <v>1.1</v>
      </c>
      <c r="H676" t="n">
        <v>0</v>
      </c>
      <c r="I676" t="n">
        <v>0</v>
      </c>
      <c r="J676" t="n">
        <v>0</v>
      </c>
      <c r="K676" t="n">
        <v>0</v>
      </c>
      <c r="L676" t="n">
        <v>0</v>
      </c>
      <c r="M676" t="n">
        <v>0</v>
      </c>
      <c r="N676" t="n">
        <v>0</v>
      </c>
      <c r="O676" t="n">
        <v>0</v>
      </c>
      <c r="P676" t="n">
        <v>0</v>
      </c>
      <c r="Q676" t="n">
        <v>0</v>
      </c>
      <c r="R676" s="2" t="inlineStr"/>
    </row>
    <row r="677" ht="15" customHeight="1">
      <c r="A677" t="inlineStr">
        <is>
          <t>A 3551-2024</t>
        </is>
      </c>
      <c r="B677" s="1" t="n">
        <v>45320.61099537037</v>
      </c>
      <c r="C677" s="1" t="n">
        <v>46045</v>
      </c>
      <c r="D677" t="inlineStr">
        <is>
          <t>VÄSTMANLANDS LÄN</t>
        </is>
      </c>
      <c r="E677" t="inlineStr">
        <is>
          <t>SALA</t>
        </is>
      </c>
      <c r="F677" t="inlineStr">
        <is>
          <t>Kommuner</t>
        </is>
      </c>
      <c r="G677" t="n">
        <v>6</v>
      </c>
      <c r="H677" t="n">
        <v>0</v>
      </c>
      <c r="I677" t="n">
        <v>0</v>
      </c>
      <c r="J677" t="n">
        <v>0</v>
      </c>
      <c r="K677" t="n">
        <v>0</v>
      </c>
      <c r="L677" t="n">
        <v>0</v>
      </c>
      <c r="M677" t="n">
        <v>0</v>
      </c>
      <c r="N677" t="n">
        <v>0</v>
      </c>
      <c r="O677" t="n">
        <v>0</v>
      </c>
      <c r="P677" t="n">
        <v>0</v>
      </c>
      <c r="Q677" t="n">
        <v>0</v>
      </c>
      <c r="R677" s="2" t="inlineStr"/>
    </row>
    <row r="678" ht="15" customHeight="1">
      <c r="A678" t="inlineStr">
        <is>
          <t>A 62635-2022</t>
        </is>
      </c>
      <c r="B678" s="1" t="n">
        <v>44917</v>
      </c>
      <c r="C678" s="1" t="n">
        <v>46045</v>
      </c>
      <c r="D678" t="inlineStr">
        <is>
          <t>VÄSTMANLANDS LÄN</t>
        </is>
      </c>
      <c r="E678" t="inlineStr">
        <is>
          <t>SALA</t>
        </is>
      </c>
      <c r="G678" t="n">
        <v>0.4</v>
      </c>
      <c r="H678" t="n">
        <v>0</v>
      </c>
      <c r="I678" t="n">
        <v>0</v>
      </c>
      <c r="J678" t="n">
        <v>0</v>
      </c>
      <c r="K678" t="n">
        <v>0</v>
      </c>
      <c r="L678" t="n">
        <v>0</v>
      </c>
      <c r="M678" t="n">
        <v>0</v>
      </c>
      <c r="N678" t="n">
        <v>0</v>
      </c>
      <c r="O678" t="n">
        <v>0</v>
      </c>
      <c r="P678" t="n">
        <v>0</v>
      </c>
      <c r="Q678" t="n">
        <v>0</v>
      </c>
      <c r="R678" s="2" t="inlineStr"/>
    </row>
    <row r="679" ht="15" customHeight="1">
      <c r="A679" t="inlineStr">
        <is>
          <t>A 19304-2025</t>
        </is>
      </c>
      <c r="B679" s="1" t="n">
        <v>45769</v>
      </c>
      <c r="C679" s="1" t="n">
        <v>46045</v>
      </c>
      <c r="D679" t="inlineStr">
        <is>
          <t>VÄSTMANLANDS LÄN</t>
        </is>
      </c>
      <c r="E679" t="inlineStr">
        <is>
          <t>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56057-2023</t>
        </is>
      </c>
      <c r="B680" s="1" t="n">
        <v>45233</v>
      </c>
      <c r="C680" s="1" t="n">
        <v>46045</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55024-2023</t>
        </is>
      </c>
      <c r="B681" s="1" t="n">
        <v>45229</v>
      </c>
      <c r="C681" s="1" t="n">
        <v>46045</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55032-2023</t>
        </is>
      </c>
      <c r="B682" s="1" t="n">
        <v>45229</v>
      </c>
      <c r="C682" s="1" t="n">
        <v>46045</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29248-2022</t>
        </is>
      </c>
      <c r="B683" s="1" t="n">
        <v>44750</v>
      </c>
      <c r="C683" s="1" t="n">
        <v>46045</v>
      </c>
      <c r="D683" t="inlineStr">
        <is>
          <t>VÄSTMANLANDS LÄN</t>
        </is>
      </c>
      <c r="E683" t="inlineStr">
        <is>
          <t>SALA</t>
        </is>
      </c>
      <c r="G683" t="n">
        <v>1.6</v>
      </c>
      <c r="H683" t="n">
        <v>0</v>
      </c>
      <c r="I683" t="n">
        <v>0</v>
      </c>
      <c r="J683" t="n">
        <v>0</v>
      </c>
      <c r="K683" t="n">
        <v>0</v>
      </c>
      <c r="L683" t="n">
        <v>0</v>
      </c>
      <c r="M683" t="n">
        <v>0</v>
      </c>
      <c r="N683" t="n">
        <v>0</v>
      </c>
      <c r="O683" t="n">
        <v>0</v>
      </c>
      <c r="P683" t="n">
        <v>0</v>
      </c>
      <c r="Q683" t="n">
        <v>0</v>
      </c>
      <c r="R683" s="2" t="inlineStr"/>
    </row>
    <row r="684" ht="15" customHeight="1">
      <c r="A684" t="inlineStr">
        <is>
          <t>A 59175-2022</t>
        </is>
      </c>
      <c r="B684" s="1" t="n">
        <v>44904.48502314815</v>
      </c>
      <c r="C684" s="1" t="n">
        <v>46045</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39451-2022</t>
        </is>
      </c>
      <c r="B685" s="1" t="n">
        <v>44818.36606481481</v>
      </c>
      <c r="C685" s="1" t="n">
        <v>46045</v>
      </c>
      <c r="D685" t="inlineStr">
        <is>
          <t>VÄSTMANLANDS LÄN</t>
        </is>
      </c>
      <c r="E685" t="inlineStr">
        <is>
          <t>SALA</t>
        </is>
      </c>
      <c r="G685" t="n">
        <v>9.4</v>
      </c>
      <c r="H685" t="n">
        <v>0</v>
      </c>
      <c r="I685" t="n">
        <v>0</v>
      </c>
      <c r="J685" t="n">
        <v>0</v>
      </c>
      <c r="K685" t="n">
        <v>0</v>
      </c>
      <c r="L685" t="n">
        <v>0</v>
      </c>
      <c r="M685" t="n">
        <v>0</v>
      </c>
      <c r="N685" t="n">
        <v>0</v>
      </c>
      <c r="O685" t="n">
        <v>0</v>
      </c>
      <c r="P685" t="n">
        <v>0</v>
      </c>
      <c r="Q685" t="n">
        <v>0</v>
      </c>
      <c r="R685" s="2" t="inlineStr"/>
    </row>
    <row r="686" ht="15" customHeight="1">
      <c r="A686" t="inlineStr">
        <is>
          <t>A 11631-2023</t>
        </is>
      </c>
      <c r="B686" s="1" t="n">
        <v>44994.44001157407</v>
      </c>
      <c r="C686" s="1" t="n">
        <v>46045</v>
      </c>
      <c r="D686" t="inlineStr">
        <is>
          <t>VÄSTMANLANDS LÄN</t>
        </is>
      </c>
      <c r="E686" t="inlineStr">
        <is>
          <t>SALA</t>
        </is>
      </c>
      <c r="F686" t="inlineStr">
        <is>
          <t>Kommuner</t>
        </is>
      </c>
      <c r="G686" t="n">
        <v>1.9</v>
      </c>
      <c r="H686" t="n">
        <v>0</v>
      </c>
      <c r="I686" t="n">
        <v>0</v>
      </c>
      <c r="J686" t="n">
        <v>0</v>
      </c>
      <c r="K686" t="n">
        <v>0</v>
      </c>
      <c r="L686" t="n">
        <v>0</v>
      </c>
      <c r="M686" t="n">
        <v>0</v>
      </c>
      <c r="N686" t="n">
        <v>0</v>
      </c>
      <c r="O686" t="n">
        <v>0</v>
      </c>
      <c r="P686" t="n">
        <v>0</v>
      </c>
      <c r="Q686" t="n">
        <v>0</v>
      </c>
      <c r="R686" s="2" t="inlineStr"/>
    </row>
    <row r="687" ht="15" customHeight="1">
      <c r="A687" t="inlineStr">
        <is>
          <t>A 62648-2022</t>
        </is>
      </c>
      <c r="B687" s="1" t="n">
        <v>44917</v>
      </c>
      <c r="C687" s="1" t="n">
        <v>46045</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1934-2023</t>
        </is>
      </c>
      <c r="B688" s="1" t="n">
        <v>44939.43024305555</v>
      </c>
      <c r="C688" s="1" t="n">
        <v>46045</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11927-2025</t>
        </is>
      </c>
      <c r="B689" s="1" t="n">
        <v>45728.5137962963</v>
      </c>
      <c r="C689" s="1" t="n">
        <v>46045</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60823-2024</t>
        </is>
      </c>
      <c r="B690" s="1" t="n">
        <v>45644</v>
      </c>
      <c r="C690" s="1" t="n">
        <v>46045</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96-2024</t>
        </is>
      </c>
      <c r="B691" s="1" t="n">
        <v>45293.85872685185</v>
      </c>
      <c r="C691" s="1" t="n">
        <v>46045</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23374-2023</t>
        </is>
      </c>
      <c r="B692" s="1" t="n">
        <v>45076.4399537037</v>
      </c>
      <c r="C692" s="1" t="n">
        <v>46045</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61874-2021</t>
        </is>
      </c>
      <c r="B693" s="1" t="n">
        <v>44502</v>
      </c>
      <c r="C693" s="1" t="n">
        <v>46045</v>
      </c>
      <c r="D693" t="inlineStr">
        <is>
          <t>VÄSTMANLANDS LÄN</t>
        </is>
      </c>
      <c r="E693" t="inlineStr">
        <is>
          <t>SALA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9856-2022</t>
        </is>
      </c>
      <c r="B694" s="1" t="n">
        <v>44620</v>
      </c>
      <c r="C694" s="1" t="n">
        <v>46045</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16159-2024</t>
        </is>
      </c>
      <c r="B695" s="1" t="n">
        <v>45406</v>
      </c>
      <c r="C695" s="1" t="n">
        <v>46045</v>
      </c>
      <c r="D695" t="inlineStr">
        <is>
          <t>VÄSTMANLANDS LÄN</t>
        </is>
      </c>
      <c r="E695" t="inlineStr">
        <is>
          <t>SALA</t>
        </is>
      </c>
      <c r="G695" t="n">
        <v>0.4</v>
      </c>
      <c r="H695" t="n">
        <v>0</v>
      </c>
      <c r="I695" t="n">
        <v>0</v>
      </c>
      <c r="J695" t="n">
        <v>0</v>
      </c>
      <c r="K695" t="n">
        <v>0</v>
      </c>
      <c r="L695" t="n">
        <v>0</v>
      </c>
      <c r="M695" t="n">
        <v>0</v>
      </c>
      <c r="N695" t="n">
        <v>0</v>
      </c>
      <c r="O695" t="n">
        <v>0</v>
      </c>
      <c r="P695" t="n">
        <v>0</v>
      </c>
      <c r="Q695" t="n">
        <v>0</v>
      </c>
      <c r="R695" s="2" t="inlineStr"/>
    </row>
    <row r="696" ht="15" customHeight="1">
      <c r="A696" t="inlineStr">
        <is>
          <t>A 50241-2023</t>
        </is>
      </c>
      <c r="B696" s="1" t="n">
        <v>45216</v>
      </c>
      <c r="C696" s="1" t="n">
        <v>46045</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3332-2024</t>
        </is>
      </c>
      <c r="B697" s="1" t="n">
        <v>45317</v>
      </c>
      <c r="C697" s="1" t="n">
        <v>46045</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35637-2022</t>
        </is>
      </c>
      <c r="B698" s="1" t="n">
        <v>44799.55194444444</v>
      </c>
      <c r="C698" s="1" t="n">
        <v>46045</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57883-2024</t>
        </is>
      </c>
      <c r="B699" s="1" t="n">
        <v>45630</v>
      </c>
      <c r="C699" s="1" t="n">
        <v>46045</v>
      </c>
      <c r="D699" t="inlineStr">
        <is>
          <t>VÄSTMANLANDS LÄN</t>
        </is>
      </c>
      <c r="E699" t="inlineStr">
        <is>
          <t>SALA</t>
        </is>
      </c>
      <c r="G699" t="n">
        <v>5.4</v>
      </c>
      <c r="H699" t="n">
        <v>0</v>
      </c>
      <c r="I699" t="n">
        <v>0</v>
      </c>
      <c r="J699" t="n">
        <v>0</v>
      </c>
      <c r="K699" t="n">
        <v>0</v>
      </c>
      <c r="L699" t="n">
        <v>0</v>
      </c>
      <c r="M699" t="n">
        <v>0</v>
      </c>
      <c r="N699" t="n">
        <v>0</v>
      </c>
      <c r="O699" t="n">
        <v>0</v>
      </c>
      <c r="P699" t="n">
        <v>0</v>
      </c>
      <c r="Q699" t="n">
        <v>0</v>
      </c>
      <c r="R699" s="2" t="inlineStr"/>
    </row>
    <row r="700" ht="15" customHeight="1">
      <c r="A700" t="inlineStr">
        <is>
          <t>A 50876-2023</t>
        </is>
      </c>
      <c r="B700" s="1" t="n">
        <v>45211</v>
      </c>
      <c r="C700" s="1" t="n">
        <v>46045</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37624-2024</t>
        </is>
      </c>
      <c r="B701" s="1" t="n">
        <v>45541</v>
      </c>
      <c r="C701" s="1" t="n">
        <v>46045</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40398-2021</t>
        </is>
      </c>
      <c r="B702" s="1" t="n">
        <v>44419</v>
      </c>
      <c r="C702" s="1" t="n">
        <v>46045</v>
      </c>
      <c r="D702" t="inlineStr">
        <is>
          <t>VÄSTMANLANDS LÄN</t>
        </is>
      </c>
      <c r="E702" t="inlineStr">
        <is>
          <t>SALA</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6351-2023</t>
        </is>
      </c>
      <c r="B703" s="1" t="n">
        <v>44965</v>
      </c>
      <c r="C703" s="1" t="n">
        <v>46045</v>
      </c>
      <c r="D703" t="inlineStr">
        <is>
          <t>VÄSTMANLANDS LÄN</t>
        </is>
      </c>
      <c r="E703" t="inlineStr">
        <is>
          <t>SALA</t>
        </is>
      </c>
      <c r="F703" t="inlineStr">
        <is>
          <t>Kommuner</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27262-2024</t>
        </is>
      </c>
      <c r="B704" s="1" t="n">
        <v>45471</v>
      </c>
      <c r="C704" s="1" t="n">
        <v>46045</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15584-2021</t>
        </is>
      </c>
      <c r="B705" s="1" t="n">
        <v>44285</v>
      </c>
      <c r="C705" s="1" t="n">
        <v>46045</v>
      </c>
      <c r="D705" t="inlineStr">
        <is>
          <t>VÄSTMANLANDS LÄN</t>
        </is>
      </c>
      <c r="E705" t="inlineStr">
        <is>
          <t>SALA</t>
        </is>
      </c>
      <c r="G705" t="n">
        <v>3.4</v>
      </c>
      <c r="H705" t="n">
        <v>0</v>
      </c>
      <c r="I705" t="n">
        <v>0</v>
      </c>
      <c r="J705" t="n">
        <v>0</v>
      </c>
      <c r="K705" t="n">
        <v>0</v>
      </c>
      <c r="L705" t="n">
        <v>0</v>
      </c>
      <c r="M705" t="n">
        <v>0</v>
      </c>
      <c r="N705" t="n">
        <v>0</v>
      </c>
      <c r="O705" t="n">
        <v>0</v>
      </c>
      <c r="P705" t="n">
        <v>0</v>
      </c>
      <c r="Q705" t="n">
        <v>0</v>
      </c>
      <c r="R705" s="2" t="inlineStr"/>
    </row>
    <row r="706" ht="15" customHeight="1">
      <c r="A706" t="inlineStr">
        <is>
          <t>A 23119-2022</t>
        </is>
      </c>
      <c r="B706" s="1" t="n">
        <v>44719.56697916667</v>
      </c>
      <c r="C706" s="1" t="n">
        <v>46045</v>
      </c>
      <c r="D706" t="inlineStr">
        <is>
          <t>VÄSTMANLANDS LÄN</t>
        </is>
      </c>
      <c r="E706" t="inlineStr">
        <is>
          <t>SALA</t>
        </is>
      </c>
      <c r="G706" t="n">
        <v>7</v>
      </c>
      <c r="H706" t="n">
        <v>0</v>
      </c>
      <c r="I706" t="n">
        <v>0</v>
      </c>
      <c r="J706" t="n">
        <v>0</v>
      </c>
      <c r="K706" t="n">
        <v>0</v>
      </c>
      <c r="L706" t="n">
        <v>0</v>
      </c>
      <c r="M706" t="n">
        <v>0</v>
      </c>
      <c r="N706" t="n">
        <v>0</v>
      </c>
      <c r="O706" t="n">
        <v>0</v>
      </c>
      <c r="P706" t="n">
        <v>0</v>
      </c>
      <c r="Q706" t="n">
        <v>0</v>
      </c>
      <c r="R706" s="2" t="inlineStr"/>
    </row>
    <row r="707" ht="15" customHeight="1">
      <c r="A707" t="inlineStr">
        <is>
          <t>A 43751-2021</t>
        </is>
      </c>
      <c r="B707" s="1" t="n">
        <v>44433</v>
      </c>
      <c r="C707" s="1" t="n">
        <v>46045</v>
      </c>
      <c r="D707" t="inlineStr">
        <is>
          <t>VÄSTMANLANDS LÄN</t>
        </is>
      </c>
      <c r="E707" t="inlineStr">
        <is>
          <t>SALA</t>
        </is>
      </c>
      <c r="G707" t="n">
        <v>1.5</v>
      </c>
      <c r="H707" t="n">
        <v>0</v>
      </c>
      <c r="I707" t="n">
        <v>0</v>
      </c>
      <c r="J707" t="n">
        <v>0</v>
      </c>
      <c r="K707" t="n">
        <v>0</v>
      </c>
      <c r="L707" t="n">
        <v>0</v>
      </c>
      <c r="M707" t="n">
        <v>0</v>
      </c>
      <c r="N707" t="n">
        <v>0</v>
      </c>
      <c r="O707" t="n">
        <v>0</v>
      </c>
      <c r="P707" t="n">
        <v>0</v>
      </c>
      <c r="Q707" t="n">
        <v>0</v>
      </c>
      <c r="R707" s="2" t="inlineStr"/>
    </row>
    <row r="708" ht="15" customHeight="1">
      <c r="A708" t="inlineStr">
        <is>
          <t>A 59483-2022</t>
        </is>
      </c>
      <c r="B708" s="1" t="n">
        <v>44907.45679398148</v>
      </c>
      <c r="C708" s="1" t="n">
        <v>46045</v>
      </c>
      <c r="D708" t="inlineStr">
        <is>
          <t>VÄSTMANLANDS LÄN</t>
        </is>
      </c>
      <c r="E708" t="inlineStr">
        <is>
          <t>SALA</t>
        </is>
      </c>
      <c r="G708" t="n">
        <v>5.2</v>
      </c>
      <c r="H708" t="n">
        <v>0</v>
      </c>
      <c r="I708" t="n">
        <v>0</v>
      </c>
      <c r="J708" t="n">
        <v>0</v>
      </c>
      <c r="K708" t="n">
        <v>0</v>
      </c>
      <c r="L708" t="n">
        <v>0</v>
      </c>
      <c r="M708" t="n">
        <v>0</v>
      </c>
      <c r="N708" t="n">
        <v>0</v>
      </c>
      <c r="O708" t="n">
        <v>0</v>
      </c>
      <c r="P708" t="n">
        <v>0</v>
      </c>
      <c r="Q708" t="n">
        <v>0</v>
      </c>
      <c r="R708" s="2" t="inlineStr"/>
    </row>
    <row r="709" ht="15" customHeight="1">
      <c r="A709" t="inlineStr">
        <is>
          <t>A 73673-2021</t>
        </is>
      </c>
      <c r="B709" s="1" t="n">
        <v>44552.46501157407</v>
      </c>
      <c r="C709" s="1" t="n">
        <v>46045</v>
      </c>
      <c r="D709" t="inlineStr">
        <is>
          <t>VÄSTMANLANDS LÄN</t>
        </is>
      </c>
      <c r="E709" t="inlineStr">
        <is>
          <t>SALA</t>
        </is>
      </c>
      <c r="G709" t="n">
        <v>11.4</v>
      </c>
      <c r="H709" t="n">
        <v>0</v>
      </c>
      <c r="I709" t="n">
        <v>0</v>
      </c>
      <c r="J709" t="n">
        <v>0</v>
      </c>
      <c r="K709" t="n">
        <v>0</v>
      </c>
      <c r="L709" t="n">
        <v>0</v>
      </c>
      <c r="M709" t="n">
        <v>0</v>
      </c>
      <c r="N709" t="n">
        <v>0</v>
      </c>
      <c r="O709" t="n">
        <v>0</v>
      </c>
      <c r="P709" t="n">
        <v>0</v>
      </c>
      <c r="Q709" t="n">
        <v>0</v>
      </c>
      <c r="R709" s="2" t="inlineStr"/>
    </row>
    <row r="710" ht="15" customHeight="1">
      <c r="A710" t="inlineStr">
        <is>
          <t>A 4853-2023</t>
        </is>
      </c>
      <c r="B710" s="1" t="n">
        <v>44957.73234953704</v>
      </c>
      <c r="C710" s="1" t="n">
        <v>46045</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1993-2022</t>
        </is>
      </c>
      <c r="B711" s="1" t="n">
        <v>44575</v>
      </c>
      <c r="C711" s="1" t="n">
        <v>46045</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1793-2023</t>
        </is>
      </c>
      <c r="B712" s="1" t="n">
        <v>44937</v>
      </c>
      <c r="C712" s="1" t="n">
        <v>46045</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42447-2022</t>
        </is>
      </c>
      <c r="B713" s="1" t="n">
        <v>44831</v>
      </c>
      <c r="C713" s="1" t="n">
        <v>46045</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11183-2023</t>
        </is>
      </c>
      <c r="B714" s="1" t="n">
        <v>44992.57782407408</v>
      </c>
      <c r="C714" s="1" t="n">
        <v>46045</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11190-2023</t>
        </is>
      </c>
      <c r="B715" s="1" t="n">
        <v>44992</v>
      </c>
      <c r="C715" s="1" t="n">
        <v>46045</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31950-2023</t>
        </is>
      </c>
      <c r="B716" s="1" t="n">
        <v>45107</v>
      </c>
      <c r="C716" s="1" t="n">
        <v>46045</v>
      </c>
      <c r="D716" t="inlineStr">
        <is>
          <t>VÄSTMANLANDS LÄN</t>
        </is>
      </c>
      <c r="E716" t="inlineStr">
        <is>
          <t>SALA</t>
        </is>
      </c>
      <c r="G716" t="n">
        <v>1.9</v>
      </c>
      <c r="H716" t="n">
        <v>0</v>
      </c>
      <c r="I716" t="n">
        <v>0</v>
      </c>
      <c r="J716" t="n">
        <v>0</v>
      </c>
      <c r="K716" t="n">
        <v>0</v>
      </c>
      <c r="L716" t="n">
        <v>0</v>
      </c>
      <c r="M716" t="n">
        <v>0</v>
      </c>
      <c r="N716" t="n">
        <v>0</v>
      </c>
      <c r="O716" t="n">
        <v>0</v>
      </c>
      <c r="P716" t="n">
        <v>0</v>
      </c>
      <c r="Q716" t="n">
        <v>0</v>
      </c>
      <c r="R716" s="2" t="inlineStr"/>
    </row>
    <row r="717" ht="15" customHeight="1">
      <c r="A717" t="inlineStr">
        <is>
          <t>A 48710-2024</t>
        </is>
      </c>
      <c r="B717" s="1" t="n">
        <v>45593.53636574074</v>
      </c>
      <c r="C717" s="1" t="n">
        <v>46045</v>
      </c>
      <c r="D717" t="inlineStr">
        <is>
          <t>VÄSTMANLANDS LÄN</t>
        </is>
      </c>
      <c r="E717" t="inlineStr">
        <is>
          <t>SALA</t>
        </is>
      </c>
      <c r="G717" t="n">
        <v>6.5</v>
      </c>
      <c r="H717" t="n">
        <v>0</v>
      </c>
      <c r="I717" t="n">
        <v>0</v>
      </c>
      <c r="J717" t="n">
        <v>0</v>
      </c>
      <c r="K717" t="n">
        <v>0</v>
      </c>
      <c r="L717" t="n">
        <v>0</v>
      </c>
      <c r="M717" t="n">
        <v>0</v>
      </c>
      <c r="N717" t="n">
        <v>0</v>
      </c>
      <c r="O717" t="n">
        <v>0</v>
      </c>
      <c r="P717" t="n">
        <v>0</v>
      </c>
      <c r="Q717" t="n">
        <v>0</v>
      </c>
      <c r="R717" s="2" t="inlineStr"/>
    </row>
    <row r="718" ht="15" customHeight="1">
      <c r="A718" t="inlineStr">
        <is>
          <t>A 23406-2024</t>
        </is>
      </c>
      <c r="B718" s="1" t="n">
        <v>45453.58296296297</v>
      </c>
      <c r="C718" s="1" t="n">
        <v>46045</v>
      </c>
      <c r="D718" t="inlineStr">
        <is>
          <t>VÄSTMANLANDS LÄN</t>
        </is>
      </c>
      <c r="E718" t="inlineStr">
        <is>
          <t>SALA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12246-2023</t>
        </is>
      </c>
      <c r="B719" s="1" t="n">
        <v>44995</v>
      </c>
      <c r="C719" s="1" t="n">
        <v>46045</v>
      </c>
      <c r="D719" t="inlineStr">
        <is>
          <t>VÄSTMANLANDS LÄN</t>
        </is>
      </c>
      <c r="E719" t="inlineStr">
        <is>
          <t>SALA</t>
        </is>
      </c>
      <c r="G719" t="n">
        <v>2.4</v>
      </c>
      <c r="H719" t="n">
        <v>0</v>
      </c>
      <c r="I719" t="n">
        <v>0</v>
      </c>
      <c r="J719" t="n">
        <v>0</v>
      </c>
      <c r="K719" t="n">
        <v>0</v>
      </c>
      <c r="L719" t="n">
        <v>0</v>
      </c>
      <c r="M719" t="n">
        <v>0</v>
      </c>
      <c r="N719" t="n">
        <v>0</v>
      </c>
      <c r="O719" t="n">
        <v>0</v>
      </c>
      <c r="P719" t="n">
        <v>0</v>
      </c>
      <c r="Q719" t="n">
        <v>0</v>
      </c>
      <c r="R719" s="2" t="inlineStr"/>
    </row>
    <row r="720" ht="15" customHeight="1">
      <c r="A720" t="inlineStr">
        <is>
          <t>A 48571-2024</t>
        </is>
      </c>
      <c r="B720" s="1" t="n">
        <v>45591</v>
      </c>
      <c r="C720" s="1" t="n">
        <v>46045</v>
      </c>
      <c r="D720" t="inlineStr">
        <is>
          <t>VÄSTMANLANDS LÄN</t>
        </is>
      </c>
      <c r="E720" t="inlineStr">
        <is>
          <t>SALA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43362-2023</t>
        </is>
      </c>
      <c r="B721" s="1" t="n">
        <v>45183</v>
      </c>
      <c r="C721" s="1" t="n">
        <v>46045</v>
      </c>
      <c r="D721" t="inlineStr">
        <is>
          <t>VÄSTMANLANDS LÄN</t>
        </is>
      </c>
      <c r="E721" t="inlineStr">
        <is>
          <t>SALA</t>
        </is>
      </c>
      <c r="G721" t="n">
        <v>2</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46045</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31470-2021</t>
        </is>
      </c>
      <c r="B723" s="1" t="n">
        <v>44369</v>
      </c>
      <c r="C723" s="1" t="n">
        <v>46045</v>
      </c>
      <c r="D723" t="inlineStr">
        <is>
          <t>VÄSTMANLANDS LÄN</t>
        </is>
      </c>
      <c r="E723" t="inlineStr">
        <is>
          <t>SALA</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18461-2024</t>
        </is>
      </c>
      <c r="B724" s="1" t="n">
        <v>45425.47435185185</v>
      </c>
      <c r="C724" s="1" t="n">
        <v>46045</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29230-2022</t>
        </is>
      </c>
      <c r="B725" s="1" t="n">
        <v>44750</v>
      </c>
      <c r="C725" s="1" t="n">
        <v>46045</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9335-2022</t>
        </is>
      </c>
      <c r="B726" s="1" t="n">
        <v>44616.56579861111</v>
      </c>
      <c r="C726" s="1" t="n">
        <v>46045</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47479-2024</t>
        </is>
      </c>
      <c r="B727" s="1" t="n">
        <v>45587</v>
      </c>
      <c r="C727" s="1" t="n">
        <v>46045</v>
      </c>
      <c r="D727" t="inlineStr">
        <is>
          <t>VÄSTMANLANDS LÄN</t>
        </is>
      </c>
      <c r="E727" t="inlineStr">
        <is>
          <t>SALA</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19065-2022</t>
        </is>
      </c>
      <c r="B728" s="1" t="n">
        <v>44691.44309027777</v>
      </c>
      <c r="C728" s="1" t="n">
        <v>46045</v>
      </c>
      <c r="D728" t="inlineStr">
        <is>
          <t>VÄSTMANLANDS LÄN</t>
        </is>
      </c>
      <c r="E728" t="inlineStr">
        <is>
          <t>SALA</t>
        </is>
      </c>
      <c r="G728" t="n">
        <v>3.4</v>
      </c>
      <c r="H728" t="n">
        <v>0</v>
      </c>
      <c r="I728" t="n">
        <v>0</v>
      </c>
      <c r="J728" t="n">
        <v>0</v>
      </c>
      <c r="K728" t="n">
        <v>0</v>
      </c>
      <c r="L728" t="n">
        <v>0</v>
      </c>
      <c r="M728" t="n">
        <v>0</v>
      </c>
      <c r="N728" t="n">
        <v>0</v>
      </c>
      <c r="O728" t="n">
        <v>0</v>
      </c>
      <c r="P728" t="n">
        <v>0</v>
      </c>
      <c r="Q728" t="n">
        <v>0</v>
      </c>
      <c r="R728" s="2" t="inlineStr"/>
    </row>
    <row r="729" ht="15" customHeight="1">
      <c r="A729" t="inlineStr">
        <is>
          <t>A 22961-2023</t>
        </is>
      </c>
      <c r="B729" s="1" t="n">
        <v>45072</v>
      </c>
      <c r="C729" s="1" t="n">
        <v>46045</v>
      </c>
      <c r="D729" t="inlineStr">
        <is>
          <t>VÄSTMANLANDS LÄN</t>
        </is>
      </c>
      <c r="E729" t="inlineStr">
        <is>
          <t>SALA</t>
        </is>
      </c>
      <c r="G729" t="n">
        <v>2.7</v>
      </c>
      <c r="H729" t="n">
        <v>0</v>
      </c>
      <c r="I729" t="n">
        <v>0</v>
      </c>
      <c r="J729" t="n">
        <v>0</v>
      </c>
      <c r="K729" t="n">
        <v>0</v>
      </c>
      <c r="L729" t="n">
        <v>0</v>
      </c>
      <c r="M729" t="n">
        <v>0</v>
      </c>
      <c r="N729" t="n">
        <v>0</v>
      </c>
      <c r="O729" t="n">
        <v>0</v>
      </c>
      <c r="P729" t="n">
        <v>0</v>
      </c>
      <c r="Q729" t="n">
        <v>0</v>
      </c>
      <c r="R729" s="2" t="inlineStr"/>
    </row>
    <row r="730">
      <c r="A730" t="inlineStr">
        <is>
          <t>A 22963-2023</t>
        </is>
      </c>
      <c r="B730" s="1" t="n">
        <v>45072</v>
      </c>
      <c r="C730" s="1" t="n">
        <v>46045</v>
      </c>
      <c r="D730" t="inlineStr">
        <is>
          <t>VÄSTMANLANDS LÄN</t>
        </is>
      </c>
      <c r="E730" t="inlineStr">
        <is>
          <t>SALA</t>
        </is>
      </c>
      <c r="G730" t="n">
        <v>1.2</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2026-01-23T10:54:05Z</dcterms:created>
  <dcterms:modified xmlns:dcterms="http://purl.org/dc/terms/" xmlns:xsi="http://www.w3.org/2001/XMLSchema-instance" xsi:type="dcterms:W3CDTF">2026-01-23T10:54:06Z</dcterms:modified>
</cp:coreProperties>
</file>