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46089</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46089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46089</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46089</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46089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46089</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46089</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46089</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46089</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46089</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46089</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46089</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46089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46089</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46089</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46089</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46089</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46089</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46089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46089</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46089</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46089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46089</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46089</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46089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59826-2025</t>
        </is>
      </c>
      <c r="B35" s="1" t="n">
        <v>45992.65416666667</v>
      </c>
      <c r="C35" s="1" t="n">
        <v>46089</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46089</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11846-2024</t>
        </is>
      </c>
      <c r="B37" s="1" t="n">
        <v>45376.4047337963</v>
      </c>
      <c r="C37" s="1" t="n">
        <v>46089</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46089</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46089</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46089</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46089</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46089</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46089</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7672-2026</t>
        </is>
      </c>
      <c r="B44" s="1" t="n">
        <v>46062.42077546296</v>
      </c>
      <c r="C44" s="1" t="n">
        <v>46089</v>
      </c>
      <c r="D44" t="inlineStr">
        <is>
          <t>VÄSTMANLANDS LÄN</t>
        </is>
      </c>
      <c r="E44" t="inlineStr">
        <is>
          <t>SALA</t>
        </is>
      </c>
      <c r="G44" t="n">
        <v>2.9</v>
      </c>
      <c r="H44" t="n">
        <v>1</v>
      </c>
      <c r="I44" t="n">
        <v>0</v>
      </c>
      <c r="J44" t="n">
        <v>0</v>
      </c>
      <c r="K44" t="n">
        <v>0</v>
      </c>
      <c r="L44" t="n">
        <v>0</v>
      </c>
      <c r="M44" t="n">
        <v>0</v>
      </c>
      <c r="N44" t="n">
        <v>0</v>
      </c>
      <c r="O44" t="n">
        <v>0</v>
      </c>
      <c r="P44" t="n">
        <v>0</v>
      </c>
      <c r="Q44" t="n">
        <v>1</v>
      </c>
      <c r="R44" s="2" t="inlineStr">
        <is>
          <t>Nattviol</t>
        </is>
      </c>
      <c r="S44">
        <f>HYPERLINK("https://klasma.github.io/Logging_1981/artfynd/A 7672-2026 artfynd.xlsx", "A 7672-2026")</f>
        <v/>
      </c>
      <c r="T44">
        <f>HYPERLINK("https://klasma.github.io/Logging_1981/kartor/A 7672-2026 karta.png", "A 7672-2026")</f>
        <v/>
      </c>
      <c r="V44">
        <f>HYPERLINK("https://klasma.github.io/Logging_1981/klagomål/A 7672-2026 FSC-klagomål.docx", "A 7672-2026")</f>
        <v/>
      </c>
      <c r="W44">
        <f>HYPERLINK("https://klasma.github.io/Logging_1981/klagomålsmail/A 7672-2026 FSC-klagomål mail.docx", "A 7672-2026")</f>
        <v/>
      </c>
      <c r="X44">
        <f>HYPERLINK("https://klasma.github.io/Logging_1981/tillsyn/A 7672-2026 tillsynsbegäran.docx", "A 7672-2026")</f>
        <v/>
      </c>
      <c r="Y44">
        <f>HYPERLINK("https://klasma.github.io/Logging_1981/tillsynsmail/A 7672-2026 tillsynsbegäran mail.docx", "A 7672-2026")</f>
        <v/>
      </c>
    </row>
    <row r="45" ht="15" customHeight="1">
      <c r="A45" t="inlineStr">
        <is>
          <t>A 32594-2025</t>
        </is>
      </c>
      <c r="B45" s="1" t="n">
        <v>45838</v>
      </c>
      <c r="C45" s="1" t="n">
        <v>46089</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14775-2023</t>
        </is>
      </c>
      <c r="B46" s="1" t="n">
        <v>45014</v>
      </c>
      <c r="C46" s="1" t="n">
        <v>46089</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46089</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22350-2024</t>
        </is>
      </c>
      <c r="B48" s="1" t="n">
        <v>45446</v>
      </c>
      <c r="C48" s="1" t="n">
        <v>46089</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48705-2025</t>
        </is>
      </c>
      <c r="B49" s="1" t="n">
        <v>45936.62290509259</v>
      </c>
      <c r="C49" s="1" t="n">
        <v>46089</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50268-2025</t>
        </is>
      </c>
      <c r="B50" s="1" t="n">
        <v>45944.35162037037</v>
      </c>
      <c r="C50" s="1" t="n">
        <v>46089</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38255-2025</t>
        </is>
      </c>
      <c r="B51" s="1" t="n">
        <v>45883.38020833334</v>
      </c>
      <c r="C51" s="1" t="n">
        <v>46089</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53052-2025</t>
        </is>
      </c>
      <c r="B52" s="1" t="n">
        <v>45958.36266203703</v>
      </c>
      <c r="C52" s="1" t="n">
        <v>46089</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19361-2025</t>
        </is>
      </c>
      <c r="B53" s="1" t="n">
        <v>45769.63357638889</v>
      </c>
      <c r="C53" s="1" t="n">
        <v>46089</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46089</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60852-2024</t>
        </is>
      </c>
      <c r="B55" s="1" t="n">
        <v>45644</v>
      </c>
      <c r="C55" s="1" t="n">
        <v>46089</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55995-2025</t>
        </is>
      </c>
      <c r="B56" s="1" t="n">
        <v>45973.56733796297</v>
      </c>
      <c r="C56" s="1" t="n">
        <v>46089</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43175-2023</t>
        </is>
      </c>
      <c r="B57" s="1" t="n">
        <v>45183</v>
      </c>
      <c r="C57" s="1" t="n">
        <v>46089</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55550-2023</t>
        </is>
      </c>
      <c r="B58" s="1" t="n">
        <v>45232</v>
      </c>
      <c r="C58" s="1" t="n">
        <v>46089</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41270-2024</t>
        </is>
      </c>
      <c r="B59" s="1" t="n">
        <v>45559</v>
      </c>
      <c r="C59" s="1" t="n">
        <v>46089</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43068-2024</t>
        </is>
      </c>
      <c r="B60" s="1" t="n">
        <v>45567</v>
      </c>
      <c r="C60" s="1" t="n">
        <v>46089</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46089</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46089</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46089</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46089</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46089</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46089</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46089</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46089</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46089</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46089</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46089</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46089</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46089</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46089</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46089</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33762-2021</t>
        </is>
      </c>
      <c r="B76" s="1" t="n">
        <v>44378</v>
      </c>
      <c r="C76" s="1" t="n">
        <v>46089</v>
      </c>
      <c r="D76" t="inlineStr">
        <is>
          <t>VÄSTMANLANDS LÄN</t>
        </is>
      </c>
      <c r="E76" t="inlineStr">
        <is>
          <t>SALA</t>
        </is>
      </c>
      <c r="G76" t="n">
        <v>3.4</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46089</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46089</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46089</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46089</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46089</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46089</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46089</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46089</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46089</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46089</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46089</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46089</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46089</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46089</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46089</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46089</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46089</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46089</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46089</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46089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46089</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46089</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46089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46089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46089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46089</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46089</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46089</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46089</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46089</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46089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46089</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46089</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46089</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46089</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46089</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46089</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46089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46089</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46089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46089</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46089</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46089</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46089</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46089</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46089</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46089</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46089</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46089</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46089</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46089</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46089</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46089</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46089</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46089</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46089</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46089</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46089</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46089</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46089</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46089</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46089</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46089</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46089</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46089</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46089</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46089</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46089</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46089</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46089</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46089</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46089</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46089</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46089</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46089</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46089</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46089</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46089</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46089</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46089</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46089</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46089</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46089</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46089</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46089</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46089</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46089</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46089</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46089</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46089</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46089</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46089</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46089</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46089</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46089</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46089</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46089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46089</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46089</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46089</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16767-2024</t>
        </is>
      </c>
      <c r="B188" s="1" t="n">
        <v>45411.38171296296</v>
      </c>
      <c r="C188" s="1" t="n">
        <v>46089</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46089</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13022-2023</t>
        </is>
      </c>
      <c r="B190" s="1" t="n">
        <v>45002.33291666667</v>
      </c>
      <c r="C190" s="1" t="n">
        <v>46089</v>
      </c>
      <c r="D190" t="inlineStr">
        <is>
          <t>VÄSTMANLANDS LÄN</t>
        </is>
      </c>
      <c r="E190" t="inlineStr">
        <is>
          <t>SALA</t>
        </is>
      </c>
      <c r="G190" t="n">
        <v>1.5</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46089</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46089</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58107-2021</t>
        </is>
      </c>
      <c r="B193" s="1" t="n">
        <v>44487</v>
      </c>
      <c r="C193" s="1" t="n">
        <v>46089</v>
      </c>
      <c r="D193" t="inlineStr">
        <is>
          <t>VÄSTMANLANDS LÄN</t>
        </is>
      </c>
      <c r="E193" t="inlineStr">
        <is>
          <t>SALA</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46089</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59909-2024</t>
        </is>
      </c>
      <c r="B195" s="1" t="n">
        <v>45641</v>
      </c>
      <c r="C195" s="1" t="n">
        <v>46089</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46089</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46089</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46089</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46089</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4797-2023</t>
        </is>
      </c>
      <c r="B200" s="1" t="n">
        <v>44957</v>
      </c>
      <c r="C200" s="1" t="n">
        <v>46089</v>
      </c>
      <c r="D200" t="inlineStr">
        <is>
          <t>VÄSTMANLANDS LÄN</t>
        </is>
      </c>
      <c r="E200" t="inlineStr">
        <is>
          <t>SALA</t>
        </is>
      </c>
      <c r="G200" t="n">
        <v>5.7</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46089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1638-2023</t>
        </is>
      </c>
      <c r="B202" s="1" t="n">
        <v>44937</v>
      </c>
      <c r="C202" s="1" t="n">
        <v>46089</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15972-2024</t>
        </is>
      </c>
      <c r="B203" s="1" t="n">
        <v>45405.56498842593</v>
      </c>
      <c r="C203" s="1" t="n">
        <v>46089</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46089</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37958-2024</t>
        </is>
      </c>
      <c r="B205" s="1" t="n">
        <v>45544</v>
      </c>
      <c r="C205" s="1" t="n">
        <v>46089</v>
      </c>
      <c r="D205" t="inlineStr">
        <is>
          <t>VÄSTMANLANDS LÄN</t>
        </is>
      </c>
      <c r="E205" t="inlineStr">
        <is>
          <t>SALA</t>
        </is>
      </c>
      <c r="G205" t="n">
        <v>5.6</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46089</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46089</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46089</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46089</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37183-2024</t>
        </is>
      </c>
      <c r="B210" s="1" t="n">
        <v>45539</v>
      </c>
      <c r="C210" s="1" t="n">
        <v>46089</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27229-2022</t>
        </is>
      </c>
      <c r="B211" s="1" t="n">
        <v>44741</v>
      </c>
      <c r="C211" s="1" t="n">
        <v>46089</v>
      </c>
      <c r="D211" t="inlineStr">
        <is>
          <t>VÄSTMANLANDS LÄN</t>
        </is>
      </c>
      <c r="E211" t="inlineStr">
        <is>
          <t>SALA</t>
        </is>
      </c>
      <c r="F211" t="inlineStr">
        <is>
          <t>Kommuner</t>
        </is>
      </c>
      <c r="G211" t="n">
        <v>1.4</v>
      </c>
      <c r="H211" t="n">
        <v>0</v>
      </c>
      <c r="I211" t="n">
        <v>0</v>
      </c>
      <c r="J211" t="n">
        <v>0</v>
      </c>
      <c r="K211" t="n">
        <v>0</v>
      </c>
      <c r="L211" t="n">
        <v>0</v>
      </c>
      <c r="M211" t="n">
        <v>0</v>
      </c>
      <c r="N211" t="n">
        <v>0</v>
      </c>
      <c r="O211" t="n">
        <v>0</v>
      </c>
      <c r="P211" t="n">
        <v>0</v>
      </c>
      <c r="Q211" t="n">
        <v>0</v>
      </c>
      <c r="R211" s="2" t="inlineStr"/>
    </row>
    <row r="212" ht="15" customHeight="1">
      <c r="A212" t="inlineStr">
        <is>
          <t>A 1793-2023</t>
        </is>
      </c>
      <c r="B212" s="1" t="n">
        <v>44937</v>
      </c>
      <c r="C212" s="1" t="n">
        <v>46089</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46089</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46089</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28863-2022</t>
        </is>
      </c>
      <c r="B215" s="1" t="n">
        <v>44749.50649305555</v>
      </c>
      <c r="C215" s="1" t="n">
        <v>46089</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24169-2025</t>
        </is>
      </c>
      <c r="B216" s="1" t="n">
        <v>45796</v>
      </c>
      <c r="C216" s="1" t="n">
        <v>46089</v>
      </c>
      <c r="D216" t="inlineStr">
        <is>
          <t>VÄSTMANLANDS LÄN</t>
        </is>
      </c>
      <c r="E216" t="inlineStr">
        <is>
          <t>SALA</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11210-2025</t>
        </is>
      </c>
      <c r="B217" s="1" t="n">
        <v>45726</v>
      </c>
      <c r="C217" s="1" t="n">
        <v>46089</v>
      </c>
      <c r="D217" t="inlineStr">
        <is>
          <t>VÄSTMANLANDS LÄN</t>
        </is>
      </c>
      <c r="E217" t="inlineStr">
        <is>
          <t>SALA</t>
        </is>
      </c>
      <c r="G217" t="n">
        <v>4.1</v>
      </c>
      <c r="H217" t="n">
        <v>0</v>
      </c>
      <c r="I217" t="n">
        <v>0</v>
      </c>
      <c r="J217" t="n">
        <v>0</v>
      </c>
      <c r="K217" t="n">
        <v>0</v>
      </c>
      <c r="L217" t="n">
        <v>0</v>
      </c>
      <c r="M217" t="n">
        <v>0</v>
      </c>
      <c r="N217" t="n">
        <v>0</v>
      </c>
      <c r="O217" t="n">
        <v>0</v>
      </c>
      <c r="P217" t="n">
        <v>0</v>
      </c>
      <c r="Q217" t="n">
        <v>0</v>
      </c>
      <c r="R217" s="2" t="inlineStr"/>
    </row>
    <row r="218" ht="15" customHeight="1">
      <c r="A218" t="inlineStr">
        <is>
          <t>A 7498-2026</t>
        </is>
      </c>
      <c r="B218" s="1" t="n">
        <v>46059.55550925926</v>
      </c>
      <c r="C218" s="1" t="n">
        <v>46089</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63749-2025</t>
        </is>
      </c>
      <c r="B219" s="1" t="n">
        <v>46017.75243055556</v>
      </c>
      <c r="C219" s="1" t="n">
        <v>46089</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7329-2026</t>
        </is>
      </c>
      <c r="B220" s="1" t="n">
        <v>46058.68678240741</v>
      </c>
      <c r="C220" s="1" t="n">
        <v>46089</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7324-2026</t>
        </is>
      </c>
      <c r="B221" s="1" t="n">
        <v>46058.68023148148</v>
      </c>
      <c r="C221" s="1" t="n">
        <v>46089</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24944-2023</t>
        </is>
      </c>
      <c r="B222" s="1" t="n">
        <v>45085</v>
      </c>
      <c r="C222" s="1" t="n">
        <v>46089</v>
      </c>
      <c r="D222" t="inlineStr">
        <is>
          <t>VÄSTMANLANDS LÄN</t>
        </is>
      </c>
      <c r="E222" t="inlineStr">
        <is>
          <t>SALA</t>
        </is>
      </c>
      <c r="G222" t="n">
        <v>3.8</v>
      </c>
      <c r="H222" t="n">
        <v>0</v>
      </c>
      <c r="I222" t="n">
        <v>0</v>
      </c>
      <c r="J222" t="n">
        <v>0</v>
      </c>
      <c r="K222" t="n">
        <v>0</v>
      </c>
      <c r="L222" t="n">
        <v>0</v>
      </c>
      <c r="M222" t="n">
        <v>0</v>
      </c>
      <c r="N222" t="n">
        <v>0</v>
      </c>
      <c r="O222" t="n">
        <v>0</v>
      </c>
      <c r="P222" t="n">
        <v>0</v>
      </c>
      <c r="Q222" t="n">
        <v>0</v>
      </c>
      <c r="R222" s="2" t="inlineStr"/>
    </row>
    <row r="223" ht="15" customHeight="1">
      <c r="A223" t="inlineStr">
        <is>
          <t>A 14919-2025</t>
        </is>
      </c>
      <c r="B223" s="1" t="n">
        <v>45743.54256944444</v>
      </c>
      <c r="C223" s="1" t="n">
        <v>46089</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14920-2025</t>
        </is>
      </c>
      <c r="B224" s="1" t="n">
        <v>45743</v>
      </c>
      <c r="C224" s="1" t="n">
        <v>46089</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40398-2021</t>
        </is>
      </c>
      <c r="B225" s="1" t="n">
        <v>44419</v>
      </c>
      <c r="C225" s="1" t="n">
        <v>46089</v>
      </c>
      <c r="D225" t="inlineStr">
        <is>
          <t>VÄSTMANLANDS LÄN</t>
        </is>
      </c>
      <c r="E225" t="inlineStr">
        <is>
          <t>SALA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63748-2025</t>
        </is>
      </c>
      <c r="B226" s="1" t="n">
        <v>46017.71640046296</v>
      </c>
      <c r="C226" s="1" t="n">
        <v>46089</v>
      </c>
      <c r="D226" t="inlineStr">
        <is>
          <t>VÄSTMANLANDS LÄN</t>
        </is>
      </c>
      <c r="E226" t="inlineStr">
        <is>
          <t>SALA</t>
        </is>
      </c>
      <c r="G226" t="n">
        <v>1.6</v>
      </c>
      <c r="H226" t="n">
        <v>0</v>
      </c>
      <c r="I226" t="n">
        <v>0</v>
      </c>
      <c r="J226" t="n">
        <v>0</v>
      </c>
      <c r="K226" t="n">
        <v>0</v>
      </c>
      <c r="L226" t="n">
        <v>0</v>
      </c>
      <c r="M226" t="n">
        <v>0</v>
      </c>
      <c r="N226" t="n">
        <v>0</v>
      </c>
      <c r="O226" t="n">
        <v>0</v>
      </c>
      <c r="P226" t="n">
        <v>0</v>
      </c>
      <c r="Q226" t="n">
        <v>0</v>
      </c>
      <c r="R226" s="2" t="inlineStr"/>
    </row>
    <row r="227" ht="15" customHeight="1">
      <c r="A227" t="inlineStr">
        <is>
          <t>A 43362-2023</t>
        </is>
      </c>
      <c r="B227" s="1" t="n">
        <v>45183</v>
      </c>
      <c r="C227" s="1" t="n">
        <v>46089</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38574-2025</t>
        </is>
      </c>
      <c r="B228" s="1" t="n">
        <v>45884.46390046296</v>
      </c>
      <c r="C228" s="1" t="n">
        <v>46089</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7327-2026</t>
        </is>
      </c>
      <c r="B229" s="1" t="n">
        <v>46058.68371527778</v>
      </c>
      <c r="C229" s="1" t="n">
        <v>46089</v>
      </c>
      <c r="D229" t="inlineStr">
        <is>
          <t>VÄSTMANLANDS LÄN</t>
        </is>
      </c>
      <c r="E229" t="inlineStr">
        <is>
          <t>SALA</t>
        </is>
      </c>
      <c r="G229" t="n">
        <v>5.8</v>
      </c>
      <c r="H229" t="n">
        <v>0</v>
      </c>
      <c r="I229" t="n">
        <v>0</v>
      </c>
      <c r="J229" t="n">
        <v>0</v>
      </c>
      <c r="K229" t="n">
        <v>0</v>
      </c>
      <c r="L229" t="n">
        <v>0</v>
      </c>
      <c r="M229" t="n">
        <v>0</v>
      </c>
      <c r="N229" t="n">
        <v>0</v>
      </c>
      <c r="O229" t="n">
        <v>0</v>
      </c>
      <c r="P229" t="n">
        <v>0</v>
      </c>
      <c r="Q229" t="n">
        <v>0</v>
      </c>
      <c r="R229" s="2" t="inlineStr"/>
    </row>
    <row r="230" ht="15" customHeight="1">
      <c r="A230" t="inlineStr">
        <is>
          <t>A 7332-2026</t>
        </is>
      </c>
      <c r="B230" s="1" t="n">
        <v>46058.68884259259</v>
      </c>
      <c r="C230" s="1" t="n">
        <v>46089</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46089</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24460-2025</t>
        </is>
      </c>
      <c r="B232" s="1" t="n">
        <v>45798</v>
      </c>
      <c r="C232" s="1" t="n">
        <v>46089</v>
      </c>
      <c r="D232" t="inlineStr">
        <is>
          <t>VÄSTMANLANDS LÄN</t>
        </is>
      </c>
      <c r="E232" t="inlineStr">
        <is>
          <t>SALA</t>
        </is>
      </c>
      <c r="F232" t="inlineStr">
        <is>
          <t>Bergvik skog öst AB</t>
        </is>
      </c>
      <c r="G232" t="n">
        <v>2.6</v>
      </c>
      <c r="H232" t="n">
        <v>0</v>
      </c>
      <c r="I232" t="n">
        <v>0</v>
      </c>
      <c r="J232" t="n">
        <v>0</v>
      </c>
      <c r="K232" t="n">
        <v>0</v>
      </c>
      <c r="L232" t="n">
        <v>0</v>
      </c>
      <c r="M232" t="n">
        <v>0</v>
      </c>
      <c r="N232" t="n">
        <v>0</v>
      </c>
      <c r="O232" t="n">
        <v>0</v>
      </c>
      <c r="P232" t="n">
        <v>0</v>
      </c>
      <c r="Q232" t="n">
        <v>0</v>
      </c>
      <c r="R232" s="2" t="inlineStr"/>
    </row>
    <row r="233" ht="15" customHeight="1">
      <c r="A233" t="inlineStr">
        <is>
          <t>A 7654-2026</t>
        </is>
      </c>
      <c r="B233" s="1" t="n">
        <v>46062.38828703704</v>
      </c>
      <c r="C233" s="1" t="n">
        <v>46089</v>
      </c>
      <c r="D233" t="inlineStr">
        <is>
          <t>VÄSTMANLANDS LÄN</t>
        </is>
      </c>
      <c r="E233" t="inlineStr">
        <is>
          <t>SALA</t>
        </is>
      </c>
      <c r="G233" t="n">
        <v>4.5</v>
      </c>
      <c r="H233" t="n">
        <v>0</v>
      </c>
      <c r="I233" t="n">
        <v>0</v>
      </c>
      <c r="J233" t="n">
        <v>0</v>
      </c>
      <c r="K233" t="n">
        <v>0</v>
      </c>
      <c r="L233" t="n">
        <v>0</v>
      </c>
      <c r="M233" t="n">
        <v>0</v>
      </c>
      <c r="N233" t="n">
        <v>0</v>
      </c>
      <c r="O233" t="n">
        <v>0</v>
      </c>
      <c r="P233" t="n">
        <v>0</v>
      </c>
      <c r="Q233" t="n">
        <v>0</v>
      </c>
      <c r="R233" s="2" t="inlineStr"/>
    </row>
    <row r="234" ht="15" customHeight="1">
      <c r="A234" t="inlineStr">
        <is>
          <t>A 6030-2024</t>
        </is>
      </c>
      <c r="B234" s="1" t="n">
        <v>45336.62782407407</v>
      </c>
      <c r="C234" s="1" t="n">
        <v>46089</v>
      </c>
      <c r="D234" t="inlineStr">
        <is>
          <t>VÄSTMANLANDS LÄN</t>
        </is>
      </c>
      <c r="E234" t="inlineStr">
        <is>
          <t>SALA</t>
        </is>
      </c>
      <c r="G234" t="n">
        <v>3.9</v>
      </c>
      <c r="H234" t="n">
        <v>0</v>
      </c>
      <c r="I234" t="n">
        <v>0</v>
      </c>
      <c r="J234" t="n">
        <v>0</v>
      </c>
      <c r="K234" t="n">
        <v>0</v>
      </c>
      <c r="L234" t="n">
        <v>0</v>
      </c>
      <c r="M234" t="n">
        <v>0</v>
      </c>
      <c r="N234" t="n">
        <v>0</v>
      </c>
      <c r="O234" t="n">
        <v>0</v>
      </c>
      <c r="P234" t="n">
        <v>0</v>
      </c>
      <c r="Q234" t="n">
        <v>0</v>
      </c>
      <c r="R234" s="2" t="inlineStr"/>
    </row>
    <row r="235" ht="15" customHeight="1">
      <c r="A235" t="inlineStr">
        <is>
          <t>A 24463-2025</t>
        </is>
      </c>
      <c r="B235" s="1" t="n">
        <v>45798</v>
      </c>
      <c r="C235" s="1" t="n">
        <v>46089</v>
      </c>
      <c r="D235" t="inlineStr">
        <is>
          <t>VÄSTMANLANDS LÄN</t>
        </is>
      </c>
      <c r="E235" t="inlineStr">
        <is>
          <t>SALA</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52630-2022</t>
        </is>
      </c>
      <c r="B236" s="1" t="n">
        <v>44874</v>
      </c>
      <c r="C236" s="1" t="n">
        <v>46089</v>
      </c>
      <c r="D236" t="inlineStr">
        <is>
          <t>VÄSTMANLANDS LÄN</t>
        </is>
      </c>
      <c r="E236" t="inlineStr">
        <is>
          <t>SALA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14690-2025</t>
        </is>
      </c>
      <c r="B237" s="1" t="n">
        <v>45742.58212962963</v>
      </c>
      <c r="C237" s="1" t="n">
        <v>46089</v>
      </c>
      <c r="D237" t="inlineStr">
        <is>
          <t>VÄSTMANLANDS LÄN</t>
        </is>
      </c>
      <c r="E237" t="inlineStr">
        <is>
          <t>SALA</t>
        </is>
      </c>
      <c r="G237" t="n">
        <v>3.4</v>
      </c>
      <c r="H237" t="n">
        <v>0</v>
      </c>
      <c r="I237" t="n">
        <v>0</v>
      </c>
      <c r="J237" t="n">
        <v>0</v>
      </c>
      <c r="K237" t="n">
        <v>0</v>
      </c>
      <c r="L237" t="n">
        <v>0</v>
      </c>
      <c r="M237" t="n">
        <v>0</v>
      </c>
      <c r="N237" t="n">
        <v>0</v>
      </c>
      <c r="O237" t="n">
        <v>0</v>
      </c>
      <c r="P237" t="n">
        <v>0</v>
      </c>
      <c r="Q237" t="n">
        <v>0</v>
      </c>
      <c r="R237" s="2" t="inlineStr"/>
    </row>
    <row r="238" ht="15" customHeight="1">
      <c r="A238" t="inlineStr">
        <is>
          <t>A 31864-2025</t>
        </is>
      </c>
      <c r="B238" s="1" t="n">
        <v>45834.63819444444</v>
      </c>
      <c r="C238" s="1" t="n">
        <v>46089</v>
      </c>
      <c r="D238" t="inlineStr">
        <is>
          <t>VÄSTMANLANDS LÄN</t>
        </is>
      </c>
      <c r="E238" t="inlineStr">
        <is>
          <t>SALA</t>
        </is>
      </c>
      <c r="G238" t="n">
        <v>6.3</v>
      </c>
      <c r="H238" t="n">
        <v>0</v>
      </c>
      <c r="I238" t="n">
        <v>0</v>
      </c>
      <c r="J238" t="n">
        <v>0</v>
      </c>
      <c r="K238" t="n">
        <v>0</v>
      </c>
      <c r="L238" t="n">
        <v>0</v>
      </c>
      <c r="M238" t="n">
        <v>0</v>
      </c>
      <c r="N238" t="n">
        <v>0</v>
      </c>
      <c r="O238" t="n">
        <v>0</v>
      </c>
      <c r="P238" t="n">
        <v>0</v>
      </c>
      <c r="Q238" t="n">
        <v>0</v>
      </c>
      <c r="R238" s="2" t="inlineStr"/>
    </row>
    <row r="239" ht="15" customHeight="1">
      <c r="A239" t="inlineStr">
        <is>
          <t>A 16651-2021</t>
        </is>
      </c>
      <c r="B239" s="1" t="n">
        <v>44294.50096064815</v>
      </c>
      <c r="C239" s="1" t="n">
        <v>46089</v>
      </c>
      <c r="D239" t="inlineStr">
        <is>
          <t>VÄSTMANLANDS LÄN</t>
        </is>
      </c>
      <c r="E239" t="inlineStr">
        <is>
          <t>SALA</t>
        </is>
      </c>
      <c r="G239" t="n">
        <v>7.7</v>
      </c>
      <c r="H239" t="n">
        <v>0</v>
      </c>
      <c r="I239" t="n">
        <v>0</v>
      </c>
      <c r="J239" t="n">
        <v>0</v>
      </c>
      <c r="K239" t="n">
        <v>0</v>
      </c>
      <c r="L239" t="n">
        <v>0</v>
      </c>
      <c r="M239" t="n">
        <v>0</v>
      </c>
      <c r="N239" t="n">
        <v>0</v>
      </c>
      <c r="O239" t="n">
        <v>0</v>
      </c>
      <c r="P239" t="n">
        <v>0</v>
      </c>
      <c r="Q239" t="n">
        <v>0</v>
      </c>
      <c r="R239" s="2" t="inlineStr"/>
    </row>
    <row r="240" ht="15" customHeight="1">
      <c r="A240" t="inlineStr">
        <is>
          <t>A 2521-2025</t>
        </is>
      </c>
      <c r="B240" s="1" t="n">
        <v>45674</v>
      </c>
      <c r="C240" s="1" t="n">
        <v>46089</v>
      </c>
      <c r="D240" t="inlineStr">
        <is>
          <t>VÄSTMANLANDS LÄN</t>
        </is>
      </c>
      <c r="E240" t="inlineStr">
        <is>
          <t>SALA</t>
        </is>
      </c>
      <c r="G240" t="n">
        <v>3.5</v>
      </c>
      <c r="H240" t="n">
        <v>0</v>
      </c>
      <c r="I240" t="n">
        <v>0</v>
      </c>
      <c r="J240" t="n">
        <v>0</v>
      </c>
      <c r="K240" t="n">
        <v>0</v>
      </c>
      <c r="L240" t="n">
        <v>0</v>
      </c>
      <c r="M240" t="n">
        <v>0</v>
      </c>
      <c r="N240" t="n">
        <v>0</v>
      </c>
      <c r="O240" t="n">
        <v>0</v>
      </c>
      <c r="P240" t="n">
        <v>0</v>
      </c>
      <c r="Q240" t="n">
        <v>0</v>
      </c>
      <c r="R240" s="2" t="inlineStr"/>
    </row>
    <row r="241" ht="15" customHeight="1">
      <c r="A241" t="inlineStr">
        <is>
          <t>A 7680-2026</t>
        </is>
      </c>
      <c r="B241" s="1" t="n">
        <v>46062.43087962963</v>
      </c>
      <c r="C241" s="1" t="n">
        <v>46089</v>
      </c>
      <c r="D241" t="inlineStr">
        <is>
          <t>VÄSTMANLANDS LÄN</t>
        </is>
      </c>
      <c r="E241" t="inlineStr">
        <is>
          <t>SALA</t>
        </is>
      </c>
      <c r="G241" t="n">
        <v>2.7</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46089</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46089</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46089</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7595-2026</t>
        </is>
      </c>
      <c r="B245" s="1" t="n">
        <v>46061.90009259259</v>
      </c>
      <c r="C245" s="1" t="n">
        <v>46089</v>
      </c>
      <c r="D245" t="inlineStr">
        <is>
          <t>VÄSTMANLANDS LÄN</t>
        </is>
      </c>
      <c r="E245" t="inlineStr">
        <is>
          <t>SALA</t>
        </is>
      </c>
      <c r="G245" t="n">
        <v>1.2</v>
      </c>
      <c r="H245" t="n">
        <v>0</v>
      </c>
      <c r="I245" t="n">
        <v>0</v>
      </c>
      <c r="J245" t="n">
        <v>0</v>
      </c>
      <c r="K245" t="n">
        <v>0</v>
      </c>
      <c r="L245" t="n">
        <v>0</v>
      </c>
      <c r="M245" t="n">
        <v>0</v>
      </c>
      <c r="N245" t="n">
        <v>0</v>
      </c>
      <c r="O245" t="n">
        <v>0</v>
      </c>
      <c r="P245" t="n">
        <v>0</v>
      </c>
      <c r="Q245" t="n">
        <v>0</v>
      </c>
      <c r="R245" s="2" t="inlineStr"/>
    </row>
    <row r="246" ht="15" customHeight="1">
      <c r="A246" t="inlineStr">
        <is>
          <t>A 39167-2025</t>
        </is>
      </c>
      <c r="B246" s="1" t="n">
        <v>45888</v>
      </c>
      <c r="C246" s="1" t="n">
        <v>46089</v>
      </c>
      <c r="D246" t="inlineStr">
        <is>
          <t>VÄSTMANLANDS LÄN</t>
        </is>
      </c>
      <c r="E246" t="inlineStr">
        <is>
          <t>SALA</t>
        </is>
      </c>
      <c r="G246" t="n">
        <v>5.5</v>
      </c>
      <c r="H246" t="n">
        <v>0</v>
      </c>
      <c r="I246" t="n">
        <v>0</v>
      </c>
      <c r="J246" t="n">
        <v>0</v>
      </c>
      <c r="K246" t="n">
        <v>0</v>
      </c>
      <c r="L246" t="n">
        <v>0</v>
      </c>
      <c r="M246" t="n">
        <v>0</v>
      </c>
      <c r="N246" t="n">
        <v>0</v>
      </c>
      <c r="O246" t="n">
        <v>0</v>
      </c>
      <c r="P246" t="n">
        <v>0</v>
      </c>
      <c r="Q246" t="n">
        <v>0</v>
      </c>
      <c r="R246" s="2" t="inlineStr"/>
    </row>
    <row r="247" ht="15" customHeight="1">
      <c r="A247" t="inlineStr">
        <is>
          <t>A 39182-2025</t>
        </is>
      </c>
      <c r="B247" s="1" t="n">
        <v>45888.66204861111</v>
      </c>
      <c r="C247" s="1" t="n">
        <v>46089</v>
      </c>
      <c r="D247" t="inlineStr">
        <is>
          <t>VÄSTMANLANDS LÄN</t>
        </is>
      </c>
      <c r="E247" t="inlineStr">
        <is>
          <t>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7588-2026</t>
        </is>
      </c>
      <c r="B248" s="1" t="n">
        <v>46061.83528935185</v>
      </c>
      <c r="C248" s="1" t="n">
        <v>46089</v>
      </c>
      <c r="D248" t="inlineStr">
        <is>
          <t>VÄSTMANLANDS LÄN</t>
        </is>
      </c>
      <c r="E248" t="inlineStr">
        <is>
          <t>SALA</t>
        </is>
      </c>
      <c r="G248" t="n">
        <v>2.8</v>
      </c>
      <c r="H248" t="n">
        <v>0</v>
      </c>
      <c r="I248" t="n">
        <v>0</v>
      </c>
      <c r="J248" t="n">
        <v>0</v>
      </c>
      <c r="K248" t="n">
        <v>0</v>
      </c>
      <c r="L248" t="n">
        <v>0</v>
      </c>
      <c r="M248" t="n">
        <v>0</v>
      </c>
      <c r="N248" t="n">
        <v>0</v>
      </c>
      <c r="O248" t="n">
        <v>0</v>
      </c>
      <c r="P248" t="n">
        <v>0</v>
      </c>
      <c r="Q248" t="n">
        <v>0</v>
      </c>
      <c r="R248" s="2" t="inlineStr"/>
    </row>
    <row r="249" ht="15" customHeight="1">
      <c r="A249" t="inlineStr">
        <is>
          <t>A 7593-2026</t>
        </is>
      </c>
      <c r="B249" s="1" t="n">
        <v>46061.88057870371</v>
      </c>
      <c r="C249" s="1" t="n">
        <v>46089</v>
      </c>
      <c r="D249" t="inlineStr">
        <is>
          <t>VÄSTMANLANDS LÄN</t>
        </is>
      </c>
      <c r="E249" t="inlineStr">
        <is>
          <t>SALA</t>
        </is>
      </c>
      <c r="G249" t="n">
        <v>7.5</v>
      </c>
      <c r="H249" t="n">
        <v>0</v>
      </c>
      <c r="I249" t="n">
        <v>0</v>
      </c>
      <c r="J249" t="n">
        <v>0</v>
      </c>
      <c r="K249" t="n">
        <v>0</v>
      </c>
      <c r="L249" t="n">
        <v>0</v>
      </c>
      <c r="M249" t="n">
        <v>0</v>
      </c>
      <c r="N249" t="n">
        <v>0</v>
      </c>
      <c r="O249" t="n">
        <v>0</v>
      </c>
      <c r="P249" t="n">
        <v>0</v>
      </c>
      <c r="Q249" t="n">
        <v>0</v>
      </c>
      <c r="R249" s="2" t="inlineStr"/>
    </row>
    <row r="250" ht="15" customHeight="1">
      <c r="A250" t="inlineStr">
        <is>
          <t>A 7597-2026</t>
        </is>
      </c>
      <c r="B250" s="1" t="n">
        <v>46061.91765046296</v>
      </c>
      <c r="C250" s="1" t="n">
        <v>46089</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60548-2024</t>
        </is>
      </c>
      <c r="B251" s="1" t="n">
        <v>45643.80978009259</v>
      </c>
      <c r="C251" s="1" t="n">
        <v>46089</v>
      </c>
      <c r="D251" t="inlineStr">
        <is>
          <t>VÄSTMANLANDS LÄN</t>
        </is>
      </c>
      <c r="E251" t="inlineStr">
        <is>
          <t>SALA</t>
        </is>
      </c>
      <c r="G251" t="n">
        <v>1.6</v>
      </c>
      <c r="H251" t="n">
        <v>0</v>
      </c>
      <c r="I251" t="n">
        <v>0</v>
      </c>
      <c r="J251" t="n">
        <v>0</v>
      </c>
      <c r="K251" t="n">
        <v>0</v>
      </c>
      <c r="L251" t="n">
        <v>0</v>
      </c>
      <c r="M251" t="n">
        <v>0</v>
      </c>
      <c r="N251" t="n">
        <v>0</v>
      </c>
      <c r="O251" t="n">
        <v>0</v>
      </c>
      <c r="P251" t="n">
        <v>0</v>
      </c>
      <c r="Q251" t="n">
        <v>0</v>
      </c>
      <c r="R251" s="2" t="inlineStr"/>
    </row>
    <row r="252" ht="15" customHeight="1">
      <c r="A252" t="inlineStr">
        <is>
          <t>A 26761-2023</t>
        </is>
      </c>
      <c r="B252" s="1" t="n">
        <v>45093</v>
      </c>
      <c r="C252" s="1" t="n">
        <v>46089</v>
      </c>
      <c r="D252" t="inlineStr">
        <is>
          <t>VÄSTMANLANDS LÄN</t>
        </is>
      </c>
      <c r="E252" t="inlineStr">
        <is>
          <t>SALA</t>
        </is>
      </c>
      <c r="G252" t="n">
        <v>4.3</v>
      </c>
      <c r="H252" t="n">
        <v>0</v>
      </c>
      <c r="I252" t="n">
        <v>0</v>
      </c>
      <c r="J252" t="n">
        <v>0</v>
      </c>
      <c r="K252" t="n">
        <v>0</v>
      </c>
      <c r="L252" t="n">
        <v>0</v>
      </c>
      <c r="M252" t="n">
        <v>0</v>
      </c>
      <c r="N252" t="n">
        <v>0</v>
      </c>
      <c r="O252" t="n">
        <v>0</v>
      </c>
      <c r="P252" t="n">
        <v>0</v>
      </c>
      <c r="Q252" t="n">
        <v>0</v>
      </c>
      <c r="R252" s="2" t="inlineStr"/>
    </row>
    <row r="253" ht="15" customHeight="1">
      <c r="A253" t="inlineStr">
        <is>
          <t>A 7850-2026</t>
        </is>
      </c>
      <c r="B253" s="1" t="n">
        <v>46062.66236111111</v>
      </c>
      <c r="C253" s="1" t="n">
        <v>46089</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7611-2026</t>
        </is>
      </c>
      <c r="B254" s="1" t="n">
        <v>46062.32387731481</v>
      </c>
      <c r="C254" s="1" t="n">
        <v>46089</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7676-2026</t>
        </is>
      </c>
      <c r="B255" s="1" t="n">
        <v>46062.42498842593</v>
      </c>
      <c r="C255" s="1" t="n">
        <v>46089</v>
      </c>
      <c r="D255" t="inlineStr">
        <is>
          <t>VÄSTMANLANDS LÄN</t>
        </is>
      </c>
      <c r="E255" t="inlineStr">
        <is>
          <t>SALA</t>
        </is>
      </c>
      <c r="G255" t="n">
        <v>2.1</v>
      </c>
      <c r="H255" t="n">
        <v>0</v>
      </c>
      <c r="I255" t="n">
        <v>0</v>
      </c>
      <c r="J255" t="n">
        <v>0</v>
      </c>
      <c r="K255" t="n">
        <v>0</v>
      </c>
      <c r="L255" t="n">
        <v>0</v>
      </c>
      <c r="M255" t="n">
        <v>0</v>
      </c>
      <c r="N255" t="n">
        <v>0</v>
      </c>
      <c r="O255" t="n">
        <v>0</v>
      </c>
      <c r="P255" t="n">
        <v>0</v>
      </c>
      <c r="Q255" t="n">
        <v>0</v>
      </c>
      <c r="R255" s="2" t="inlineStr"/>
    </row>
    <row r="256" ht="15" customHeight="1">
      <c r="A256" t="inlineStr">
        <is>
          <t>A 55035-2023</t>
        </is>
      </c>
      <c r="B256" s="1" t="n">
        <v>45229</v>
      </c>
      <c r="C256" s="1" t="n">
        <v>46089</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60249-2023</t>
        </is>
      </c>
      <c r="B257" s="1" t="n">
        <v>45258</v>
      </c>
      <c r="C257" s="1" t="n">
        <v>46089</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52498-2022</t>
        </is>
      </c>
      <c r="B258" s="1" t="n">
        <v>44874.50152777778</v>
      </c>
      <c r="C258" s="1" t="n">
        <v>46089</v>
      </c>
      <c r="D258" t="inlineStr">
        <is>
          <t>VÄSTMANLANDS LÄN</t>
        </is>
      </c>
      <c r="E258" t="inlineStr">
        <is>
          <t>SALA</t>
        </is>
      </c>
      <c r="G258" t="n">
        <v>2.1</v>
      </c>
      <c r="H258" t="n">
        <v>0</v>
      </c>
      <c r="I258" t="n">
        <v>0</v>
      </c>
      <c r="J258" t="n">
        <v>0</v>
      </c>
      <c r="K258" t="n">
        <v>0</v>
      </c>
      <c r="L258" t="n">
        <v>0</v>
      </c>
      <c r="M258" t="n">
        <v>0</v>
      </c>
      <c r="N258" t="n">
        <v>0</v>
      </c>
      <c r="O258" t="n">
        <v>0</v>
      </c>
      <c r="P258" t="n">
        <v>0</v>
      </c>
      <c r="Q258" t="n">
        <v>0</v>
      </c>
      <c r="R258" s="2" t="inlineStr"/>
    </row>
    <row r="259" ht="15" customHeight="1">
      <c r="A259" t="inlineStr">
        <is>
          <t>A 7661-2026</t>
        </is>
      </c>
      <c r="B259" s="1" t="n">
        <v>46062.39614583334</v>
      </c>
      <c r="C259" s="1" t="n">
        <v>46089</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10909-2024</t>
        </is>
      </c>
      <c r="B260" s="1" t="n">
        <v>45370</v>
      </c>
      <c r="C260" s="1" t="n">
        <v>46089</v>
      </c>
      <c r="D260" t="inlineStr">
        <is>
          <t>VÄSTMANLANDS LÄN</t>
        </is>
      </c>
      <c r="E260" t="inlineStr">
        <is>
          <t>SALA</t>
        </is>
      </c>
      <c r="G260" t="n">
        <v>3.3</v>
      </c>
      <c r="H260" t="n">
        <v>0</v>
      </c>
      <c r="I260" t="n">
        <v>0</v>
      </c>
      <c r="J260" t="n">
        <v>0</v>
      </c>
      <c r="K260" t="n">
        <v>0</v>
      </c>
      <c r="L260" t="n">
        <v>0</v>
      </c>
      <c r="M260" t="n">
        <v>0</v>
      </c>
      <c r="N260" t="n">
        <v>0</v>
      </c>
      <c r="O260" t="n">
        <v>0</v>
      </c>
      <c r="P260" t="n">
        <v>0</v>
      </c>
      <c r="Q260" t="n">
        <v>0</v>
      </c>
      <c r="R260" s="2" t="inlineStr"/>
    </row>
    <row r="261" ht="15" customHeight="1">
      <c r="A261" t="inlineStr">
        <is>
          <t>A 7584-2026</t>
        </is>
      </c>
      <c r="B261" s="1" t="n">
        <v>46061.81653935185</v>
      </c>
      <c r="C261" s="1" t="n">
        <v>46089</v>
      </c>
      <c r="D261" t="inlineStr">
        <is>
          <t>VÄSTMANLANDS LÄN</t>
        </is>
      </c>
      <c r="E261" t="inlineStr">
        <is>
          <t>SALA</t>
        </is>
      </c>
      <c r="G261" t="n">
        <v>16.7</v>
      </c>
      <c r="H261" t="n">
        <v>0</v>
      </c>
      <c r="I261" t="n">
        <v>0</v>
      </c>
      <c r="J261" t="n">
        <v>0</v>
      </c>
      <c r="K261" t="n">
        <v>0</v>
      </c>
      <c r="L261" t="n">
        <v>0</v>
      </c>
      <c r="M261" t="n">
        <v>0</v>
      </c>
      <c r="N261" t="n">
        <v>0</v>
      </c>
      <c r="O261" t="n">
        <v>0</v>
      </c>
      <c r="P261" t="n">
        <v>0</v>
      </c>
      <c r="Q261" t="n">
        <v>0</v>
      </c>
      <c r="R261" s="2" t="inlineStr"/>
    </row>
    <row r="262" ht="15" customHeight="1">
      <c r="A262" t="inlineStr">
        <is>
          <t>A 7590-2026</t>
        </is>
      </c>
      <c r="B262" s="1" t="n">
        <v>46061.85252314815</v>
      </c>
      <c r="C262" s="1" t="n">
        <v>46089</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7596-2026</t>
        </is>
      </c>
      <c r="B263" s="1" t="n">
        <v>46061.90922453703</v>
      </c>
      <c r="C263" s="1" t="n">
        <v>46089</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31597-2024</t>
        </is>
      </c>
      <c r="B264" s="1" t="n">
        <v>45506</v>
      </c>
      <c r="C264" s="1" t="n">
        <v>46089</v>
      </c>
      <c r="D264" t="inlineStr">
        <is>
          <t>VÄSTMANLANDS LÄN</t>
        </is>
      </c>
      <c r="E264" t="inlineStr">
        <is>
          <t>SALA</t>
        </is>
      </c>
      <c r="G264" t="n">
        <v>2.4</v>
      </c>
      <c r="H264" t="n">
        <v>0</v>
      </c>
      <c r="I264" t="n">
        <v>0</v>
      </c>
      <c r="J264" t="n">
        <v>0</v>
      </c>
      <c r="K264" t="n">
        <v>0</v>
      </c>
      <c r="L264" t="n">
        <v>0</v>
      </c>
      <c r="M264" t="n">
        <v>0</v>
      </c>
      <c r="N264" t="n">
        <v>0</v>
      </c>
      <c r="O264" t="n">
        <v>0</v>
      </c>
      <c r="P264" t="n">
        <v>0</v>
      </c>
      <c r="Q264" t="n">
        <v>0</v>
      </c>
      <c r="R264" s="2" t="inlineStr"/>
    </row>
    <row r="265" ht="15" customHeight="1">
      <c r="A265" t="inlineStr">
        <is>
          <t>A 31599-2024</t>
        </is>
      </c>
      <c r="B265" s="1" t="n">
        <v>45506</v>
      </c>
      <c r="C265" s="1" t="n">
        <v>46089</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31601-2024</t>
        </is>
      </c>
      <c r="B266" s="1" t="n">
        <v>45506</v>
      </c>
      <c r="C266" s="1" t="n">
        <v>46089</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31608-2024</t>
        </is>
      </c>
      <c r="B267" s="1" t="n">
        <v>45506</v>
      </c>
      <c r="C267" s="1" t="n">
        <v>46089</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31612-2024</t>
        </is>
      </c>
      <c r="B268" s="1" t="n">
        <v>45506</v>
      </c>
      <c r="C268" s="1" t="n">
        <v>46089</v>
      </c>
      <c r="D268" t="inlineStr">
        <is>
          <t>VÄSTMANLANDS LÄN</t>
        </is>
      </c>
      <c r="E268" t="inlineStr">
        <is>
          <t>SALA</t>
        </is>
      </c>
      <c r="G268" t="n">
        <v>3.2</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46089</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52500-2024</t>
        </is>
      </c>
      <c r="B270" s="1" t="n">
        <v>45609</v>
      </c>
      <c r="C270" s="1" t="n">
        <v>46089</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40556-2025</t>
        </is>
      </c>
      <c r="B271" s="1" t="n">
        <v>45896.44944444444</v>
      </c>
      <c r="C271" s="1" t="n">
        <v>46089</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40620-2025</t>
        </is>
      </c>
      <c r="B272" s="1" t="n">
        <v>45896.58609953704</v>
      </c>
      <c r="C272" s="1" t="n">
        <v>46089</v>
      </c>
      <c r="D272" t="inlineStr">
        <is>
          <t>VÄSTMANLANDS LÄN</t>
        </is>
      </c>
      <c r="E272" t="inlineStr">
        <is>
          <t>SALA</t>
        </is>
      </c>
      <c r="G272" t="n">
        <v>6.7</v>
      </c>
      <c r="H272" t="n">
        <v>0</v>
      </c>
      <c r="I272" t="n">
        <v>0</v>
      </c>
      <c r="J272" t="n">
        <v>0</v>
      </c>
      <c r="K272" t="n">
        <v>0</v>
      </c>
      <c r="L272" t="n">
        <v>0</v>
      </c>
      <c r="M272" t="n">
        <v>0</v>
      </c>
      <c r="N272" t="n">
        <v>0</v>
      </c>
      <c r="O272" t="n">
        <v>0</v>
      </c>
      <c r="P272" t="n">
        <v>0</v>
      </c>
      <c r="Q272" t="n">
        <v>0</v>
      </c>
      <c r="R272" s="2" t="inlineStr"/>
    </row>
    <row r="273" ht="15" customHeight="1">
      <c r="A273" t="inlineStr">
        <is>
          <t>A 56949-2023</t>
        </is>
      </c>
      <c r="B273" s="1" t="n">
        <v>45244.61589120371</v>
      </c>
      <c r="C273" s="1" t="n">
        <v>46089</v>
      </c>
      <c r="D273" t="inlineStr">
        <is>
          <t>VÄSTMANLANDS LÄN</t>
        </is>
      </c>
      <c r="E273" t="inlineStr">
        <is>
          <t>SALA</t>
        </is>
      </c>
      <c r="G273" t="n">
        <v>4.7</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46089</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96-2024</t>
        </is>
      </c>
      <c r="B275" s="1" t="n">
        <v>45293.85872685185</v>
      </c>
      <c r="C275" s="1" t="n">
        <v>46089</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41414-2025</t>
        </is>
      </c>
      <c r="B276" s="1" t="n">
        <v>45901.360625</v>
      </c>
      <c r="C276" s="1" t="n">
        <v>46089</v>
      </c>
      <c r="D276" t="inlineStr">
        <is>
          <t>VÄSTMANLANDS LÄN</t>
        </is>
      </c>
      <c r="E276" t="inlineStr">
        <is>
          <t>SALA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26661-2025</t>
        </is>
      </c>
      <c r="B277" s="1" t="n">
        <v>45810</v>
      </c>
      <c r="C277" s="1" t="n">
        <v>46089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54118-2023</t>
        </is>
      </c>
      <c r="B278" s="1" t="n">
        <v>45232</v>
      </c>
      <c r="C278" s="1" t="n">
        <v>46089</v>
      </c>
      <c r="D278" t="inlineStr">
        <is>
          <t>VÄSTMANLANDS LÄN</t>
        </is>
      </c>
      <c r="E278" t="inlineStr">
        <is>
          <t>SALA</t>
        </is>
      </c>
      <c r="G278" t="n">
        <v>1.1</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46089</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53164-2024</t>
        </is>
      </c>
      <c r="B280" s="1" t="n">
        <v>45611.64887731482</v>
      </c>
      <c r="C280" s="1" t="n">
        <v>46089</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41431-2025</t>
        </is>
      </c>
      <c r="B281" s="1" t="n">
        <v>45901.39347222223</v>
      </c>
      <c r="C281" s="1" t="n">
        <v>46089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34814-2021</t>
        </is>
      </c>
      <c r="B282" s="1" t="n">
        <v>44383</v>
      </c>
      <c r="C282" s="1" t="n">
        <v>46089</v>
      </c>
      <c r="D282" t="inlineStr">
        <is>
          <t>VÄSTMANLANDS LÄN</t>
        </is>
      </c>
      <c r="E282" t="inlineStr">
        <is>
          <t>SALA</t>
        </is>
      </c>
      <c r="F282" t="inlineStr">
        <is>
          <t>Sveaskog</t>
        </is>
      </c>
      <c r="G282" t="n">
        <v>0.5</v>
      </c>
      <c r="H282" t="n">
        <v>0</v>
      </c>
      <c r="I282" t="n">
        <v>0</v>
      </c>
      <c r="J282" t="n">
        <v>0</v>
      </c>
      <c r="K282" t="n">
        <v>0</v>
      </c>
      <c r="L282" t="n">
        <v>0</v>
      </c>
      <c r="M282" t="n">
        <v>0</v>
      </c>
      <c r="N282" t="n">
        <v>0</v>
      </c>
      <c r="O282" t="n">
        <v>0</v>
      </c>
      <c r="P282" t="n">
        <v>0</v>
      </c>
      <c r="Q282" t="n">
        <v>0</v>
      </c>
      <c r="R282" s="2" t="inlineStr"/>
    </row>
    <row r="283" ht="15" customHeight="1">
      <c r="A283" t="inlineStr">
        <is>
          <t>A 25748-2022</t>
        </is>
      </c>
      <c r="B283" s="1" t="n">
        <v>44732</v>
      </c>
      <c r="C283" s="1" t="n">
        <v>46089</v>
      </c>
      <c r="D283" t="inlineStr">
        <is>
          <t>VÄSTMANLANDS LÄN</t>
        </is>
      </c>
      <c r="E283" t="inlineStr">
        <is>
          <t>SALA</t>
        </is>
      </c>
      <c r="G283" t="n">
        <v>7.7</v>
      </c>
      <c r="H283" t="n">
        <v>0</v>
      </c>
      <c r="I283" t="n">
        <v>0</v>
      </c>
      <c r="J283" t="n">
        <v>0</v>
      </c>
      <c r="K283" t="n">
        <v>0</v>
      </c>
      <c r="L283" t="n">
        <v>0</v>
      </c>
      <c r="M283" t="n">
        <v>0</v>
      </c>
      <c r="N283" t="n">
        <v>0</v>
      </c>
      <c r="O283" t="n">
        <v>0</v>
      </c>
      <c r="P283" t="n">
        <v>0</v>
      </c>
      <c r="Q283" t="n">
        <v>0</v>
      </c>
      <c r="R283" s="2" t="inlineStr"/>
    </row>
    <row r="284" ht="15" customHeight="1">
      <c r="A284" t="inlineStr">
        <is>
          <t>A 3733-2023</t>
        </is>
      </c>
      <c r="B284" s="1" t="n">
        <v>44951.42501157407</v>
      </c>
      <c r="C284" s="1" t="n">
        <v>46089</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6136-2025</t>
        </is>
      </c>
      <c r="B285" s="1" t="n">
        <v>45698.37601851852</v>
      </c>
      <c r="C285" s="1" t="n">
        <v>46089</v>
      </c>
      <c r="D285" t="inlineStr">
        <is>
          <t>VÄSTMANLANDS LÄN</t>
        </is>
      </c>
      <c r="E285" t="inlineStr">
        <is>
          <t>SALA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6190-2025</t>
        </is>
      </c>
      <c r="B286" s="1" t="n">
        <v>45698</v>
      </c>
      <c r="C286" s="1" t="n">
        <v>46089</v>
      </c>
      <c r="D286" t="inlineStr">
        <is>
          <t>VÄSTMANLANDS LÄN</t>
        </is>
      </c>
      <c r="E286" t="inlineStr">
        <is>
          <t>SALA</t>
        </is>
      </c>
      <c r="F286" t="inlineStr">
        <is>
          <t>Bergvik skog öst AB</t>
        </is>
      </c>
      <c r="G286" t="n">
        <v>4.6</v>
      </c>
      <c r="H286" t="n">
        <v>0</v>
      </c>
      <c r="I286" t="n">
        <v>0</v>
      </c>
      <c r="J286" t="n">
        <v>0</v>
      </c>
      <c r="K286" t="n">
        <v>0</v>
      </c>
      <c r="L286" t="n">
        <v>0</v>
      </c>
      <c r="M286" t="n">
        <v>0</v>
      </c>
      <c r="N286" t="n">
        <v>0</v>
      </c>
      <c r="O286" t="n">
        <v>0</v>
      </c>
      <c r="P286" t="n">
        <v>0</v>
      </c>
      <c r="Q286" t="n">
        <v>0</v>
      </c>
      <c r="R286" s="2" t="inlineStr"/>
    </row>
    <row r="287" ht="15" customHeight="1">
      <c r="A287" t="inlineStr">
        <is>
          <t>A 4683-2026</t>
        </is>
      </c>
      <c r="B287" s="1" t="n">
        <v>46048.43489583334</v>
      </c>
      <c r="C287" s="1" t="n">
        <v>46089</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46089</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16760-2024</t>
        </is>
      </c>
      <c r="B289" s="1" t="n">
        <v>45411</v>
      </c>
      <c r="C289" s="1" t="n">
        <v>46089</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42421-2025</t>
        </is>
      </c>
      <c r="B290" s="1" t="n">
        <v>45905.40067129629</v>
      </c>
      <c r="C290" s="1" t="n">
        <v>46089</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27989-2025</t>
        </is>
      </c>
      <c r="B291" s="1" t="n">
        <v>45817.58716435185</v>
      </c>
      <c r="C291" s="1" t="n">
        <v>46089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6127-2025</t>
        </is>
      </c>
      <c r="B292" s="1" t="n">
        <v>45698</v>
      </c>
      <c r="C292" s="1" t="n">
        <v>46089</v>
      </c>
      <c r="D292" t="inlineStr">
        <is>
          <t>VÄSTMANLANDS LÄN</t>
        </is>
      </c>
      <c r="E292" t="inlineStr">
        <is>
          <t>SALA</t>
        </is>
      </c>
      <c r="F292" t="inlineStr">
        <is>
          <t>Bergvik skog öst AB</t>
        </is>
      </c>
      <c r="G292" t="n">
        <v>4.3</v>
      </c>
      <c r="H292" t="n">
        <v>0</v>
      </c>
      <c r="I292" t="n">
        <v>0</v>
      </c>
      <c r="J292" t="n">
        <v>0</v>
      </c>
      <c r="K292" t="n">
        <v>0</v>
      </c>
      <c r="L292" t="n">
        <v>0</v>
      </c>
      <c r="M292" t="n">
        <v>0</v>
      </c>
      <c r="N292" t="n">
        <v>0</v>
      </c>
      <c r="O292" t="n">
        <v>0</v>
      </c>
      <c r="P292" t="n">
        <v>0</v>
      </c>
      <c r="Q292" t="n">
        <v>0</v>
      </c>
      <c r="R292" s="2" t="inlineStr"/>
    </row>
    <row r="293" ht="15" customHeight="1">
      <c r="A293" t="inlineStr">
        <is>
          <t>A 27981-2025</t>
        </is>
      </c>
      <c r="B293" s="1" t="n">
        <v>45817.57471064815</v>
      </c>
      <c r="C293" s="1" t="n">
        <v>46089</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46089</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46089</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37263-2025</t>
        </is>
      </c>
      <c r="B296" s="1" t="n">
        <v>45876.4584837963</v>
      </c>
      <c r="C296" s="1" t="n">
        <v>46089</v>
      </c>
      <c r="D296" t="inlineStr">
        <is>
          <t>VÄSTMANLANDS LÄN</t>
        </is>
      </c>
      <c r="E296" t="inlineStr">
        <is>
          <t>SALA</t>
        </is>
      </c>
      <c r="G296" t="n">
        <v>2.3</v>
      </c>
      <c r="H296" t="n">
        <v>0</v>
      </c>
      <c r="I296" t="n">
        <v>0</v>
      </c>
      <c r="J296" t="n">
        <v>0</v>
      </c>
      <c r="K296" t="n">
        <v>0</v>
      </c>
      <c r="L296" t="n">
        <v>0</v>
      </c>
      <c r="M296" t="n">
        <v>0</v>
      </c>
      <c r="N296" t="n">
        <v>0</v>
      </c>
      <c r="O296" t="n">
        <v>0</v>
      </c>
      <c r="P296" t="n">
        <v>0</v>
      </c>
      <c r="Q296" t="n">
        <v>0</v>
      </c>
      <c r="R296" s="2" t="inlineStr"/>
    </row>
    <row r="297" ht="15" customHeight="1">
      <c r="A297" t="inlineStr">
        <is>
          <t>A 43127-2025</t>
        </is>
      </c>
      <c r="B297" s="1" t="n">
        <v>45909</v>
      </c>
      <c r="C297" s="1" t="n">
        <v>46089</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28284-2025</t>
        </is>
      </c>
      <c r="B298" s="1" t="n">
        <v>45818.58893518519</v>
      </c>
      <c r="C298" s="1" t="n">
        <v>46089</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988-2025</t>
        </is>
      </c>
      <c r="B299" s="1" t="n">
        <v>45666.44038194444</v>
      </c>
      <c r="C299" s="1" t="n">
        <v>46089</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60328-2024</t>
        </is>
      </c>
      <c r="B300" s="1" t="n">
        <v>45643.38416666666</v>
      </c>
      <c r="C300" s="1" t="n">
        <v>46089</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46089</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46089</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28278-2025</t>
        </is>
      </c>
      <c r="B303" s="1" t="n">
        <v>45818.58454861111</v>
      </c>
      <c r="C303" s="1" t="n">
        <v>46089</v>
      </c>
      <c r="D303" t="inlineStr">
        <is>
          <t>VÄSTMANLANDS LÄN</t>
        </is>
      </c>
      <c r="E303" t="inlineStr">
        <is>
          <t>SALA</t>
        </is>
      </c>
      <c r="G303" t="n">
        <v>7.6</v>
      </c>
      <c r="H303" t="n">
        <v>0</v>
      </c>
      <c r="I303" t="n">
        <v>0</v>
      </c>
      <c r="J303" t="n">
        <v>0</v>
      </c>
      <c r="K303" t="n">
        <v>0</v>
      </c>
      <c r="L303" t="n">
        <v>0</v>
      </c>
      <c r="M303" t="n">
        <v>0</v>
      </c>
      <c r="N303" t="n">
        <v>0</v>
      </c>
      <c r="O303" t="n">
        <v>0</v>
      </c>
      <c r="P303" t="n">
        <v>0</v>
      </c>
      <c r="Q303" t="n">
        <v>0</v>
      </c>
      <c r="R303" s="2" t="inlineStr"/>
    </row>
    <row r="304" ht="15" customHeight="1">
      <c r="A304" t="inlineStr">
        <is>
          <t>A 35016-2024</t>
        </is>
      </c>
      <c r="B304" s="1" t="n">
        <v>45527.59115740741</v>
      </c>
      <c r="C304" s="1" t="n">
        <v>46089</v>
      </c>
      <c r="D304" t="inlineStr">
        <is>
          <t>VÄSTMANLANDS LÄN</t>
        </is>
      </c>
      <c r="E304" t="inlineStr">
        <is>
          <t>SALA</t>
        </is>
      </c>
      <c r="G304" t="n">
        <v>0.4</v>
      </c>
      <c r="H304" t="n">
        <v>0</v>
      </c>
      <c r="I304" t="n">
        <v>0</v>
      </c>
      <c r="J304" t="n">
        <v>0</v>
      </c>
      <c r="K304" t="n">
        <v>0</v>
      </c>
      <c r="L304" t="n">
        <v>0</v>
      </c>
      <c r="M304" t="n">
        <v>0</v>
      </c>
      <c r="N304" t="n">
        <v>0</v>
      </c>
      <c r="O304" t="n">
        <v>0</v>
      </c>
      <c r="P304" t="n">
        <v>0</v>
      </c>
      <c r="Q304" t="n">
        <v>0</v>
      </c>
      <c r="R304" s="2" t="inlineStr"/>
    </row>
    <row r="305" ht="15" customHeight="1">
      <c r="A305" t="inlineStr">
        <is>
          <t>A 43129-2025</t>
        </is>
      </c>
      <c r="B305" s="1" t="n">
        <v>45909</v>
      </c>
      <c r="C305" s="1" t="n">
        <v>46089</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43130-2025</t>
        </is>
      </c>
      <c r="B306" s="1" t="n">
        <v>45909</v>
      </c>
      <c r="C306" s="1" t="n">
        <v>46089</v>
      </c>
      <c r="D306" t="inlineStr">
        <is>
          <t>VÄSTMANLANDS LÄN</t>
        </is>
      </c>
      <c r="E306" t="inlineStr">
        <is>
          <t>SALA</t>
        </is>
      </c>
      <c r="G306" t="n">
        <v>0.9</v>
      </c>
      <c r="H306" t="n">
        <v>0</v>
      </c>
      <c r="I306" t="n">
        <v>0</v>
      </c>
      <c r="J306" t="n">
        <v>0</v>
      </c>
      <c r="K306" t="n">
        <v>0</v>
      </c>
      <c r="L306" t="n">
        <v>0</v>
      </c>
      <c r="M306" t="n">
        <v>0</v>
      </c>
      <c r="N306" t="n">
        <v>0</v>
      </c>
      <c r="O306" t="n">
        <v>0</v>
      </c>
      <c r="P306" t="n">
        <v>0</v>
      </c>
      <c r="Q306" t="n">
        <v>0</v>
      </c>
      <c r="R306" s="2" t="inlineStr"/>
    </row>
    <row r="307" ht="15" customHeight="1">
      <c r="A307" t="inlineStr">
        <is>
          <t>A 28628-2025</t>
        </is>
      </c>
      <c r="B307" s="1" t="n">
        <v>45819.62158564815</v>
      </c>
      <c r="C307" s="1" t="n">
        <v>46089</v>
      </c>
      <c r="D307" t="inlineStr">
        <is>
          <t>VÄSTMANLANDS LÄN</t>
        </is>
      </c>
      <c r="E307" t="inlineStr">
        <is>
          <t>SALA</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25897-2024</t>
        </is>
      </c>
      <c r="B308" s="1" t="n">
        <v>45467.54435185185</v>
      </c>
      <c r="C308" s="1" t="n">
        <v>46089</v>
      </c>
      <c r="D308" t="inlineStr">
        <is>
          <t>VÄSTMANLANDS LÄN</t>
        </is>
      </c>
      <c r="E308" t="inlineStr">
        <is>
          <t>SALA</t>
        </is>
      </c>
      <c r="G308" t="n">
        <v>9.9</v>
      </c>
      <c r="H308" t="n">
        <v>0</v>
      </c>
      <c r="I308" t="n">
        <v>0</v>
      </c>
      <c r="J308" t="n">
        <v>0</v>
      </c>
      <c r="K308" t="n">
        <v>0</v>
      </c>
      <c r="L308" t="n">
        <v>0</v>
      </c>
      <c r="M308" t="n">
        <v>0</v>
      </c>
      <c r="N308" t="n">
        <v>0</v>
      </c>
      <c r="O308" t="n">
        <v>0</v>
      </c>
      <c r="P308" t="n">
        <v>0</v>
      </c>
      <c r="Q308" t="n">
        <v>0</v>
      </c>
      <c r="R308" s="2" t="inlineStr"/>
    </row>
    <row r="309" ht="15" customHeight="1">
      <c r="A309" t="inlineStr">
        <is>
          <t>A 28632-2025</t>
        </is>
      </c>
      <c r="B309" s="1" t="n">
        <v>45819.62344907408</v>
      </c>
      <c r="C309" s="1" t="n">
        <v>46089</v>
      </c>
      <c r="D309" t="inlineStr">
        <is>
          <t>VÄSTMANLANDS LÄN</t>
        </is>
      </c>
      <c r="E309" t="inlineStr">
        <is>
          <t>SALA</t>
        </is>
      </c>
      <c r="F309" t="inlineStr">
        <is>
          <t>Sveaskog</t>
        </is>
      </c>
      <c r="G309" t="n">
        <v>2.4</v>
      </c>
      <c r="H309" t="n">
        <v>0</v>
      </c>
      <c r="I309" t="n">
        <v>0</v>
      </c>
      <c r="J309" t="n">
        <v>0</v>
      </c>
      <c r="K309" t="n">
        <v>0</v>
      </c>
      <c r="L309" t="n">
        <v>0</v>
      </c>
      <c r="M309" t="n">
        <v>0</v>
      </c>
      <c r="N309" t="n">
        <v>0</v>
      </c>
      <c r="O309" t="n">
        <v>0</v>
      </c>
      <c r="P309" t="n">
        <v>0</v>
      </c>
      <c r="Q309" t="n">
        <v>0</v>
      </c>
      <c r="R309" s="2" t="inlineStr"/>
    </row>
    <row r="310" ht="15" customHeight="1">
      <c r="A310" t="inlineStr">
        <is>
          <t>A 43028-2025</t>
        </is>
      </c>
      <c r="B310" s="1" t="n">
        <v>45909.53472222222</v>
      </c>
      <c r="C310" s="1" t="n">
        <v>46089</v>
      </c>
      <c r="D310" t="inlineStr">
        <is>
          <t>VÄSTMANLANDS LÄN</t>
        </is>
      </c>
      <c r="E310" t="inlineStr">
        <is>
          <t>SALA</t>
        </is>
      </c>
      <c r="G310" t="n">
        <v>3.8</v>
      </c>
      <c r="H310" t="n">
        <v>0</v>
      </c>
      <c r="I310" t="n">
        <v>0</v>
      </c>
      <c r="J310" t="n">
        <v>0</v>
      </c>
      <c r="K310" t="n">
        <v>0</v>
      </c>
      <c r="L310" t="n">
        <v>0</v>
      </c>
      <c r="M310" t="n">
        <v>0</v>
      </c>
      <c r="N310" t="n">
        <v>0</v>
      </c>
      <c r="O310" t="n">
        <v>0</v>
      </c>
      <c r="P310" t="n">
        <v>0</v>
      </c>
      <c r="Q310" t="n">
        <v>0</v>
      </c>
      <c r="R310" s="2" t="inlineStr"/>
    </row>
    <row r="311" ht="15" customHeight="1">
      <c r="A311" t="inlineStr">
        <is>
          <t>A 28630-2025</t>
        </is>
      </c>
      <c r="B311" s="1" t="n">
        <v>45819.62274305556</v>
      </c>
      <c r="C311" s="1" t="n">
        <v>46089</v>
      </c>
      <c r="D311" t="inlineStr">
        <is>
          <t>VÄSTMANLANDS LÄN</t>
        </is>
      </c>
      <c r="E311" t="inlineStr">
        <is>
          <t>SALA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46089</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43031-2025</t>
        </is>
      </c>
      <c r="B313" s="1" t="n">
        <v>45909.53856481481</v>
      </c>
      <c r="C313" s="1" t="n">
        <v>46089</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57371-2022</t>
        </is>
      </c>
      <c r="B314" s="1" t="n">
        <v>44896.43832175926</v>
      </c>
      <c r="C314" s="1" t="n">
        <v>46089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22019-2021</t>
        </is>
      </c>
      <c r="B315" s="1" t="n">
        <v>44323</v>
      </c>
      <c r="C315" s="1" t="n">
        <v>46089</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43328-2025</t>
        </is>
      </c>
      <c r="B316" s="1" t="n">
        <v>45910</v>
      </c>
      <c r="C316" s="1" t="n">
        <v>46089</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28837-2025</t>
        </is>
      </c>
      <c r="B317" s="1" t="n">
        <v>45820.56243055555</v>
      </c>
      <c r="C317" s="1" t="n">
        <v>46089</v>
      </c>
      <c r="D317" t="inlineStr">
        <is>
          <t>VÄSTMANLANDS LÄN</t>
        </is>
      </c>
      <c r="E317" t="inlineStr">
        <is>
          <t>SALA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28849-2025</t>
        </is>
      </c>
      <c r="B318" s="1" t="n">
        <v>45820</v>
      </c>
      <c r="C318" s="1" t="n">
        <v>46089</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55784-2024</t>
        </is>
      </c>
      <c r="B319" s="1" t="n">
        <v>45623</v>
      </c>
      <c r="C319" s="1" t="n">
        <v>46089</v>
      </c>
      <c r="D319" t="inlineStr">
        <is>
          <t>VÄSTMANLANDS LÄN</t>
        </is>
      </c>
      <c r="E319" t="inlineStr">
        <is>
          <t>SALA</t>
        </is>
      </c>
      <c r="F319" t="inlineStr">
        <is>
          <t>Bergvik skog öst AB</t>
        </is>
      </c>
      <c r="G319" t="n">
        <v>28.4</v>
      </c>
      <c r="H319" t="n">
        <v>0</v>
      </c>
      <c r="I319" t="n">
        <v>0</v>
      </c>
      <c r="J319" t="n">
        <v>0</v>
      </c>
      <c r="K319" t="n">
        <v>0</v>
      </c>
      <c r="L319" t="n">
        <v>0</v>
      </c>
      <c r="M319" t="n">
        <v>0</v>
      </c>
      <c r="N319" t="n">
        <v>0</v>
      </c>
      <c r="O319" t="n">
        <v>0</v>
      </c>
      <c r="P319" t="n">
        <v>0</v>
      </c>
      <c r="Q319" t="n">
        <v>0</v>
      </c>
      <c r="R319" s="2" t="inlineStr"/>
    </row>
    <row r="320" ht="15" customHeight="1">
      <c r="A320" t="inlineStr">
        <is>
          <t>A 16651-2021</t>
        </is>
      </c>
      <c r="B320" s="1" t="n">
        <v>44294.50096064815</v>
      </c>
      <c r="C320" s="1" t="n">
        <v>46089</v>
      </c>
      <c r="D320" t="inlineStr">
        <is>
          <t>VÄSTMANLANDS LÄN</t>
        </is>
      </c>
      <c r="E320" t="inlineStr">
        <is>
          <t>SALA</t>
        </is>
      </c>
      <c r="G320" t="n">
        <v>7.7</v>
      </c>
      <c r="H320" t="n">
        <v>0</v>
      </c>
      <c r="I320" t="n">
        <v>0</v>
      </c>
      <c r="J320" t="n">
        <v>0</v>
      </c>
      <c r="K320" t="n">
        <v>0</v>
      </c>
      <c r="L320" t="n">
        <v>0</v>
      </c>
      <c r="M320" t="n">
        <v>0</v>
      </c>
      <c r="N320" t="n">
        <v>0</v>
      </c>
      <c r="O320" t="n">
        <v>0</v>
      </c>
      <c r="P320" t="n">
        <v>0</v>
      </c>
      <c r="Q320" t="n">
        <v>0</v>
      </c>
      <c r="R320" s="2" t="inlineStr"/>
    </row>
    <row r="321" ht="15" customHeight="1">
      <c r="A321" t="inlineStr">
        <is>
          <t>A 29085-2025</t>
        </is>
      </c>
      <c r="B321" s="1" t="n">
        <v>45821</v>
      </c>
      <c r="C321" s="1" t="n">
        <v>46089</v>
      </c>
      <c r="D321" t="inlineStr">
        <is>
          <t>VÄSTMANLANDS LÄN</t>
        </is>
      </c>
      <c r="E321" t="inlineStr">
        <is>
          <t>SALA</t>
        </is>
      </c>
      <c r="G321" t="n">
        <v>3.5</v>
      </c>
      <c r="H321" t="n">
        <v>0</v>
      </c>
      <c r="I321" t="n">
        <v>0</v>
      </c>
      <c r="J321" t="n">
        <v>0</v>
      </c>
      <c r="K321" t="n">
        <v>0</v>
      </c>
      <c r="L321" t="n">
        <v>0</v>
      </c>
      <c r="M321" t="n">
        <v>0</v>
      </c>
      <c r="N321" t="n">
        <v>0</v>
      </c>
      <c r="O321" t="n">
        <v>0</v>
      </c>
      <c r="P321" t="n">
        <v>0</v>
      </c>
      <c r="Q321" t="n">
        <v>0</v>
      </c>
      <c r="R321" s="2" t="inlineStr"/>
    </row>
    <row r="322" ht="15" customHeight="1">
      <c r="A322" t="inlineStr">
        <is>
          <t>A 19803-2024</t>
        </is>
      </c>
      <c r="B322" s="1" t="n">
        <v>45432</v>
      </c>
      <c r="C322" s="1" t="n">
        <v>46089</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29691-2025</t>
        </is>
      </c>
      <c r="B323" s="1" t="n">
        <v>45825.53645833334</v>
      </c>
      <c r="C323" s="1" t="n">
        <v>46089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60541-2024</t>
        </is>
      </c>
      <c r="B324" s="1" t="n">
        <v>45643</v>
      </c>
      <c r="C324" s="1" t="n">
        <v>46089</v>
      </c>
      <c r="D324" t="inlineStr">
        <is>
          <t>VÄSTMANLANDS LÄN</t>
        </is>
      </c>
      <c r="E324" t="inlineStr">
        <is>
          <t>SALA</t>
        </is>
      </c>
      <c r="G324" t="n">
        <v>10.6</v>
      </c>
      <c r="H324" t="n">
        <v>0</v>
      </c>
      <c r="I324" t="n">
        <v>0</v>
      </c>
      <c r="J324" t="n">
        <v>0</v>
      </c>
      <c r="K324" t="n">
        <v>0</v>
      </c>
      <c r="L324" t="n">
        <v>0</v>
      </c>
      <c r="M324" t="n">
        <v>0</v>
      </c>
      <c r="N324" t="n">
        <v>0</v>
      </c>
      <c r="O324" t="n">
        <v>0</v>
      </c>
      <c r="P324" t="n">
        <v>0</v>
      </c>
      <c r="Q324" t="n">
        <v>0</v>
      </c>
      <c r="R324" s="2" t="inlineStr"/>
    </row>
    <row r="325" ht="15" customHeight="1">
      <c r="A325" t="inlineStr">
        <is>
          <t>A 7196-2025</t>
        </is>
      </c>
      <c r="B325" s="1" t="n">
        <v>45702</v>
      </c>
      <c r="C325" s="1" t="n">
        <v>46089</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44100-2025</t>
        </is>
      </c>
      <c r="B326" s="1" t="n">
        <v>45915.56707175926</v>
      </c>
      <c r="C326" s="1" t="n">
        <v>46089</v>
      </c>
      <c r="D326" t="inlineStr">
        <is>
          <t>VÄSTMANLANDS LÄN</t>
        </is>
      </c>
      <c r="E326" t="inlineStr">
        <is>
          <t>SALA</t>
        </is>
      </c>
      <c r="G326" t="n">
        <v>0.8</v>
      </c>
      <c r="H326" t="n">
        <v>0</v>
      </c>
      <c r="I326" t="n">
        <v>0</v>
      </c>
      <c r="J326" t="n">
        <v>0</v>
      </c>
      <c r="K326" t="n">
        <v>0</v>
      </c>
      <c r="L326" t="n">
        <v>0</v>
      </c>
      <c r="M326" t="n">
        <v>0</v>
      </c>
      <c r="N326" t="n">
        <v>0</v>
      </c>
      <c r="O326" t="n">
        <v>0</v>
      </c>
      <c r="P326" t="n">
        <v>0</v>
      </c>
      <c r="Q326" t="n">
        <v>0</v>
      </c>
      <c r="R326" s="2" t="inlineStr"/>
    </row>
    <row r="327" ht="15" customHeight="1">
      <c r="A327" t="inlineStr">
        <is>
          <t>A 40597-2022</t>
        </is>
      </c>
      <c r="B327" s="1" t="n">
        <v>44823.84862268518</v>
      </c>
      <c r="C327" s="1" t="n">
        <v>46089</v>
      </c>
      <c r="D327" t="inlineStr">
        <is>
          <t>VÄSTMANLANDS LÄN</t>
        </is>
      </c>
      <c r="E327" t="inlineStr">
        <is>
          <t>SALA</t>
        </is>
      </c>
      <c r="G327" t="n">
        <v>3.5</v>
      </c>
      <c r="H327" t="n">
        <v>0</v>
      </c>
      <c r="I327" t="n">
        <v>0</v>
      </c>
      <c r="J327" t="n">
        <v>0</v>
      </c>
      <c r="K327" t="n">
        <v>0</v>
      </c>
      <c r="L327" t="n">
        <v>0</v>
      </c>
      <c r="M327" t="n">
        <v>0</v>
      </c>
      <c r="N327" t="n">
        <v>0</v>
      </c>
      <c r="O327" t="n">
        <v>0</v>
      </c>
      <c r="P327" t="n">
        <v>0</v>
      </c>
      <c r="Q327" t="n">
        <v>0</v>
      </c>
      <c r="R327" s="2" t="inlineStr"/>
    </row>
    <row r="328" ht="15" customHeight="1">
      <c r="A328" t="inlineStr">
        <is>
          <t>A 29826-2025</t>
        </is>
      </c>
      <c r="B328" s="1" t="n">
        <v>45825.85761574074</v>
      </c>
      <c r="C328" s="1" t="n">
        <v>46089</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46089</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44486-2025</t>
        </is>
      </c>
      <c r="B330" s="1" t="n">
        <v>45916.65517361111</v>
      </c>
      <c r="C330" s="1" t="n">
        <v>46089</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64925-2023</t>
        </is>
      </c>
      <c r="B331" s="1" t="n">
        <v>45282</v>
      </c>
      <c r="C331" s="1" t="n">
        <v>46089</v>
      </c>
      <c r="D331" t="inlineStr">
        <is>
          <t>VÄSTMANLANDS LÄN</t>
        </is>
      </c>
      <c r="E331" t="inlineStr">
        <is>
          <t>SALA</t>
        </is>
      </c>
      <c r="G331" t="n">
        <v>2.5</v>
      </c>
      <c r="H331" t="n">
        <v>0</v>
      </c>
      <c r="I331" t="n">
        <v>0</v>
      </c>
      <c r="J331" t="n">
        <v>0</v>
      </c>
      <c r="K331" t="n">
        <v>0</v>
      </c>
      <c r="L331" t="n">
        <v>0</v>
      </c>
      <c r="M331" t="n">
        <v>0</v>
      </c>
      <c r="N331" t="n">
        <v>0</v>
      </c>
      <c r="O331" t="n">
        <v>0</v>
      </c>
      <c r="P331" t="n">
        <v>0</v>
      </c>
      <c r="Q331" t="n">
        <v>0</v>
      </c>
      <c r="R331" s="2" t="inlineStr"/>
    </row>
    <row r="332" ht="15" customHeight="1">
      <c r="A332" t="inlineStr">
        <is>
          <t>A 45177-2025</t>
        </is>
      </c>
      <c r="B332" s="1" t="n">
        <v>45919.52444444445</v>
      </c>
      <c r="C332" s="1" t="n">
        <v>46089</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23406-2024</t>
        </is>
      </c>
      <c r="B333" s="1" t="n">
        <v>45453.58296296297</v>
      </c>
      <c r="C333" s="1" t="n">
        <v>46089</v>
      </c>
      <c r="D333" t="inlineStr">
        <is>
          <t>VÄSTMANLANDS LÄN</t>
        </is>
      </c>
      <c r="E333" t="inlineStr">
        <is>
          <t>SALA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16133-2025</t>
        </is>
      </c>
      <c r="B334" s="1" t="n">
        <v>45750</v>
      </c>
      <c r="C334" s="1" t="n">
        <v>46089</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43122-2025</t>
        </is>
      </c>
      <c r="B335" s="1" t="n">
        <v>45909</v>
      </c>
      <c r="C335" s="1" t="n">
        <v>46089</v>
      </c>
      <c r="D335" t="inlineStr">
        <is>
          <t>VÄSTMANLANDS LÄN</t>
        </is>
      </c>
      <c r="E335" t="inlineStr">
        <is>
          <t>SALA</t>
        </is>
      </c>
      <c r="G335" t="n">
        <v>3.2</v>
      </c>
      <c r="H335" t="n">
        <v>0</v>
      </c>
      <c r="I335" t="n">
        <v>0</v>
      </c>
      <c r="J335" t="n">
        <v>0</v>
      </c>
      <c r="K335" t="n">
        <v>0</v>
      </c>
      <c r="L335" t="n">
        <v>0</v>
      </c>
      <c r="M335" t="n">
        <v>0</v>
      </c>
      <c r="N335" t="n">
        <v>0</v>
      </c>
      <c r="O335" t="n">
        <v>0</v>
      </c>
      <c r="P335" t="n">
        <v>0</v>
      </c>
      <c r="Q335" t="n">
        <v>0</v>
      </c>
      <c r="R335" s="2" t="inlineStr"/>
    </row>
    <row r="336" ht="15" customHeight="1">
      <c r="A336" t="inlineStr">
        <is>
          <t>A 15099-2025</t>
        </is>
      </c>
      <c r="B336" s="1" t="n">
        <v>45744.3434837963</v>
      </c>
      <c r="C336" s="1" t="n">
        <v>46089</v>
      </c>
      <c r="D336" t="inlineStr">
        <is>
          <t>VÄSTMANLANDS LÄN</t>
        </is>
      </c>
      <c r="E336" t="inlineStr">
        <is>
          <t>SALA</t>
        </is>
      </c>
      <c r="F336" t="inlineStr">
        <is>
          <t>Sveaskog</t>
        </is>
      </c>
      <c r="G336" t="n">
        <v>14.4</v>
      </c>
      <c r="H336" t="n">
        <v>0</v>
      </c>
      <c r="I336" t="n">
        <v>0</v>
      </c>
      <c r="J336" t="n">
        <v>0</v>
      </c>
      <c r="K336" t="n">
        <v>0</v>
      </c>
      <c r="L336" t="n">
        <v>0</v>
      </c>
      <c r="M336" t="n">
        <v>0</v>
      </c>
      <c r="N336" t="n">
        <v>0</v>
      </c>
      <c r="O336" t="n">
        <v>0</v>
      </c>
      <c r="P336" t="n">
        <v>0</v>
      </c>
      <c r="Q336" t="n">
        <v>0</v>
      </c>
      <c r="R336" s="2" t="inlineStr"/>
    </row>
    <row r="337" ht="15" customHeight="1">
      <c r="A337" t="inlineStr">
        <is>
          <t>A 31608-2025</t>
        </is>
      </c>
      <c r="B337" s="1" t="n">
        <v>45833</v>
      </c>
      <c r="C337" s="1" t="n">
        <v>46089</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30866-2025</t>
        </is>
      </c>
      <c r="B338" s="1" t="n">
        <v>45832.3246875</v>
      </c>
      <c r="C338" s="1" t="n">
        <v>46089</v>
      </c>
      <c r="D338" t="inlineStr">
        <is>
          <t>VÄSTMANLANDS LÄN</t>
        </is>
      </c>
      <c r="E338" t="inlineStr">
        <is>
          <t>SALA</t>
        </is>
      </c>
      <c r="G338" t="n">
        <v>14.3</v>
      </c>
      <c r="H338" t="n">
        <v>0</v>
      </c>
      <c r="I338" t="n">
        <v>0</v>
      </c>
      <c r="J338" t="n">
        <v>0</v>
      </c>
      <c r="K338" t="n">
        <v>0</v>
      </c>
      <c r="L338" t="n">
        <v>0</v>
      </c>
      <c r="M338" t="n">
        <v>0</v>
      </c>
      <c r="N338" t="n">
        <v>0</v>
      </c>
      <c r="O338" t="n">
        <v>0</v>
      </c>
      <c r="P338" t="n">
        <v>0</v>
      </c>
      <c r="Q338" t="n">
        <v>0</v>
      </c>
      <c r="R338" s="2" t="inlineStr"/>
    </row>
    <row r="339" ht="15" customHeight="1">
      <c r="A339" t="inlineStr">
        <is>
          <t>A 30874-2025</t>
        </is>
      </c>
      <c r="B339" s="1" t="n">
        <v>45832.34430555555</v>
      </c>
      <c r="C339" s="1" t="n">
        <v>46089</v>
      </c>
      <c r="D339" t="inlineStr">
        <is>
          <t>VÄSTMANLANDS LÄN</t>
        </is>
      </c>
      <c r="E339" t="inlineStr">
        <is>
          <t>SALA</t>
        </is>
      </c>
      <c r="G339" t="n">
        <v>8.4</v>
      </c>
      <c r="H339" t="n">
        <v>0</v>
      </c>
      <c r="I339" t="n">
        <v>0</v>
      </c>
      <c r="J339" t="n">
        <v>0</v>
      </c>
      <c r="K339" t="n">
        <v>0</v>
      </c>
      <c r="L339" t="n">
        <v>0</v>
      </c>
      <c r="M339" t="n">
        <v>0</v>
      </c>
      <c r="N339" t="n">
        <v>0</v>
      </c>
      <c r="O339" t="n">
        <v>0</v>
      </c>
      <c r="P339" t="n">
        <v>0</v>
      </c>
      <c r="Q339" t="n">
        <v>0</v>
      </c>
      <c r="R339" s="2" t="inlineStr"/>
    </row>
    <row r="340" ht="15" customHeight="1">
      <c r="A340" t="inlineStr">
        <is>
          <t>A 60036-2024</t>
        </is>
      </c>
      <c r="B340" s="1" t="n">
        <v>45642.46434027778</v>
      </c>
      <c r="C340" s="1" t="n">
        <v>46089</v>
      </c>
      <c r="D340" t="inlineStr">
        <is>
          <t>VÄSTMANLANDS LÄN</t>
        </is>
      </c>
      <c r="E340" t="inlineStr">
        <is>
          <t>SALA</t>
        </is>
      </c>
      <c r="G340" t="n">
        <v>2.5</v>
      </c>
      <c r="H340" t="n">
        <v>0</v>
      </c>
      <c r="I340" t="n">
        <v>0</v>
      </c>
      <c r="J340" t="n">
        <v>0</v>
      </c>
      <c r="K340" t="n">
        <v>0</v>
      </c>
      <c r="L340" t="n">
        <v>0</v>
      </c>
      <c r="M340" t="n">
        <v>0</v>
      </c>
      <c r="N340" t="n">
        <v>0</v>
      </c>
      <c r="O340" t="n">
        <v>0</v>
      </c>
      <c r="P340" t="n">
        <v>0</v>
      </c>
      <c r="Q340" t="n">
        <v>0</v>
      </c>
      <c r="R340" s="2" t="inlineStr"/>
    </row>
    <row r="341" ht="15" customHeight="1">
      <c r="A341" t="inlineStr">
        <is>
          <t>A 31573-2025</t>
        </is>
      </c>
      <c r="B341" s="1" t="n">
        <v>45833</v>
      </c>
      <c r="C341" s="1" t="n">
        <v>46089</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52827-2024</t>
        </is>
      </c>
      <c r="B342" s="1" t="n">
        <v>45610</v>
      </c>
      <c r="C342" s="1" t="n">
        <v>46089</v>
      </c>
      <c r="D342" t="inlineStr">
        <is>
          <t>VÄSTMANLANDS LÄN</t>
        </is>
      </c>
      <c r="E342" t="inlineStr">
        <is>
          <t>SALA</t>
        </is>
      </c>
      <c r="G342" t="n">
        <v>0.2</v>
      </c>
      <c r="H342" t="n">
        <v>0</v>
      </c>
      <c r="I342" t="n">
        <v>0</v>
      </c>
      <c r="J342" t="n">
        <v>0</v>
      </c>
      <c r="K342" t="n">
        <v>0</v>
      </c>
      <c r="L342" t="n">
        <v>0</v>
      </c>
      <c r="M342" t="n">
        <v>0</v>
      </c>
      <c r="N342" t="n">
        <v>0</v>
      </c>
      <c r="O342" t="n">
        <v>0</v>
      </c>
      <c r="P342" t="n">
        <v>0</v>
      </c>
      <c r="Q342" t="n">
        <v>0</v>
      </c>
      <c r="R342" s="2" t="inlineStr"/>
    </row>
    <row r="343" ht="15" customHeight="1">
      <c r="A343" t="inlineStr">
        <is>
          <t>A 31288-2025</t>
        </is>
      </c>
      <c r="B343" s="1" t="n">
        <v>45833</v>
      </c>
      <c r="C343" s="1" t="n">
        <v>46089</v>
      </c>
      <c r="D343" t="inlineStr">
        <is>
          <t>VÄSTMANLANDS LÄN</t>
        </is>
      </c>
      <c r="E343" t="inlineStr">
        <is>
          <t>SALA</t>
        </is>
      </c>
      <c r="G343" t="n">
        <v>3.1</v>
      </c>
      <c r="H343" t="n">
        <v>0</v>
      </c>
      <c r="I343" t="n">
        <v>0</v>
      </c>
      <c r="J343" t="n">
        <v>0</v>
      </c>
      <c r="K343" t="n">
        <v>0</v>
      </c>
      <c r="L343" t="n">
        <v>0</v>
      </c>
      <c r="M343" t="n">
        <v>0</v>
      </c>
      <c r="N343" t="n">
        <v>0</v>
      </c>
      <c r="O343" t="n">
        <v>0</v>
      </c>
      <c r="P343" t="n">
        <v>0</v>
      </c>
      <c r="Q343" t="n">
        <v>0</v>
      </c>
      <c r="R343" s="2" t="inlineStr"/>
    </row>
    <row r="344" ht="15" customHeight="1">
      <c r="A344" t="inlineStr">
        <is>
          <t>A 31554-2025</t>
        </is>
      </c>
      <c r="B344" s="1" t="n">
        <v>45833</v>
      </c>
      <c r="C344" s="1" t="n">
        <v>46089</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30899-2025</t>
        </is>
      </c>
      <c r="B345" s="1" t="n">
        <v>45832.35767361111</v>
      </c>
      <c r="C345" s="1" t="n">
        <v>46089</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45371-2025</t>
        </is>
      </c>
      <c r="B346" s="1" t="n">
        <v>45922.39001157408</v>
      </c>
      <c r="C346" s="1" t="n">
        <v>46089</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31065-2025</t>
        </is>
      </c>
      <c r="B347" s="1" t="n">
        <v>45832.57571759259</v>
      </c>
      <c r="C347" s="1" t="n">
        <v>46089</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16328-2025</t>
        </is>
      </c>
      <c r="B348" s="1" t="n">
        <v>45751</v>
      </c>
      <c r="C348" s="1" t="n">
        <v>46089</v>
      </c>
      <c r="D348" t="inlineStr">
        <is>
          <t>VÄSTMANLANDS LÄN</t>
        </is>
      </c>
      <c r="E348" t="inlineStr">
        <is>
          <t>SALA</t>
        </is>
      </c>
      <c r="G348" t="n">
        <v>2.9</v>
      </c>
      <c r="H348" t="n">
        <v>0</v>
      </c>
      <c r="I348" t="n">
        <v>0</v>
      </c>
      <c r="J348" t="n">
        <v>0</v>
      </c>
      <c r="K348" t="n">
        <v>0</v>
      </c>
      <c r="L348" t="n">
        <v>0</v>
      </c>
      <c r="M348" t="n">
        <v>0</v>
      </c>
      <c r="N348" t="n">
        <v>0</v>
      </c>
      <c r="O348" t="n">
        <v>0</v>
      </c>
      <c r="P348" t="n">
        <v>0</v>
      </c>
      <c r="Q348" t="n">
        <v>0</v>
      </c>
      <c r="R348" s="2" t="inlineStr"/>
    </row>
    <row r="349" ht="15" customHeight="1">
      <c r="A349" t="inlineStr">
        <is>
          <t>A 31296-2025</t>
        </is>
      </c>
      <c r="B349" s="1" t="n">
        <v>45833.36765046296</v>
      </c>
      <c r="C349" s="1" t="n">
        <v>46089</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46089</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31748-2025</t>
        </is>
      </c>
      <c r="B351" s="1" t="n">
        <v>45834</v>
      </c>
      <c r="C351" s="1" t="n">
        <v>46089</v>
      </c>
      <c r="D351" t="inlineStr">
        <is>
          <t>VÄSTMANLANDS LÄN</t>
        </is>
      </c>
      <c r="E351" t="inlineStr">
        <is>
          <t>SALA</t>
        </is>
      </c>
      <c r="G351" t="n">
        <v>2</v>
      </c>
      <c r="H351" t="n">
        <v>0</v>
      </c>
      <c r="I351" t="n">
        <v>0</v>
      </c>
      <c r="J351" t="n">
        <v>0</v>
      </c>
      <c r="K351" t="n">
        <v>0</v>
      </c>
      <c r="L351" t="n">
        <v>0</v>
      </c>
      <c r="M351" t="n">
        <v>0</v>
      </c>
      <c r="N351" t="n">
        <v>0</v>
      </c>
      <c r="O351" t="n">
        <v>0</v>
      </c>
      <c r="P351" t="n">
        <v>0</v>
      </c>
      <c r="Q351" t="n">
        <v>0</v>
      </c>
      <c r="R351" s="2" t="inlineStr"/>
    </row>
    <row r="352" ht="15" customHeight="1">
      <c r="A352" t="inlineStr">
        <is>
          <t>A 32210-2025</t>
        </is>
      </c>
      <c r="B352" s="1" t="n">
        <v>45835</v>
      </c>
      <c r="C352" s="1" t="n">
        <v>46089</v>
      </c>
      <c r="D352" t="inlineStr">
        <is>
          <t>VÄSTMANLANDS LÄN</t>
        </is>
      </c>
      <c r="E352" t="inlineStr">
        <is>
          <t>SALA</t>
        </is>
      </c>
      <c r="F352" t="inlineStr">
        <is>
          <t>Bergvik skog öst AB</t>
        </is>
      </c>
      <c r="G352" t="n">
        <v>1.5</v>
      </c>
      <c r="H352" t="n">
        <v>0</v>
      </c>
      <c r="I352" t="n">
        <v>0</v>
      </c>
      <c r="J352" t="n">
        <v>0</v>
      </c>
      <c r="K352" t="n">
        <v>0</v>
      </c>
      <c r="L352" t="n">
        <v>0</v>
      </c>
      <c r="M352" t="n">
        <v>0</v>
      </c>
      <c r="N352" t="n">
        <v>0</v>
      </c>
      <c r="O352" t="n">
        <v>0</v>
      </c>
      <c r="P352" t="n">
        <v>0</v>
      </c>
      <c r="Q352" t="n">
        <v>0</v>
      </c>
      <c r="R352" s="2" t="inlineStr"/>
    </row>
    <row r="353" ht="15" customHeight="1">
      <c r="A353" t="inlineStr">
        <is>
          <t>A 66908-2021</t>
        </is>
      </c>
      <c r="B353" s="1" t="n">
        <v>44522</v>
      </c>
      <c r="C353" s="1" t="n">
        <v>46089</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73835-2021</t>
        </is>
      </c>
      <c r="B354" s="1" t="n">
        <v>44552.92112268518</v>
      </c>
      <c r="C354" s="1" t="n">
        <v>46089</v>
      </c>
      <c r="D354" t="inlineStr">
        <is>
          <t>VÄSTMANLANDS LÄN</t>
        </is>
      </c>
      <c r="E354" t="inlineStr">
        <is>
          <t>SALA</t>
        </is>
      </c>
      <c r="G354" t="n">
        <v>2</v>
      </c>
      <c r="H354" t="n">
        <v>0</v>
      </c>
      <c r="I354" t="n">
        <v>0</v>
      </c>
      <c r="J354" t="n">
        <v>0</v>
      </c>
      <c r="K354" t="n">
        <v>0</v>
      </c>
      <c r="L354" t="n">
        <v>0</v>
      </c>
      <c r="M354" t="n">
        <v>0</v>
      </c>
      <c r="N354" t="n">
        <v>0</v>
      </c>
      <c r="O354" t="n">
        <v>0</v>
      </c>
      <c r="P354" t="n">
        <v>0</v>
      </c>
      <c r="Q354" t="n">
        <v>0</v>
      </c>
      <c r="R354" s="2" t="inlineStr"/>
    </row>
    <row r="355" ht="15" customHeight="1">
      <c r="A355" t="inlineStr">
        <is>
          <t>A 31610-2025</t>
        </is>
      </c>
      <c r="B355" s="1" t="n">
        <v>45833.78650462963</v>
      </c>
      <c r="C355" s="1" t="n">
        <v>46089</v>
      </c>
      <c r="D355" t="inlineStr">
        <is>
          <t>VÄSTMANLANDS LÄN</t>
        </is>
      </c>
      <c r="E355" t="inlineStr">
        <is>
          <t>SALA</t>
        </is>
      </c>
      <c r="G355" t="n">
        <v>8</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46089</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31612-2025</t>
        </is>
      </c>
      <c r="B357" s="1" t="n">
        <v>45833.80056712963</v>
      </c>
      <c r="C357" s="1" t="n">
        <v>46089</v>
      </c>
      <c r="D357" t="inlineStr">
        <is>
          <t>VÄSTMANLANDS LÄN</t>
        </is>
      </c>
      <c r="E357" t="inlineStr">
        <is>
          <t>SALA</t>
        </is>
      </c>
      <c r="G357" t="n">
        <v>6.3</v>
      </c>
      <c r="H357" t="n">
        <v>0</v>
      </c>
      <c r="I357" t="n">
        <v>0</v>
      </c>
      <c r="J357" t="n">
        <v>0</v>
      </c>
      <c r="K357" t="n">
        <v>0</v>
      </c>
      <c r="L357" t="n">
        <v>0</v>
      </c>
      <c r="M357" t="n">
        <v>0</v>
      </c>
      <c r="N357" t="n">
        <v>0</v>
      </c>
      <c r="O357" t="n">
        <v>0</v>
      </c>
      <c r="P357" t="n">
        <v>0</v>
      </c>
      <c r="Q357" t="n">
        <v>0</v>
      </c>
      <c r="R357" s="2" t="inlineStr"/>
    </row>
    <row r="358" ht="15" customHeight="1">
      <c r="A358" t="inlineStr">
        <is>
          <t>A 45909-2025</t>
        </is>
      </c>
      <c r="B358" s="1" t="n">
        <v>45923.75078703704</v>
      </c>
      <c r="C358" s="1" t="n">
        <v>46089</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3810-2023</t>
        </is>
      </c>
      <c r="B359" s="1" t="n">
        <v>44951.60454861111</v>
      </c>
      <c r="C359" s="1" t="n">
        <v>46089</v>
      </c>
      <c r="D359" t="inlineStr">
        <is>
          <t>VÄSTMANLANDS LÄN</t>
        </is>
      </c>
      <c r="E359" t="inlineStr">
        <is>
          <t>SALA</t>
        </is>
      </c>
      <c r="G359" t="n">
        <v>4.2</v>
      </c>
      <c r="H359" t="n">
        <v>0</v>
      </c>
      <c r="I359" t="n">
        <v>0</v>
      </c>
      <c r="J359" t="n">
        <v>0</v>
      </c>
      <c r="K359" t="n">
        <v>0</v>
      </c>
      <c r="L359" t="n">
        <v>0</v>
      </c>
      <c r="M359" t="n">
        <v>0</v>
      </c>
      <c r="N359" t="n">
        <v>0</v>
      </c>
      <c r="O359" t="n">
        <v>0</v>
      </c>
      <c r="P359" t="n">
        <v>0</v>
      </c>
      <c r="Q359" t="n">
        <v>0</v>
      </c>
      <c r="R359" s="2" t="inlineStr"/>
    </row>
    <row r="360" ht="15" customHeight="1">
      <c r="A360" t="inlineStr">
        <is>
          <t>A 32207-2025</t>
        </is>
      </c>
      <c r="B360" s="1" t="n">
        <v>45835</v>
      </c>
      <c r="C360" s="1" t="n">
        <v>46089</v>
      </c>
      <c r="D360" t="inlineStr">
        <is>
          <t>VÄSTMANLANDS LÄN</t>
        </is>
      </c>
      <c r="E360" t="inlineStr">
        <is>
          <t>SALA</t>
        </is>
      </c>
      <c r="F360" t="inlineStr">
        <is>
          <t>Bergvik skog öst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31762-2025</t>
        </is>
      </c>
      <c r="B361" s="1" t="n">
        <v>45834.49288194445</v>
      </c>
      <c r="C361" s="1" t="n">
        <v>46089</v>
      </c>
      <c r="D361" t="inlineStr">
        <is>
          <t>VÄSTMANLANDS LÄN</t>
        </is>
      </c>
      <c r="E361" t="inlineStr">
        <is>
          <t>SALA</t>
        </is>
      </c>
      <c r="G361" t="n">
        <v>5.9</v>
      </c>
      <c r="H361" t="n">
        <v>0</v>
      </c>
      <c r="I361" t="n">
        <v>0</v>
      </c>
      <c r="J361" t="n">
        <v>0</v>
      </c>
      <c r="K361" t="n">
        <v>0</v>
      </c>
      <c r="L361" t="n">
        <v>0</v>
      </c>
      <c r="M361" t="n">
        <v>0</v>
      </c>
      <c r="N361" t="n">
        <v>0</v>
      </c>
      <c r="O361" t="n">
        <v>0</v>
      </c>
      <c r="P361" t="n">
        <v>0</v>
      </c>
      <c r="Q361" t="n">
        <v>0</v>
      </c>
      <c r="R361" s="2" t="inlineStr"/>
    </row>
    <row r="362" ht="15" customHeight="1">
      <c r="A362" t="inlineStr">
        <is>
          <t>A 31771-2025</t>
        </is>
      </c>
      <c r="B362" s="1" t="n">
        <v>45834.50910879629</v>
      </c>
      <c r="C362" s="1" t="n">
        <v>46089</v>
      </c>
      <c r="D362" t="inlineStr">
        <is>
          <t>VÄSTMANLANDS LÄN</t>
        </is>
      </c>
      <c r="E362" t="inlineStr">
        <is>
          <t>SALA</t>
        </is>
      </c>
      <c r="G362" t="n">
        <v>5.1</v>
      </c>
      <c r="H362" t="n">
        <v>0</v>
      </c>
      <c r="I362" t="n">
        <v>0</v>
      </c>
      <c r="J362" t="n">
        <v>0</v>
      </c>
      <c r="K362" t="n">
        <v>0</v>
      </c>
      <c r="L362" t="n">
        <v>0</v>
      </c>
      <c r="M362" t="n">
        <v>0</v>
      </c>
      <c r="N362" t="n">
        <v>0</v>
      </c>
      <c r="O362" t="n">
        <v>0</v>
      </c>
      <c r="P362" t="n">
        <v>0</v>
      </c>
      <c r="Q362" t="n">
        <v>0</v>
      </c>
      <c r="R362" s="2" t="inlineStr"/>
    </row>
    <row r="363" ht="15" customHeight="1">
      <c r="A363" t="inlineStr">
        <is>
          <t>A 32205-2025</t>
        </is>
      </c>
      <c r="B363" s="1" t="n">
        <v>45835</v>
      </c>
      <c r="C363" s="1" t="n">
        <v>46089</v>
      </c>
      <c r="D363" t="inlineStr">
        <is>
          <t>VÄSTMANLANDS LÄN</t>
        </is>
      </c>
      <c r="E363" t="inlineStr">
        <is>
          <t>SALA</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32286-2025</t>
        </is>
      </c>
      <c r="B364" s="1" t="n">
        <v>45835</v>
      </c>
      <c r="C364" s="1" t="n">
        <v>46089</v>
      </c>
      <c r="D364" t="inlineStr">
        <is>
          <t>VÄSTMANLANDS LÄN</t>
        </is>
      </c>
      <c r="E364" t="inlineStr">
        <is>
          <t>SALA</t>
        </is>
      </c>
      <c r="G364" t="n">
        <v>6.4</v>
      </c>
      <c r="H364" t="n">
        <v>0</v>
      </c>
      <c r="I364" t="n">
        <v>0</v>
      </c>
      <c r="J364" t="n">
        <v>0</v>
      </c>
      <c r="K364" t="n">
        <v>0</v>
      </c>
      <c r="L364" t="n">
        <v>0</v>
      </c>
      <c r="M364" t="n">
        <v>0</v>
      </c>
      <c r="N364" t="n">
        <v>0</v>
      </c>
      <c r="O364" t="n">
        <v>0</v>
      </c>
      <c r="P364" t="n">
        <v>0</v>
      </c>
      <c r="Q364" t="n">
        <v>0</v>
      </c>
      <c r="R364" s="2" t="inlineStr"/>
    </row>
    <row r="365" ht="15" customHeight="1">
      <c r="A365" t="inlineStr">
        <is>
          <t>A 46915-2025</t>
        </is>
      </c>
      <c r="B365" s="1" t="n">
        <v>45929.42114583333</v>
      </c>
      <c r="C365" s="1" t="n">
        <v>46089</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46089</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32902-2025</t>
        </is>
      </c>
      <c r="B367" s="1" t="n">
        <v>45839</v>
      </c>
      <c r="C367" s="1" t="n">
        <v>46089</v>
      </c>
      <c r="D367" t="inlineStr">
        <is>
          <t>VÄSTMANLANDS LÄN</t>
        </is>
      </c>
      <c r="E367" t="inlineStr">
        <is>
          <t>SALA</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12252-2023</t>
        </is>
      </c>
      <c r="B368" s="1" t="n">
        <v>44995</v>
      </c>
      <c r="C368" s="1" t="n">
        <v>46089</v>
      </c>
      <c r="D368" t="inlineStr">
        <is>
          <t>VÄSTMANLANDS LÄN</t>
        </is>
      </c>
      <c r="E368" t="inlineStr">
        <is>
          <t>SALA</t>
        </is>
      </c>
      <c r="G368" t="n">
        <v>2.6</v>
      </c>
      <c r="H368" t="n">
        <v>0</v>
      </c>
      <c r="I368" t="n">
        <v>0</v>
      </c>
      <c r="J368" t="n">
        <v>0</v>
      </c>
      <c r="K368" t="n">
        <v>0</v>
      </c>
      <c r="L368" t="n">
        <v>0</v>
      </c>
      <c r="M368" t="n">
        <v>0</v>
      </c>
      <c r="N368" t="n">
        <v>0</v>
      </c>
      <c r="O368" t="n">
        <v>0</v>
      </c>
      <c r="P368" t="n">
        <v>0</v>
      </c>
      <c r="Q368" t="n">
        <v>0</v>
      </c>
      <c r="R368" s="2" t="inlineStr"/>
    </row>
    <row r="369" ht="15" customHeight="1">
      <c r="A369" t="inlineStr">
        <is>
          <t>A 47577-2025</t>
        </is>
      </c>
      <c r="B369" s="1" t="n">
        <v>45931.4047337963</v>
      </c>
      <c r="C369" s="1" t="n">
        <v>46089</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25260-2023</t>
        </is>
      </c>
      <c r="B370" s="1" t="n">
        <v>45086</v>
      </c>
      <c r="C370" s="1" t="n">
        <v>46089</v>
      </c>
      <c r="D370" t="inlineStr">
        <is>
          <t>VÄSTMANLANDS LÄN</t>
        </is>
      </c>
      <c r="E370" t="inlineStr">
        <is>
          <t>SALA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46661-2025</t>
        </is>
      </c>
      <c r="B371" s="1" t="n">
        <v>45926</v>
      </c>
      <c r="C371" s="1" t="n">
        <v>46089</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57404-2024</t>
        </is>
      </c>
      <c r="B372" s="1" t="n">
        <v>45629.71967592592</v>
      </c>
      <c r="C372" s="1" t="n">
        <v>46089</v>
      </c>
      <c r="D372" t="inlineStr">
        <is>
          <t>VÄSTMANLANDS LÄN</t>
        </is>
      </c>
      <c r="E372" t="inlineStr">
        <is>
          <t>SALA</t>
        </is>
      </c>
      <c r="G372" t="n">
        <v>0.3</v>
      </c>
      <c r="H372" t="n">
        <v>0</v>
      </c>
      <c r="I372" t="n">
        <v>0</v>
      </c>
      <c r="J372" t="n">
        <v>0</v>
      </c>
      <c r="K372" t="n">
        <v>0</v>
      </c>
      <c r="L372" t="n">
        <v>0</v>
      </c>
      <c r="M372" t="n">
        <v>0</v>
      </c>
      <c r="N372" t="n">
        <v>0</v>
      </c>
      <c r="O372" t="n">
        <v>0</v>
      </c>
      <c r="P372" t="n">
        <v>0</v>
      </c>
      <c r="Q372" t="n">
        <v>0</v>
      </c>
      <c r="R372" s="2" t="inlineStr"/>
    </row>
    <row r="373" ht="15" customHeight="1">
      <c r="A373" t="inlineStr">
        <is>
          <t>A 13128-2023</t>
        </is>
      </c>
      <c r="B373" s="1" t="n">
        <v>45002</v>
      </c>
      <c r="C373" s="1" t="n">
        <v>46089</v>
      </c>
      <c r="D373" t="inlineStr">
        <is>
          <t>VÄSTMANLANDS LÄN</t>
        </is>
      </c>
      <c r="E373" t="inlineStr">
        <is>
          <t>SALA</t>
        </is>
      </c>
      <c r="G373" t="n">
        <v>7.9</v>
      </c>
      <c r="H373" t="n">
        <v>0</v>
      </c>
      <c r="I373" t="n">
        <v>0</v>
      </c>
      <c r="J373" t="n">
        <v>0</v>
      </c>
      <c r="K373" t="n">
        <v>0</v>
      </c>
      <c r="L373" t="n">
        <v>0</v>
      </c>
      <c r="M373" t="n">
        <v>0</v>
      </c>
      <c r="N373" t="n">
        <v>0</v>
      </c>
      <c r="O373" t="n">
        <v>0</v>
      </c>
      <c r="P373" t="n">
        <v>0</v>
      </c>
      <c r="Q373" t="n">
        <v>0</v>
      </c>
      <c r="R373" s="2" t="inlineStr"/>
    </row>
    <row r="374" ht="15" customHeight="1">
      <c r="A374" t="inlineStr">
        <is>
          <t>A 48057-2025</t>
        </is>
      </c>
      <c r="B374" s="1" t="n">
        <v>45932.67947916667</v>
      </c>
      <c r="C374" s="1" t="n">
        <v>46089</v>
      </c>
      <c r="D374" t="inlineStr">
        <is>
          <t>VÄSTMANLANDS LÄN</t>
        </is>
      </c>
      <c r="E374" t="inlineStr">
        <is>
          <t>SALA</t>
        </is>
      </c>
      <c r="G374" t="n">
        <v>4.3</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46089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24864-2024</t>
        </is>
      </c>
      <c r="B376" s="1" t="n">
        <v>45461.48888888889</v>
      </c>
      <c r="C376" s="1" t="n">
        <v>46089</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48710-2025</t>
        </is>
      </c>
      <c r="B377" s="1" t="n">
        <v>45936.63184027778</v>
      </c>
      <c r="C377" s="1" t="n">
        <v>46089</v>
      </c>
      <c r="D377" t="inlineStr">
        <is>
          <t>VÄSTMANLANDS LÄN</t>
        </is>
      </c>
      <c r="E377" t="inlineStr">
        <is>
          <t>SALA</t>
        </is>
      </c>
      <c r="G377" t="n">
        <v>2.7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46089</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24755-2021</t>
        </is>
      </c>
      <c r="B379" s="1" t="n">
        <v>44340</v>
      </c>
      <c r="C379" s="1" t="n">
        <v>46089</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48910-2025</t>
        </is>
      </c>
      <c r="B380" s="1" t="n">
        <v>45937.48649305556</v>
      </c>
      <c r="C380" s="1" t="n">
        <v>46089</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49585-2025</t>
        </is>
      </c>
      <c r="B381" s="1" t="n">
        <v>45939.5043287037</v>
      </c>
      <c r="C381" s="1" t="n">
        <v>46089</v>
      </c>
      <c r="D381" t="inlineStr">
        <is>
          <t>VÄSTMANLANDS LÄN</t>
        </is>
      </c>
      <c r="E381" t="inlineStr">
        <is>
          <t>SALA</t>
        </is>
      </c>
      <c r="G381" t="n">
        <v>2.2</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46089</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28696-2023</t>
        </is>
      </c>
      <c r="B383" s="1" t="n">
        <v>45103.71759259259</v>
      </c>
      <c r="C383" s="1" t="n">
        <v>46089</v>
      </c>
      <c r="D383" t="inlineStr">
        <is>
          <t>VÄSTMANLANDS LÄN</t>
        </is>
      </c>
      <c r="E383" t="inlineStr">
        <is>
          <t>SALA</t>
        </is>
      </c>
      <c r="F383" t="inlineStr">
        <is>
          <t>Kommuner</t>
        </is>
      </c>
      <c r="G383" t="n">
        <v>5.9</v>
      </c>
      <c r="H383" t="n">
        <v>0</v>
      </c>
      <c r="I383" t="n">
        <v>0</v>
      </c>
      <c r="J383" t="n">
        <v>0</v>
      </c>
      <c r="K383" t="n">
        <v>0</v>
      </c>
      <c r="L383" t="n">
        <v>0</v>
      </c>
      <c r="M383" t="n">
        <v>0</v>
      </c>
      <c r="N383" t="n">
        <v>0</v>
      </c>
      <c r="O383" t="n">
        <v>0</v>
      </c>
      <c r="P383" t="n">
        <v>0</v>
      </c>
      <c r="Q383" t="n">
        <v>0</v>
      </c>
      <c r="R383" s="2" t="inlineStr"/>
    </row>
    <row r="384" ht="15" customHeight="1">
      <c r="A384" t="inlineStr">
        <is>
          <t>A 35775-2025</t>
        </is>
      </c>
      <c r="B384" s="1" t="n">
        <v>45860</v>
      </c>
      <c r="C384" s="1" t="n">
        <v>46089</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35779-2025</t>
        </is>
      </c>
      <c r="B385" s="1" t="n">
        <v>45860.69495370371</v>
      </c>
      <c r="C385" s="1" t="n">
        <v>46089</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35776-2025</t>
        </is>
      </c>
      <c r="B386" s="1" t="n">
        <v>45860.69211805556</v>
      </c>
      <c r="C386" s="1" t="n">
        <v>46089</v>
      </c>
      <c r="D386" t="inlineStr">
        <is>
          <t>VÄSTMANLANDS LÄN</t>
        </is>
      </c>
      <c r="E386" t="inlineStr">
        <is>
          <t>SALA</t>
        </is>
      </c>
      <c r="G386" t="n">
        <v>14.2</v>
      </c>
      <c r="H386" t="n">
        <v>0</v>
      </c>
      <c r="I386" t="n">
        <v>0</v>
      </c>
      <c r="J386" t="n">
        <v>0</v>
      </c>
      <c r="K386" t="n">
        <v>0</v>
      </c>
      <c r="L386" t="n">
        <v>0</v>
      </c>
      <c r="M386" t="n">
        <v>0</v>
      </c>
      <c r="N386" t="n">
        <v>0</v>
      </c>
      <c r="O386" t="n">
        <v>0</v>
      </c>
      <c r="P386" t="n">
        <v>0</v>
      </c>
      <c r="Q386" t="n">
        <v>0</v>
      </c>
      <c r="R386" s="2" t="inlineStr"/>
    </row>
    <row r="387" ht="15" customHeight="1">
      <c r="A387" t="inlineStr">
        <is>
          <t>A 35715-2025</t>
        </is>
      </c>
      <c r="B387" s="1" t="n">
        <v>45860.42148148148</v>
      </c>
      <c r="C387" s="1" t="n">
        <v>46089</v>
      </c>
      <c r="D387" t="inlineStr">
        <is>
          <t>VÄSTMANLANDS LÄN</t>
        </is>
      </c>
      <c r="E387" t="inlineStr">
        <is>
          <t>SALA</t>
        </is>
      </c>
      <c r="G387" t="n">
        <v>3.8</v>
      </c>
      <c r="H387" t="n">
        <v>0</v>
      </c>
      <c r="I387" t="n">
        <v>0</v>
      </c>
      <c r="J387" t="n">
        <v>0</v>
      </c>
      <c r="K387" t="n">
        <v>0</v>
      </c>
      <c r="L387" t="n">
        <v>0</v>
      </c>
      <c r="M387" t="n">
        <v>0</v>
      </c>
      <c r="N387" t="n">
        <v>0</v>
      </c>
      <c r="O387" t="n">
        <v>0</v>
      </c>
      <c r="P387" t="n">
        <v>0</v>
      </c>
      <c r="Q387" t="n">
        <v>0</v>
      </c>
      <c r="R387" s="2" t="inlineStr"/>
    </row>
    <row r="388" ht="15" customHeight="1">
      <c r="A388" t="inlineStr">
        <is>
          <t>A 6691-2025</t>
        </is>
      </c>
      <c r="B388" s="1" t="n">
        <v>45700.50625</v>
      </c>
      <c r="C388" s="1" t="n">
        <v>46089</v>
      </c>
      <c r="D388" t="inlineStr">
        <is>
          <t>VÄSTMANLANDS LÄN</t>
        </is>
      </c>
      <c r="E388" t="inlineStr">
        <is>
          <t>SALA</t>
        </is>
      </c>
      <c r="G388" t="n">
        <v>2.1</v>
      </c>
      <c r="H388" t="n">
        <v>0</v>
      </c>
      <c r="I388" t="n">
        <v>0</v>
      </c>
      <c r="J388" t="n">
        <v>0</v>
      </c>
      <c r="K388" t="n">
        <v>0</v>
      </c>
      <c r="L388" t="n">
        <v>0</v>
      </c>
      <c r="M388" t="n">
        <v>0</v>
      </c>
      <c r="N388" t="n">
        <v>0</v>
      </c>
      <c r="O388" t="n">
        <v>0</v>
      </c>
      <c r="P388" t="n">
        <v>0</v>
      </c>
      <c r="Q388" t="n">
        <v>0</v>
      </c>
      <c r="R388" s="2" t="inlineStr"/>
    </row>
    <row r="389" ht="15" customHeight="1">
      <c r="A389" t="inlineStr">
        <is>
          <t>A 1934-2023</t>
        </is>
      </c>
      <c r="B389" s="1" t="n">
        <v>44939.43024305555</v>
      </c>
      <c r="C389" s="1" t="n">
        <v>46089</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50128-2025</t>
        </is>
      </c>
      <c r="B390" s="1" t="n">
        <v>45943.55318287037</v>
      </c>
      <c r="C390" s="1" t="n">
        <v>46089</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35519-2024</t>
        </is>
      </c>
      <c r="B391" s="1" t="n">
        <v>45531</v>
      </c>
      <c r="C391" s="1" t="n">
        <v>46089</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35651-2025</t>
        </is>
      </c>
      <c r="B392" s="1" t="n">
        <v>45859.52435185185</v>
      </c>
      <c r="C392" s="1" t="n">
        <v>46089</v>
      </c>
      <c r="D392" t="inlineStr">
        <is>
          <t>VÄSTMANLANDS LÄN</t>
        </is>
      </c>
      <c r="E392" t="inlineStr">
        <is>
          <t>SALA</t>
        </is>
      </c>
      <c r="G392" t="n">
        <v>6.3</v>
      </c>
      <c r="H392" t="n">
        <v>0</v>
      </c>
      <c r="I392" t="n">
        <v>0</v>
      </c>
      <c r="J392" t="n">
        <v>0</v>
      </c>
      <c r="K392" t="n">
        <v>0</v>
      </c>
      <c r="L392" t="n">
        <v>0</v>
      </c>
      <c r="M392" t="n">
        <v>0</v>
      </c>
      <c r="N392" t="n">
        <v>0</v>
      </c>
      <c r="O392" t="n">
        <v>0</v>
      </c>
      <c r="P392" t="n">
        <v>0</v>
      </c>
      <c r="Q392" t="n">
        <v>0</v>
      </c>
      <c r="R392" s="2" t="inlineStr"/>
    </row>
    <row r="393" ht="15" customHeight="1">
      <c r="A393" t="inlineStr">
        <is>
          <t>A 35774-2025</t>
        </is>
      </c>
      <c r="B393" s="1" t="n">
        <v>45860.68780092592</v>
      </c>
      <c r="C393" s="1" t="n">
        <v>46089</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50119-2025</t>
        </is>
      </c>
      <c r="B394" s="1" t="n">
        <v>45943.54883101852</v>
      </c>
      <c r="C394" s="1" t="n">
        <v>46089</v>
      </c>
      <c r="D394" t="inlineStr">
        <is>
          <t>VÄSTMANLANDS LÄN</t>
        </is>
      </c>
      <c r="E394" t="inlineStr">
        <is>
          <t>SALA</t>
        </is>
      </c>
      <c r="G394" t="n">
        <v>3.3</v>
      </c>
      <c r="H394" t="n">
        <v>0</v>
      </c>
      <c r="I394" t="n">
        <v>0</v>
      </c>
      <c r="J394" t="n">
        <v>0</v>
      </c>
      <c r="K394" t="n">
        <v>0</v>
      </c>
      <c r="L394" t="n">
        <v>0</v>
      </c>
      <c r="M394" t="n">
        <v>0</v>
      </c>
      <c r="N394" t="n">
        <v>0</v>
      </c>
      <c r="O394" t="n">
        <v>0</v>
      </c>
      <c r="P394" t="n">
        <v>0</v>
      </c>
      <c r="Q394" t="n">
        <v>0</v>
      </c>
      <c r="R394" s="2" t="inlineStr"/>
    </row>
    <row r="395" ht="15" customHeight="1">
      <c r="A395" t="inlineStr">
        <is>
          <t>A 50059-2025</t>
        </is>
      </c>
      <c r="B395" s="1" t="n">
        <v>45943.44125</v>
      </c>
      <c r="C395" s="1" t="n">
        <v>46089</v>
      </c>
      <c r="D395" t="inlineStr">
        <is>
          <t>VÄSTMANLANDS LÄN</t>
        </is>
      </c>
      <c r="E395" t="inlineStr">
        <is>
          <t>SALA</t>
        </is>
      </c>
      <c r="G395" t="n">
        <v>4.4</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46089</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50241-2023</t>
        </is>
      </c>
      <c r="B397" s="1" t="n">
        <v>45216</v>
      </c>
      <c r="C397" s="1" t="n">
        <v>46089</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50249-2025</t>
        </is>
      </c>
      <c r="B398" s="1" t="n">
        <v>45944.31508101852</v>
      </c>
      <c r="C398" s="1" t="n">
        <v>46089</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30971-2022</t>
        </is>
      </c>
      <c r="B399" s="1" t="n">
        <v>44768.46725694444</v>
      </c>
      <c r="C399" s="1" t="n">
        <v>46089</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36031-2025</t>
        </is>
      </c>
      <c r="B400" s="1" t="n">
        <v>45865.46111111111</v>
      </c>
      <c r="C400" s="1" t="n">
        <v>46089</v>
      </c>
      <c r="D400" t="inlineStr">
        <is>
          <t>VÄSTMANLANDS LÄN</t>
        </is>
      </c>
      <c r="E400" t="inlineStr">
        <is>
          <t>SALA</t>
        </is>
      </c>
      <c r="G400" t="n">
        <v>7.2</v>
      </c>
      <c r="H400" t="n">
        <v>0</v>
      </c>
      <c r="I400" t="n">
        <v>0</v>
      </c>
      <c r="J400" t="n">
        <v>0</v>
      </c>
      <c r="K400" t="n">
        <v>0</v>
      </c>
      <c r="L400" t="n">
        <v>0</v>
      </c>
      <c r="M400" t="n">
        <v>0</v>
      </c>
      <c r="N400" t="n">
        <v>0</v>
      </c>
      <c r="O400" t="n">
        <v>0</v>
      </c>
      <c r="P400" t="n">
        <v>0</v>
      </c>
      <c r="Q400" t="n">
        <v>0</v>
      </c>
      <c r="R400" s="2" t="inlineStr"/>
    </row>
    <row r="401" ht="15" customHeight="1">
      <c r="A401" t="inlineStr">
        <is>
          <t>A 36043-2025</t>
        </is>
      </c>
      <c r="B401" s="1" t="n">
        <v>45866.35333333333</v>
      </c>
      <c r="C401" s="1" t="n">
        <v>46089</v>
      </c>
      <c r="D401" t="inlineStr">
        <is>
          <t>VÄSTMANLANDS LÄN</t>
        </is>
      </c>
      <c r="E401" t="inlineStr">
        <is>
          <t>SALA</t>
        </is>
      </c>
      <c r="F401" t="inlineStr">
        <is>
          <t>Kommuner</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46089</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46089</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35637-2022</t>
        </is>
      </c>
      <c r="B404" s="1" t="n">
        <v>44799.55194444444</v>
      </c>
      <c r="C404" s="1" t="n">
        <v>46089</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19304-2025</t>
        </is>
      </c>
      <c r="B405" s="1" t="n">
        <v>45769</v>
      </c>
      <c r="C405" s="1" t="n">
        <v>46089</v>
      </c>
      <c r="D405" t="inlineStr">
        <is>
          <t>VÄSTMANLANDS LÄN</t>
        </is>
      </c>
      <c r="E405" t="inlineStr">
        <is>
          <t>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27038-2023</t>
        </is>
      </c>
      <c r="B406" s="1" t="n">
        <v>45095</v>
      </c>
      <c r="C406" s="1" t="n">
        <v>46089</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36045-2025</t>
        </is>
      </c>
      <c r="B407" s="1" t="n">
        <v>45866.36200231482</v>
      </c>
      <c r="C407" s="1" t="n">
        <v>46089</v>
      </c>
      <c r="D407" t="inlineStr">
        <is>
          <t>VÄSTMANLANDS LÄN</t>
        </is>
      </c>
      <c r="E407" t="inlineStr">
        <is>
          <t>SALA</t>
        </is>
      </c>
      <c r="F407" t="inlineStr">
        <is>
          <t>Kommuner</t>
        </is>
      </c>
      <c r="G407" t="n">
        <v>1.7</v>
      </c>
      <c r="H407" t="n">
        <v>0</v>
      </c>
      <c r="I407" t="n">
        <v>0</v>
      </c>
      <c r="J407" t="n">
        <v>0</v>
      </c>
      <c r="K407" t="n">
        <v>0</v>
      </c>
      <c r="L407" t="n">
        <v>0</v>
      </c>
      <c r="M407" t="n">
        <v>0</v>
      </c>
      <c r="N407" t="n">
        <v>0</v>
      </c>
      <c r="O407" t="n">
        <v>0</v>
      </c>
      <c r="P407" t="n">
        <v>0</v>
      </c>
      <c r="Q407" t="n">
        <v>0</v>
      </c>
      <c r="R407" s="2" t="inlineStr"/>
    </row>
    <row r="408" ht="15" customHeight="1">
      <c r="A408" t="inlineStr">
        <is>
          <t>A 23182-2022</t>
        </is>
      </c>
      <c r="B408" s="1" t="n">
        <v>44719.79707175926</v>
      </c>
      <c r="C408" s="1" t="n">
        <v>46089</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17766-2025</t>
        </is>
      </c>
      <c r="B409" s="1" t="n">
        <v>45758</v>
      </c>
      <c r="C409" s="1" t="n">
        <v>46089</v>
      </c>
      <c r="D409" t="inlineStr">
        <is>
          <t>VÄSTMANLANDS LÄN</t>
        </is>
      </c>
      <c r="E409" t="inlineStr">
        <is>
          <t>SALA</t>
        </is>
      </c>
      <c r="G409" t="n">
        <v>16.5</v>
      </c>
      <c r="H409" t="n">
        <v>0</v>
      </c>
      <c r="I409" t="n">
        <v>0</v>
      </c>
      <c r="J409" t="n">
        <v>0</v>
      </c>
      <c r="K409" t="n">
        <v>0</v>
      </c>
      <c r="L409" t="n">
        <v>0</v>
      </c>
      <c r="M409" t="n">
        <v>0</v>
      </c>
      <c r="N409" t="n">
        <v>0</v>
      </c>
      <c r="O409" t="n">
        <v>0</v>
      </c>
      <c r="P409" t="n">
        <v>0</v>
      </c>
      <c r="Q409" t="n">
        <v>0</v>
      </c>
      <c r="R409" s="2" t="inlineStr"/>
    </row>
    <row r="410" ht="15" customHeight="1">
      <c r="A410" t="inlineStr">
        <is>
          <t>A 31859-2023</t>
        </is>
      </c>
      <c r="B410" s="1" t="n">
        <v>45118</v>
      </c>
      <c r="C410" s="1" t="n">
        <v>46089</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c r="U410">
        <f>HYPERLINK("https://klasma.github.io/Logging_1981/knärot/A 31859-2023 karta knärot.png", "A 31859-2023")</f>
        <v/>
      </c>
      <c r="V410">
        <f>HYPERLINK("https://klasma.github.io/Logging_1981/klagomål/A 31859-2023 FSC-klagomål.docx", "A 31859-2023")</f>
        <v/>
      </c>
      <c r="W410">
        <f>HYPERLINK("https://klasma.github.io/Logging_1981/klagomålsmail/A 31859-2023 FSC-klagomål mail.docx", "A 31859-2023")</f>
        <v/>
      </c>
      <c r="X410">
        <f>HYPERLINK("https://klasma.github.io/Logging_1981/tillsyn/A 31859-2023 tillsynsbegäran.docx", "A 31859-2023")</f>
        <v/>
      </c>
      <c r="Y410">
        <f>HYPERLINK("https://klasma.github.io/Logging_1981/tillsynsmail/A 31859-2023 tillsynsbegäran mail.docx", "A 31859-2023")</f>
        <v/>
      </c>
    </row>
    <row r="411" ht="15" customHeight="1">
      <c r="A411" t="inlineStr">
        <is>
          <t>A 31863-2025</t>
        </is>
      </c>
      <c r="B411" s="1" t="n">
        <v>45834.63303240741</v>
      </c>
      <c r="C411" s="1" t="n">
        <v>46089</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46089</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3546-2025</t>
        </is>
      </c>
      <c r="B413" s="1" t="n">
        <v>45680</v>
      </c>
      <c r="C413" s="1" t="n">
        <v>46089</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60034-2024</t>
        </is>
      </c>
      <c r="B414" s="1" t="n">
        <v>45642.46261574074</v>
      </c>
      <c r="C414" s="1" t="n">
        <v>46089</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31869-2025</t>
        </is>
      </c>
      <c r="B415" s="1" t="n">
        <v>45834.64555555556</v>
      </c>
      <c r="C415" s="1" t="n">
        <v>46089</v>
      </c>
      <c r="D415" t="inlineStr">
        <is>
          <t>VÄSTMANLANDS LÄN</t>
        </is>
      </c>
      <c r="E415" t="inlineStr">
        <is>
          <t>SALA</t>
        </is>
      </c>
      <c r="G415" t="n">
        <v>17.5</v>
      </c>
      <c r="H415" t="n">
        <v>0</v>
      </c>
      <c r="I415" t="n">
        <v>0</v>
      </c>
      <c r="J415" t="n">
        <v>0</v>
      </c>
      <c r="K415" t="n">
        <v>0</v>
      </c>
      <c r="L415" t="n">
        <v>0</v>
      </c>
      <c r="M415" t="n">
        <v>0</v>
      </c>
      <c r="N415" t="n">
        <v>0</v>
      </c>
      <c r="O415" t="n">
        <v>0</v>
      </c>
      <c r="P415" t="n">
        <v>0</v>
      </c>
      <c r="Q415" t="n">
        <v>0</v>
      </c>
      <c r="R415" s="2" t="inlineStr"/>
    </row>
    <row r="416" ht="15" customHeight="1">
      <c r="A416" t="inlineStr">
        <is>
          <t>A 7664-2023</t>
        </is>
      </c>
      <c r="B416" s="1" t="n">
        <v>44972</v>
      </c>
      <c r="C416" s="1" t="n">
        <v>46089</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17985-2025</t>
        </is>
      </c>
      <c r="B417" s="1" t="n">
        <v>45761</v>
      </c>
      <c r="C417" s="1" t="n">
        <v>46089</v>
      </c>
      <c r="D417" t="inlineStr">
        <is>
          <t>VÄSTMANLANDS LÄN</t>
        </is>
      </c>
      <c r="E417" t="inlineStr">
        <is>
          <t>SALA</t>
        </is>
      </c>
      <c r="G417" t="n">
        <v>12.5</v>
      </c>
      <c r="H417" t="n">
        <v>0</v>
      </c>
      <c r="I417" t="n">
        <v>0</v>
      </c>
      <c r="J417" t="n">
        <v>0</v>
      </c>
      <c r="K417" t="n">
        <v>0</v>
      </c>
      <c r="L417" t="n">
        <v>0</v>
      </c>
      <c r="M417" t="n">
        <v>0</v>
      </c>
      <c r="N417" t="n">
        <v>0</v>
      </c>
      <c r="O417" t="n">
        <v>0</v>
      </c>
      <c r="P417" t="n">
        <v>0</v>
      </c>
      <c r="Q417" t="n">
        <v>0</v>
      </c>
      <c r="R417" s="2" t="inlineStr"/>
    </row>
    <row r="418" ht="15" customHeight="1">
      <c r="A418" t="inlineStr">
        <is>
          <t>A 51764-2025</t>
        </is>
      </c>
      <c r="B418" s="1" t="n">
        <v>45951.63636574074</v>
      </c>
      <c r="C418" s="1" t="n">
        <v>46089</v>
      </c>
      <c r="D418" t="inlineStr">
        <is>
          <t>VÄSTMANLANDS LÄN</t>
        </is>
      </c>
      <c r="E418" t="inlineStr">
        <is>
          <t>SALA</t>
        </is>
      </c>
      <c r="G418" t="n">
        <v>1.5</v>
      </c>
      <c r="H418" t="n">
        <v>0</v>
      </c>
      <c r="I418" t="n">
        <v>0</v>
      </c>
      <c r="J418" t="n">
        <v>0</v>
      </c>
      <c r="K418" t="n">
        <v>0</v>
      </c>
      <c r="L418" t="n">
        <v>0</v>
      </c>
      <c r="M418" t="n">
        <v>0</v>
      </c>
      <c r="N418" t="n">
        <v>0</v>
      </c>
      <c r="O418" t="n">
        <v>0</v>
      </c>
      <c r="P418" t="n">
        <v>0</v>
      </c>
      <c r="Q418" t="n">
        <v>0</v>
      </c>
      <c r="R418" s="2" t="inlineStr"/>
    </row>
    <row r="419" ht="15" customHeight="1">
      <c r="A419" t="inlineStr">
        <is>
          <t>A 34867-2023</t>
        </is>
      </c>
      <c r="B419" s="1" t="n">
        <v>45142.33481481481</v>
      </c>
      <c r="C419" s="1" t="n">
        <v>46089</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51626-2025</t>
        </is>
      </c>
      <c r="B420" s="1" t="n">
        <v>45951.41769675926</v>
      </c>
      <c r="C420" s="1" t="n">
        <v>46089</v>
      </c>
      <c r="D420" t="inlineStr">
        <is>
          <t>VÄSTMANLANDS LÄN</t>
        </is>
      </c>
      <c r="E420" t="inlineStr">
        <is>
          <t>SALA</t>
        </is>
      </c>
      <c r="G420" t="n">
        <v>2.6</v>
      </c>
      <c r="H420" t="n">
        <v>0</v>
      </c>
      <c r="I420" t="n">
        <v>0</v>
      </c>
      <c r="J420" t="n">
        <v>0</v>
      </c>
      <c r="K420" t="n">
        <v>0</v>
      </c>
      <c r="L420" t="n">
        <v>0</v>
      </c>
      <c r="M420" t="n">
        <v>0</v>
      </c>
      <c r="N420" t="n">
        <v>0</v>
      </c>
      <c r="O420" t="n">
        <v>0</v>
      </c>
      <c r="P420" t="n">
        <v>0</v>
      </c>
      <c r="Q420" t="n">
        <v>0</v>
      </c>
      <c r="R420" s="2" t="inlineStr"/>
    </row>
    <row r="421" ht="15" customHeight="1">
      <c r="A421" t="inlineStr">
        <is>
          <t>A 37103-2025</t>
        </is>
      </c>
      <c r="B421" s="1" t="n">
        <v>45875.47743055555</v>
      </c>
      <c r="C421" s="1" t="n">
        <v>46089</v>
      </c>
      <c r="D421" t="inlineStr">
        <is>
          <t>VÄSTMANLANDS LÄN</t>
        </is>
      </c>
      <c r="E421" t="inlineStr">
        <is>
          <t>SALA</t>
        </is>
      </c>
      <c r="G421" t="n">
        <v>1.9</v>
      </c>
      <c r="H421" t="n">
        <v>0</v>
      </c>
      <c r="I421" t="n">
        <v>0</v>
      </c>
      <c r="J421" t="n">
        <v>0</v>
      </c>
      <c r="K421" t="n">
        <v>0</v>
      </c>
      <c r="L421" t="n">
        <v>0</v>
      </c>
      <c r="M421" t="n">
        <v>0</v>
      </c>
      <c r="N421" t="n">
        <v>0</v>
      </c>
      <c r="O421" t="n">
        <v>0</v>
      </c>
      <c r="P421" t="n">
        <v>0</v>
      </c>
      <c r="Q421" t="n">
        <v>0</v>
      </c>
      <c r="R421" s="2" t="inlineStr"/>
    </row>
    <row r="422" ht="15" customHeight="1">
      <c r="A422" t="inlineStr">
        <is>
          <t>A 51690-2025</t>
        </is>
      </c>
      <c r="B422" s="1" t="n">
        <v>45951.53462962963</v>
      </c>
      <c r="C422" s="1" t="n">
        <v>46089</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11631-2023</t>
        </is>
      </c>
      <c r="B423" s="1" t="n">
        <v>44994.44001157407</v>
      </c>
      <c r="C423" s="1" t="n">
        <v>46089</v>
      </c>
      <c r="D423" t="inlineStr">
        <is>
          <t>VÄSTMANLANDS LÄN</t>
        </is>
      </c>
      <c r="E423" t="inlineStr">
        <is>
          <t>SALA</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46089</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37246-2025</t>
        </is>
      </c>
      <c r="B425" s="1" t="n">
        <v>45876.39435185185</v>
      </c>
      <c r="C425" s="1" t="n">
        <v>46089</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51804-2025</t>
        </is>
      </c>
      <c r="B426" s="1" t="n">
        <v>45951.77697916667</v>
      </c>
      <c r="C426" s="1" t="n">
        <v>46089</v>
      </c>
      <c r="D426" t="inlineStr">
        <is>
          <t>VÄSTMANLANDS LÄN</t>
        </is>
      </c>
      <c r="E426" t="inlineStr">
        <is>
          <t>SALA</t>
        </is>
      </c>
      <c r="F426" t="inlineStr">
        <is>
          <t>Kommuner</t>
        </is>
      </c>
      <c r="G426" t="n">
        <v>2</v>
      </c>
      <c r="H426" t="n">
        <v>0</v>
      </c>
      <c r="I426" t="n">
        <v>0</v>
      </c>
      <c r="J426" t="n">
        <v>0</v>
      </c>
      <c r="K426" t="n">
        <v>0</v>
      </c>
      <c r="L426" t="n">
        <v>0</v>
      </c>
      <c r="M426" t="n">
        <v>0</v>
      </c>
      <c r="N426" t="n">
        <v>0</v>
      </c>
      <c r="O426" t="n">
        <v>0</v>
      </c>
      <c r="P426" t="n">
        <v>0</v>
      </c>
      <c r="Q426" t="n">
        <v>0</v>
      </c>
      <c r="R426" s="2" t="inlineStr"/>
    </row>
    <row r="427" ht="15" customHeight="1">
      <c r="A427" t="inlineStr">
        <is>
          <t>A 51808-2025</t>
        </is>
      </c>
      <c r="B427" s="1" t="n">
        <v>45951.79302083333</v>
      </c>
      <c r="C427" s="1" t="n">
        <v>46089</v>
      </c>
      <c r="D427" t="inlineStr">
        <is>
          <t>VÄSTMANLANDS LÄN</t>
        </is>
      </c>
      <c r="E427" t="inlineStr">
        <is>
          <t>SALA</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51803-2025</t>
        </is>
      </c>
      <c r="B428" s="1" t="n">
        <v>45951.76818287037</v>
      </c>
      <c r="C428" s="1" t="n">
        <v>46089</v>
      </c>
      <c r="D428" t="inlineStr">
        <is>
          <t>VÄSTMANLANDS LÄN</t>
        </is>
      </c>
      <c r="E428" t="inlineStr">
        <is>
          <t>SALA</t>
        </is>
      </c>
      <c r="F428" t="inlineStr">
        <is>
          <t>Kommuner</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51805-2025</t>
        </is>
      </c>
      <c r="B429" s="1" t="n">
        <v>45951.78359953704</v>
      </c>
      <c r="C429" s="1" t="n">
        <v>46089</v>
      </c>
      <c r="D429" t="inlineStr">
        <is>
          <t>VÄSTMANLANDS LÄN</t>
        </is>
      </c>
      <c r="E429" t="inlineStr">
        <is>
          <t>SALA</t>
        </is>
      </c>
      <c r="F429" t="inlineStr">
        <is>
          <t>Kommuner</t>
        </is>
      </c>
      <c r="G429" t="n">
        <v>1.3</v>
      </c>
      <c r="H429" t="n">
        <v>0</v>
      </c>
      <c r="I429" t="n">
        <v>0</v>
      </c>
      <c r="J429" t="n">
        <v>0</v>
      </c>
      <c r="K429" t="n">
        <v>0</v>
      </c>
      <c r="L429" t="n">
        <v>0</v>
      </c>
      <c r="M429" t="n">
        <v>0</v>
      </c>
      <c r="N429" t="n">
        <v>0</v>
      </c>
      <c r="O429" t="n">
        <v>0</v>
      </c>
      <c r="P429" t="n">
        <v>0</v>
      </c>
      <c r="Q429" t="n">
        <v>0</v>
      </c>
      <c r="R429" s="2" t="inlineStr"/>
    </row>
    <row r="430" ht="15" customHeight="1">
      <c r="A430" t="inlineStr">
        <is>
          <t>A 51809-2025</t>
        </is>
      </c>
      <c r="B430" s="1" t="n">
        <v>45951.80116898148</v>
      </c>
      <c r="C430" s="1" t="n">
        <v>46089</v>
      </c>
      <c r="D430" t="inlineStr">
        <is>
          <t>VÄSTMANLANDS LÄN</t>
        </is>
      </c>
      <c r="E430" t="inlineStr">
        <is>
          <t>SALA</t>
        </is>
      </c>
      <c r="F430" t="inlineStr">
        <is>
          <t>Kommuner</t>
        </is>
      </c>
      <c r="G430" t="n">
        <v>3.5</v>
      </c>
      <c r="H430" t="n">
        <v>0</v>
      </c>
      <c r="I430" t="n">
        <v>0</v>
      </c>
      <c r="J430" t="n">
        <v>0</v>
      </c>
      <c r="K430" t="n">
        <v>0</v>
      </c>
      <c r="L430" t="n">
        <v>0</v>
      </c>
      <c r="M430" t="n">
        <v>0</v>
      </c>
      <c r="N430" t="n">
        <v>0</v>
      </c>
      <c r="O430" t="n">
        <v>0</v>
      </c>
      <c r="P430" t="n">
        <v>0</v>
      </c>
      <c r="Q430" t="n">
        <v>0</v>
      </c>
      <c r="R430" s="2" t="inlineStr"/>
    </row>
    <row r="431" ht="15" customHeight="1">
      <c r="A431" t="inlineStr">
        <is>
          <t>A 8775-2024</t>
        </is>
      </c>
      <c r="B431" s="1" t="n">
        <v>45356</v>
      </c>
      <c r="C431" s="1" t="n">
        <v>46089</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48710-2024</t>
        </is>
      </c>
      <c r="B432" s="1" t="n">
        <v>45593.53636574074</v>
      </c>
      <c r="C432" s="1" t="n">
        <v>46089</v>
      </c>
      <c r="D432" t="inlineStr">
        <is>
          <t>VÄSTMANLANDS LÄN</t>
        </is>
      </c>
      <c r="E432" t="inlineStr">
        <is>
          <t>SALA</t>
        </is>
      </c>
      <c r="G432" t="n">
        <v>6.5</v>
      </c>
      <c r="H432" t="n">
        <v>0</v>
      </c>
      <c r="I432" t="n">
        <v>0</v>
      </c>
      <c r="J432" t="n">
        <v>0</v>
      </c>
      <c r="K432" t="n">
        <v>0</v>
      </c>
      <c r="L432" t="n">
        <v>0</v>
      </c>
      <c r="M432" t="n">
        <v>0</v>
      </c>
      <c r="N432" t="n">
        <v>0</v>
      </c>
      <c r="O432" t="n">
        <v>0</v>
      </c>
      <c r="P432" t="n">
        <v>0</v>
      </c>
      <c r="Q432" t="n">
        <v>0</v>
      </c>
      <c r="R432" s="2" t="inlineStr"/>
    </row>
    <row r="433" ht="15" customHeight="1">
      <c r="A433" t="inlineStr">
        <is>
          <t>A 16404-2022</t>
        </is>
      </c>
      <c r="B433" s="1" t="n">
        <v>44671</v>
      </c>
      <c r="C433" s="1" t="n">
        <v>46089</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37590-2025</t>
        </is>
      </c>
      <c r="B434" s="1" t="n">
        <v>45880.41138888889</v>
      </c>
      <c r="C434" s="1" t="n">
        <v>46089</v>
      </c>
      <c r="D434" t="inlineStr">
        <is>
          <t>VÄSTMANLANDS LÄN</t>
        </is>
      </c>
      <c r="E434" t="inlineStr">
        <is>
          <t>SALA</t>
        </is>
      </c>
      <c r="G434" t="n">
        <v>2.2</v>
      </c>
      <c r="H434" t="n">
        <v>0</v>
      </c>
      <c r="I434" t="n">
        <v>0</v>
      </c>
      <c r="J434" t="n">
        <v>0</v>
      </c>
      <c r="K434" t="n">
        <v>0</v>
      </c>
      <c r="L434" t="n">
        <v>0</v>
      </c>
      <c r="M434" t="n">
        <v>0</v>
      </c>
      <c r="N434" t="n">
        <v>0</v>
      </c>
      <c r="O434" t="n">
        <v>0</v>
      </c>
      <c r="P434" t="n">
        <v>0</v>
      </c>
      <c r="Q434" t="n">
        <v>0</v>
      </c>
      <c r="R434" s="2" t="inlineStr"/>
    </row>
    <row r="435" ht="15" customHeight="1">
      <c r="A435" t="inlineStr">
        <is>
          <t>A 37593-2025</t>
        </is>
      </c>
      <c r="B435" s="1" t="n">
        <v>45880.41325231481</v>
      </c>
      <c r="C435" s="1" t="n">
        <v>46089</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24248-2023</t>
        </is>
      </c>
      <c r="B436" s="1" t="n">
        <v>45079</v>
      </c>
      <c r="C436" s="1" t="n">
        <v>46089</v>
      </c>
      <c r="D436" t="inlineStr">
        <is>
          <t>VÄSTMANLANDS LÄN</t>
        </is>
      </c>
      <c r="E436" t="inlineStr">
        <is>
          <t>SALA</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38294-2025</t>
        </is>
      </c>
      <c r="B437" s="1" t="n">
        <v>45883.44854166666</v>
      </c>
      <c r="C437" s="1" t="n">
        <v>46089</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43359-2024</t>
        </is>
      </c>
      <c r="B438" s="1" t="n">
        <v>45568.57724537037</v>
      </c>
      <c r="C438" s="1" t="n">
        <v>46089</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29972-2025</t>
        </is>
      </c>
      <c r="B439" s="1" t="n">
        <v>45826</v>
      </c>
      <c r="C439" s="1" t="n">
        <v>46089</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10559-2024</t>
        </is>
      </c>
      <c r="B440" s="1" t="n">
        <v>45366</v>
      </c>
      <c r="C440" s="1" t="n">
        <v>46089</v>
      </c>
      <c r="D440" t="inlineStr">
        <is>
          <t>VÄSTMANLANDS LÄN</t>
        </is>
      </c>
      <c r="E440" t="inlineStr">
        <is>
          <t>SALA</t>
        </is>
      </c>
      <c r="G440" t="n">
        <v>0.3</v>
      </c>
      <c r="H440" t="n">
        <v>0</v>
      </c>
      <c r="I440" t="n">
        <v>0</v>
      </c>
      <c r="J440" t="n">
        <v>0</v>
      </c>
      <c r="K440" t="n">
        <v>0</v>
      </c>
      <c r="L440" t="n">
        <v>0</v>
      </c>
      <c r="M440" t="n">
        <v>0</v>
      </c>
      <c r="N440" t="n">
        <v>0</v>
      </c>
      <c r="O440" t="n">
        <v>0</v>
      </c>
      <c r="P440" t="n">
        <v>0</v>
      </c>
      <c r="Q440" t="n">
        <v>0</v>
      </c>
      <c r="R440" s="2" t="inlineStr"/>
    </row>
    <row r="441" ht="15" customHeight="1">
      <c r="A441" t="inlineStr">
        <is>
          <t>A 40214-2023</t>
        </is>
      </c>
      <c r="B441" s="1" t="n">
        <v>45169.45173611111</v>
      </c>
      <c r="C441" s="1" t="n">
        <v>46089</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9856-2022</t>
        </is>
      </c>
      <c r="B442" s="1" t="n">
        <v>44620</v>
      </c>
      <c r="C442" s="1" t="n">
        <v>46089</v>
      </c>
      <c r="D442" t="inlineStr">
        <is>
          <t>VÄSTMANLANDS LÄN</t>
        </is>
      </c>
      <c r="E442" t="inlineStr">
        <is>
          <t>SALA</t>
        </is>
      </c>
      <c r="G442" t="n">
        <v>2.4</v>
      </c>
      <c r="H442" t="n">
        <v>0</v>
      </c>
      <c r="I442" t="n">
        <v>0</v>
      </c>
      <c r="J442" t="n">
        <v>0</v>
      </c>
      <c r="K442" t="n">
        <v>0</v>
      </c>
      <c r="L442" t="n">
        <v>0</v>
      </c>
      <c r="M442" t="n">
        <v>0</v>
      </c>
      <c r="N442" t="n">
        <v>0</v>
      </c>
      <c r="O442" t="n">
        <v>0</v>
      </c>
      <c r="P442" t="n">
        <v>0</v>
      </c>
      <c r="Q442" t="n">
        <v>0</v>
      </c>
      <c r="R442" s="2" t="inlineStr"/>
    </row>
    <row r="443" ht="15" customHeight="1">
      <c r="A443" t="inlineStr">
        <is>
          <t>A 18100-2023</t>
        </is>
      </c>
      <c r="B443" s="1" t="n">
        <v>45040</v>
      </c>
      <c r="C443" s="1" t="n">
        <v>46089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46279-2021</t>
        </is>
      </c>
      <c r="B444" s="1" t="n">
        <v>44442.57797453704</v>
      </c>
      <c r="C444" s="1" t="n">
        <v>46089</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53725-2025</t>
        </is>
      </c>
      <c r="B445" s="1" t="n">
        <v>45960.63394675926</v>
      </c>
      <c r="C445" s="1" t="n">
        <v>46089</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23374-2023</t>
        </is>
      </c>
      <c r="B446" s="1" t="n">
        <v>45076.4399537037</v>
      </c>
      <c r="C446" s="1" t="n">
        <v>46089</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38636-2024</t>
        </is>
      </c>
      <c r="B447" s="1" t="n">
        <v>45546</v>
      </c>
      <c r="C447" s="1" t="n">
        <v>46089</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53744-2025</t>
        </is>
      </c>
      <c r="B448" s="1" t="n">
        <v>45960.64863425926</v>
      </c>
      <c r="C448" s="1" t="n">
        <v>46089</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6134-2024</t>
        </is>
      </c>
      <c r="B449" s="1" t="n">
        <v>45337</v>
      </c>
      <c r="C449" s="1" t="n">
        <v>46089</v>
      </c>
      <c r="D449" t="inlineStr">
        <is>
          <t>VÄSTMANLANDS LÄN</t>
        </is>
      </c>
      <c r="E449" t="inlineStr">
        <is>
          <t>SALA</t>
        </is>
      </c>
      <c r="G449" t="n">
        <v>1.8</v>
      </c>
      <c r="H449" t="n">
        <v>0</v>
      </c>
      <c r="I449" t="n">
        <v>0</v>
      </c>
      <c r="J449" t="n">
        <v>0</v>
      </c>
      <c r="K449" t="n">
        <v>0</v>
      </c>
      <c r="L449" t="n">
        <v>0</v>
      </c>
      <c r="M449" t="n">
        <v>0</v>
      </c>
      <c r="N449" t="n">
        <v>0</v>
      </c>
      <c r="O449" t="n">
        <v>0</v>
      </c>
      <c r="P449" t="n">
        <v>0</v>
      </c>
      <c r="Q449" t="n">
        <v>0</v>
      </c>
      <c r="R449" s="2" t="inlineStr"/>
    </row>
    <row r="450" ht="15" customHeight="1">
      <c r="A450" t="inlineStr">
        <is>
          <t>A 48117-2024</t>
        </is>
      </c>
      <c r="B450" s="1" t="n">
        <v>45589</v>
      </c>
      <c r="C450" s="1" t="n">
        <v>46089</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53724-2025</t>
        </is>
      </c>
      <c r="B451" s="1" t="n">
        <v>45960.63174768518</v>
      </c>
      <c r="C451" s="1" t="n">
        <v>46089</v>
      </c>
      <c r="D451" t="inlineStr">
        <is>
          <t>VÄSTMANLANDS LÄN</t>
        </is>
      </c>
      <c r="E451" t="inlineStr">
        <is>
          <t>SALA</t>
        </is>
      </c>
      <c r="G451" t="n">
        <v>2.8</v>
      </c>
      <c r="H451" t="n">
        <v>0</v>
      </c>
      <c r="I451" t="n">
        <v>0</v>
      </c>
      <c r="J451" t="n">
        <v>0</v>
      </c>
      <c r="K451" t="n">
        <v>0</v>
      </c>
      <c r="L451" t="n">
        <v>0</v>
      </c>
      <c r="M451" t="n">
        <v>0</v>
      </c>
      <c r="N451" t="n">
        <v>0</v>
      </c>
      <c r="O451" t="n">
        <v>0</v>
      </c>
      <c r="P451" t="n">
        <v>0</v>
      </c>
      <c r="Q451" t="n">
        <v>0</v>
      </c>
      <c r="R451" s="2" t="inlineStr"/>
    </row>
    <row r="452" ht="15" customHeight="1">
      <c r="A452" t="inlineStr">
        <is>
          <t>A 31082-2021</t>
        </is>
      </c>
      <c r="B452" s="1" t="n">
        <v>44368</v>
      </c>
      <c r="C452" s="1" t="n">
        <v>46089</v>
      </c>
      <c r="D452" t="inlineStr">
        <is>
          <t>VÄSTMANLANDS LÄN</t>
        </is>
      </c>
      <c r="E452" t="inlineStr">
        <is>
          <t>SALA</t>
        </is>
      </c>
      <c r="G452" t="n">
        <v>2</v>
      </c>
      <c r="H452" t="n">
        <v>0</v>
      </c>
      <c r="I452" t="n">
        <v>0</v>
      </c>
      <c r="J452" t="n">
        <v>0</v>
      </c>
      <c r="K452" t="n">
        <v>0</v>
      </c>
      <c r="L452" t="n">
        <v>0</v>
      </c>
      <c r="M452" t="n">
        <v>0</v>
      </c>
      <c r="N452" t="n">
        <v>0</v>
      </c>
      <c r="O452" t="n">
        <v>0</v>
      </c>
      <c r="P452" t="n">
        <v>0</v>
      </c>
      <c r="Q452" t="n">
        <v>0</v>
      </c>
      <c r="R452" s="2" t="inlineStr"/>
    </row>
    <row r="453" ht="15" customHeight="1">
      <c r="A453" t="inlineStr">
        <is>
          <t>A 73673-2021</t>
        </is>
      </c>
      <c r="B453" s="1" t="n">
        <v>44552.46501157407</v>
      </c>
      <c r="C453" s="1" t="n">
        <v>46089</v>
      </c>
      <c r="D453" t="inlineStr">
        <is>
          <t>VÄSTMANLANDS LÄN</t>
        </is>
      </c>
      <c r="E453" t="inlineStr">
        <is>
          <t>SALA</t>
        </is>
      </c>
      <c r="G453" t="n">
        <v>11.4</v>
      </c>
      <c r="H453" t="n">
        <v>0</v>
      </c>
      <c r="I453" t="n">
        <v>0</v>
      </c>
      <c r="J453" t="n">
        <v>0</v>
      </c>
      <c r="K453" t="n">
        <v>0</v>
      </c>
      <c r="L453" t="n">
        <v>0</v>
      </c>
      <c r="M453" t="n">
        <v>0</v>
      </c>
      <c r="N453" t="n">
        <v>0</v>
      </c>
      <c r="O453" t="n">
        <v>0</v>
      </c>
      <c r="P453" t="n">
        <v>0</v>
      </c>
      <c r="Q453" t="n">
        <v>0</v>
      </c>
      <c r="R453" s="2" t="inlineStr"/>
    </row>
    <row r="454" ht="15" customHeight="1">
      <c r="A454" t="inlineStr">
        <is>
          <t>A 54344-2025</t>
        </is>
      </c>
      <c r="B454" s="1" t="n">
        <v>45965.36462962963</v>
      </c>
      <c r="C454" s="1" t="n">
        <v>46089</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5219-2026</t>
        </is>
      </c>
      <c r="B455" s="1" t="n">
        <v>46049.76225694444</v>
      </c>
      <c r="C455" s="1" t="n">
        <v>46089</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54590-2025</t>
        </is>
      </c>
      <c r="B456" s="1" t="n">
        <v>45965.74199074074</v>
      </c>
      <c r="C456" s="1" t="n">
        <v>46089</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910-2026</t>
        </is>
      </c>
      <c r="B457" s="1" t="n">
        <v>46030.4771412037</v>
      </c>
      <c r="C457" s="1" t="n">
        <v>46089</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31470-2021</t>
        </is>
      </c>
      <c r="B458" s="1" t="n">
        <v>44369</v>
      </c>
      <c r="C458" s="1" t="n">
        <v>46089</v>
      </c>
      <c r="D458" t="inlineStr">
        <is>
          <t>VÄSTMANLANDS LÄN</t>
        </is>
      </c>
      <c r="E458" t="inlineStr">
        <is>
          <t>SALA</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54201-2025</t>
        </is>
      </c>
      <c r="B459" s="1" t="n">
        <v>45964.58055555556</v>
      </c>
      <c r="C459" s="1" t="n">
        <v>46089</v>
      </c>
      <c r="D459" t="inlineStr">
        <is>
          <t>VÄSTMANLANDS LÄN</t>
        </is>
      </c>
      <c r="E459" t="inlineStr">
        <is>
          <t>SALA</t>
        </is>
      </c>
      <c r="G459" t="n">
        <v>1.7</v>
      </c>
      <c r="H459" t="n">
        <v>0</v>
      </c>
      <c r="I459" t="n">
        <v>0</v>
      </c>
      <c r="J459" t="n">
        <v>0</v>
      </c>
      <c r="K459" t="n">
        <v>0</v>
      </c>
      <c r="L459" t="n">
        <v>0</v>
      </c>
      <c r="M459" t="n">
        <v>0</v>
      </c>
      <c r="N459" t="n">
        <v>0</v>
      </c>
      <c r="O459" t="n">
        <v>0</v>
      </c>
      <c r="P459" t="n">
        <v>0</v>
      </c>
      <c r="Q459" t="n">
        <v>0</v>
      </c>
      <c r="R459" s="2" t="inlineStr"/>
    </row>
    <row r="460" ht="15" customHeight="1">
      <c r="A460" t="inlineStr">
        <is>
          <t>A 914-2026</t>
        </is>
      </c>
      <c r="B460" s="1" t="n">
        <v>46030.47952546296</v>
      </c>
      <c r="C460" s="1" t="n">
        <v>46089</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24175-2024</t>
        </is>
      </c>
      <c r="B461" s="1" t="n">
        <v>45456</v>
      </c>
      <c r="C461" s="1" t="n">
        <v>46089</v>
      </c>
      <c r="D461" t="inlineStr">
        <is>
          <t>VÄSTMANLANDS LÄN</t>
        </is>
      </c>
      <c r="E461" t="inlineStr">
        <is>
          <t>SALA</t>
        </is>
      </c>
      <c r="G461" t="n">
        <v>0.6</v>
      </c>
      <c r="H461" t="n">
        <v>0</v>
      </c>
      <c r="I461" t="n">
        <v>0</v>
      </c>
      <c r="J461" t="n">
        <v>0</v>
      </c>
      <c r="K461" t="n">
        <v>0</v>
      </c>
      <c r="L461" t="n">
        <v>0</v>
      </c>
      <c r="M461" t="n">
        <v>0</v>
      </c>
      <c r="N461" t="n">
        <v>0</v>
      </c>
      <c r="O461" t="n">
        <v>0</v>
      </c>
      <c r="P461" t="n">
        <v>0</v>
      </c>
      <c r="Q461" t="n">
        <v>0</v>
      </c>
      <c r="R461" s="2" t="inlineStr"/>
    </row>
    <row r="462" ht="15" customHeight="1">
      <c r="A462" t="inlineStr">
        <is>
          <t>A 948-2026</t>
        </is>
      </c>
      <c r="B462" s="1" t="n">
        <v>46030.53986111111</v>
      </c>
      <c r="C462" s="1" t="n">
        <v>46089</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28328-2023</t>
        </is>
      </c>
      <c r="B463" s="1" t="n">
        <v>45099.71063657408</v>
      </c>
      <c r="C463" s="1" t="n">
        <v>46089</v>
      </c>
      <c r="D463" t="inlineStr">
        <is>
          <t>VÄSTMANLANDS LÄN</t>
        </is>
      </c>
      <c r="E463" t="inlineStr">
        <is>
          <t>SALA</t>
        </is>
      </c>
      <c r="G463" t="n">
        <v>1.8</v>
      </c>
      <c r="H463" t="n">
        <v>0</v>
      </c>
      <c r="I463" t="n">
        <v>0</v>
      </c>
      <c r="J463" t="n">
        <v>0</v>
      </c>
      <c r="K463" t="n">
        <v>0</v>
      </c>
      <c r="L463" t="n">
        <v>0</v>
      </c>
      <c r="M463" t="n">
        <v>0</v>
      </c>
      <c r="N463" t="n">
        <v>0</v>
      </c>
      <c r="O463" t="n">
        <v>0</v>
      </c>
      <c r="P463" t="n">
        <v>0</v>
      </c>
      <c r="Q463" t="n">
        <v>0</v>
      </c>
      <c r="R463" s="2" t="inlineStr"/>
    </row>
    <row r="464" ht="15" customHeight="1">
      <c r="A464" t="inlineStr">
        <is>
          <t>A 54893-2025</t>
        </is>
      </c>
      <c r="B464" s="1" t="n">
        <v>45967.36383101852</v>
      </c>
      <c r="C464" s="1" t="n">
        <v>46089</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61715-2024</t>
        </is>
      </c>
      <c r="B465" s="1" t="n">
        <v>45648.89519675926</v>
      </c>
      <c r="C465" s="1" t="n">
        <v>46089</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38195-2021</t>
        </is>
      </c>
      <c r="B466" s="1" t="n">
        <v>44405</v>
      </c>
      <c r="C466" s="1" t="n">
        <v>46089</v>
      </c>
      <c r="D466" t="inlineStr">
        <is>
          <t>VÄSTMANLANDS LÄN</t>
        </is>
      </c>
      <c r="E466" t="inlineStr">
        <is>
          <t>SALA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19033-2025</t>
        </is>
      </c>
      <c r="B467" s="1" t="n">
        <v>45764.65796296296</v>
      </c>
      <c r="C467" s="1" t="n">
        <v>46089</v>
      </c>
      <c r="D467" t="inlineStr">
        <is>
          <t>VÄSTMANLANDS LÄN</t>
        </is>
      </c>
      <c r="E467" t="inlineStr">
        <is>
          <t>SALA</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6132-2025</t>
        </is>
      </c>
      <c r="B468" s="1" t="n">
        <v>45698</v>
      </c>
      <c r="C468" s="1" t="n">
        <v>46089</v>
      </c>
      <c r="D468" t="inlineStr">
        <is>
          <t>VÄSTMANLANDS LÄN</t>
        </is>
      </c>
      <c r="E468" t="inlineStr">
        <is>
          <t>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46089</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11389-2024</t>
        </is>
      </c>
      <c r="B470" s="1" t="n">
        <v>45372.45016203704</v>
      </c>
      <c r="C470" s="1" t="n">
        <v>46089</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55997-2025</t>
        </is>
      </c>
      <c r="B471" s="1" t="n">
        <v>45973.56833333334</v>
      </c>
      <c r="C471" s="1" t="n">
        <v>46089</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10252-2026</t>
        </is>
      </c>
      <c r="B472" s="1" t="n">
        <v>46076.55700231482</v>
      </c>
      <c r="C472" s="1" t="n">
        <v>46089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55714-2025</t>
        </is>
      </c>
      <c r="B473" s="1" t="n">
        <v>45972.49131944445</v>
      </c>
      <c r="C473" s="1" t="n">
        <v>46089</v>
      </c>
      <c r="D473" t="inlineStr">
        <is>
          <t>VÄSTMANLANDS LÄN</t>
        </is>
      </c>
      <c r="E473" t="inlineStr">
        <is>
          <t>SALA</t>
        </is>
      </c>
      <c r="G473" t="n">
        <v>6.6</v>
      </c>
      <c r="H473" t="n">
        <v>0</v>
      </c>
      <c r="I473" t="n">
        <v>0</v>
      </c>
      <c r="J473" t="n">
        <v>0</v>
      </c>
      <c r="K473" t="n">
        <v>0</v>
      </c>
      <c r="L473" t="n">
        <v>0</v>
      </c>
      <c r="M473" t="n">
        <v>0</v>
      </c>
      <c r="N473" t="n">
        <v>0</v>
      </c>
      <c r="O473" t="n">
        <v>0</v>
      </c>
      <c r="P473" t="n">
        <v>0</v>
      </c>
      <c r="Q473" t="n">
        <v>0</v>
      </c>
      <c r="R473" s="2" t="inlineStr"/>
    </row>
    <row r="474" ht="15" customHeight="1">
      <c r="A474" t="inlineStr">
        <is>
          <t>A 10239-2026</t>
        </is>
      </c>
      <c r="B474" s="1" t="n">
        <v>46076.54824074074</v>
      </c>
      <c r="C474" s="1" t="n">
        <v>46089</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56593-2025</t>
        </is>
      </c>
      <c r="B475" s="1" t="n">
        <v>45975</v>
      </c>
      <c r="C475" s="1" t="n">
        <v>46089</v>
      </c>
      <c r="D475" t="inlineStr">
        <is>
          <t>VÄSTMANLANDS LÄN</t>
        </is>
      </c>
      <c r="E475" t="inlineStr">
        <is>
          <t>SALA</t>
        </is>
      </c>
      <c r="F475" t="inlineStr">
        <is>
          <t>Kyrkan</t>
        </is>
      </c>
      <c r="G475" t="n">
        <v>0.1</v>
      </c>
      <c r="H475" t="n">
        <v>0</v>
      </c>
      <c r="I475" t="n">
        <v>0</v>
      </c>
      <c r="J475" t="n">
        <v>0</v>
      </c>
      <c r="K475" t="n">
        <v>0</v>
      </c>
      <c r="L475" t="n">
        <v>0</v>
      </c>
      <c r="M475" t="n">
        <v>0</v>
      </c>
      <c r="N475" t="n">
        <v>0</v>
      </c>
      <c r="O475" t="n">
        <v>0</v>
      </c>
      <c r="P475" t="n">
        <v>0</v>
      </c>
      <c r="Q475" t="n">
        <v>0</v>
      </c>
      <c r="R475" s="2" t="inlineStr"/>
    </row>
    <row r="476" ht="15" customHeight="1">
      <c r="A476" t="inlineStr">
        <is>
          <t>A 2925-2024</t>
        </is>
      </c>
      <c r="B476" s="1" t="n">
        <v>45315.58909722222</v>
      </c>
      <c r="C476" s="1" t="n">
        <v>46089</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56645-2025</t>
        </is>
      </c>
      <c r="B477" s="1" t="n">
        <v>45975.63063657407</v>
      </c>
      <c r="C477" s="1" t="n">
        <v>46089</v>
      </c>
      <c r="D477" t="inlineStr">
        <is>
          <t>VÄSTMANLANDS LÄN</t>
        </is>
      </c>
      <c r="E477" t="inlineStr">
        <is>
          <t>SALA</t>
        </is>
      </c>
      <c r="F477" t="inlineStr">
        <is>
          <t>Bergvik skog öst AB</t>
        </is>
      </c>
      <c r="G477" t="n">
        <v>5.3</v>
      </c>
      <c r="H477" t="n">
        <v>0</v>
      </c>
      <c r="I477" t="n">
        <v>0</v>
      </c>
      <c r="J477" t="n">
        <v>0</v>
      </c>
      <c r="K477" t="n">
        <v>0</v>
      </c>
      <c r="L477" t="n">
        <v>0</v>
      </c>
      <c r="M477" t="n">
        <v>0</v>
      </c>
      <c r="N477" t="n">
        <v>0</v>
      </c>
      <c r="O477" t="n">
        <v>0</v>
      </c>
      <c r="P477" t="n">
        <v>0</v>
      </c>
      <c r="Q477" t="n">
        <v>0</v>
      </c>
      <c r="R477" s="2" t="inlineStr"/>
    </row>
    <row r="478" ht="15" customHeight="1">
      <c r="A478" t="inlineStr">
        <is>
          <t>A 39439-2021</t>
        </is>
      </c>
      <c r="B478" s="1" t="n">
        <v>44414</v>
      </c>
      <c r="C478" s="1" t="n">
        <v>46089</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56502-2025</t>
        </is>
      </c>
      <c r="B479" s="1" t="n">
        <v>45975</v>
      </c>
      <c r="C479" s="1" t="n">
        <v>46089</v>
      </c>
      <c r="D479" t="inlineStr">
        <is>
          <t>VÄSTMANLANDS LÄN</t>
        </is>
      </c>
      <c r="E479" t="inlineStr">
        <is>
          <t>SALA</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10245-2026</t>
        </is>
      </c>
      <c r="B480" s="1" t="n">
        <v>46076.55144675926</v>
      </c>
      <c r="C480" s="1" t="n">
        <v>46089</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56614-2025</t>
        </is>
      </c>
      <c r="B481" s="1" t="n">
        <v>45975.59288194445</v>
      </c>
      <c r="C481" s="1" t="n">
        <v>46089</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56611-2025</t>
        </is>
      </c>
      <c r="B482" s="1" t="n">
        <v>45975</v>
      </c>
      <c r="C482" s="1" t="n">
        <v>46089</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1705-2026</t>
        </is>
      </c>
      <c r="B483" s="1" t="n">
        <v>46034.59930555556</v>
      </c>
      <c r="C483" s="1" t="n">
        <v>46089</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3332-2024</t>
        </is>
      </c>
      <c r="B484" s="1" t="n">
        <v>45317</v>
      </c>
      <c r="C484" s="1" t="n">
        <v>46089</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2529-2022</t>
        </is>
      </c>
      <c r="B485" s="1" t="n">
        <v>44579.86452546297</v>
      </c>
      <c r="C485" s="1" t="n">
        <v>46089</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13471-2025</t>
        </is>
      </c>
      <c r="B486" s="1" t="n">
        <v>45736.40579861111</v>
      </c>
      <c r="C486" s="1" t="n">
        <v>46089</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57014-2025</t>
        </is>
      </c>
      <c r="B487" s="1" t="n">
        <v>45978</v>
      </c>
      <c r="C487" s="1" t="n">
        <v>46089</v>
      </c>
      <c r="D487" t="inlineStr">
        <is>
          <t>VÄSTMANLANDS LÄN</t>
        </is>
      </c>
      <c r="E487" t="inlineStr">
        <is>
          <t>SALA</t>
        </is>
      </c>
      <c r="G487" t="n">
        <v>2.2</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46089</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18431-2023</t>
        </is>
      </c>
      <c r="B489" s="1" t="n">
        <v>45042</v>
      </c>
      <c r="C489" s="1" t="n">
        <v>46089</v>
      </c>
      <c r="D489" t="inlineStr">
        <is>
          <t>VÄSTMANLANDS LÄN</t>
        </is>
      </c>
      <c r="E489" t="inlineStr">
        <is>
          <t>SALA</t>
        </is>
      </c>
      <c r="G489" t="n">
        <v>1.9</v>
      </c>
      <c r="H489" t="n">
        <v>0</v>
      </c>
      <c r="I489" t="n">
        <v>0</v>
      </c>
      <c r="J489" t="n">
        <v>0</v>
      </c>
      <c r="K489" t="n">
        <v>0</v>
      </c>
      <c r="L489" t="n">
        <v>0</v>
      </c>
      <c r="M489" t="n">
        <v>0</v>
      </c>
      <c r="N489" t="n">
        <v>0</v>
      </c>
      <c r="O489" t="n">
        <v>0</v>
      </c>
      <c r="P489" t="n">
        <v>0</v>
      </c>
      <c r="Q489" t="n">
        <v>0</v>
      </c>
      <c r="R489" s="2" t="inlineStr"/>
    </row>
    <row r="490" ht="15" customHeight="1">
      <c r="A490" t="inlineStr">
        <is>
          <t>A 27424-2023</t>
        </is>
      </c>
      <c r="B490" s="1" t="n">
        <v>45097.37690972222</v>
      </c>
      <c r="C490" s="1" t="n">
        <v>46089</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58701-2021</t>
        </is>
      </c>
      <c r="B491" s="1" t="n">
        <v>44489.46454861111</v>
      </c>
      <c r="C491" s="1" t="n">
        <v>46089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11244-2024</t>
        </is>
      </c>
      <c r="B492" s="1" t="n">
        <v>45371</v>
      </c>
      <c r="C492" s="1" t="n">
        <v>46089</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12225-2023</t>
        </is>
      </c>
      <c r="B493" s="1" t="n">
        <v>44995</v>
      </c>
      <c r="C493" s="1" t="n">
        <v>46089</v>
      </c>
      <c r="D493" t="inlineStr">
        <is>
          <t>VÄSTMANLANDS LÄN</t>
        </is>
      </c>
      <c r="E493" t="inlineStr">
        <is>
          <t>SALA</t>
        </is>
      </c>
      <c r="G493" t="n">
        <v>0.9</v>
      </c>
      <c r="H493" t="n">
        <v>0</v>
      </c>
      <c r="I493" t="n">
        <v>0</v>
      </c>
      <c r="J493" t="n">
        <v>0</v>
      </c>
      <c r="K493" t="n">
        <v>0</v>
      </c>
      <c r="L493" t="n">
        <v>0</v>
      </c>
      <c r="M493" t="n">
        <v>0</v>
      </c>
      <c r="N493" t="n">
        <v>0</v>
      </c>
      <c r="O493" t="n">
        <v>0</v>
      </c>
      <c r="P493" t="n">
        <v>0</v>
      </c>
      <c r="Q493" t="n">
        <v>0</v>
      </c>
      <c r="R493" s="2" t="inlineStr"/>
    </row>
    <row r="494" ht="15" customHeight="1">
      <c r="A494" t="inlineStr">
        <is>
          <t>A 57414-2025</t>
        </is>
      </c>
      <c r="B494" s="1" t="n">
        <v>45980.45003472222</v>
      </c>
      <c r="C494" s="1" t="n">
        <v>46089</v>
      </c>
      <c r="D494" t="inlineStr">
        <is>
          <t>VÄSTMANLANDS LÄN</t>
        </is>
      </c>
      <c r="E494" t="inlineStr">
        <is>
          <t>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57415-2025</t>
        </is>
      </c>
      <c r="B495" s="1" t="n">
        <v>45980.45099537037</v>
      </c>
      <c r="C495" s="1" t="n">
        <v>46089</v>
      </c>
      <c r="D495" t="inlineStr">
        <is>
          <t>VÄSTMANLANDS LÄN</t>
        </is>
      </c>
      <c r="E495" t="inlineStr">
        <is>
          <t>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57412-2025</t>
        </is>
      </c>
      <c r="B496" s="1" t="n">
        <v>45980.44883101852</v>
      </c>
      <c r="C496" s="1" t="n">
        <v>46089</v>
      </c>
      <c r="D496" t="inlineStr">
        <is>
          <t>VÄSTMANLANDS LÄN</t>
        </is>
      </c>
      <c r="E496" t="inlineStr">
        <is>
          <t>SALA</t>
        </is>
      </c>
      <c r="F496" t="inlineStr">
        <is>
          <t>Bergvik skog öst AB</t>
        </is>
      </c>
      <c r="G496" t="n">
        <v>4.5</v>
      </c>
      <c r="H496" t="n">
        <v>0</v>
      </c>
      <c r="I496" t="n">
        <v>0</v>
      </c>
      <c r="J496" t="n">
        <v>0</v>
      </c>
      <c r="K496" t="n">
        <v>0</v>
      </c>
      <c r="L496" t="n">
        <v>0</v>
      </c>
      <c r="M496" t="n">
        <v>0</v>
      </c>
      <c r="N496" t="n">
        <v>0</v>
      </c>
      <c r="O496" t="n">
        <v>0</v>
      </c>
      <c r="P496" t="n">
        <v>0</v>
      </c>
      <c r="Q496" t="n">
        <v>0</v>
      </c>
      <c r="R496" s="2" t="inlineStr"/>
    </row>
    <row r="497" ht="15" customHeight="1">
      <c r="A497" t="inlineStr">
        <is>
          <t>A 61874-2021</t>
        </is>
      </c>
      <c r="B497" s="1" t="n">
        <v>44502</v>
      </c>
      <c r="C497" s="1" t="n">
        <v>46089</v>
      </c>
      <c r="D497" t="inlineStr">
        <is>
          <t>VÄSTMANLANDS LÄN</t>
        </is>
      </c>
      <c r="E497" t="inlineStr">
        <is>
          <t>SALA</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58359-2025</t>
        </is>
      </c>
      <c r="B498" s="1" t="n">
        <v>45985.51594907408</v>
      </c>
      <c r="C498" s="1" t="n">
        <v>46089</v>
      </c>
      <c r="D498" t="inlineStr">
        <is>
          <t>VÄSTMANLANDS LÄN</t>
        </is>
      </c>
      <c r="E498" t="inlineStr">
        <is>
          <t>SALA</t>
        </is>
      </c>
      <c r="G498" t="n">
        <v>3.7</v>
      </c>
      <c r="H498" t="n">
        <v>0</v>
      </c>
      <c r="I498" t="n">
        <v>0</v>
      </c>
      <c r="J498" t="n">
        <v>0</v>
      </c>
      <c r="K498" t="n">
        <v>0</v>
      </c>
      <c r="L498" t="n">
        <v>0</v>
      </c>
      <c r="M498" t="n">
        <v>0</v>
      </c>
      <c r="N498" t="n">
        <v>0</v>
      </c>
      <c r="O498" t="n">
        <v>0</v>
      </c>
      <c r="P498" t="n">
        <v>0</v>
      </c>
      <c r="Q498" t="n">
        <v>0</v>
      </c>
      <c r="R498" s="2" t="inlineStr"/>
    </row>
    <row r="499" ht="15" customHeight="1">
      <c r="A499" t="inlineStr">
        <is>
          <t>A 58364-2025</t>
        </is>
      </c>
      <c r="B499" s="1" t="n">
        <v>45985.5228125</v>
      </c>
      <c r="C499" s="1" t="n">
        <v>46089</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62651-2022</t>
        </is>
      </c>
      <c r="B500" s="1" t="n">
        <v>44917</v>
      </c>
      <c r="C500" s="1" t="n">
        <v>46089</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58282-2025</t>
        </is>
      </c>
      <c r="B501" s="1" t="n">
        <v>45985.44309027777</v>
      </c>
      <c r="C501" s="1" t="n">
        <v>46089</v>
      </c>
      <c r="D501" t="inlineStr">
        <is>
          <t>VÄSTMANLANDS LÄN</t>
        </is>
      </c>
      <c r="E501" t="inlineStr">
        <is>
          <t>SALA</t>
        </is>
      </c>
      <c r="G501" t="n">
        <v>8.9</v>
      </c>
      <c r="H501" t="n">
        <v>0</v>
      </c>
      <c r="I501" t="n">
        <v>0</v>
      </c>
      <c r="J501" t="n">
        <v>0</v>
      </c>
      <c r="K501" t="n">
        <v>0</v>
      </c>
      <c r="L501" t="n">
        <v>0</v>
      </c>
      <c r="M501" t="n">
        <v>0</v>
      </c>
      <c r="N501" t="n">
        <v>0</v>
      </c>
      <c r="O501" t="n">
        <v>0</v>
      </c>
      <c r="P501" t="n">
        <v>0</v>
      </c>
      <c r="Q501" t="n">
        <v>0</v>
      </c>
      <c r="R501" s="2" t="inlineStr"/>
    </row>
    <row r="502" ht="15" customHeight="1">
      <c r="A502" t="inlineStr">
        <is>
          <t>A 55760-2025</t>
        </is>
      </c>
      <c r="B502" s="1" t="n">
        <v>45972</v>
      </c>
      <c r="C502" s="1" t="n">
        <v>46089</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15968-2024</t>
        </is>
      </c>
      <c r="B503" s="1" t="n">
        <v>45405.56021990741</v>
      </c>
      <c r="C503" s="1" t="n">
        <v>46089</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58357-2025</t>
        </is>
      </c>
      <c r="B504" s="1" t="n">
        <v>45985.51518518518</v>
      </c>
      <c r="C504" s="1" t="n">
        <v>46089</v>
      </c>
      <c r="D504" t="inlineStr">
        <is>
          <t>VÄSTMANLANDS LÄN</t>
        </is>
      </c>
      <c r="E504" t="inlineStr">
        <is>
          <t>SALA</t>
        </is>
      </c>
      <c r="G504" t="n">
        <v>3</v>
      </c>
      <c r="H504" t="n">
        <v>0</v>
      </c>
      <c r="I504" t="n">
        <v>0</v>
      </c>
      <c r="J504" t="n">
        <v>0</v>
      </c>
      <c r="K504" t="n">
        <v>0</v>
      </c>
      <c r="L504" t="n">
        <v>0</v>
      </c>
      <c r="M504" t="n">
        <v>0</v>
      </c>
      <c r="N504" t="n">
        <v>0</v>
      </c>
      <c r="O504" t="n">
        <v>0</v>
      </c>
      <c r="P504" t="n">
        <v>0</v>
      </c>
      <c r="Q504" t="n">
        <v>0</v>
      </c>
      <c r="R504" s="2" t="inlineStr"/>
    </row>
    <row r="505" ht="15" customHeight="1">
      <c r="A505" t="inlineStr">
        <is>
          <t>A 58365-2025</t>
        </is>
      </c>
      <c r="B505" s="1" t="n">
        <v>45985.52288194445</v>
      </c>
      <c r="C505" s="1" t="n">
        <v>46089</v>
      </c>
      <c r="D505" t="inlineStr">
        <is>
          <t>VÄSTMANLANDS LÄN</t>
        </is>
      </c>
      <c r="E505" t="inlineStr">
        <is>
          <t>SALA</t>
        </is>
      </c>
      <c r="G505" t="n">
        <v>3.9</v>
      </c>
      <c r="H505" t="n">
        <v>0</v>
      </c>
      <c r="I505" t="n">
        <v>0</v>
      </c>
      <c r="J505" t="n">
        <v>0</v>
      </c>
      <c r="K505" t="n">
        <v>0</v>
      </c>
      <c r="L505" t="n">
        <v>0</v>
      </c>
      <c r="M505" t="n">
        <v>0</v>
      </c>
      <c r="N505" t="n">
        <v>0</v>
      </c>
      <c r="O505" t="n">
        <v>0</v>
      </c>
      <c r="P505" t="n">
        <v>0</v>
      </c>
      <c r="Q505" t="n">
        <v>0</v>
      </c>
      <c r="R505" s="2" t="inlineStr"/>
    </row>
    <row r="506" ht="15" customHeight="1">
      <c r="A506" t="inlineStr">
        <is>
          <t>A 60730-2023</t>
        </is>
      </c>
      <c r="B506" s="1" t="n">
        <v>45260</v>
      </c>
      <c r="C506" s="1" t="n">
        <v>46089</v>
      </c>
      <c r="D506" t="inlineStr">
        <is>
          <t>VÄSTMANLANDS LÄN</t>
        </is>
      </c>
      <c r="E506" t="inlineStr">
        <is>
          <t>SALA</t>
        </is>
      </c>
      <c r="G506" t="n">
        <v>1.3</v>
      </c>
      <c r="H506" t="n">
        <v>0</v>
      </c>
      <c r="I506" t="n">
        <v>0</v>
      </c>
      <c r="J506" t="n">
        <v>0</v>
      </c>
      <c r="K506" t="n">
        <v>0</v>
      </c>
      <c r="L506" t="n">
        <v>0</v>
      </c>
      <c r="M506" t="n">
        <v>0</v>
      </c>
      <c r="N506" t="n">
        <v>0</v>
      </c>
      <c r="O506" t="n">
        <v>0</v>
      </c>
      <c r="P506" t="n">
        <v>0</v>
      </c>
      <c r="Q506" t="n">
        <v>0</v>
      </c>
      <c r="R506" s="2" t="inlineStr"/>
    </row>
    <row r="507" ht="15" customHeight="1">
      <c r="A507" t="inlineStr">
        <is>
          <t>A 60731-2023</t>
        </is>
      </c>
      <c r="B507" s="1" t="n">
        <v>45260</v>
      </c>
      <c r="C507" s="1" t="n">
        <v>46089</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45425.47435185185</v>
      </c>
      <c r="C508" s="1" t="n">
        <v>46089</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4663-2022</t>
        </is>
      </c>
      <c r="B509" s="1" t="n">
        <v>44592.45429398148</v>
      </c>
      <c r="C509" s="1" t="n">
        <v>46089</v>
      </c>
      <c r="D509" t="inlineStr">
        <is>
          <t>VÄSTMANLANDS LÄN</t>
        </is>
      </c>
      <c r="E509" t="inlineStr">
        <is>
          <t>SALA</t>
        </is>
      </c>
      <c r="G509" t="n">
        <v>2.5</v>
      </c>
      <c r="H509" t="n">
        <v>0</v>
      </c>
      <c r="I509" t="n">
        <v>0</v>
      </c>
      <c r="J509" t="n">
        <v>0</v>
      </c>
      <c r="K509" t="n">
        <v>0</v>
      </c>
      <c r="L509" t="n">
        <v>0</v>
      </c>
      <c r="M509" t="n">
        <v>0</v>
      </c>
      <c r="N509" t="n">
        <v>0</v>
      </c>
      <c r="O509" t="n">
        <v>0</v>
      </c>
      <c r="P509" t="n">
        <v>0</v>
      </c>
      <c r="Q509" t="n">
        <v>0</v>
      </c>
      <c r="R509" s="2" t="inlineStr"/>
    </row>
    <row r="510" ht="15" customHeight="1">
      <c r="A510" t="inlineStr">
        <is>
          <t>A 6032-2025</t>
        </is>
      </c>
      <c r="B510" s="1" t="n">
        <v>45695.6371875</v>
      </c>
      <c r="C510" s="1" t="n">
        <v>46089</v>
      </c>
      <c r="D510" t="inlineStr">
        <is>
          <t>VÄSTMANLANDS LÄN</t>
        </is>
      </c>
      <c r="E510" t="inlineStr">
        <is>
          <t>SALA</t>
        </is>
      </c>
      <c r="F510" t="inlineStr">
        <is>
          <t>Bergvik skog öst AB</t>
        </is>
      </c>
      <c r="G510" t="n">
        <v>8.1</v>
      </c>
      <c r="H510" t="n">
        <v>0</v>
      </c>
      <c r="I510" t="n">
        <v>0</v>
      </c>
      <c r="J510" t="n">
        <v>0</v>
      </c>
      <c r="K510" t="n">
        <v>0</v>
      </c>
      <c r="L510" t="n">
        <v>0</v>
      </c>
      <c r="M510" t="n">
        <v>0</v>
      </c>
      <c r="N510" t="n">
        <v>0</v>
      </c>
      <c r="O510" t="n">
        <v>0</v>
      </c>
      <c r="P510" t="n">
        <v>0</v>
      </c>
      <c r="Q510" t="n">
        <v>0</v>
      </c>
      <c r="R510" s="2" t="inlineStr"/>
    </row>
    <row r="511" ht="15" customHeight="1">
      <c r="A511" t="inlineStr">
        <is>
          <t>A 59385-2025</t>
        </is>
      </c>
      <c r="B511" s="1" t="n">
        <v>45989.45746527778</v>
      </c>
      <c r="C511" s="1" t="n">
        <v>46089</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59390-2025</t>
        </is>
      </c>
      <c r="B512" s="1" t="n">
        <v>45989.4640162037</v>
      </c>
      <c r="C512" s="1" t="n">
        <v>46089</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51247-2025</t>
        </is>
      </c>
      <c r="B513" s="1" t="n">
        <v>45947.86487268518</v>
      </c>
      <c r="C513" s="1" t="n">
        <v>46089</v>
      </c>
      <c r="D513" t="inlineStr">
        <is>
          <t>VÄSTMANLANDS LÄN</t>
        </is>
      </c>
      <c r="E513" t="inlineStr">
        <is>
          <t>SALA</t>
        </is>
      </c>
      <c r="G513" t="n">
        <v>10.4</v>
      </c>
      <c r="H513" t="n">
        <v>0</v>
      </c>
      <c r="I513" t="n">
        <v>0</v>
      </c>
      <c r="J513" t="n">
        <v>0</v>
      </c>
      <c r="K513" t="n">
        <v>0</v>
      </c>
      <c r="L513" t="n">
        <v>0</v>
      </c>
      <c r="M513" t="n">
        <v>0</v>
      </c>
      <c r="N513" t="n">
        <v>0</v>
      </c>
      <c r="O513" t="n">
        <v>0</v>
      </c>
      <c r="P513" t="n">
        <v>0</v>
      </c>
      <c r="Q513" t="n">
        <v>0</v>
      </c>
      <c r="R513" s="2" t="inlineStr"/>
    </row>
    <row r="514" ht="15" customHeight="1">
      <c r="A514" t="inlineStr">
        <is>
          <t>A 59817-2025</t>
        </is>
      </c>
      <c r="B514" s="1" t="n">
        <v>45992.63711805556</v>
      </c>
      <c r="C514" s="1" t="n">
        <v>46089</v>
      </c>
      <c r="D514" t="inlineStr">
        <is>
          <t>VÄSTMANLANDS LÄN</t>
        </is>
      </c>
      <c r="E514" t="inlineStr">
        <is>
          <t>SALA</t>
        </is>
      </c>
      <c r="G514" t="n">
        <v>6.9</v>
      </c>
      <c r="H514" t="n">
        <v>0</v>
      </c>
      <c r="I514" t="n">
        <v>0</v>
      </c>
      <c r="J514" t="n">
        <v>0</v>
      </c>
      <c r="K514" t="n">
        <v>0</v>
      </c>
      <c r="L514" t="n">
        <v>0</v>
      </c>
      <c r="M514" t="n">
        <v>0</v>
      </c>
      <c r="N514" t="n">
        <v>0</v>
      </c>
      <c r="O514" t="n">
        <v>0</v>
      </c>
      <c r="P514" t="n">
        <v>0</v>
      </c>
      <c r="Q514" t="n">
        <v>0</v>
      </c>
      <c r="R514" s="2" t="inlineStr"/>
    </row>
    <row r="515" ht="15" customHeight="1">
      <c r="A515" t="inlineStr">
        <is>
          <t>A 2766-2024</t>
        </is>
      </c>
      <c r="B515" s="1" t="n">
        <v>45314.60950231482</v>
      </c>
      <c r="C515" s="1" t="n">
        <v>46089</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59870-2025</t>
        </is>
      </c>
      <c r="B516" s="1" t="n">
        <v>45992.92226851852</v>
      </c>
      <c r="C516" s="1" t="n">
        <v>46089</v>
      </c>
      <c r="D516" t="inlineStr">
        <is>
          <t>VÄSTMANLANDS LÄN</t>
        </is>
      </c>
      <c r="E516" t="inlineStr">
        <is>
          <t>SALA</t>
        </is>
      </c>
      <c r="G516" t="n">
        <v>3.4</v>
      </c>
      <c r="H516" t="n">
        <v>0</v>
      </c>
      <c r="I516" t="n">
        <v>0</v>
      </c>
      <c r="J516" t="n">
        <v>0</v>
      </c>
      <c r="K516" t="n">
        <v>0</v>
      </c>
      <c r="L516" t="n">
        <v>0</v>
      </c>
      <c r="M516" t="n">
        <v>0</v>
      </c>
      <c r="N516" t="n">
        <v>0</v>
      </c>
      <c r="O516" t="n">
        <v>0</v>
      </c>
      <c r="P516" t="n">
        <v>0</v>
      </c>
      <c r="Q516" t="n">
        <v>0</v>
      </c>
      <c r="R516" s="2" t="inlineStr"/>
    </row>
    <row r="517" ht="15" customHeight="1">
      <c r="A517" t="inlineStr">
        <is>
          <t>A 59926-2025</t>
        </is>
      </c>
      <c r="B517" s="1" t="n">
        <v>45993.39221064815</v>
      </c>
      <c r="C517" s="1" t="n">
        <v>46089</v>
      </c>
      <c r="D517" t="inlineStr">
        <is>
          <t>VÄSTMANLANDS LÄN</t>
        </is>
      </c>
      <c r="E517" t="inlineStr">
        <is>
          <t>SALA</t>
        </is>
      </c>
      <c r="G517" t="n">
        <v>7.1</v>
      </c>
      <c r="H517" t="n">
        <v>0</v>
      </c>
      <c r="I517" t="n">
        <v>0</v>
      </c>
      <c r="J517" t="n">
        <v>0</v>
      </c>
      <c r="K517" t="n">
        <v>0</v>
      </c>
      <c r="L517" t="n">
        <v>0</v>
      </c>
      <c r="M517" t="n">
        <v>0</v>
      </c>
      <c r="N517" t="n">
        <v>0</v>
      </c>
      <c r="O517" t="n">
        <v>0</v>
      </c>
      <c r="P517" t="n">
        <v>0</v>
      </c>
      <c r="Q517" t="n">
        <v>0</v>
      </c>
      <c r="R517" s="2" t="inlineStr"/>
    </row>
    <row r="518" ht="15" customHeight="1">
      <c r="A518" t="inlineStr">
        <is>
          <t>A 6351-2023</t>
        </is>
      </c>
      <c r="B518" s="1" t="n">
        <v>44965</v>
      </c>
      <c r="C518" s="1" t="n">
        <v>46089</v>
      </c>
      <c r="D518" t="inlineStr">
        <is>
          <t>VÄSTMANLANDS LÄN</t>
        </is>
      </c>
      <c r="E518" t="inlineStr">
        <is>
          <t>SALA</t>
        </is>
      </c>
      <c r="F518" t="inlineStr">
        <is>
          <t>Kommuner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45187-2024</t>
        </is>
      </c>
      <c r="B519" s="1" t="n">
        <v>45575</v>
      </c>
      <c r="C519" s="1" t="n">
        <v>46089</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60017-2025</t>
        </is>
      </c>
      <c r="B520" s="1" t="n">
        <v>45993.59998842593</v>
      </c>
      <c r="C520" s="1" t="n">
        <v>46089</v>
      </c>
      <c r="D520" t="inlineStr">
        <is>
          <t>VÄSTMANLANDS LÄN</t>
        </is>
      </c>
      <c r="E520" t="inlineStr">
        <is>
          <t>SALA</t>
        </is>
      </c>
      <c r="G520" t="n">
        <v>4.4</v>
      </c>
      <c r="H520" t="n">
        <v>0</v>
      </c>
      <c r="I520" t="n">
        <v>0</v>
      </c>
      <c r="J520" t="n">
        <v>0</v>
      </c>
      <c r="K520" t="n">
        <v>0</v>
      </c>
      <c r="L520" t="n">
        <v>0</v>
      </c>
      <c r="M520" t="n">
        <v>0</v>
      </c>
      <c r="N520" t="n">
        <v>0</v>
      </c>
      <c r="O520" t="n">
        <v>0</v>
      </c>
      <c r="P520" t="n">
        <v>0</v>
      </c>
      <c r="Q520" t="n">
        <v>0</v>
      </c>
      <c r="R520" s="2" t="inlineStr"/>
    </row>
    <row r="521" ht="15" customHeight="1">
      <c r="A521" t="inlineStr">
        <is>
          <t>A 60254-2025</t>
        </is>
      </c>
      <c r="B521" s="1" t="n">
        <v>45994.60146990741</v>
      </c>
      <c r="C521" s="1" t="n">
        <v>46089</v>
      </c>
      <c r="D521" t="inlineStr">
        <is>
          <t>VÄSTMANLANDS LÄN</t>
        </is>
      </c>
      <c r="E521" t="inlineStr">
        <is>
          <t>SALA</t>
        </is>
      </c>
      <c r="G521" t="n">
        <v>1.7</v>
      </c>
      <c r="H521" t="n">
        <v>0</v>
      </c>
      <c r="I521" t="n">
        <v>0</v>
      </c>
      <c r="J521" t="n">
        <v>0</v>
      </c>
      <c r="K521" t="n">
        <v>0</v>
      </c>
      <c r="L521" t="n">
        <v>0</v>
      </c>
      <c r="M521" t="n">
        <v>0</v>
      </c>
      <c r="N521" t="n">
        <v>0</v>
      </c>
      <c r="O521" t="n">
        <v>0</v>
      </c>
      <c r="P521" t="n">
        <v>0</v>
      </c>
      <c r="Q521" t="n">
        <v>0</v>
      </c>
      <c r="R521" s="2" t="inlineStr"/>
    </row>
    <row r="522" ht="15" customHeight="1">
      <c r="A522" t="inlineStr">
        <is>
          <t>A 60259-2025</t>
        </is>
      </c>
      <c r="B522" s="1" t="n">
        <v>45994.60913194445</v>
      </c>
      <c r="C522" s="1" t="n">
        <v>46089</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60241-2025</t>
        </is>
      </c>
      <c r="B523" s="1" t="n">
        <v>45994.58454861111</v>
      </c>
      <c r="C523" s="1" t="n">
        <v>46089</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33527-2023</t>
        </is>
      </c>
      <c r="B524" s="1" t="n">
        <v>45131</v>
      </c>
      <c r="C524" s="1" t="n">
        <v>46089</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7377-2023</t>
        </is>
      </c>
      <c r="B525" s="1" t="n">
        <v>44971</v>
      </c>
      <c r="C525" s="1" t="n">
        <v>46089</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21159-2022</t>
        </is>
      </c>
      <c r="B526" s="1" t="n">
        <v>44704</v>
      </c>
      <c r="C526" s="1" t="n">
        <v>46089</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60258-2025</t>
        </is>
      </c>
      <c r="B527" s="1" t="n">
        <v>45994.6064699074</v>
      </c>
      <c r="C527" s="1" t="n">
        <v>46089</v>
      </c>
      <c r="D527" t="inlineStr">
        <is>
          <t>VÄSTMANLANDS LÄN</t>
        </is>
      </c>
      <c r="E527" t="inlineStr">
        <is>
          <t>SALA</t>
        </is>
      </c>
      <c r="G527" t="n">
        <v>2.2</v>
      </c>
      <c r="H527" t="n">
        <v>0</v>
      </c>
      <c r="I527" t="n">
        <v>0</v>
      </c>
      <c r="J527" t="n">
        <v>0</v>
      </c>
      <c r="K527" t="n">
        <v>0</v>
      </c>
      <c r="L527" t="n">
        <v>0</v>
      </c>
      <c r="M527" t="n">
        <v>0</v>
      </c>
      <c r="N527" t="n">
        <v>0</v>
      </c>
      <c r="O527" t="n">
        <v>0</v>
      </c>
      <c r="P527" t="n">
        <v>0</v>
      </c>
      <c r="Q527" t="n">
        <v>0</v>
      </c>
      <c r="R527" s="2" t="inlineStr"/>
    </row>
    <row r="528" ht="15" customHeight="1">
      <c r="A528" t="inlineStr">
        <is>
          <t>A 60246-2025</t>
        </is>
      </c>
      <c r="B528" s="1" t="n">
        <v>45994.58931712963</v>
      </c>
      <c r="C528" s="1" t="n">
        <v>46089</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60629-2025</t>
        </is>
      </c>
      <c r="B529" s="1" t="n">
        <v>45996.41972222222</v>
      </c>
      <c r="C529" s="1" t="n">
        <v>46089</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56688-2024</t>
        </is>
      </c>
      <c r="B530" s="1" t="n">
        <v>45627.66478009259</v>
      </c>
      <c r="C530" s="1" t="n">
        <v>46089</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16159-2024</t>
        </is>
      </c>
      <c r="B531" s="1" t="n">
        <v>45406</v>
      </c>
      <c r="C531" s="1" t="n">
        <v>46089</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66307-2021</t>
        </is>
      </c>
      <c r="B532" s="1" t="n">
        <v>44518.48670138889</v>
      </c>
      <c r="C532" s="1" t="n">
        <v>46089</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27262-2024</t>
        </is>
      </c>
      <c r="B533" s="1" t="n">
        <v>45471</v>
      </c>
      <c r="C533" s="1" t="n">
        <v>46089</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46089</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61522-2025</t>
        </is>
      </c>
      <c r="B535" s="1" t="n">
        <v>46001.68684027778</v>
      </c>
      <c r="C535" s="1" t="n">
        <v>46089</v>
      </c>
      <c r="D535" t="inlineStr">
        <is>
          <t>VÄSTMANLANDS LÄN</t>
        </is>
      </c>
      <c r="E535" t="inlineStr">
        <is>
          <t>SALA</t>
        </is>
      </c>
      <c r="G535" t="n">
        <v>5.7</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46089</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46089</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46089</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46089</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4712-2026</t>
        </is>
      </c>
      <c r="B540" s="1" t="n">
        <v>46048.46082175926</v>
      </c>
      <c r="C540" s="1" t="n">
        <v>46089</v>
      </c>
      <c r="D540" t="inlineStr">
        <is>
          <t>VÄSTMANLANDS LÄN</t>
        </is>
      </c>
      <c r="E540" t="inlineStr">
        <is>
          <t>SALA</t>
        </is>
      </c>
      <c r="G540" t="n">
        <v>4.1</v>
      </c>
      <c r="H540" t="n">
        <v>0</v>
      </c>
      <c r="I540" t="n">
        <v>0</v>
      </c>
      <c r="J540" t="n">
        <v>0</v>
      </c>
      <c r="K540" t="n">
        <v>0</v>
      </c>
      <c r="L540" t="n">
        <v>0</v>
      </c>
      <c r="M540" t="n">
        <v>0</v>
      </c>
      <c r="N540" t="n">
        <v>0</v>
      </c>
      <c r="O540" t="n">
        <v>0</v>
      </c>
      <c r="P540" t="n">
        <v>0</v>
      </c>
      <c r="Q540" t="n">
        <v>0</v>
      </c>
      <c r="R540" s="2" t="inlineStr"/>
    </row>
    <row r="541" ht="15" customHeight="1">
      <c r="A541" t="inlineStr">
        <is>
          <t>A 3551-2024</t>
        </is>
      </c>
      <c r="B541" s="1" t="n">
        <v>45320.61099537037</v>
      </c>
      <c r="C541" s="1" t="n">
        <v>46089</v>
      </c>
      <c r="D541" t="inlineStr">
        <is>
          <t>VÄSTMANLANDS LÄN</t>
        </is>
      </c>
      <c r="E541" t="inlineStr">
        <is>
          <t>SALA</t>
        </is>
      </c>
      <c r="F541" t="inlineStr">
        <is>
          <t>Kommuner</t>
        </is>
      </c>
      <c r="G541" t="n">
        <v>6</v>
      </c>
      <c r="H541" t="n">
        <v>0</v>
      </c>
      <c r="I541" t="n">
        <v>0</v>
      </c>
      <c r="J541" t="n">
        <v>0</v>
      </c>
      <c r="K541" t="n">
        <v>0</v>
      </c>
      <c r="L541" t="n">
        <v>0</v>
      </c>
      <c r="M541" t="n">
        <v>0</v>
      </c>
      <c r="N541" t="n">
        <v>0</v>
      </c>
      <c r="O541" t="n">
        <v>0</v>
      </c>
      <c r="P541" t="n">
        <v>0</v>
      </c>
      <c r="Q541" t="n">
        <v>0</v>
      </c>
      <c r="R541" s="2" t="inlineStr"/>
    </row>
    <row r="542" ht="15" customHeight="1">
      <c r="A542" t="inlineStr">
        <is>
          <t>A 4681-2026</t>
        </is>
      </c>
      <c r="B542" s="1" t="n">
        <v>46048.43016203704</v>
      </c>
      <c r="C542" s="1" t="n">
        <v>46089</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4664-2026</t>
        </is>
      </c>
      <c r="B543" s="1" t="n">
        <v>46048.41061342593</v>
      </c>
      <c r="C543" s="1" t="n">
        <v>46089</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22961-2023</t>
        </is>
      </c>
      <c r="B544" s="1" t="n">
        <v>45072</v>
      </c>
      <c r="C544" s="1" t="n">
        <v>46089</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22963-2023</t>
        </is>
      </c>
      <c r="B545" s="1" t="n">
        <v>45072</v>
      </c>
      <c r="C545" s="1" t="n">
        <v>46089</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62523-2025</t>
        </is>
      </c>
      <c r="B546" s="1" t="n">
        <v>46007.61512731481</v>
      </c>
      <c r="C546" s="1" t="n">
        <v>46089</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4624-2026</t>
        </is>
      </c>
      <c r="B547" s="1" t="n">
        <v>46048.38107638889</v>
      </c>
      <c r="C547" s="1" t="n">
        <v>46089</v>
      </c>
      <c r="D547" t="inlineStr">
        <is>
          <t>VÄSTMANLANDS LÄN</t>
        </is>
      </c>
      <c r="E547" t="inlineStr">
        <is>
          <t>SALA</t>
        </is>
      </c>
      <c r="G547" t="n">
        <v>12.3</v>
      </c>
      <c r="H547" t="n">
        <v>0</v>
      </c>
      <c r="I547" t="n">
        <v>0</v>
      </c>
      <c r="J547" t="n">
        <v>0</v>
      </c>
      <c r="K547" t="n">
        <v>0</v>
      </c>
      <c r="L547" t="n">
        <v>0</v>
      </c>
      <c r="M547" t="n">
        <v>0</v>
      </c>
      <c r="N547" t="n">
        <v>0</v>
      </c>
      <c r="O547" t="n">
        <v>0</v>
      </c>
      <c r="P547" t="n">
        <v>0</v>
      </c>
      <c r="Q547" t="n">
        <v>0</v>
      </c>
      <c r="R547" s="2" t="inlineStr"/>
    </row>
    <row r="548" ht="15" customHeight="1">
      <c r="A548" t="inlineStr">
        <is>
          <t>A 54960-2024</t>
        </is>
      </c>
      <c r="B548" s="1" t="n">
        <v>45619.85208333333</v>
      </c>
      <c r="C548" s="1" t="n">
        <v>46089</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11799-2026</t>
        </is>
      </c>
      <c r="B549" s="1" t="n">
        <v>46085.34180555555</v>
      </c>
      <c r="C549" s="1" t="n">
        <v>46089</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27228-2023</t>
        </is>
      </c>
      <c r="B550" s="1" t="n">
        <v>45096.59189814814</v>
      </c>
      <c r="C550" s="1" t="n">
        <v>46089</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26507-2023</t>
        </is>
      </c>
      <c r="B551" s="1" t="n">
        <v>45092</v>
      </c>
      <c r="C551" s="1" t="n">
        <v>46089</v>
      </c>
      <c r="D551" t="inlineStr">
        <is>
          <t>VÄSTMANLANDS LÄN</t>
        </is>
      </c>
      <c r="E551" t="inlineStr">
        <is>
          <t>SALA</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5525-2026</t>
        </is>
      </c>
      <c r="B552" s="1" t="n">
        <v>46050.65055555556</v>
      </c>
      <c r="C552" s="1" t="n">
        <v>46089</v>
      </c>
      <c r="D552" t="inlineStr">
        <is>
          <t>VÄSTMANLANDS LÄN</t>
        </is>
      </c>
      <c r="E552" t="inlineStr">
        <is>
          <t>SALA</t>
        </is>
      </c>
      <c r="G552" t="n">
        <v>13.1</v>
      </c>
      <c r="H552" t="n">
        <v>0</v>
      </c>
      <c r="I552" t="n">
        <v>0</v>
      </c>
      <c r="J552" t="n">
        <v>0</v>
      </c>
      <c r="K552" t="n">
        <v>0</v>
      </c>
      <c r="L552" t="n">
        <v>0</v>
      </c>
      <c r="M552" t="n">
        <v>0</v>
      </c>
      <c r="N552" t="n">
        <v>0</v>
      </c>
      <c r="O552" t="n">
        <v>0</v>
      </c>
      <c r="P552" t="n">
        <v>0</v>
      </c>
      <c r="Q552" t="n">
        <v>0</v>
      </c>
      <c r="R552" s="2" t="inlineStr"/>
    </row>
    <row r="553" ht="15" customHeight="1">
      <c r="A553" t="inlineStr">
        <is>
          <t>A 6183-2025</t>
        </is>
      </c>
      <c r="B553" s="1" t="n">
        <v>45698</v>
      </c>
      <c r="C553" s="1" t="n">
        <v>46089</v>
      </c>
      <c r="D553" t="inlineStr">
        <is>
          <t>VÄSTMANLANDS LÄN</t>
        </is>
      </c>
      <c r="E553" t="inlineStr">
        <is>
          <t>SALA</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16543-2023</t>
        </is>
      </c>
      <c r="B554" s="1" t="n">
        <v>45029</v>
      </c>
      <c r="C554" s="1" t="n">
        <v>46089</v>
      </c>
      <c r="D554" t="inlineStr">
        <is>
          <t>VÄSTMANLANDS LÄN</t>
        </is>
      </c>
      <c r="E554" t="inlineStr">
        <is>
          <t>SALA</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63055-2025</t>
        </is>
      </c>
      <c r="B555" s="1" t="n">
        <v>46009.63619212963</v>
      </c>
      <c r="C555" s="1" t="n">
        <v>46089</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63051-2025</t>
        </is>
      </c>
      <c r="B556" s="1" t="n">
        <v>46009.63134259259</v>
      </c>
      <c r="C556" s="1" t="n">
        <v>46089</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43176-2023</t>
        </is>
      </c>
      <c r="B557" s="1" t="n">
        <v>45183</v>
      </c>
      <c r="C557" s="1" t="n">
        <v>46089</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37624-2024</t>
        </is>
      </c>
      <c r="B558" s="1" t="n">
        <v>45541</v>
      </c>
      <c r="C558" s="1" t="n">
        <v>46089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57895-2024</t>
        </is>
      </c>
      <c r="B559" s="1" t="n">
        <v>45631</v>
      </c>
      <c r="C559" s="1" t="n">
        <v>46089</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46089</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63046-2025</t>
        </is>
      </c>
      <c r="B561" s="1" t="n">
        <v>46009.62373842593</v>
      </c>
      <c r="C561" s="1" t="n">
        <v>46089</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5418-2026</t>
        </is>
      </c>
      <c r="B562" s="1" t="n">
        <v>46050.53740740741</v>
      </c>
      <c r="C562" s="1" t="n">
        <v>46089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12144-2026</t>
        </is>
      </c>
      <c r="B563" s="1" t="n">
        <v>46086.58008101852</v>
      </c>
      <c r="C563" s="1" t="n">
        <v>46089</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5894-2026</t>
        </is>
      </c>
      <c r="B564" s="1" t="n">
        <v>46052.42412037037</v>
      </c>
      <c r="C564" s="1" t="n">
        <v>46089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14010-2021</t>
        </is>
      </c>
      <c r="B565" s="1" t="n">
        <v>44277.63396990741</v>
      </c>
      <c r="C565" s="1" t="n">
        <v>46089</v>
      </c>
      <c r="D565" t="inlineStr">
        <is>
          <t>VÄSTMANLANDS LÄN</t>
        </is>
      </c>
      <c r="E565" t="inlineStr">
        <is>
          <t>SALA</t>
        </is>
      </c>
      <c r="G565" t="n">
        <v>3.5</v>
      </c>
      <c r="H565" t="n">
        <v>0</v>
      </c>
      <c r="I565" t="n">
        <v>0</v>
      </c>
      <c r="J565" t="n">
        <v>0</v>
      </c>
      <c r="K565" t="n">
        <v>0</v>
      </c>
      <c r="L565" t="n">
        <v>0</v>
      </c>
      <c r="M565" t="n">
        <v>0</v>
      </c>
      <c r="N565" t="n">
        <v>0</v>
      </c>
      <c r="O565" t="n">
        <v>0</v>
      </c>
      <c r="P565" t="n">
        <v>0</v>
      </c>
      <c r="Q565" t="n">
        <v>0</v>
      </c>
      <c r="R565" s="2" t="inlineStr"/>
    </row>
    <row r="566" ht="15" customHeight="1">
      <c r="A566" t="inlineStr">
        <is>
          <t>A 63353-2025</t>
        </is>
      </c>
      <c r="B566" s="1" t="n">
        <v>46010.66670138889</v>
      </c>
      <c r="C566" s="1" t="n">
        <v>46089</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56687-2024</t>
        </is>
      </c>
      <c r="B567" s="1" t="n">
        <v>45627.63271990741</v>
      </c>
      <c r="C567" s="1" t="n">
        <v>46089</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54347-2024</t>
        </is>
      </c>
      <c r="B568" s="1" t="n">
        <v>45617.39325231482</v>
      </c>
      <c r="C568" s="1" t="n">
        <v>46089</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63269-2025</t>
        </is>
      </c>
      <c r="B569" s="1" t="n">
        <v>46010</v>
      </c>
      <c r="C569" s="1" t="n">
        <v>46089</v>
      </c>
      <c r="D569" t="inlineStr">
        <is>
          <t>VÄSTMANLANDS LÄN</t>
        </is>
      </c>
      <c r="E569" t="inlineStr">
        <is>
          <t>SALA</t>
        </is>
      </c>
      <c r="G569" t="n">
        <v>6.4</v>
      </c>
      <c r="H569" t="n">
        <v>0</v>
      </c>
      <c r="I569" t="n">
        <v>0</v>
      </c>
      <c r="J569" t="n">
        <v>0</v>
      </c>
      <c r="K569" t="n">
        <v>0</v>
      </c>
      <c r="L569" t="n">
        <v>0</v>
      </c>
      <c r="M569" t="n">
        <v>0</v>
      </c>
      <c r="N569" t="n">
        <v>0</v>
      </c>
      <c r="O569" t="n">
        <v>0</v>
      </c>
      <c r="P569" t="n">
        <v>0</v>
      </c>
      <c r="Q569" t="n">
        <v>0</v>
      </c>
      <c r="R569" s="2" t="inlineStr"/>
    </row>
    <row r="570" ht="15" customHeight="1">
      <c r="A570" t="inlineStr">
        <is>
          <t>A 64693-2023</t>
        </is>
      </c>
      <c r="B570" s="1" t="n">
        <v>45281.63850694444</v>
      </c>
      <c r="C570" s="1" t="n">
        <v>46089</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64695-2023</t>
        </is>
      </c>
      <c r="B571" s="1" t="n">
        <v>45281.64099537037</v>
      </c>
      <c r="C571" s="1" t="n">
        <v>46089</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27486-2022</t>
        </is>
      </c>
      <c r="B572" s="1" t="n">
        <v>44742.60846064815</v>
      </c>
      <c r="C572" s="1" t="n">
        <v>46089</v>
      </c>
      <c r="D572" t="inlineStr">
        <is>
          <t>VÄSTMANLANDS LÄN</t>
        </is>
      </c>
      <c r="E572" t="inlineStr">
        <is>
          <t>SALA</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35003-2024</t>
        </is>
      </c>
      <c r="B573" s="1" t="n">
        <v>45527.56790509259</v>
      </c>
      <c r="C573" s="1" t="n">
        <v>46089</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6021-2026</t>
        </is>
      </c>
      <c r="B574" s="1" t="n">
        <v>46050</v>
      </c>
      <c r="C574" s="1" t="n">
        <v>46089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17722-2025</t>
        </is>
      </c>
      <c r="B575" s="1" t="n">
        <v>45758</v>
      </c>
      <c r="C575" s="1" t="n">
        <v>46089</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48688-2024</t>
        </is>
      </c>
      <c r="B576" s="1" t="n">
        <v>45593.50541666667</v>
      </c>
      <c r="C576" s="1" t="n">
        <v>46089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15354-2021</t>
        </is>
      </c>
      <c r="B577" s="1" t="n">
        <v>44284</v>
      </c>
      <c r="C577" s="1" t="n">
        <v>46089</v>
      </c>
      <c r="D577" t="inlineStr">
        <is>
          <t>VÄSTMANLANDS LÄN</t>
        </is>
      </c>
      <c r="E577" t="inlineStr">
        <is>
          <t>SALA</t>
        </is>
      </c>
      <c r="F577" t="inlineStr">
        <is>
          <t>Kyrkan</t>
        </is>
      </c>
      <c r="G577" t="n">
        <v>8.5</v>
      </c>
      <c r="H577" t="n">
        <v>0</v>
      </c>
      <c r="I577" t="n">
        <v>0</v>
      </c>
      <c r="J577" t="n">
        <v>0</v>
      </c>
      <c r="K577" t="n">
        <v>0</v>
      </c>
      <c r="L577" t="n">
        <v>0</v>
      </c>
      <c r="M577" t="n">
        <v>0</v>
      </c>
      <c r="N577" t="n">
        <v>0</v>
      </c>
      <c r="O577" t="n">
        <v>0</v>
      </c>
      <c r="P577" t="n">
        <v>0</v>
      </c>
      <c r="Q577" t="n">
        <v>0</v>
      </c>
      <c r="R577" s="2" t="inlineStr"/>
    </row>
    <row r="578" ht="15" customHeight="1">
      <c r="A578" t="inlineStr">
        <is>
          <t>A 4214-2026</t>
        </is>
      </c>
      <c r="B578" s="1" t="n">
        <v>46044.76459490741</v>
      </c>
      <c r="C578" s="1" t="n">
        <v>46089</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63933-2023</t>
        </is>
      </c>
      <c r="B579" s="1" t="n">
        <v>45278</v>
      </c>
      <c r="C579" s="1" t="n">
        <v>46089</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44746-2024</t>
        </is>
      </c>
      <c r="B580" s="1" t="n">
        <v>45574.59813657407</v>
      </c>
      <c r="C580" s="1" t="n">
        <v>46089</v>
      </c>
      <c r="D580" t="inlineStr">
        <is>
          <t>VÄSTMANLANDS LÄN</t>
        </is>
      </c>
      <c r="E580" t="inlineStr">
        <is>
          <t>SALA</t>
        </is>
      </c>
      <c r="G580" t="n">
        <v>6.7</v>
      </c>
      <c r="H580" t="n">
        <v>0</v>
      </c>
      <c r="I580" t="n">
        <v>0</v>
      </c>
      <c r="J580" t="n">
        <v>0</v>
      </c>
      <c r="K580" t="n">
        <v>0</v>
      </c>
      <c r="L580" t="n">
        <v>0</v>
      </c>
      <c r="M580" t="n">
        <v>0</v>
      </c>
      <c r="N580" t="n">
        <v>0</v>
      </c>
      <c r="O580" t="n">
        <v>0</v>
      </c>
      <c r="P580" t="n">
        <v>0</v>
      </c>
      <c r="Q580" t="n">
        <v>0</v>
      </c>
      <c r="R580" s="2" t="inlineStr"/>
    </row>
    <row r="581" ht="15" customHeight="1">
      <c r="A581" t="inlineStr">
        <is>
          <t>A 33273-2023</t>
        </is>
      </c>
      <c r="B581" s="1" t="n">
        <v>45127</v>
      </c>
      <c r="C581" s="1" t="n">
        <v>46089</v>
      </c>
      <c r="D581" t="inlineStr">
        <is>
          <t>VÄSTMANLANDS LÄN</t>
        </is>
      </c>
      <c r="E581" t="inlineStr">
        <is>
          <t>SALA</t>
        </is>
      </c>
      <c r="G581" t="n">
        <v>2.6</v>
      </c>
      <c r="H581" t="n">
        <v>0</v>
      </c>
      <c r="I581" t="n">
        <v>0</v>
      </c>
      <c r="J581" t="n">
        <v>0</v>
      </c>
      <c r="K581" t="n">
        <v>0</v>
      </c>
      <c r="L581" t="n">
        <v>0</v>
      </c>
      <c r="M581" t="n">
        <v>0</v>
      </c>
      <c r="N581" t="n">
        <v>0</v>
      </c>
      <c r="O581" t="n">
        <v>0</v>
      </c>
      <c r="P581" t="n">
        <v>0</v>
      </c>
      <c r="Q581" t="n">
        <v>0</v>
      </c>
      <c r="R581" s="2" t="inlineStr"/>
    </row>
    <row r="582" ht="15" customHeight="1">
      <c r="A582" t="inlineStr">
        <is>
          <t>A 11696-2025</t>
        </is>
      </c>
      <c r="B582" s="1" t="n">
        <v>45727</v>
      </c>
      <c r="C582" s="1" t="n">
        <v>46089</v>
      </c>
      <c r="D582" t="inlineStr">
        <is>
          <t>VÄSTMANLANDS LÄN</t>
        </is>
      </c>
      <c r="E582" t="inlineStr">
        <is>
          <t>SALA</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60545-2024</t>
        </is>
      </c>
      <c r="B583" s="1" t="n">
        <v>45643</v>
      </c>
      <c r="C583" s="1" t="n">
        <v>46089</v>
      </c>
      <c r="D583" t="inlineStr">
        <is>
          <t>VÄSTMANLANDS LÄN</t>
        </is>
      </c>
      <c r="E583" t="inlineStr">
        <is>
          <t>SALA</t>
        </is>
      </c>
      <c r="G583" t="n">
        <v>3.3</v>
      </c>
      <c r="H583" t="n">
        <v>0</v>
      </c>
      <c r="I583" t="n">
        <v>0</v>
      </c>
      <c r="J583" t="n">
        <v>0</v>
      </c>
      <c r="K583" t="n">
        <v>0</v>
      </c>
      <c r="L583" t="n">
        <v>0</v>
      </c>
      <c r="M583" t="n">
        <v>0</v>
      </c>
      <c r="N583" t="n">
        <v>0</v>
      </c>
      <c r="O583" t="n">
        <v>0</v>
      </c>
      <c r="P583" t="n">
        <v>0</v>
      </c>
      <c r="Q583" t="n">
        <v>0</v>
      </c>
      <c r="R583" s="2" t="inlineStr"/>
    </row>
    <row r="584" ht="15" customHeight="1">
      <c r="A584" t="inlineStr">
        <is>
          <t>A 60547-2024</t>
        </is>
      </c>
      <c r="B584" s="1" t="n">
        <v>45643</v>
      </c>
      <c r="C584" s="1" t="n">
        <v>46089</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1985-2022</t>
        </is>
      </c>
      <c r="B585" s="1" t="n">
        <v>44575</v>
      </c>
      <c r="C585" s="1" t="n">
        <v>46089</v>
      </c>
      <c r="D585" t="inlineStr">
        <is>
          <t>VÄSTMANLANDS LÄN</t>
        </is>
      </c>
      <c r="E585" t="inlineStr">
        <is>
          <t>SALA</t>
        </is>
      </c>
      <c r="G585" t="n">
        <v>1.4</v>
      </c>
      <c r="H585" t="n">
        <v>0</v>
      </c>
      <c r="I585" t="n">
        <v>0</v>
      </c>
      <c r="J585" t="n">
        <v>0</v>
      </c>
      <c r="K585" t="n">
        <v>0</v>
      </c>
      <c r="L585" t="n">
        <v>0</v>
      </c>
      <c r="M585" t="n">
        <v>0</v>
      </c>
      <c r="N585" t="n">
        <v>0</v>
      </c>
      <c r="O585" t="n">
        <v>0</v>
      </c>
      <c r="P585" t="n">
        <v>0</v>
      </c>
      <c r="Q585" t="n">
        <v>0</v>
      </c>
      <c r="R585" s="2" t="inlineStr"/>
    </row>
    <row r="586" ht="15" customHeight="1">
      <c r="A586" t="inlineStr">
        <is>
          <t>A 27261-2024</t>
        </is>
      </c>
      <c r="B586" s="1" t="n">
        <v>45471</v>
      </c>
      <c r="C586" s="1" t="n">
        <v>46089</v>
      </c>
      <c r="D586" t="inlineStr">
        <is>
          <t>VÄSTMANLANDS LÄN</t>
        </is>
      </c>
      <c r="E586" t="inlineStr">
        <is>
          <t>SALA</t>
        </is>
      </c>
      <c r="G586" t="n">
        <v>6.1</v>
      </c>
      <c r="H586" t="n">
        <v>0</v>
      </c>
      <c r="I586" t="n">
        <v>0</v>
      </c>
      <c r="J586" t="n">
        <v>0</v>
      </c>
      <c r="K586" t="n">
        <v>0</v>
      </c>
      <c r="L586" t="n">
        <v>0</v>
      </c>
      <c r="M586" t="n">
        <v>0</v>
      </c>
      <c r="N586" t="n">
        <v>0</v>
      </c>
      <c r="O586" t="n">
        <v>0</v>
      </c>
      <c r="P586" t="n">
        <v>0</v>
      </c>
      <c r="Q586" t="n">
        <v>0</v>
      </c>
      <c r="R586" s="2" t="inlineStr"/>
    </row>
    <row r="587" ht="15" customHeight="1">
      <c r="A587" t="inlineStr">
        <is>
          <t>A 35976-2024</t>
        </is>
      </c>
      <c r="B587" s="1" t="n">
        <v>45533.49555555556</v>
      </c>
      <c r="C587" s="1" t="n">
        <v>46089</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55556-2023</t>
        </is>
      </c>
      <c r="B588" s="1" t="n">
        <v>45232</v>
      </c>
      <c r="C588" s="1" t="n">
        <v>46089</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57650-2024</t>
        </is>
      </c>
      <c r="B589" s="1" t="n">
        <v>45630</v>
      </c>
      <c r="C589" s="1" t="n">
        <v>46089</v>
      </c>
      <c r="D589" t="inlineStr">
        <is>
          <t>VÄSTMANLANDS LÄN</t>
        </is>
      </c>
      <c r="E589" t="inlineStr">
        <is>
          <t>SALA</t>
        </is>
      </c>
      <c r="G589" t="n">
        <v>0.6</v>
      </c>
      <c r="H589" t="n">
        <v>0</v>
      </c>
      <c r="I589" t="n">
        <v>0</v>
      </c>
      <c r="J589" t="n">
        <v>0</v>
      </c>
      <c r="K589" t="n">
        <v>0</v>
      </c>
      <c r="L589" t="n">
        <v>0</v>
      </c>
      <c r="M589" t="n">
        <v>0</v>
      </c>
      <c r="N589" t="n">
        <v>0</v>
      </c>
      <c r="O589" t="n">
        <v>0</v>
      </c>
      <c r="P589" t="n">
        <v>0</v>
      </c>
      <c r="Q589" t="n">
        <v>0</v>
      </c>
      <c r="R589" s="2" t="inlineStr"/>
    </row>
    <row r="590" ht="15" customHeight="1">
      <c r="A590" t="inlineStr">
        <is>
          <t>A 50479-2022</t>
        </is>
      </c>
      <c r="B590" s="1" t="n">
        <v>44861</v>
      </c>
      <c r="C590" s="1" t="n">
        <v>46089</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45790-2023</t>
        </is>
      </c>
      <c r="B591" s="1" t="n">
        <v>45195.45958333334</v>
      </c>
      <c r="C591" s="1" t="n">
        <v>46089</v>
      </c>
      <c r="D591" t="inlineStr">
        <is>
          <t>VÄSTMANLANDS LÄN</t>
        </is>
      </c>
      <c r="E591" t="inlineStr">
        <is>
          <t>SALA</t>
        </is>
      </c>
      <c r="G591" t="n">
        <v>5.7</v>
      </c>
      <c r="H591" t="n">
        <v>0</v>
      </c>
      <c r="I591" t="n">
        <v>0</v>
      </c>
      <c r="J591" t="n">
        <v>0</v>
      </c>
      <c r="K591" t="n">
        <v>0</v>
      </c>
      <c r="L591" t="n">
        <v>0</v>
      </c>
      <c r="M591" t="n">
        <v>0</v>
      </c>
      <c r="N591" t="n">
        <v>0</v>
      </c>
      <c r="O591" t="n">
        <v>0</v>
      </c>
      <c r="P591" t="n">
        <v>0</v>
      </c>
      <c r="Q591" t="n">
        <v>0</v>
      </c>
      <c r="R591" s="2" t="inlineStr"/>
    </row>
    <row r="592" ht="15" customHeight="1">
      <c r="A592" t="inlineStr">
        <is>
          <t>A 2928-2024</t>
        </is>
      </c>
      <c r="B592" s="1" t="n">
        <v>45315.59041666667</v>
      </c>
      <c r="C592" s="1" t="n">
        <v>46089</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73673-2021</t>
        </is>
      </c>
      <c r="B593" s="1" t="n">
        <v>44552.46501157407</v>
      </c>
      <c r="C593" s="1" t="n">
        <v>46089</v>
      </c>
      <c r="D593" t="inlineStr">
        <is>
          <t>VÄSTMANLANDS LÄN</t>
        </is>
      </c>
      <c r="E593" t="inlineStr">
        <is>
          <t>SALA</t>
        </is>
      </c>
      <c r="G593" t="n">
        <v>11.4</v>
      </c>
      <c r="H593" t="n">
        <v>0</v>
      </c>
      <c r="I593" t="n">
        <v>0</v>
      </c>
      <c r="J593" t="n">
        <v>0</v>
      </c>
      <c r="K593" t="n">
        <v>0</v>
      </c>
      <c r="L593" t="n">
        <v>0</v>
      </c>
      <c r="M593" t="n">
        <v>0</v>
      </c>
      <c r="N593" t="n">
        <v>0</v>
      </c>
      <c r="O593" t="n">
        <v>0</v>
      </c>
      <c r="P593" t="n">
        <v>0</v>
      </c>
      <c r="Q593" t="n">
        <v>0</v>
      </c>
      <c r="R593" s="2" t="inlineStr"/>
    </row>
    <row r="594" ht="15" customHeight="1">
      <c r="A594" t="inlineStr">
        <is>
          <t>A 40871-2021</t>
        </is>
      </c>
      <c r="B594" s="1" t="n">
        <v>44421</v>
      </c>
      <c r="C594" s="1" t="n">
        <v>46089</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14271-2025</t>
        </is>
      </c>
      <c r="B595" s="1" t="n">
        <v>45740.64129629629</v>
      </c>
      <c r="C595" s="1" t="n">
        <v>46089</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54199-2024</t>
        </is>
      </c>
      <c r="B596" s="1" t="n">
        <v>45616.64703703704</v>
      </c>
      <c r="C596" s="1" t="n">
        <v>46089</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6312-2025</t>
        </is>
      </c>
      <c r="B597" s="1" t="n">
        <v>45698</v>
      </c>
      <c r="C597" s="1" t="n">
        <v>46089</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44857-2023</t>
        </is>
      </c>
      <c r="B598" s="1" t="n">
        <v>45190.58479166667</v>
      </c>
      <c r="C598" s="1" t="n">
        <v>46089</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62654-2022</t>
        </is>
      </c>
      <c r="B599" s="1" t="n">
        <v>44917</v>
      </c>
      <c r="C599" s="1" t="n">
        <v>46089</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43188-2023</t>
        </is>
      </c>
      <c r="B600" s="1" t="n">
        <v>45183</v>
      </c>
      <c r="C600" s="1" t="n">
        <v>46089</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43205-2023</t>
        </is>
      </c>
      <c r="B601" s="1" t="n">
        <v>45183</v>
      </c>
      <c r="C601" s="1" t="n">
        <v>46089</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61892-2021</t>
        </is>
      </c>
      <c r="B602" s="1" t="n">
        <v>44502</v>
      </c>
      <c r="C602" s="1" t="n">
        <v>46089</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ht="15" customHeight="1">
      <c r="A603" t="inlineStr">
        <is>
          <t>A 29213-2022</t>
        </is>
      </c>
      <c r="B603" s="1" t="n">
        <v>44750.57474537037</v>
      </c>
      <c r="C603" s="1" t="n">
        <v>46089</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44907.45679398148</v>
      </c>
      <c r="C604" s="1" t="n">
        <v>46089</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16160-2024</t>
        </is>
      </c>
      <c r="B605" s="1" t="n">
        <v>45406</v>
      </c>
      <c r="C605" s="1" t="n">
        <v>46089</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39597-2022</t>
        </is>
      </c>
      <c r="B606" s="1" t="n">
        <v>44818</v>
      </c>
      <c r="C606" s="1" t="n">
        <v>46089</v>
      </c>
      <c r="D606" t="inlineStr">
        <is>
          <t>VÄSTMANLANDS LÄN</t>
        </is>
      </c>
      <c r="E606" t="inlineStr">
        <is>
          <t>SALA</t>
        </is>
      </c>
      <c r="G606" t="n">
        <v>2.3</v>
      </c>
      <c r="H606" t="n">
        <v>0</v>
      </c>
      <c r="I606" t="n">
        <v>0</v>
      </c>
      <c r="J606" t="n">
        <v>0</v>
      </c>
      <c r="K606" t="n">
        <v>0</v>
      </c>
      <c r="L606" t="n">
        <v>0</v>
      </c>
      <c r="M606" t="n">
        <v>0</v>
      </c>
      <c r="N606" t="n">
        <v>0</v>
      </c>
      <c r="O606" t="n">
        <v>0</v>
      </c>
      <c r="P606" t="n">
        <v>0</v>
      </c>
      <c r="Q606" t="n">
        <v>0</v>
      </c>
      <c r="R606" s="2" t="inlineStr"/>
    </row>
    <row r="607" ht="15" customHeight="1">
      <c r="A607" t="inlineStr">
        <is>
          <t>A 22921-2023</t>
        </is>
      </c>
      <c r="B607" s="1" t="n">
        <v>45070</v>
      </c>
      <c r="C607" s="1" t="n">
        <v>46089</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36858-2023</t>
        </is>
      </c>
      <c r="B608" s="1" t="n">
        <v>45154.55184027777</v>
      </c>
      <c r="C608" s="1" t="n">
        <v>46089</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55024-2023</t>
        </is>
      </c>
      <c r="B609" s="1" t="n">
        <v>45229</v>
      </c>
      <c r="C609" s="1" t="n">
        <v>46089</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55032-2023</t>
        </is>
      </c>
      <c r="B610" s="1" t="n">
        <v>45229</v>
      </c>
      <c r="C610" s="1" t="n">
        <v>46089</v>
      </c>
      <c r="D610" t="inlineStr">
        <is>
          <t>VÄSTMANLANDS LÄN</t>
        </is>
      </c>
      <c r="E610" t="inlineStr">
        <is>
          <t>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20352-2022</t>
        </is>
      </c>
      <c r="B611" s="1" t="n">
        <v>44699.37318287037</v>
      </c>
      <c r="C611" s="1" t="n">
        <v>46089</v>
      </c>
      <c r="D611" t="inlineStr">
        <is>
          <t>VÄSTMANLANDS LÄN</t>
        </is>
      </c>
      <c r="E611" t="inlineStr">
        <is>
          <t>SALA</t>
        </is>
      </c>
      <c r="G611" t="n">
        <v>1.3</v>
      </c>
      <c r="H611" t="n">
        <v>0</v>
      </c>
      <c r="I611" t="n">
        <v>0</v>
      </c>
      <c r="J611" t="n">
        <v>0</v>
      </c>
      <c r="K611" t="n">
        <v>0</v>
      </c>
      <c r="L611" t="n">
        <v>0</v>
      </c>
      <c r="M611" t="n">
        <v>0</v>
      </c>
      <c r="N611" t="n">
        <v>0</v>
      </c>
      <c r="O611" t="n">
        <v>0</v>
      </c>
      <c r="P611" t="n">
        <v>0</v>
      </c>
      <c r="Q611" t="n">
        <v>0</v>
      </c>
      <c r="R611" s="2" t="inlineStr"/>
    </row>
    <row r="612" ht="15" customHeight="1">
      <c r="A612" t="inlineStr">
        <is>
          <t>A 5032-2025</t>
        </is>
      </c>
      <c r="B612" s="1" t="n">
        <v>45691</v>
      </c>
      <c r="C612" s="1" t="n">
        <v>46089</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17117-2023</t>
        </is>
      </c>
      <c r="B613" s="1" t="n">
        <v>45034</v>
      </c>
      <c r="C613" s="1" t="n">
        <v>46089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19243-2025</t>
        </is>
      </c>
      <c r="B614" s="1" t="n">
        <v>45769</v>
      </c>
      <c r="C614" s="1" t="n">
        <v>46089</v>
      </c>
      <c r="D614" t="inlineStr">
        <is>
          <t>VÄSTMANLANDS LÄN</t>
        </is>
      </c>
      <c r="E614" t="inlineStr">
        <is>
          <t>SALA</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7166-2025</t>
        </is>
      </c>
      <c r="B615" s="1" t="n">
        <v>45702</v>
      </c>
      <c r="C615" s="1" t="n">
        <v>46089</v>
      </c>
      <c r="D615" t="inlineStr">
        <is>
          <t>VÄSTMANLANDS LÄN</t>
        </is>
      </c>
      <c r="E615" t="inlineStr">
        <is>
          <t>SALA</t>
        </is>
      </c>
      <c r="G615" t="n">
        <v>6.1</v>
      </c>
      <c r="H615" t="n">
        <v>0</v>
      </c>
      <c r="I615" t="n">
        <v>0</v>
      </c>
      <c r="J615" t="n">
        <v>0</v>
      </c>
      <c r="K615" t="n">
        <v>0</v>
      </c>
      <c r="L615" t="n">
        <v>0</v>
      </c>
      <c r="M615" t="n">
        <v>0</v>
      </c>
      <c r="N615" t="n">
        <v>0</v>
      </c>
      <c r="O615" t="n">
        <v>0</v>
      </c>
      <c r="P615" t="n">
        <v>0</v>
      </c>
      <c r="Q615" t="n">
        <v>0</v>
      </c>
      <c r="R615" s="2" t="inlineStr"/>
    </row>
    <row r="616" ht="15" customHeight="1">
      <c r="A616" t="inlineStr">
        <is>
          <t>A 36393-2023</t>
        </is>
      </c>
      <c r="B616" s="1" t="n">
        <v>45152</v>
      </c>
      <c r="C616" s="1" t="n">
        <v>46089</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26416-2023</t>
        </is>
      </c>
      <c r="B617" s="1" t="n">
        <v>45092.38087962963</v>
      </c>
      <c r="C617" s="1" t="n">
        <v>46089</v>
      </c>
      <c r="D617" t="inlineStr">
        <is>
          <t>VÄSTMANLANDS LÄN</t>
        </is>
      </c>
      <c r="E617" t="inlineStr">
        <is>
          <t>SALA</t>
        </is>
      </c>
      <c r="G617" t="n">
        <v>2.9</v>
      </c>
      <c r="H617" t="n">
        <v>0</v>
      </c>
      <c r="I617" t="n">
        <v>0</v>
      </c>
      <c r="J617" t="n">
        <v>0</v>
      </c>
      <c r="K617" t="n">
        <v>0</v>
      </c>
      <c r="L617" t="n">
        <v>0</v>
      </c>
      <c r="M617" t="n">
        <v>0</v>
      </c>
      <c r="N617" t="n">
        <v>0</v>
      </c>
      <c r="O617" t="n">
        <v>0</v>
      </c>
      <c r="P617" t="n">
        <v>0</v>
      </c>
      <c r="Q617" t="n">
        <v>0</v>
      </c>
      <c r="R617" s="2" t="inlineStr"/>
    </row>
    <row r="618" ht="15" customHeight="1">
      <c r="A618" t="inlineStr">
        <is>
          <t>A 28661-2024</t>
        </is>
      </c>
      <c r="B618" s="1" t="n">
        <v>45478</v>
      </c>
      <c r="C618" s="1" t="n">
        <v>46089</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27255-2023</t>
        </is>
      </c>
      <c r="B619" s="1" t="n">
        <v>45096</v>
      </c>
      <c r="C619" s="1" t="n">
        <v>46089</v>
      </c>
      <c r="D619" t="inlineStr">
        <is>
          <t>VÄSTMANLANDS LÄN</t>
        </is>
      </c>
      <c r="E619" t="inlineStr">
        <is>
          <t>SALA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7197-2025</t>
        </is>
      </c>
      <c r="B620" s="1" t="n">
        <v>45702</v>
      </c>
      <c r="C620" s="1" t="n">
        <v>46089</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13752-2025</t>
        </is>
      </c>
      <c r="B621" s="1" t="n">
        <v>45737.41416666667</v>
      </c>
      <c r="C621" s="1" t="n">
        <v>46089</v>
      </c>
      <c r="D621" t="inlineStr">
        <is>
          <t>VÄSTMANLANDS LÄN</t>
        </is>
      </c>
      <c r="E621" t="inlineStr">
        <is>
          <t>SALA</t>
        </is>
      </c>
      <c r="G621" t="n">
        <v>0.4</v>
      </c>
      <c r="H621" t="n">
        <v>0</v>
      </c>
      <c r="I621" t="n">
        <v>0</v>
      </c>
      <c r="J621" t="n">
        <v>0</v>
      </c>
      <c r="K621" t="n">
        <v>0</v>
      </c>
      <c r="L621" t="n">
        <v>0</v>
      </c>
      <c r="M621" t="n">
        <v>0</v>
      </c>
      <c r="N621" t="n">
        <v>0</v>
      </c>
      <c r="O621" t="n">
        <v>0</v>
      </c>
      <c r="P621" t="n">
        <v>0</v>
      </c>
      <c r="Q621" t="n">
        <v>0</v>
      </c>
      <c r="R621" s="2" t="inlineStr"/>
    </row>
    <row r="622" ht="15" customHeight="1">
      <c r="A622" t="inlineStr">
        <is>
          <t>A 2927-2024</t>
        </is>
      </c>
      <c r="B622" s="1" t="n">
        <v>45315.58989583333</v>
      </c>
      <c r="C622" s="1" t="n">
        <v>46089</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26854-2024</t>
        </is>
      </c>
      <c r="B623" s="1" t="n">
        <v>45470</v>
      </c>
      <c r="C623" s="1" t="n">
        <v>46089</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48570-2024</t>
        </is>
      </c>
      <c r="B624" s="1" t="n">
        <v>45591</v>
      </c>
      <c r="C624" s="1" t="n">
        <v>46089</v>
      </c>
      <c r="D624" t="inlineStr">
        <is>
          <t>VÄSTMANLANDS LÄN</t>
        </is>
      </c>
      <c r="E624" t="inlineStr">
        <is>
          <t>SALA</t>
        </is>
      </c>
      <c r="G624" t="n">
        <v>3</v>
      </c>
      <c r="H624" t="n">
        <v>0</v>
      </c>
      <c r="I624" t="n">
        <v>0</v>
      </c>
      <c r="J624" t="n">
        <v>0</v>
      </c>
      <c r="K624" t="n">
        <v>0</v>
      </c>
      <c r="L624" t="n">
        <v>0</v>
      </c>
      <c r="M624" t="n">
        <v>0</v>
      </c>
      <c r="N624" t="n">
        <v>0</v>
      </c>
      <c r="O624" t="n">
        <v>0</v>
      </c>
      <c r="P624" t="n">
        <v>0</v>
      </c>
      <c r="Q624" t="n">
        <v>0</v>
      </c>
      <c r="R624" s="2" t="inlineStr"/>
    </row>
    <row r="625" ht="15" customHeight="1">
      <c r="A625" t="inlineStr">
        <is>
          <t>A 57883-2024</t>
        </is>
      </c>
      <c r="B625" s="1" t="n">
        <v>45630</v>
      </c>
      <c r="C625" s="1" t="n">
        <v>46089</v>
      </c>
      <c r="D625" t="inlineStr">
        <is>
          <t>VÄSTMANLANDS LÄN</t>
        </is>
      </c>
      <c r="E625" t="inlineStr">
        <is>
          <t>SALA</t>
        </is>
      </c>
      <c r="G625" t="n">
        <v>5.4</v>
      </c>
      <c r="H625" t="n">
        <v>0</v>
      </c>
      <c r="I625" t="n">
        <v>0</v>
      </c>
      <c r="J625" t="n">
        <v>0</v>
      </c>
      <c r="K625" t="n">
        <v>0</v>
      </c>
      <c r="L625" t="n">
        <v>0</v>
      </c>
      <c r="M625" t="n">
        <v>0</v>
      </c>
      <c r="N625" t="n">
        <v>0</v>
      </c>
      <c r="O625" t="n">
        <v>0</v>
      </c>
      <c r="P625" t="n">
        <v>0</v>
      </c>
      <c r="Q625" t="n">
        <v>0</v>
      </c>
      <c r="R625" s="2" t="inlineStr"/>
    </row>
    <row r="626" ht="15" customHeight="1">
      <c r="A626" t="inlineStr">
        <is>
          <t>A 16769-2024</t>
        </is>
      </c>
      <c r="B626" s="1" t="n">
        <v>45411.38738425926</v>
      </c>
      <c r="C626" s="1" t="n">
        <v>46089</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18877-2023</t>
        </is>
      </c>
      <c r="B627" s="1" t="n">
        <v>45044</v>
      </c>
      <c r="C627" s="1" t="n">
        <v>46089</v>
      </c>
      <c r="D627" t="inlineStr">
        <is>
          <t>VÄSTMANLANDS LÄN</t>
        </is>
      </c>
      <c r="E627" t="inlineStr">
        <is>
          <t>SALA</t>
        </is>
      </c>
      <c r="F627" t="inlineStr">
        <is>
          <t>Kommuner</t>
        </is>
      </c>
      <c r="G627" t="n">
        <v>4.4</v>
      </c>
      <c r="H627" t="n">
        <v>0</v>
      </c>
      <c r="I627" t="n">
        <v>0</v>
      </c>
      <c r="J627" t="n">
        <v>0</v>
      </c>
      <c r="K627" t="n">
        <v>0</v>
      </c>
      <c r="L627" t="n">
        <v>0</v>
      </c>
      <c r="M627" t="n">
        <v>0</v>
      </c>
      <c r="N627" t="n">
        <v>0</v>
      </c>
      <c r="O627" t="n">
        <v>0</v>
      </c>
      <c r="P627" t="n">
        <v>0</v>
      </c>
      <c r="Q627" t="n">
        <v>0</v>
      </c>
      <c r="R627" s="2" t="inlineStr"/>
    </row>
    <row r="628" ht="15" customHeight="1">
      <c r="A628" t="inlineStr">
        <is>
          <t>A 44544-2024</t>
        </is>
      </c>
      <c r="B628" s="1" t="n">
        <v>45574.46119212963</v>
      </c>
      <c r="C628" s="1" t="n">
        <v>46089</v>
      </c>
      <c r="D628" t="inlineStr">
        <is>
          <t>VÄSTMANLANDS LÄN</t>
        </is>
      </c>
      <c r="E628" t="inlineStr">
        <is>
          <t>SALA</t>
        </is>
      </c>
      <c r="G628" t="n">
        <v>3.3</v>
      </c>
      <c r="H628" t="n">
        <v>0</v>
      </c>
      <c r="I628" t="n">
        <v>0</v>
      </c>
      <c r="J628" t="n">
        <v>0</v>
      </c>
      <c r="K628" t="n">
        <v>0</v>
      </c>
      <c r="L628" t="n">
        <v>0</v>
      </c>
      <c r="M628" t="n">
        <v>0</v>
      </c>
      <c r="N628" t="n">
        <v>0</v>
      </c>
      <c r="O628" t="n">
        <v>0</v>
      </c>
      <c r="P628" t="n">
        <v>0</v>
      </c>
      <c r="Q628" t="n">
        <v>0</v>
      </c>
      <c r="R628" s="2" t="inlineStr"/>
    </row>
    <row r="629" ht="15" customHeight="1">
      <c r="A629" t="inlineStr">
        <is>
          <t>A 60379-2022</t>
        </is>
      </c>
      <c r="B629" s="1" t="n">
        <v>44910</v>
      </c>
      <c r="C629" s="1" t="n">
        <v>46089</v>
      </c>
      <c r="D629" t="inlineStr">
        <is>
          <t>VÄSTMANLANDS LÄN</t>
        </is>
      </c>
      <c r="E629" t="inlineStr">
        <is>
          <t>SALA</t>
        </is>
      </c>
      <c r="F629" t="inlineStr">
        <is>
          <t>Kyrkan</t>
        </is>
      </c>
      <c r="G629" t="n">
        <v>2.5</v>
      </c>
      <c r="H629" t="n">
        <v>0</v>
      </c>
      <c r="I629" t="n">
        <v>0</v>
      </c>
      <c r="J629" t="n">
        <v>0</v>
      </c>
      <c r="K629" t="n">
        <v>0</v>
      </c>
      <c r="L629" t="n">
        <v>0</v>
      </c>
      <c r="M629" t="n">
        <v>0</v>
      </c>
      <c r="N629" t="n">
        <v>0</v>
      </c>
      <c r="O629" t="n">
        <v>0</v>
      </c>
      <c r="P629" t="n">
        <v>0</v>
      </c>
      <c r="Q629" t="n">
        <v>0</v>
      </c>
      <c r="R629" s="2" t="inlineStr"/>
    </row>
    <row r="630" ht="15" customHeight="1">
      <c r="A630" t="inlineStr">
        <is>
          <t>A 56547-2022</t>
        </is>
      </c>
      <c r="B630" s="1" t="n">
        <v>44893.48284722222</v>
      </c>
      <c r="C630" s="1" t="n">
        <v>46089</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29542-2023</t>
        </is>
      </c>
      <c r="B631" s="1" t="n">
        <v>45098</v>
      </c>
      <c r="C631" s="1" t="n">
        <v>46089</v>
      </c>
      <c r="D631" t="inlineStr">
        <is>
          <t>VÄSTMANLANDS LÄN</t>
        </is>
      </c>
      <c r="E631" t="inlineStr">
        <is>
          <t>SALA</t>
        </is>
      </c>
      <c r="G631" t="n">
        <v>4.8</v>
      </c>
      <c r="H631" t="n">
        <v>0</v>
      </c>
      <c r="I631" t="n">
        <v>0</v>
      </c>
      <c r="J631" t="n">
        <v>0</v>
      </c>
      <c r="K631" t="n">
        <v>0</v>
      </c>
      <c r="L631" t="n">
        <v>0</v>
      </c>
      <c r="M631" t="n">
        <v>0</v>
      </c>
      <c r="N631" t="n">
        <v>0</v>
      </c>
      <c r="O631" t="n">
        <v>0</v>
      </c>
      <c r="P631" t="n">
        <v>0</v>
      </c>
      <c r="Q631" t="n">
        <v>0</v>
      </c>
      <c r="R631" s="2" t="inlineStr"/>
    </row>
    <row r="632" ht="15" customHeight="1">
      <c r="A632" t="inlineStr">
        <is>
          <t>A 16638-2023</t>
        </is>
      </c>
      <c r="B632" s="1" t="n">
        <v>45027</v>
      </c>
      <c r="C632" s="1" t="n">
        <v>46089</v>
      </c>
      <c r="D632" t="inlineStr">
        <is>
          <t>VÄSTMANLANDS LÄN</t>
        </is>
      </c>
      <c r="E632" t="inlineStr">
        <is>
          <t>SALA</t>
        </is>
      </c>
      <c r="G632" t="n">
        <v>14.8</v>
      </c>
      <c r="H632" t="n">
        <v>0</v>
      </c>
      <c r="I632" t="n">
        <v>0</v>
      </c>
      <c r="J632" t="n">
        <v>0</v>
      </c>
      <c r="K632" t="n">
        <v>0</v>
      </c>
      <c r="L632" t="n">
        <v>0</v>
      </c>
      <c r="M632" t="n">
        <v>0</v>
      </c>
      <c r="N632" t="n">
        <v>0</v>
      </c>
      <c r="O632" t="n">
        <v>0</v>
      </c>
      <c r="P632" t="n">
        <v>0</v>
      </c>
      <c r="Q632" t="n">
        <v>0</v>
      </c>
      <c r="R632" s="2" t="inlineStr"/>
    </row>
    <row r="633" ht="15" customHeight="1">
      <c r="A633" t="inlineStr">
        <is>
          <t>A 37190-2024</t>
        </is>
      </c>
      <c r="B633" s="1" t="n">
        <v>45539</v>
      </c>
      <c r="C633" s="1" t="n">
        <v>46089</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23222-2023</t>
        </is>
      </c>
      <c r="B634" s="1" t="n">
        <v>45075</v>
      </c>
      <c r="C634" s="1" t="n">
        <v>46089</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23224-2023</t>
        </is>
      </c>
      <c r="B635" s="1" t="n">
        <v>45075.65040509259</v>
      </c>
      <c r="C635" s="1" t="n">
        <v>46089</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22026-2021</t>
        </is>
      </c>
      <c r="B636" s="1" t="n">
        <v>44323</v>
      </c>
      <c r="C636" s="1" t="n">
        <v>46089</v>
      </c>
      <c r="D636" t="inlineStr">
        <is>
          <t>VÄSTMANLANDS LÄN</t>
        </is>
      </c>
      <c r="E636" t="inlineStr">
        <is>
          <t>SALA</t>
        </is>
      </c>
      <c r="G636" t="n">
        <v>2.9</v>
      </c>
      <c r="H636" t="n">
        <v>0</v>
      </c>
      <c r="I636" t="n">
        <v>0</v>
      </c>
      <c r="J636" t="n">
        <v>0</v>
      </c>
      <c r="K636" t="n">
        <v>0</v>
      </c>
      <c r="L636" t="n">
        <v>0</v>
      </c>
      <c r="M636" t="n">
        <v>0</v>
      </c>
      <c r="N636" t="n">
        <v>0</v>
      </c>
      <c r="O636" t="n">
        <v>0</v>
      </c>
      <c r="P636" t="n">
        <v>0</v>
      </c>
      <c r="Q636" t="n">
        <v>0</v>
      </c>
      <c r="R636" s="2" t="inlineStr"/>
    </row>
    <row r="637" ht="15" customHeight="1">
      <c r="A637" t="inlineStr">
        <is>
          <t>A 68864-2021</t>
        </is>
      </c>
      <c r="B637" s="1" t="n">
        <v>44530</v>
      </c>
      <c r="C637" s="1" t="n">
        <v>46089</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19065-2022</t>
        </is>
      </c>
      <c r="B638" s="1" t="n">
        <v>44691.44309027777</v>
      </c>
      <c r="C638" s="1" t="n">
        <v>46089</v>
      </c>
      <c r="D638" t="inlineStr">
        <is>
          <t>VÄSTMANLANDS LÄN</t>
        </is>
      </c>
      <c r="E638" t="inlineStr">
        <is>
          <t>SALA</t>
        </is>
      </c>
      <c r="G638" t="n">
        <v>3.4</v>
      </c>
      <c r="H638" t="n">
        <v>0</v>
      </c>
      <c r="I638" t="n">
        <v>0</v>
      </c>
      <c r="J638" t="n">
        <v>0</v>
      </c>
      <c r="K638" t="n">
        <v>0</v>
      </c>
      <c r="L638" t="n">
        <v>0</v>
      </c>
      <c r="M638" t="n">
        <v>0</v>
      </c>
      <c r="N638" t="n">
        <v>0</v>
      </c>
      <c r="O638" t="n">
        <v>0</v>
      </c>
      <c r="P638" t="n">
        <v>0</v>
      </c>
      <c r="Q638" t="n">
        <v>0</v>
      </c>
      <c r="R638" s="2" t="inlineStr"/>
    </row>
    <row r="639" ht="15" customHeight="1">
      <c r="A639" t="inlineStr">
        <is>
          <t>A 37612-2024</t>
        </is>
      </c>
      <c r="B639" s="1" t="n">
        <v>45541</v>
      </c>
      <c r="C639" s="1" t="n">
        <v>46089</v>
      </c>
      <c r="D639" t="inlineStr">
        <is>
          <t>VÄSTMANLANDS LÄN</t>
        </is>
      </c>
      <c r="E639" t="inlineStr">
        <is>
          <t>SALA</t>
        </is>
      </c>
      <c r="G639" t="n">
        <v>2.2</v>
      </c>
      <c r="H639" t="n">
        <v>0</v>
      </c>
      <c r="I639" t="n">
        <v>0</v>
      </c>
      <c r="J639" t="n">
        <v>0</v>
      </c>
      <c r="K639" t="n">
        <v>0</v>
      </c>
      <c r="L639" t="n">
        <v>0</v>
      </c>
      <c r="M639" t="n">
        <v>0</v>
      </c>
      <c r="N639" t="n">
        <v>0</v>
      </c>
      <c r="O639" t="n">
        <v>0</v>
      </c>
      <c r="P639" t="n">
        <v>0</v>
      </c>
      <c r="Q639" t="n">
        <v>0</v>
      </c>
      <c r="R639" s="2" t="inlineStr"/>
    </row>
    <row r="640" ht="15" customHeight="1">
      <c r="A640" t="inlineStr">
        <is>
          <t>A 37615-2024</t>
        </is>
      </c>
      <c r="B640" s="1" t="n">
        <v>45541.50673611111</v>
      </c>
      <c r="C640" s="1" t="n">
        <v>46089</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18158-2025</t>
        </is>
      </c>
      <c r="B641" s="1" t="n">
        <v>45761</v>
      </c>
      <c r="C641" s="1" t="n">
        <v>46089</v>
      </c>
      <c r="D641" t="inlineStr">
        <is>
          <t>VÄSTMANLANDS LÄN</t>
        </is>
      </c>
      <c r="E641" t="inlineStr">
        <is>
          <t>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9962-2025</t>
        </is>
      </c>
      <c r="B642" s="1" t="n">
        <v>45719.37072916667</v>
      </c>
      <c r="C642" s="1" t="n">
        <v>46089</v>
      </c>
      <c r="D642" t="inlineStr">
        <is>
          <t>VÄSTMANLANDS LÄN</t>
        </is>
      </c>
      <c r="E642" t="inlineStr">
        <is>
          <t>SALA</t>
        </is>
      </c>
      <c r="G642" t="n">
        <v>4.5</v>
      </c>
      <c r="H642" t="n">
        <v>0</v>
      </c>
      <c r="I642" t="n">
        <v>0</v>
      </c>
      <c r="J642" t="n">
        <v>0</v>
      </c>
      <c r="K642" t="n">
        <v>0</v>
      </c>
      <c r="L642" t="n">
        <v>0</v>
      </c>
      <c r="M642" t="n">
        <v>0</v>
      </c>
      <c r="N642" t="n">
        <v>0</v>
      </c>
      <c r="O642" t="n">
        <v>0</v>
      </c>
      <c r="P642" t="n">
        <v>0</v>
      </c>
      <c r="Q642" t="n">
        <v>0</v>
      </c>
      <c r="R642" s="2" t="inlineStr"/>
    </row>
    <row r="643" ht="15" customHeight="1">
      <c r="A643" t="inlineStr">
        <is>
          <t>A 37602-2024</t>
        </is>
      </c>
      <c r="B643" s="1" t="n">
        <v>45541</v>
      </c>
      <c r="C643" s="1" t="n">
        <v>46089</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18762-2024</t>
        </is>
      </c>
      <c r="B644" s="1" t="n">
        <v>45426.55240740741</v>
      </c>
      <c r="C644" s="1" t="n">
        <v>46089</v>
      </c>
      <c r="D644" t="inlineStr">
        <is>
          <t>VÄSTMANLANDS LÄN</t>
        </is>
      </c>
      <c r="E644" t="inlineStr">
        <is>
          <t>SALA</t>
        </is>
      </c>
      <c r="G644" t="n">
        <v>6.2</v>
      </c>
      <c r="H644" t="n">
        <v>0</v>
      </c>
      <c r="I644" t="n">
        <v>0</v>
      </c>
      <c r="J644" t="n">
        <v>0</v>
      </c>
      <c r="K644" t="n">
        <v>0</v>
      </c>
      <c r="L644" t="n">
        <v>0</v>
      </c>
      <c r="M644" t="n">
        <v>0</v>
      </c>
      <c r="N644" t="n">
        <v>0</v>
      </c>
      <c r="O644" t="n">
        <v>0</v>
      </c>
      <c r="P644" t="n">
        <v>0</v>
      </c>
      <c r="Q644" t="n">
        <v>0</v>
      </c>
      <c r="R644" s="2" t="inlineStr"/>
    </row>
    <row r="645" ht="15" customHeight="1">
      <c r="A645" t="inlineStr">
        <is>
          <t>A 39011-2023</t>
        </is>
      </c>
      <c r="B645" s="1" t="n">
        <v>45162</v>
      </c>
      <c r="C645" s="1" t="n">
        <v>46089</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46352-2023</t>
        </is>
      </c>
      <c r="B646" s="1" t="n">
        <v>45192</v>
      </c>
      <c r="C646" s="1" t="n">
        <v>46089</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43751-2021</t>
        </is>
      </c>
      <c r="B647" s="1" t="n">
        <v>44433</v>
      </c>
      <c r="C647" s="1" t="n">
        <v>46089</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1128-2025</t>
        </is>
      </c>
      <c r="B648" s="1" t="n">
        <v>45666.68469907407</v>
      </c>
      <c r="C648" s="1" t="n">
        <v>46089</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46089</v>
      </c>
      <c r="D649" t="inlineStr">
        <is>
          <t>VÄSTMANLANDS LÄN</t>
        </is>
      </c>
      <c r="E649" t="inlineStr">
        <is>
          <t>SALA</t>
        </is>
      </c>
      <c r="G649" t="n">
        <v>0.1</v>
      </c>
      <c r="H649" t="n">
        <v>0</v>
      </c>
      <c r="I649" t="n">
        <v>0</v>
      </c>
      <c r="J649" t="n">
        <v>0</v>
      </c>
      <c r="K649" t="n">
        <v>0</v>
      </c>
      <c r="L649" t="n">
        <v>0</v>
      </c>
      <c r="M649" t="n">
        <v>0</v>
      </c>
      <c r="N649" t="n">
        <v>0</v>
      </c>
      <c r="O649" t="n">
        <v>0</v>
      </c>
      <c r="P649" t="n">
        <v>0</v>
      </c>
      <c r="Q649" t="n">
        <v>0</v>
      </c>
      <c r="R649" s="2" t="inlineStr"/>
    </row>
    <row r="650" ht="15" customHeight="1">
      <c r="A650" t="inlineStr">
        <is>
          <t>A 56540-2024</t>
        </is>
      </c>
      <c r="B650" s="1" t="n">
        <v>45625</v>
      </c>
      <c r="C650" s="1" t="n">
        <v>46089</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46089</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25860-2024</t>
        </is>
      </c>
      <c r="B652" s="1" t="n">
        <v>45467.46278935186</v>
      </c>
      <c r="C652" s="1" t="n">
        <v>46089</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56916-2022</t>
        </is>
      </c>
      <c r="B653" s="1" t="n">
        <v>44888</v>
      </c>
      <c r="C653" s="1" t="n">
        <v>46089</v>
      </c>
      <c r="D653" t="inlineStr">
        <is>
          <t>VÄSTMANLANDS LÄN</t>
        </is>
      </c>
      <c r="E653" t="inlineStr">
        <is>
          <t>SALA</t>
        </is>
      </c>
      <c r="G653" t="n">
        <v>1.7</v>
      </c>
      <c r="H653" t="n">
        <v>0</v>
      </c>
      <c r="I653" t="n">
        <v>0</v>
      </c>
      <c r="J653" t="n">
        <v>0</v>
      </c>
      <c r="K653" t="n">
        <v>0</v>
      </c>
      <c r="L653" t="n">
        <v>0</v>
      </c>
      <c r="M653" t="n">
        <v>0</v>
      </c>
      <c r="N653" t="n">
        <v>0</v>
      </c>
      <c r="O653" t="n">
        <v>0</v>
      </c>
      <c r="P653" t="n">
        <v>0</v>
      </c>
      <c r="Q653" t="n">
        <v>0</v>
      </c>
      <c r="R653" s="2" t="inlineStr"/>
    </row>
    <row r="654" ht="15" customHeight="1">
      <c r="A654" t="inlineStr">
        <is>
          <t>A 71471-2021</t>
        </is>
      </c>
      <c r="B654" s="1" t="n">
        <v>44540.53421296296</v>
      </c>
      <c r="C654" s="1" t="n">
        <v>46089</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13987-2023</t>
        </is>
      </c>
      <c r="B655" s="1" t="n">
        <v>45007</v>
      </c>
      <c r="C655" s="1" t="n">
        <v>46089</v>
      </c>
      <c r="D655" t="inlineStr">
        <is>
          <t>VÄSTMANLANDS LÄN</t>
        </is>
      </c>
      <c r="E655" t="inlineStr">
        <is>
          <t>SALA</t>
        </is>
      </c>
      <c r="G655" t="n">
        <v>3.2</v>
      </c>
      <c r="H655" t="n">
        <v>0</v>
      </c>
      <c r="I655" t="n">
        <v>0</v>
      </c>
      <c r="J655" t="n">
        <v>0</v>
      </c>
      <c r="K655" t="n">
        <v>0</v>
      </c>
      <c r="L655" t="n">
        <v>0</v>
      </c>
      <c r="M655" t="n">
        <v>0</v>
      </c>
      <c r="N655" t="n">
        <v>0</v>
      </c>
      <c r="O655" t="n">
        <v>0</v>
      </c>
      <c r="P655" t="n">
        <v>0</v>
      </c>
      <c r="Q655" t="n">
        <v>0</v>
      </c>
      <c r="R655" s="2" t="inlineStr"/>
    </row>
    <row r="656" ht="15" customHeight="1">
      <c r="A656" t="inlineStr">
        <is>
          <t>A 13990-2023</t>
        </is>
      </c>
      <c r="B656" s="1" t="n">
        <v>45007</v>
      </c>
      <c r="C656" s="1" t="n">
        <v>46089</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1993-2022</t>
        </is>
      </c>
      <c r="B657" s="1" t="n">
        <v>44575</v>
      </c>
      <c r="C657" s="1" t="n">
        <v>46089</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17051-2025</t>
        </is>
      </c>
      <c r="B658" s="1" t="n">
        <v>45755</v>
      </c>
      <c r="C658" s="1" t="n">
        <v>46089</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43509-2021</t>
        </is>
      </c>
      <c r="B659" s="1" t="n">
        <v>44433</v>
      </c>
      <c r="C659" s="1" t="n">
        <v>46089</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46089</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56964-2023</t>
        </is>
      </c>
      <c r="B661" s="1" t="n">
        <v>45244.63140046296</v>
      </c>
      <c r="C661" s="1" t="n">
        <v>46089</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37337-2024</t>
        </is>
      </c>
      <c r="B662" s="1" t="n">
        <v>45540</v>
      </c>
      <c r="C662" s="1" t="n">
        <v>46089</v>
      </c>
      <c r="D662" t="inlineStr">
        <is>
          <t>VÄSTMANLANDS LÄN</t>
        </is>
      </c>
      <c r="E662" t="inlineStr">
        <is>
          <t>SALA</t>
        </is>
      </c>
      <c r="G662" t="n">
        <v>6.5</v>
      </c>
      <c r="H662" t="n">
        <v>0</v>
      </c>
      <c r="I662" t="n">
        <v>0</v>
      </c>
      <c r="J662" t="n">
        <v>0</v>
      </c>
      <c r="K662" t="n">
        <v>0</v>
      </c>
      <c r="L662" t="n">
        <v>0</v>
      </c>
      <c r="M662" t="n">
        <v>0</v>
      </c>
      <c r="N662" t="n">
        <v>0</v>
      </c>
      <c r="O662" t="n">
        <v>0</v>
      </c>
      <c r="P662" t="n">
        <v>0</v>
      </c>
      <c r="Q662" t="n">
        <v>0</v>
      </c>
      <c r="R662" s="2" t="inlineStr"/>
    </row>
    <row r="663" ht="15" customHeight="1">
      <c r="A663" t="inlineStr">
        <is>
          <t>A 17120-2023</t>
        </is>
      </c>
      <c r="B663" s="1" t="n">
        <v>45034</v>
      </c>
      <c r="C663" s="1" t="n">
        <v>46089</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34494-2023</t>
        </is>
      </c>
      <c r="B664" s="1" t="n">
        <v>45133</v>
      </c>
      <c r="C664" s="1" t="n">
        <v>46089</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10579-2022</t>
        </is>
      </c>
      <c r="B665" s="1" t="n">
        <v>44624</v>
      </c>
      <c r="C665" s="1" t="n">
        <v>46089</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9335-2022</t>
        </is>
      </c>
      <c r="B666" s="1" t="n">
        <v>44616.56579861111</v>
      </c>
      <c r="C666" s="1" t="n">
        <v>46089</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45313-2024</t>
        </is>
      </c>
      <c r="B667" s="1" t="n">
        <v>45576</v>
      </c>
      <c r="C667" s="1" t="n">
        <v>46089</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23119-2022</t>
        </is>
      </c>
      <c r="B668" s="1" t="n">
        <v>44719.56697916667</v>
      </c>
      <c r="C668" s="1" t="n">
        <v>46089</v>
      </c>
      <c r="D668" t="inlineStr">
        <is>
          <t>VÄSTMANLANDS LÄN</t>
        </is>
      </c>
      <c r="E668" t="inlineStr">
        <is>
          <t>SALA</t>
        </is>
      </c>
      <c r="G668" t="n">
        <v>7</v>
      </c>
      <c r="H668" t="n">
        <v>0</v>
      </c>
      <c r="I668" t="n">
        <v>0</v>
      </c>
      <c r="J668" t="n">
        <v>0</v>
      </c>
      <c r="K668" t="n">
        <v>0</v>
      </c>
      <c r="L668" t="n">
        <v>0</v>
      </c>
      <c r="M668" t="n">
        <v>0</v>
      </c>
      <c r="N668" t="n">
        <v>0</v>
      </c>
      <c r="O668" t="n">
        <v>0</v>
      </c>
      <c r="P668" t="n">
        <v>0</v>
      </c>
      <c r="Q668" t="n">
        <v>0</v>
      </c>
      <c r="R668" s="2" t="inlineStr"/>
    </row>
    <row r="669" ht="15" customHeight="1">
      <c r="A669" t="inlineStr">
        <is>
          <t>A 1196-2023</t>
        </is>
      </c>
      <c r="B669" s="1" t="n">
        <v>44935.82290509259</v>
      </c>
      <c r="C669" s="1" t="n">
        <v>46089</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52503-2024</t>
        </is>
      </c>
      <c r="B670" s="1" t="n">
        <v>45609.58806712963</v>
      </c>
      <c r="C670" s="1" t="n">
        <v>46089</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7953-2024</t>
        </is>
      </c>
      <c r="B671" s="1" t="n">
        <v>45350</v>
      </c>
      <c r="C671" s="1" t="n">
        <v>46089</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46089</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7950-2025</t>
        </is>
      </c>
      <c r="B673" s="1" t="n">
        <v>45707.41799768519</v>
      </c>
      <c r="C673" s="1" t="n">
        <v>46089</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27657-2023</t>
        </is>
      </c>
      <c r="B674" s="1" t="n">
        <v>45097.76631944445</v>
      </c>
      <c r="C674" s="1" t="n">
        <v>46089</v>
      </c>
      <c r="D674" t="inlineStr">
        <is>
          <t>VÄSTMANLANDS LÄN</t>
        </is>
      </c>
      <c r="E674" t="inlineStr">
        <is>
          <t>SALA</t>
        </is>
      </c>
      <c r="G674" t="n">
        <v>0.1</v>
      </c>
      <c r="H674" t="n">
        <v>0</v>
      </c>
      <c r="I674" t="n">
        <v>0</v>
      </c>
      <c r="J674" t="n">
        <v>0</v>
      </c>
      <c r="K674" t="n">
        <v>0</v>
      </c>
      <c r="L674" t="n">
        <v>0</v>
      </c>
      <c r="M674" t="n">
        <v>0</v>
      </c>
      <c r="N674" t="n">
        <v>0</v>
      </c>
      <c r="O674" t="n">
        <v>0</v>
      </c>
      <c r="P674" t="n">
        <v>0</v>
      </c>
      <c r="Q674" t="n">
        <v>0</v>
      </c>
      <c r="R674" s="2" t="inlineStr"/>
    </row>
    <row r="675" ht="15" customHeight="1">
      <c r="A675" t="inlineStr">
        <is>
          <t>A 13855-2023</t>
        </is>
      </c>
      <c r="B675" s="1" t="n">
        <v>45007</v>
      </c>
      <c r="C675" s="1" t="n">
        <v>46089</v>
      </c>
      <c r="D675" t="inlineStr">
        <is>
          <t>VÄSTMANLANDS LÄN</t>
        </is>
      </c>
      <c r="E675" t="inlineStr">
        <is>
          <t>SALA</t>
        </is>
      </c>
      <c r="G675" t="n">
        <v>2.9</v>
      </c>
      <c r="H675" t="n">
        <v>0</v>
      </c>
      <c r="I675" t="n">
        <v>0</v>
      </c>
      <c r="J675" t="n">
        <v>0</v>
      </c>
      <c r="K675" t="n">
        <v>0</v>
      </c>
      <c r="L675" t="n">
        <v>0</v>
      </c>
      <c r="M675" t="n">
        <v>0</v>
      </c>
      <c r="N675" t="n">
        <v>0</v>
      </c>
      <c r="O675" t="n">
        <v>0</v>
      </c>
      <c r="P675" t="n">
        <v>0</v>
      </c>
      <c r="Q675" t="n">
        <v>0</v>
      </c>
      <c r="R675" s="2" t="inlineStr"/>
    </row>
    <row r="676" ht="15" customHeight="1">
      <c r="A676" t="inlineStr">
        <is>
          <t>A 33309-2022</t>
        </is>
      </c>
      <c r="B676" s="1" t="n">
        <v>44788.40986111111</v>
      </c>
      <c r="C676" s="1" t="n">
        <v>46089</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47909-2022</t>
        </is>
      </c>
      <c r="B677" s="1" t="n">
        <v>44855</v>
      </c>
      <c r="C677" s="1" t="n">
        <v>46089</v>
      </c>
      <c r="D677" t="inlineStr">
        <is>
          <t>VÄSTMANLANDS LÄN</t>
        </is>
      </c>
      <c r="E677" t="inlineStr">
        <is>
          <t>SALA</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15272-2025</t>
        </is>
      </c>
      <c r="B678" s="1" t="n">
        <v>45744</v>
      </c>
      <c r="C678" s="1" t="n">
        <v>46089</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11183-2023</t>
        </is>
      </c>
      <c r="B679" s="1" t="n">
        <v>44992.57782407408</v>
      </c>
      <c r="C679" s="1" t="n">
        <v>46089</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46089</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53838-2022</t>
        </is>
      </c>
      <c r="B681" s="1" t="n">
        <v>44880.59363425926</v>
      </c>
      <c r="C681" s="1" t="n">
        <v>46089</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53166-2024</t>
        </is>
      </c>
      <c r="B682" s="1" t="n">
        <v>45611</v>
      </c>
      <c r="C682" s="1" t="n">
        <v>46089</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28827-2022</t>
        </is>
      </c>
      <c r="B683" s="1" t="n">
        <v>44749.45561342593</v>
      </c>
      <c r="C683" s="1" t="n">
        <v>46089</v>
      </c>
      <c r="D683" t="inlineStr">
        <is>
          <t>VÄSTMANLANDS LÄN</t>
        </is>
      </c>
      <c r="E683" t="inlineStr">
        <is>
          <t>SALA</t>
        </is>
      </c>
      <c r="F683" t="inlineStr">
        <is>
          <t>Kommuner</t>
        </is>
      </c>
      <c r="G683" t="n">
        <v>11.9</v>
      </c>
      <c r="H683" t="n">
        <v>0</v>
      </c>
      <c r="I683" t="n">
        <v>0</v>
      </c>
      <c r="J683" t="n">
        <v>0</v>
      </c>
      <c r="K683" t="n">
        <v>0</v>
      </c>
      <c r="L683" t="n">
        <v>0</v>
      </c>
      <c r="M683" t="n">
        <v>0</v>
      </c>
      <c r="N683" t="n">
        <v>0</v>
      </c>
      <c r="O683" t="n">
        <v>0</v>
      </c>
      <c r="P683" t="n">
        <v>0</v>
      </c>
      <c r="Q683" t="n">
        <v>0</v>
      </c>
      <c r="R683" s="2" t="inlineStr"/>
    </row>
    <row r="684" ht="15" customHeight="1">
      <c r="A684" t="inlineStr">
        <is>
          <t>A 17866-2025</t>
        </is>
      </c>
      <c r="B684" s="1" t="n">
        <v>45758</v>
      </c>
      <c r="C684" s="1" t="n">
        <v>46089</v>
      </c>
      <c r="D684" t="inlineStr">
        <is>
          <t>VÄSTMANLANDS LÄN</t>
        </is>
      </c>
      <c r="E684" t="inlineStr">
        <is>
          <t>SALA</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54836-2024</t>
        </is>
      </c>
      <c r="B685" s="1" t="n">
        <v>45618</v>
      </c>
      <c r="C685" s="1" t="n">
        <v>46089</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64729-2023</t>
        </is>
      </c>
      <c r="B686" s="1" t="n">
        <v>45281</v>
      </c>
      <c r="C686" s="1" t="n">
        <v>46089</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10585-2022</t>
        </is>
      </c>
      <c r="B687" s="1" t="n">
        <v>44624</v>
      </c>
      <c r="C687" s="1" t="n">
        <v>46089</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46089</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31609-2024</t>
        </is>
      </c>
      <c r="B689" s="1" t="n">
        <v>45506</v>
      </c>
      <c r="C689" s="1" t="n">
        <v>46089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56057-2023</t>
        </is>
      </c>
      <c r="B690" s="1" t="n">
        <v>45233</v>
      </c>
      <c r="C690" s="1" t="n">
        <v>46089</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62635-2022</t>
        </is>
      </c>
      <c r="B691" s="1" t="n">
        <v>44917</v>
      </c>
      <c r="C691" s="1" t="n">
        <v>46089</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4852-2023</t>
        </is>
      </c>
      <c r="B692" s="1" t="n">
        <v>44957.72496527778</v>
      </c>
      <c r="C692" s="1" t="n">
        <v>46089</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39714-2023</t>
        </is>
      </c>
      <c r="B693" s="1" t="n">
        <v>45167.62133101852</v>
      </c>
      <c r="C693" s="1" t="n">
        <v>46089</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42984-2023</t>
        </is>
      </c>
      <c r="B694" s="1" t="n">
        <v>45179</v>
      </c>
      <c r="C694" s="1" t="n">
        <v>46089</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56535-2022</t>
        </is>
      </c>
      <c r="B695" s="1" t="n">
        <v>44893.47173611111</v>
      </c>
      <c r="C695" s="1" t="n">
        <v>46089</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60550-2024</t>
        </is>
      </c>
      <c r="B696" s="1" t="n">
        <v>45643</v>
      </c>
      <c r="C696" s="1" t="n">
        <v>46089</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13746-2025</t>
        </is>
      </c>
      <c r="B697" s="1" t="n">
        <v>45737.40944444444</v>
      </c>
      <c r="C697" s="1" t="n">
        <v>46089</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29230-2022</t>
        </is>
      </c>
      <c r="B698" s="1" t="n">
        <v>44750</v>
      </c>
      <c r="C698" s="1" t="n">
        <v>46089</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59175-2022</t>
        </is>
      </c>
      <c r="B699" s="1" t="n">
        <v>44904.48502314815</v>
      </c>
      <c r="C699" s="1" t="n">
        <v>46089</v>
      </c>
      <c r="D699" t="inlineStr">
        <is>
          <t>VÄSTMANLANDS LÄN</t>
        </is>
      </c>
      <c r="E699" t="inlineStr">
        <is>
          <t>SALA</t>
        </is>
      </c>
      <c r="G699" t="n">
        <v>2.1</v>
      </c>
      <c r="H699" t="n">
        <v>0</v>
      </c>
      <c r="I699" t="n">
        <v>0</v>
      </c>
      <c r="J699" t="n">
        <v>0</v>
      </c>
      <c r="K699" t="n">
        <v>0</v>
      </c>
      <c r="L699" t="n">
        <v>0</v>
      </c>
      <c r="M699" t="n">
        <v>0</v>
      </c>
      <c r="N699" t="n">
        <v>0</v>
      </c>
      <c r="O699" t="n">
        <v>0</v>
      </c>
      <c r="P699" t="n">
        <v>0</v>
      </c>
      <c r="Q699" t="n">
        <v>0</v>
      </c>
      <c r="R699" s="2" t="inlineStr"/>
    </row>
    <row r="700" ht="15" customHeight="1">
      <c r="A700" t="inlineStr">
        <is>
          <t>A 19381-2025</t>
        </is>
      </c>
      <c r="B700" s="1" t="n">
        <v>45769</v>
      </c>
      <c r="C700" s="1" t="n">
        <v>46089</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42938-2023</t>
        </is>
      </c>
      <c r="B701" s="1" t="n">
        <v>45179</v>
      </c>
      <c r="C701" s="1" t="n">
        <v>46089</v>
      </c>
      <c r="D701" t="inlineStr">
        <is>
          <t>VÄSTMANLANDS LÄN</t>
        </is>
      </c>
      <c r="E701" t="inlineStr">
        <is>
          <t>SALA</t>
        </is>
      </c>
      <c r="G701" t="n">
        <v>10.9</v>
      </c>
      <c r="H701" t="n">
        <v>0</v>
      </c>
      <c r="I701" t="n">
        <v>0</v>
      </c>
      <c r="J701" t="n">
        <v>0</v>
      </c>
      <c r="K701" t="n">
        <v>0</v>
      </c>
      <c r="L701" t="n">
        <v>0</v>
      </c>
      <c r="M701" t="n">
        <v>0</v>
      </c>
      <c r="N701" t="n">
        <v>0</v>
      </c>
      <c r="O701" t="n">
        <v>0</v>
      </c>
      <c r="P701" t="n">
        <v>0</v>
      </c>
      <c r="Q701" t="n">
        <v>0</v>
      </c>
      <c r="R701" s="2" t="inlineStr"/>
    </row>
    <row r="702" ht="15" customHeight="1">
      <c r="A702" t="inlineStr">
        <is>
          <t>A 19222-2025</t>
        </is>
      </c>
      <c r="B702" s="1" t="n">
        <v>45769</v>
      </c>
      <c r="C702" s="1" t="n">
        <v>46089</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19241-2025</t>
        </is>
      </c>
      <c r="B703" s="1" t="n">
        <v>45769</v>
      </c>
      <c r="C703" s="1" t="n">
        <v>46089</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60823-2024</t>
        </is>
      </c>
      <c r="B704" s="1" t="n">
        <v>45644</v>
      </c>
      <c r="C704" s="1" t="n">
        <v>46089</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61681-2024</t>
        </is>
      </c>
      <c r="B705" s="1" t="n">
        <v>45647</v>
      </c>
      <c r="C705" s="1" t="n">
        <v>46089</v>
      </c>
      <c r="D705" t="inlineStr">
        <is>
          <t>VÄSTMANLANDS LÄN</t>
        </is>
      </c>
      <c r="E705" t="inlineStr">
        <is>
          <t>SALA</t>
        </is>
      </c>
      <c r="F705" t="inlineStr">
        <is>
          <t>Kommuner</t>
        </is>
      </c>
      <c r="G705" t="n">
        <v>1</v>
      </c>
      <c r="H705" t="n">
        <v>0</v>
      </c>
      <c r="I705" t="n">
        <v>0</v>
      </c>
      <c r="J705" t="n">
        <v>0</v>
      </c>
      <c r="K705" t="n">
        <v>0</v>
      </c>
      <c r="L705" t="n">
        <v>0</v>
      </c>
      <c r="M705" t="n">
        <v>0</v>
      </c>
      <c r="N705" t="n">
        <v>0</v>
      </c>
      <c r="O705" t="n">
        <v>0</v>
      </c>
      <c r="P705" t="n">
        <v>0</v>
      </c>
      <c r="Q705" t="n">
        <v>0</v>
      </c>
      <c r="R705" s="2" t="inlineStr"/>
    </row>
    <row r="706" ht="15" customHeight="1">
      <c r="A706" t="inlineStr">
        <is>
          <t>A 49661-2024</t>
        </is>
      </c>
      <c r="B706" s="1" t="n">
        <v>45596</v>
      </c>
      <c r="C706" s="1" t="n">
        <v>46089</v>
      </c>
      <c r="D706" t="inlineStr">
        <is>
          <t>VÄSTMANLANDS LÄN</t>
        </is>
      </c>
      <c r="E706" t="inlineStr">
        <is>
          <t>SALA</t>
        </is>
      </c>
      <c r="G706" t="n">
        <v>6.7</v>
      </c>
      <c r="H706" t="n">
        <v>0</v>
      </c>
      <c r="I706" t="n">
        <v>0</v>
      </c>
      <c r="J706" t="n">
        <v>0</v>
      </c>
      <c r="K706" t="n">
        <v>0</v>
      </c>
      <c r="L706" t="n">
        <v>0</v>
      </c>
      <c r="M706" t="n">
        <v>0</v>
      </c>
      <c r="N706" t="n">
        <v>0</v>
      </c>
      <c r="O706" t="n">
        <v>0</v>
      </c>
      <c r="P706" t="n">
        <v>0</v>
      </c>
      <c r="Q706" t="n">
        <v>0</v>
      </c>
      <c r="R706" s="2" t="inlineStr"/>
    </row>
    <row r="707" ht="15" customHeight="1">
      <c r="A707" t="inlineStr">
        <is>
          <t>A 59297-2023</t>
        </is>
      </c>
      <c r="B707" s="1" t="n">
        <v>45253</v>
      </c>
      <c r="C707" s="1" t="n">
        <v>46089</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15965-2024</t>
        </is>
      </c>
      <c r="B708" s="1" t="n">
        <v>45405.55740740741</v>
      </c>
      <c r="C708" s="1" t="n">
        <v>46089</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23180-2022</t>
        </is>
      </c>
      <c r="B709" s="1" t="n">
        <v>44719.79344907407</v>
      </c>
      <c r="C709" s="1" t="n">
        <v>46089</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46089</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21053-2022</t>
        </is>
      </c>
      <c r="B711" s="1" t="n">
        <v>44704</v>
      </c>
      <c r="C711" s="1" t="n">
        <v>46089</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11927-2025</t>
        </is>
      </c>
      <c r="B712" s="1" t="n">
        <v>45728.5137962963</v>
      </c>
      <c r="C712" s="1" t="n">
        <v>46089</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50876-2023</t>
        </is>
      </c>
      <c r="B713" s="1" t="n">
        <v>45211</v>
      </c>
      <c r="C713" s="1" t="n">
        <v>46089</v>
      </c>
      <c r="D713" t="inlineStr">
        <is>
          <t>VÄSTMANLANDS LÄN</t>
        </is>
      </c>
      <c r="E713" t="inlineStr">
        <is>
          <t>SALA</t>
        </is>
      </c>
      <c r="G713" t="n">
        <v>1.9</v>
      </c>
      <c r="H713" t="n">
        <v>0</v>
      </c>
      <c r="I713" t="n">
        <v>0</v>
      </c>
      <c r="J713" t="n">
        <v>0</v>
      </c>
      <c r="K713" t="n">
        <v>0</v>
      </c>
      <c r="L713" t="n">
        <v>0</v>
      </c>
      <c r="M713" t="n">
        <v>0</v>
      </c>
      <c r="N713" t="n">
        <v>0</v>
      </c>
      <c r="O713" t="n">
        <v>0</v>
      </c>
      <c r="P713" t="n">
        <v>0</v>
      </c>
      <c r="Q713" t="n">
        <v>0</v>
      </c>
      <c r="R713" s="2" t="inlineStr"/>
    </row>
    <row r="714" ht="15" customHeight="1">
      <c r="A714" t="inlineStr">
        <is>
          <t>A 10255-2024</t>
        </is>
      </c>
      <c r="B714" s="1" t="n">
        <v>45365</v>
      </c>
      <c r="C714" s="1" t="n">
        <v>46089</v>
      </c>
      <c r="D714" t="inlineStr">
        <is>
          <t>VÄSTMANLANDS LÄN</t>
        </is>
      </c>
      <c r="E714" t="inlineStr">
        <is>
          <t>SALA</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62648-2022</t>
        </is>
      </c>
      <c r="B715" s="1" t="n">
        <v>44917</v>
      </c>
      <c r="C715" s="1" t="n">
        <v>46089</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56548-2024</t>
        </is>
      </c>
      <c r="B716" s="1" t="n">
        <v>45625</v>
      </c>
      <c r="C716" s="1" t="n">
        <v>46089</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5477-2024</t>
        </is>
      </c>
      <c r="B717" s="1" t="n">
        <v>45333.67833333334</v>
      </c>
      <c r="C717" s="1" t="n">
        <v>46089</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39451-2022</t>
        </is>
      </c>
      <c r="B718" s="1" t="n">
        <v>44818.36606481481</v>
      </c>
      <c r="C718" s="1" t="n">
        <v>46089</v>
      </c>
      <c r="D718" t="inlineStr">
        <is>
          <t>VÄSTMANLANDS LÄN</t>
        </is>
      </c>
      <c r="E718" t="inlineStr">
        <is>
          <t>SALA</t>
        </is>
      </c>
      <c r="G718" t="n">
        <v>9.4</v>
      </c>
      <c r="H718" t="n">
        <v>0</v>
      </c>
      <c r="I718" t="n">
        <v>0</v>
      </c>
      <c r="J718" t="n">
        <v>0</v>
      </c>
      <c r="K718" t="n">
        <v>0</v>
      </c>
      <c r="L718" t="n">
        <v>0</v>
      </c>
      <c r="M718" t="n">
        <v>0</v>
      </c>
      <c r="N718" t="n">
        <v>0</v>
      </c>
      <c r="O718" t="n">
        <v>0</v>
      </c>
      <c r="P718" t="n">
        <v>0</v>
      </c>
      <c r="Q718" t="n">
        <v>0</v>
      </c>
      <c r="R718" s="2" t="inlineStr"/>
    </row>
    <row r="719" ht="15" customHeight="1">
      <c r="A719" t="inlineStr">
        <is>
          <t>A 7772-2023</t>
        </is>
      </c>
      <c r="B719" s="1" t="n">
        <v>44973.40076388889</v>
      </c>
      <c r="C719" s="1" t="n">
        <v>46089</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19751-2022</t>
        </is>
      </c>
      <c r="B720" s="1" t="n">
        <v>44694</v>
      </c>
      <c r="C720" s="1" t="n">
        <v>46089</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44713-2023</t>
        </is>
      </c>
      <c r="B721" s="1" t="n">
        <v>45184</v>
      </c>
      <c r="C721" s="1" t="n">
        <v>46089</v>
      </c>
      <c r="D721" t="inlineStr">
        <is>
          <t>VÄSTMANLANDS LÄN</t>
        </is>
      </c>
      <c r="E721" t="inlineStr">
        <is>
          <t>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18713-2025</t>
        </is>
      </c>
      <c r="B722" s="1" t="n">
        <v>45763</v>
      </c>
      <c r="C722" s="1" t="n">
        <v>46089</v>
      </c>
      <c r="D722" t="inlineStr">
        <is>
          <t>VÄSTMANLANDS LÄN</t>
        </is>
      </c>
      <c r="E722" t="inlineStr">
        <is>
          <t>SALA</t>
        </is>
      </c>
      <c r="F722" t="inlineStr">
        <is>
          <t>Bergvik skog öst AB</t>
        </is>
      </c>
      <c r="G722" t="n">
        <v>11.6</v>
      </c>
      <c r="H722" t="n">
        <v>0</v>
      </c>
      <c r="I722" t="n">
        <v>0</v>
      </c>
      <c r="J722" t="n">
        <v>0</v>
      </c>
      <c r="K722" t="n">
        <v>0</v>
      </c>
      <c r="L722" t="n">
        <v>0</v>
      </c>
      <c r="M722" t="n">
        <v>0</v>
      </c>
      <c r="N722" t="n">
        <v>0</v>
      </c>
      <c r="O722" t="n">
        <v>0</v>
      </c>
      <c r="P722" t="n">
        <v>0</v>
      </c>
      <c r="Q722" t="n">
        <v>0</v>
      </c>
      <c r="R722" s="2" t="inlineStr"/>
    </row>
    <row r="723" ht="15" customHeight="1">
      <c r="A723" t="inlineStr">
        <is>
          <t>A 47479-2024</t>
        </is>
      </c>
      <c r="B723" s="1" t="n">
        <v>45587</v>
      </c>
      <c r="C723" s="1" t="n">
        <v>46089</v>
      </c>
      <c r="D723" t="inlineStr">
        <is>
          <t>VÄSTMANLANDS LÄN</t>
        </is>
      </c>
      <c r="E723" t="inlineStr">
        <is>
          <t>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69236-2021</t>
        </is>
      </c>
      <c r="B724" s="1" t="n">
        <v>44531.4047337963</v>
      </c>
      <c r="C724" s="1" t="n">
        <v>46089</v>
      </c>
      <c r="D724" t="inlineStr">
        <is>
          <t>VÄSTMANLANDS LÄN</t>
        </is>
      </c>
      <c r="E724" t="inlineStr">
        <is>
          <t>SALA</t>
        </is>
      </c>
      <c r="G724" t="n">
        <v>2.8</v>
      </c>
      <c r="H724" t="n">
        <v>0</v>
      </c>
      <c r="I724" t="n">
        <v>0</v>
      </c>
      <c r="J724" t="n">
        <v>0</v>
      </c>
      <c r="K724" t="n">
        <v>0</v>
      </c>
      <c r="L724" t="n">
        <v>0</v>
      </c>
      <c r="M724" t="n">
        <v>0</v>
      </c>
      <c r="N724" t="n">
        <v>0</v>
      </c>
      <c r="O724" t="n">
        <v>0</v>
      </c>
      <c r="P724" t="n">
        <v>0</v>
      </c>
      <c r="Q724" t="n">
        <v>0</v>
      </c>
      <c r="R724" s="2" t="inlineStr"/>
    </row>
    <row r="725" ht="15" customHeight="1">
      <c r="A725" t="inlineStr">
        <is>
          <t>A 25541-2024</t>
        </is>
      </c>
      <c r="B725" s="1" t="n">
        <v>45463.56337962963</v>
      </c>
      <c r="C725" s="1" t="n">
        <v>46089</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5728-2022</t>
        </is>
      </c>
      <c r="B726" s="1" t="n">
        <v>44596.42082175926</v>
      </c>
      <c r="C726" s="1" t="n">
        <v>46089</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10250-2025</t>
        </is>
      </c>
      <c r="B727" s="1" t="n">
        <v>45720.36165509259</v>
      </c>
      <c r="C727" s="1" t="n">
        <v>46089</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row>
    <row r="728" ht="15" customHeight="1">
      <c r="A728" t="inlineStr">
        <is>
          <t>A 49512-2024</t>
        </is>
      </c>
      <c r="B728" s="1" t="n">
        <v>45591</v>
      </c>
      <c r="C728" s="1" t="n">
        <v>46089</v>
      </c>
      <c r="D728" t="inlineStr">
        <is>
          <t>VÄSTMANLANDS LÄN</t>
        </is>
      </c>
      <c r="E728" t="inlineStr">
        <is>
          <t>SALA</t>
        </is>
      </c>
      <c r="G728" t="n">
        <v>8.1</v>
      </c>
      <c r="H728" t="n">
        <v>0</v>
      </c>
      <c r="I728" t="n">
        <v>0</v>
      </c>
      <c r="J728" t="n">
        <v>0</v>
      </c>
      <c r="K728" t="n">
        <v>0</v>
      </c>
      <c r="L728" t="n">
        <v>0</v>
      </c>
      <c r="M728" t="n">
        <v>0</v>
      </c>
      <c r="N728" t="n">
        <v>0</v>
      </c>
      <c r="O728" t="n">
        <v>0</v>
      </c>
      <c r="P728" t="n">
        <v>0</v>
      </c>
      <c r="Q728" t="n">
        <v>0</v>
      </c>
      <c r="R728" s="2" t="inlineStr"/>
    </row>
    <row r="729" ht="15" customHeight="1">
      <c r="A729" t="inlineStr">
        <is>
          <t>A 42416-2022</t>
        </is>
      </c>
      <c r="B729" s="1" t="n">
        <v>44831</v>
      </c>
      <c r="C729" s="1" t="n">
        <v>46089</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6135-2023</t>
        </is>
      </c>
      <c r="B730" s="1" t="n">
        <v>44964.62628472222</v>
      </c>
      <c r="C730" s="1" t="n">
        <v>46089</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16693-2023</t>
        </is>
      </c>
      <c r="B731" s="1" t="n">
        <v>45028</v>
      </c>
      <c r="C731" s="1" t="n">
        <v>46089</v>
      </c>
      <c r="D731" t="inlineStr">
        <is>
          <t>VÄSTMANLANDS LÄN</t>
        </is>
      </c>
      <c r="E731" t="inlineStr">
        <is>
          <t>SALA</t>
        </is>
      </c>
      <c r="G731" t="n">
        <v>1.5</v>
      </c>
      <c r="H731" t="n">
        <v>0</v>
      </c>
      <c r="I731" t="n">
        <v>0</v>
      </c>
      <c r="J731" t="n">
        <v>0</v>
      </c>
      <c r="K731" t="n">
        <v>0</v>
      </c>
      <c r="L731" t="n">
        <v>0</v>
      </c>
      <c r="M731" t="n">
        <v>0</v>
      </c>
      <c r="N731" t="n">
        <v>0</v>
      </c>
      <c r="O731" t="n">
        <v>0</v>
      </c>
      <c r="P731" t="n">
        <v>0</v>
      </c>
      <c r="Q731" t="n">
        <v>0</v>
      </c>
      <c r="R731" s="2" t="inlineStr"/>
    </row>
    <row r="732" ht="15" customHeight="1">
      <c r="A732" t="inlineStr">
        <is>
          <t>A 8285-2025</t>
        </is>
      </c>
      <c r="B732" s="1" t="n">
        <v>45708</v>
      </c>
      <c r="C732" s="1" t="n">
        <v>46089</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15584-2021</t>
        </is>
      </c>
      <c r="B733" s="1" t="n">
        <v>44285</v>
      </c>
      <c r="C733" s="1" t="n">
        <v>46089</v>
      </c>
      <c r="D733" t="inlineStr">
        <is>
          <t>VÄSTMANLANDS LÄN</t>
        </is>
      </c>
      <c r="E733" t="inlineStr">
        <is>
          <t>SALA</t>
        </is>
      </c>
      <c r="G733" t="n">
        <v>3.4</v>
      </c>
      <c r="H733" t="n">
        <v>0</v>
      </c>
      <c r="I733" t="n">
        <v>0</v>
      </c>
      <c r="J733" t="n">
        <v>0</v>
      </c>
      <c r="K733" t="n">
        <v>0</v>
      </c>
      <c r="L733" t="n">
        <v>0</v>
      </c>
      <c r="M733" t="n">
        <v>0</v>
      </c>
      <c r="N733" t="n">
        <v>0</v>
      </c>
      <c r="O733" t="n">
        <v>0</v>
      </c>
      <c r="P733" t="n">
        <v>0</v>
      </c>
      <c r="Q733" t="n">
        <v>0</v>
      </c>
      <c r="R733" s="2" t="inlineStr"/>
    </row>
    <row r="734" ht="15" customHeight="1">
      <c r="A734" t="inlineStr">
        <is>
          <t>A 18340-2025</t>
        </is>
      </c>
      <c r="B734" s="1" t="n">
        <v>45762</v>
      </c>
      <c r="C734" s="1" t="n">
        <v>46089</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56706-2022</t>
        </is>
      </c>
      <c r="B735" s="1" t="n">
        <v>44893.78893518518</v>
      </c>
      <c r="C735" s="1" t="n">
        <v>46089</v>
      </c>
      <c r="D735" t="inlineStr">
        <is>
          <t>VÄSTMANLANDS LÄN</t>
        </is>
      </c>
      <c r="E735" t="inlineStr">
        <is>
          <t>SALA</t>
        </is>
      </c>
      <c r="G735" t="n">
        <v>4.5</v>
      </c>
      <c r="H735" t="n">
        <v>0</v>
      </c>
      <c r="I735" t="n">
        <v>0</v>
      </c>
      <c r="J735" t="n">
        <v>0</v>
      </c>
      <c r="K735" t="n">
        <v>0</v>
      </c>
      <c r="L735" t="n">
        <v>0</v>
      </c>
      <c r="M735" t="n">
        <v>0</v>
      </c>
      <c r="N735" t="n">
        <v>0</v>
      </c>
      <c r="O735" t="n">
        <v>0</v>
      </c>
      <c r="P735" t="n">
        <v>0</v>
      </c>
      <c r="Q735" t="n">
        <v>0</v>
      </c>
      <c r="R735" s="2" t="inlineStr"/>
    </row>
    <row r="736" ht="15" customHeight="1">
      <c r="A736" t="inlineStr">
        <is>
          <t>A 56707-2022</t>
        </is>
      </c>
      <c r="B736" s="1" t="n">
        <v>44893.79412037037</v>
      </c>
      <c r="C736" s="1" t="n">
        <v>46089</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48571-2024</t>
        </is>
      </c>
      <c r="B737" s="1" t="n">
        <v>45591</v>
      </c>
      <c r="C737" s="1" t="n">
        <v>46089</v>
      </c>
      <c r="D737" t="inlineStr">
        <is>
          <t>VÄSTMANLANDS LÄN</t>
        </is>
      </c>
      <c r="E737" t="inlineStr">
        <is>
          <t>SALA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13188-2025</t>
        </is>
      </c>
      <c r="B738" s="1" t="n">
        <v>45735.39246527778</v>
      </c>
      <c r="C738" s="1" t="n">
        <v>46089</v>
      </c>
      <c r="D738" t="inlineStr">
        <is>
          <t>VÄSTMANLANDS LÄN</t>
        </is>
      </c>
      <c r="E738" t="inlineStr">
        <is>
          <t>SALA</t>
        </is>
      </c>
      <c r="F738" t="inlineStr">
        <is>
          <t>Naturvårdsverket</t>
        </is>
      </c>
      <c r="G738" t="n">
        <v>18.4</v>
      </c>
      <c r="H738" t="n">
        <v>0</v>
      </c>
      <c r="I738" t="n">
        <v>0</v>
      </c>
      <c r="J738" t="n">
        <v>0</v>
      </c>
      <c r="K738" t="n">
        <v>0</v>
      </c>
      <c r="L738" t="n">
        <v>0</v>
      </c>
      <c r="M738" t="n">
        <v>0</v>
      </c>
      <c r="N738" t="n">
        <v>0</v>
      </c>
      <c r="O738" t="n">
        <v>0</v>
      </c>
      <c r="P738" t="n">
        <v>0</v>
      </c>
      <c r="Q738" t="n">
        <v>0</v>
      </c>
      <c r="R738" s="2" t="inlineStr"/>
    </row>
    <row r="739" ht="15" customHeight="1">
      <c r="A739" t="inlineStr">
        <is>
          <t>A 23431-2024</t>
        </is>
      </c>
      <c r="B739" s="1" t="n">
        <v>45453</v>
      </c>
      <c r="C739" s="1" t="n">
        <v>46089</v>
      </c>
      <c r="D739" t="inlineStr">
        <is>
          <t>VÄSTMANLANDS LÄN</t>
        </is>
      </c>
      <c r="E739" t="inlineStr">
        <is>
          <t>SALA</t>
        </is>
      </c>
      <c r="G739" t="n">
        <v>1.6</v>
      </c>
      <c r="H739" t="n">
        <v>0</v>
      </c>
      <c r="I739" t="n">
        <v>0</v>
      </c>
      <c r="J739" t="n">
        <v>0</v>
      </c>
      <c r="K739" t="n">
        <v>0</v>
      </c>
      <c r="L739" t="n">
        <v>0</v>
      </c>
      <c r="M739" t="n">
        <v>0</v>
      </c>
      <c r="N739" t="n">
        <v>0</v>
      </c>
      <c r="O739" t="n">
        <v>0</v>
      </c>
      <c r="P739" t="n">
        <v>0</v>
      </c>
      <c r="Q739" t="n">
        <v>0</v>
      </c>
      <c r="R739" s="2" t="inlineStr"/>
    </row>
    <row r="740" ht="15" customHeight="1">
      <c r="A740" t="inlineStr">
        <is>
          <t>A 21168-2025</t>
        </is>
      </c>
      <c r="B740" s="1" t="n">
        <v>45777</v>
      </c>
      <c r="C740" s="1" t="n">
        <v>46089</v>
      </c>
      <c r="D740" t="inlineStr">
        <is>
          <t>VÄSTMANLANDS LÄN</t>
        </is>
      </c>
      <c r="E740" t="inlineStr">
        <is>
          <t>SALA</t>
        </is>
      </c>
      <c r="G740" t="n">
        <v>4.5</v>
      </c>
      <c r="H740" t="n">
        <v>0</v>
      </c>
      <c r="I740" t="n">
        <v>0</v>
      </c>
      <c r="J740" t="n">
        <v>0</v>
      </c>
      <c r="K740" t="n">
        <v>0</v>
      </c>
      <c r="L740" t="n">
        <v>0</v>
      </c>
      <c r="M740" t="n">
        <v>0</v>
      </c>
      <c r="N740" t="n">
        <v>0</v>
      </c>
      <c r="O740" t="n">
        <v>0</v>
      </c>
      <c r="P740" t="n">
        <v>0</v>
      </c>
      <c r="Q740" t="n">
        <v>0</v>
      </c>
      <c r="R740" s="2" t="inlineStr"/>
    </row>
    <row r="741" ht="15" customHeight="1">
      <c r="A741" t="inlineStr">
        <is>
          <t>A 21754-2025</t>
        </is>
      </c>
      <c r="B741" s="1" t="n">
        <v>45783.61837962963</v>
      </c>
      <c r="C741" s="1" t="n">
        <v>46089</v>
      </c>
      <c r="D741" t="inlineStr">
        <is>
          <t>VÄSTMANLANDS LÄN</t>
        </is>
      </c>
      <c r="E741" t="inlineStr">
        <is>
          <t>SALA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21751-2025</t>
        </is>
      </c>
      <c r="B742" s="1" t="n">
        <v>45783.61372685185</v>
      </c>
      <c r="C742" s="1" t="n">
        <v>46089</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37587-2024</t>
        </is>
      </c>
      <c r="B743" s="1" t="n">
        <v>45541</v>
      </c>
      <c r="C743" s="1" t="n">
        <v>46089</v>
      </c>
      <c r="D743" t="inlineStr">
        <is>
          <t>VÄSTMANLANDS LÄN</t>
        </is>
      </c>
      <c r="E743" t="inlineStr">
        <is>
          <t>SALA</t>
        </is>
      </c>
      <c r="G743" t="n">
        <v>1.2</v>
      </c>
      <c r="H743" t="n">
        <v>0</v>
      </c>
      <c r="I743" t="n">
        <v>0</v>
      </c>
      <c r="J743" t="n">
        <v>0</v>
      </c>
      <c r="K743" t="n">
        <v>0</v>
      </c>
      <c r="L743" t="n">
        <v>0</v>
      </c>
      <c r="M743" t="n">
        <v>0</v>
      </c>
      <c r="N743" t="n">
        <v>0</v>
      </c>
      <c r="O743" t="n">
        <v>0</v>
      </c>
      <c r="P743" t="n">
        <v>0</v>
      </c>
      <c r="Q743" t="n">
        <v>0</v>
      </c>
      <c r="R743" s="2" t="inlineStr"/>
    </row>
    <row r="744" ht="15" customHeight="1">
      <c r="A744" t="inlineStr">
        <is>
          <t>A 64724-2023</t>
        </is>
      </c>
      <c r="B744" s="1" t="n">
        <v>45281.7602662037</v>
      </c>
      <c r="C744" s="1" t="n">
        <v>46089</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7176-2023</t>
        </is>
      </c>
      <c r="B745" s="1" t="n">
        <v>44970</v>
      </c>
      <c r="C745" s="1" t="n">
        <v>46089</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43600-2024</t>
        </is>
      </c>
      <c r="B746" s="1" t="n">
        <v>45569</v>
      </c>
      <c r="C746" s="1" t="n">
        <v>46089</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31405-2024</t>
        </is>
      </c>
      <c r="B747" s="1" t="n">
        <v>45505.5490625</v>
      </c>
      <c r="C747" s="1" t="n">
        <v>46089</v>
      </c>
      <c r="D747" t="inlineStr">
        <is>
          <t>VÄSTMANLANDS LÄN</t>
        </is>
      </c>
      <c r="E747" t="inlineStr">
        <is>
          <t>SALA</t>
        </is>
      </c>
      <c r="G747" t="n">
        <v>5.2</v>
      </c>
      <c r="H747" t="n">
        <v>0</v>
      </c>
      <c r="I747" t="n">
        <v>0</v>
      </c>
      <c r="J747" t="n">
        <v>0</v>
      </c>
      <c r="K747" t="n">
        <v>0</v>
      </c>
      <c r="L747" t="n">
        <v>0</v>
      </c>
      <c r="M747" t="n">
        <v>0</v>
      </c>
      <c r="N747" t="n">
        <v>0</v>
      </c>
      <c r="O747" t="n">
        <v>0</v>
      </c>
      <c r="P747" t="n">
        <v>0</v>
      </c>
      <c r="Q747" t="n">
        <v>0</v>
      </c>
      <c r="R747" s="2" t="inlineStr"/>
    </row>
    <row r="748" ht="15" customHeight="1">
      <c r="A748" t="inlineStr">
        <is>
          <t>A 22616-2025</t>
        </is>
      </c>
      <c r="B748" s="1" t="n">
        <v>45789.42752314815</v>
      </c>
      <c r="C748" s="1" t="n">
        <v>46089</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46089</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22383-2025</t>
        </is>
      </c>
      <c r="B750" s="1" t="n">
        <v>45786</v>
      </c>
      <c r="C750" s="1" t="n">
        <v>46089</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22624-2025</t>
        </is>
      </c>
      <c r="B751" s="1" t="n">
        <v>45789.43327546296</v>
      </c>
      <c r="C751" s="1" t="n">
        <v>46089</v>
      </c>
      <c r="D751" t="inlineStr">
        <is>
          <t>VÄSTMANLANDS LÄN</t>
        </is>
      </c>
      <c r="E751" t="inlineStr">
        <is>
          <t>SALA</t>
        </is>
      </c>
      <c r="G751" t="n">
        <v>1.5</v>
      </c>
      <c r="H751" t="n">
        <v>0</v>
      </c>
      <c r="I751" t="n">
        <v>0</v>
      </c>
      <c r="J751" t="n">
        <v>0</v>
      </c>
      <c r="K751" t="n">
        <v>0</v>
      </c>
      <c r="L751" t="n">
        <v>0</v>
      </c>
      <c r="M751" t="n">
        <v>0</v>
      </c>
      <c r="N751" t="n">
        <v>0</v>
      </c>
      <c r="O751" t="n">
        <v>0</v>
      </c>
      <c r="P751" t="n">
        <v>0</v>
      </c>
      <c r="Q751" t="n">
        <v>0</v>
      </c>
      <c r="R751" s="2" t="inlineStr"/>
    </row>
    <row r="752" ht="15" customHeight="1">
      <c r="A752" t="inlineStr">
        <is>
          <t>A 22370-2025</t>
        </is>
      </c>
      <c r="B752" s="1" t="n">
        <v>45786</v>
      </c>
      <c r="C752" s="1" t="n">
        <v>46089</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13130-2025</t>
        </is>
      </c>
      <c r="B753" s="1" t="n">
        <v>45734</v>
      </c>
      <c r="C753" s="1" t="n">
        <v>46089</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45793.55995370371</v>
      </c>
      <c r="C754" s="1" t="n">
        <v>46089</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22126-2025</t>
        </is>
      </c>
      <c r="B755" s="1" t="n">
        <v>45785</v>
      </c>
      <c r="C755" s="1" t="n">
        <v>46089</v>
      </c>
      <c r="D755" t="inlineStr">
        <is>
          <t>VÄSTMANLANDS LÄN</t>
        </is>
      </c>
      <c r="E755" t="inlineStr">
        <is>
          <t>SALA</t>
        </is>
      </c>
      <c r="G755" t="n">
        <v>10.6</v>
      </c>
      <c r="H755" t="n">
        <v>0</v>
      </c>
      <c r="I755" t="n">
        <v>0</v>
      </c>
      <c r="J755" t="n">
        <v>0</v>
      </c>
      <c r="K755" t="n">
        <v>0</v>
      </c>
      <c r="L755" t="n">
        <v>0</v>
      </c>
      <c r="M755" t="n">
        <v>0</v>
      </c>
      <c r="N755" t="n">
        <v>0</v>
      </c>
      <c r="O755" t="n">
        <v>0</v>
      </c>
      <c r="P755" t="n">
        <v>0</v>
      </c>
      <c r="Q755" t="n">
        <v>0</v>
      </c>
      <c r="R755" s="2" t="inlineStr"/>
    </row>
    <row r="756" ht="15" customHeight="1">
      <c r="A756" t="inlineStr">
        <is>
          <t>A 19297-2025</t>
        </is>
      </c>
      <c r="B756" s="1" t="n">
        <v>45769.56261574074</v>
      </c>
      <c r="C756" s="1" t="n">
        <v>46089</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c r="A757" t="inlineStr">
        <is>
          <t>A 23810-2025</t>
        </is>
      </c>
      <c r="B757" s="1" t="n">
        <v>45793.56989583333</v>
      </c>
      <c r="C757" s="1" t="n">
        <v>46089</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2026-03-08T11:19:20Z</dcterms:created>
  <dcterms:modified xmlns:dcterms="http://purl.org/dc/terms/" xmlns:xsi="http://www.w3.org/2001/XMLSchema-instance" xsi:type="dcterms:W3CDTF">2026-03-08T11:19:21Z</dcterms:modified>
</cp:coreProperties>
</file>