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46075</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46075</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46075</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46075</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46075</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46075</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46075</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46075</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46075</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46075</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46075</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46075</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46075</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46075</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46075</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46075</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46075</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46075</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46075</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46075</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46075</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46075</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46075</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46075</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46075</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46075</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46075</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24872-2025</t>
        </is>
      </c>
      <c r="B38" s="1" t="n">
        <v>45799.49038194444</v>
      </c>
      <c r="C38" s="1" t="n">
        <v>46075</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46075</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46075</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46075</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46075</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46075</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46075</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14775-2023</t>
        </is>
      </c>
      <c r="B45" s="1" t="n">
        <v>45014</v>
      </c>
      <c r="C45" s="1" t="n">
        <v>46075</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46075</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46075</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48705-2025</t>
        </is>
      </c>
      <c r="B48" s="1" t="n">
        <v>45936.62290509259</v>
      </c>
      <c r="C48" s="1" t="n">
        <v>46075</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38255-2025</t>
        </is>
      </c>
      <c r="B49" s="1" t="n">
        <v>45883.38020833334</v>
      </c>
      <c r="C49" s="1" t="n">
        <v>46075</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19361-2025</t>
        </is>
      </c>
      <c r="B50" s="1" t="n">
        <v>45769.63357638889</v>
      </c>
      <c r="C50" s="1" t="n">
        <v>46075</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46075</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60852-2024</t>
        </is>
      </c>
      <c r="B52" s="1" t="n">
        <v>45644</v>
      </c>
      <c r="C52" s="1" t="n">
        <v>46075</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50268-2025</t>
        </is>
      </c>
      <c r="B53" s="1" t="n">
        <v>45944.35162037037</v>
      </c>
      <c r="C53" s="1" t="n">
        <v>46075</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43175-2023</t>
        </is>
      </c>
      <c r="B54" s="1" t="n">
        <v>45183</v>
      </c>
      <c r="C54" s="1" t="n">
        <v>46075</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53052-2025</t>
        </is>
      </c>
      <c r="B55" s="1" t="n">
        <v>45958.36266203703</v>
      </c>
      <c r="C55" s="1" t="n">
        <v>46075</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55995-2025</t>
        </is>
      </c>
      <c r="B56" s="1" t="n">
        <v>45973.56733796297</v>
      </c>
      <c r="C56" s="1" t="n">
        <v>46075</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55550-2023</t>
        </is>
      </c>
      <c r="B57" s="1" t="n">
        <v>45232</v>
      </c>
      <c r="C57" s="1" t="n">
        <v>46075</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41270-2024</t>
        </is>
      </c>
      <c r="B58" s="1" t="n">
        <v>45559</v>
      </c>
      <c r="C58" s="1" t="n">
        <v>46075</v>
      </c>
      <c r="D58" t="inlineStr">
        <is>
          <t>VÄSTMANLANDS LÄN</t>
        </is>
      </c>
      <c r="E58" t="inlineStr">
        <is>
          <t>SALA</t>
        </is>
      </c>
      <c r="G58" t="n">
        <v>15.2</v>
      </c>
      <c r="H58" t="n">
        <v>1</v>
      </c>
      <c r="I58" t="n">
        <v>0</v>
      </c>
      <c r="J58" t="n">
        <v>1</v>
      </c>
      <c r="K58" t="n">
        <v>0</v>
      </c>
      <c r="L58" t="n">
        <v>0</v>
      </c>
      <c r="M58" t="n">
        <v>0</v>
      </c>
      <c r="N58" t="n">
        <v>0</v>
      </c>
      <c r="O58" t="n">
        <v>1</v>
      </c>
      <c r="P58" t="n">
        <v>0</v>
      </c>
      <c r="Q58" t="n">
        <v>1</v>
      </c>
      <c r="R58" s="2" t="inlineStr">
        <is>
          <t>Havsörn</t>
        </is>
      </c>
      <c r="S58">
        <f>HYPERLINK("https://klasma.github.io/Logging_1981/artfynd/A 41270-2024 artfynd.xlsx", "A 41270-2024")</f>
        <v/>
      </c>
      <c r="T58">
        <f>HYPERLINK("https://klasma.github.io/Logging_1981/kartor/A 41270-2024 karta.png", "A 41270-2024")</f>
        <v/>
      </c>
      <c r="V58">
        <f>HYPERLINK("https://klasma.github.io/Logging_1981/klagomål/A 41270-2024 FSC-klagomål.docx", "A 41270-2024")</f>
        <v/>
      </c>
      <c r="W58">
        <f>HYPERLINK("https://klasma.github.io/Logging_1981/klagomålsmail/A 41270-2024 FSC-klagomål mail.docx", "A 41270-2024")</f>
        <v/>
      </c>
      <c r="X58">
        <f>HYPERLINK("https://klasma.github.io/Logging_1981/tillsyn/A 41270-2024 tillsynsbegäran.docx", "A 41270-2024")</f>
        <v/>
      </c>
      <c r="Y58">
        <f>HYPERLINK("https://klasma.github.io/Logging_1981/tillsynsmail/A 41270-2024 tillsynsbegäran mail.docx", "A 41270-2024")</f>
        <v/>
      </c>
      <c r="Z58">
        <f>HYPERLINK("https://klasma.github.io/Logging_1981/fåglar/A 41270-2024 prioriterade fågelarter.docx", "A 41270-2024")</f>
        <v/>
      </c>
    </row>
    <row r="59" ht="15" customHeight="1">
      <c r="A59" t="inlineStr">
        <is>
          <t>A 7672-2026</t>
        </is>
      </c>
      <c r="B59" s="1" t="n">
        <v>46062.42077546296</v>
      </c>
      <c r="C59" s="1" t="n">
        <v>46075</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43068-2024</t>
        </is>
      </c>
      <c r="B60" s="1" t="n">
        <v>45567</v>
      </c>
      <c r="C60" s="1" t="n">
        <v>46075</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46075</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46075</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46075</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46075</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46075</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46075</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46075</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46075</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46075</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46075</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46075</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46075</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46075</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46075</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46075</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46075</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46075</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46075</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46075</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46075</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46075</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46075</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46075</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46075</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46075</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46075</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46075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46075</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46075</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46075</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46075</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46075</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46075</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46075</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46075</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46075</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46075</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46075</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46075</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46075</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46075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46075</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46075</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46075</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46075</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46075</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46075</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46075</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46075</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46075</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46075</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46075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46075</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46075</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46075</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46075</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46075</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46075</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46075</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46075</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46075</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46075</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46075</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46075</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46075</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46075</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46075</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46075</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46075</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46075</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46075</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46075</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46075</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46075</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46075</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46075</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46075</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46075</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46075</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46075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46075</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46075</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46075</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46075</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46075</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46075</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46075</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46075</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46075</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46075</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46075</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46075</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46075</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46075</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46075</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46075</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46075</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46075</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46075</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46075</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46075</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46075</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46075</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46075</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46075</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46075</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46075</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46075</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46075</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46075</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46075</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46075</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62449-2023</t>
        </is>
      </c>
      <c r="B181" s="1" t="n">
        <v>45268.49008101852</v>
      </c>
      <c r="C181" s="1" t="n">
        <v>46075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35462-2024</t>
        </is>
      </c>
      <c r="B182" s="1" t="n">
        <v>45531</v>
      </c>
      <c r="C182" s="1" t="n">
        <v>46075</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14024-2025</t>
        </is>
      </c>
      <c r="B183" s="1" t="n">
        <v>45740.34650462963</v>
      </c>
      <c r="C183" s="1" t="n">
        <v>46075</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46075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46075</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46075</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46075</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46075</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46075</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46075</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46075</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58107-2021</t>
        </is>
      </c>
      <c r="B192" s="1" t="n">
        <v>44487</v>
      </c>
      <c r="C192" s="1" t="n">
        <v>46075</v>
      </c>
      <c r="D192" t="inlineStr">
        <is>
          <t>VÄSTMANLANDS LÄN</t>
        </is>
      </c>
      <c r="E192" t="inlineStr">
        <is>
          <t>SALA</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46075</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46075</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46075</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46075</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46075</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46075</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19398-2025</t>
        </is>
      </c>
      <c r="B199" s="1" t="n">
        <v>45769</v>
      </c>
      <c r="C199" s="1" t="n">
        <v>46075</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51464-2024</t>
        </is>
      </c>
      <c r="B200" s="1" t="n">
        <v>45604.49768518518</v>
      </c>
      <c r="C200" s="1" t="n">
        <v>46075</v>
      </c>
      <c r="D200" t="inlineStr">
        <is>
          <t>VÄSTMANLANDS LÄN</t>
        </is>
      </c>
      <c r="E200" t="inlineStr">
        <is>
          <t>SALA</t>
        </is>
      </c>
      <c r="G200" t="n">
        <v>3.9</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46075</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46075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46075</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46075</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46075</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46075</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46075</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46075</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27229-2022</t>
        </is>
      </c>
      <c r="B209" s="1" t="n">
        <v>44741</v>
      </c>
      <c r="C209" s="1" t="n">
        <v>46075</v>
      </c>
      <c r="D209" t="inlineStr">
        <is>
          <t>VÄSTMANLANDS LÄN</t>
        </is>
      </c>
      <c r="E209" t="inlineStr">
        <is>
          <t>SALA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46075</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46075</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46075</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46075</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46075</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46075</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46075</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46075</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46075</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46075</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46075</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43362-2023</t>
        </is>
      </c>
      <c r="B221" s="1" t="n">
        <v>45183</v>
      </c>
      <c r="C221" s="1" t="n">
        <v>46075</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46075</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46075</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14690-2025</t>
        </is>
      </c>
      <c r="B224" s="1" t="n">
        <v>45742.58212962963</v>
      </c>
      <c r="C224" s="1" t="n">
        <v>46075</v>
      </c>
      <c r="D224" t="inlineStr">
        <is>
          <t>VÄSTMANLANDS LÄN</t>
        </is>
      </c>
      <c r="E224" t="inlineStr">
        <is>
          <t>SALA</t>
        </is>
      </c>
      <c r="G224" t="n">
        <v>3.4</v>
      </c>
      <c r="H224" t="n">
        <v>0</v>
      </c>
      <c r="I224" t="n">
        <v>0</v>
      </c>
      <c r="J224" t="n">
        <v>0</v>
      </c>
      <c r="K224" t="n">
        <v>0</v>
      </c>
      <c r="L224" t="n">
        <v>0</v>
      </c>
      <c r="M224" t="n">
        <v>0</v>
      </c>
      <c r="N224" t="n">
        <v>0</v>
      </c>
      <c r="O224" t="n">
        <v>0</v>
      </c>
      <c r="P224" t="n">
        <v>0</v>
      </c>
      <c r="Q224" t="n">
        <v>0</v>
      </c>
      <c r="R224" s="2" t="inlineStr"/>
    </row>
    <row r="225" ht="15" customHeight="1">
      <c r="A225" t="inlineStr">
        <is>
          <t>A 60548-2024</t>
        </is>
      </c>
      <c r="B225" s="1" t="n">
        <v>45643.80978009259</v>
      </c>
      <c r="C225" s="1" t="n">
        <v>46075</v>
      </c>
      <c r="D225" t="inlineStr">
        <is>
          <t>VÄSTMANLANDS LÄN</t>
        </is>
      </c>
      <c r="E225" t="inlineStr">
        <is>
          <t>SALA</t>
        </is>
      </c>
      <c r="G225" t="n">
        <v>1.6</v>
      </c>
      <c r="H225" t="n">
        <v>0</v>
      </c>
      <c r="I225" t="n">
        <v>0</v>
      </c>
      <c r="J225" t="n">
        <v>0</v>
      </c>
      <c r="K225" t="n">
        <v>0</v>
      </c>
      <c r="L225" t="n">
        <v>0</v>
      </c>
      <c r="M225" t="n">
        <v>0</v>
      </c>
      <c r="N225" t="n">
        <v>0</v>
      </c>
      <c r="O225" t="n">
        <v>0</v>
      </c>
      <c r="P225" t="n">
        <v>0</v>
      </c>
      <c r="Q225" t="n">
        <v>0</v>
      </c>
      <c r="R225" s="2" t="inlineStr"/>
    </row>
    <row r="226" ht="15" customHeight="1">
      <c r="A226" t="inlineStr">
        <is>
          <t>A 26761-2023</t>
        </is>
      </c>
      <c r="B226" s="1" t="n">
        <v>45093</v>
      </c>
      <c r="C226" s="1" t="n">
        <v>46075</v>
      </c>
      <c r="D226" t="inlineStr">
        <is>
          <t>VÄSTMANLANDS LÄN</t>
        </is>
      </c>
      <c r="E226" t="inlineStr">
        <is>
          <t>SALA</t>
        </is>
      </c>
      <c r="G226" t="n">
        <v>4.3</v>
      </c>
      <c r="H226" t="n">
        <v>0</v>
      </c>
      <c r="I226" t="n">
        <v>0</v>
      </c>
      <c r="J226" t="n">
        <v>0</v>
      </c>
      <c r="K226" t="n">
        <v>0</v>
      </c>
      <c r="L226" t="n">
        <v>0</v>
      </c>
      <c r="M226" t="n">
        <v>0</v>
      </c>
      <c r="N226" t="n">
        <v>0</v>
      </c>
      <c r="O226" t="n">
        <v>0</v>
      </c>
      <c r="P226" t="n">
        <v>0</v>
      </c>
      <c r="Q226" t="n">
        <v>0</v>
      </c>
      <c r="R226" s="2" t="inlineStr"/>
    </row>
    <row r="227" ht="15" customHeight="1">
      <c r="A227" t="inlineStr">
        <is>
          <t>A 55035-2023</t>
        </is>
      </c>
      <c r="B227" s="1" t="n">
        <v>45229</v>
      </c>
      <c r="C227" s="1" t="n">
        <v>46075</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60249-2023</t>
        </is>
      </c>
      <c r="B228" s="1" t="n">
        <v>45258</v>
      </c>
      <c r="C228" s="1" t="n">
        <v>46075</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52500-2024</t>
        </is>
      </c>
      <c r="B229" s="1" t="n">
        <v>45609</v>
      </c>
      <c r="C229" s="1" t="n">
        <v>46075</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56949-2023</t>
        </is>
      </c>
      <c r="B230" s="1" t="n">
        <v>45244.61589120371</v>
      </c>
      <c r="C230" s="1" t="n">
        <v>46075</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31597-2024</t>
        </is>
      </c>
      <c r="B231" s="1" t="n">
        <v>45506</v>
      </c>
      <c r="C231" s="1" t="n">
        <v>46075</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31599-2024</t>
        </is>
      </c>
      <c r="B232" s="1" t="n">
        <v>45506</v>
      </c>
      <c r="C232" s="1" t="n">
        <v>46075</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31601-2024</t>
        </is>
      </c>
      <c r="B233" s="1" t="n">
        <v>45506</v>
      </c>
      <c r="C233" s="1" t="n">
        <v>46075</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31608-2024</t>
        </is>
      </c>
      <c r="B234" s="1" t="n">
        <v>45506</v>
      </c>
      <c r="C234" s="1" t="n">
        <v>46075</v>
      </c>
      <c r="D234" t="inlineStr">
        <is>
          <t>VÄSTMANLANDS LÄN</t>
        </is>
      </c>
      <c r="E234" t="inlineStr">
        <is>
          <t>SALA</t>
        </is>
      </c>
      <c r="G234" t="n">
        <v>1.7</v>
      </c>
      <c r="H234" t="n">
        <v>0</v>
      </c>
      <c r="I234" t="n">
        <v>0</v>
      </c>
      <c r="J234" t="n">
        <v>0</v>
      </c>
      <c r="K234" t="n">
        <v>0</v>
      </c>
      <c r="L234" t="n">
        <v>0</v>
      </c>
      <c r="M234" t="n">
        <v>0</v>
      </c>
      <c r="N234" t="n">
        <v>0</v>
      </c>
      <c r="O234" t="n">
        <v>0</v>
      </c>
      <c r="P234" t="n">
        <v>0</v>
      </c>
      <c r="Q234" t="n">
        <v>0</v>
      </c>
      <c r="R234" s="2" t="inlineStr"/>
    </row>
    <row r="235" ht="15" customHeight="1">
      <c r="A235" t="inlineStr">
        <is>
          <t>A 31612-2024</t>
        </is>
      </c>
      <c r="B235" s="1" t="n">
        <v>45506</v>
      </c>
      <c r="C235" s="1" t="n">
        <v>46075</v>
      </c>
      <c r="D235" t="inlineStr">
        <is>
          <t>VÄSTMANLANDS LÄN</t>
        </is>
      </c>
      <c r="E235" t="inlineStr">
        <is>
          <t>SALA</t>
        </is>
      </c>
      <c r="G235" t="n">
        <v>3.2</v>
      </c>
      <c r="H235" t="n">
        <v>0</v>
      </c>
      <c r="I235" t="n">
        <v>0</v>
      </c>
      <c r="J235" t="n">
        <v>0</v>
      </c>
      <c r="K235" t="n">
        <v>0</v>
      </c>
      <c r="L235" t="n">
        <v>0</v>
      </c>
      <c r="M235" t="n">
        <v>0</v>
      </c>
      <c r="N235" t="n">
        <v>0</v>
      </c>
      <c r="O235" t="n">
        <v>0</v>
      </c>
      <c r="P235" t="n">
        <v>0</v>
      </c>
      <c r="Q235" t="n">
        <v>0</v>
      </c>
      <c r="R235" s="2" t="inlineStr"/>
    </row>
    <row r="236" ht="15" customHeight="1">
      <c r="A236" t="inlineStr">
        <is>
          <t>A 96-2024</t>
        </is>
      </c>
      <c r="B236" s="1" t="n">
        <v>45293.85872685185</v>
      </c>
      <c r="C236" s="1" t="n">
        <v>46075</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54118-2023</t>
        </is>
      </c>
      <c r="B237" s="1" t="n">
        <v>45232</v>
      </c>
      <c r="C237" s="1" t="n">
        <v>46075</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34814-2021</t>
        </is>
      </c>
      <c r="B238" s="1" t="n">
        <v>44383</v>
      </c>
      <c r="C238" s="1" t="n">
        <v>46075</v>
      </c>
      <c r="D238" t="inlineStr">
        <is>
          <t>VÄSTMANLANDS LÄN</t>
        </is>
      </c>
      <c r="E238" t="inlineStr">
        <is>
          <t>SALA</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25748-2022</t>
        </is>
      </c>
      <c r="B239" s="1" t="n">
        <v>44732</v>
      </c>
      <c r="C239" s="1" t="n">
        <v>46075</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16760-2024</t>
        </is>
      </c>
      <c r="B240" s="1" t="n">
        <v>45411</v>
      </c>
      <c r="C240" s="1" t="n">
        <v>46075</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27989-2025</t>
        </is>
      </c>
      <c r="B241" s="1" t="n">
        <v>45817.58716435185</v>
      </c>
      <c r="C241" s="1" t="n">
        <v>46075</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6127-2025</t>
        </is>
      </c>
      <c r="B242" s="1" t="n">
        <v>45698</v>
      </c>
      <c r="C242" s="1" t="n">
        <v>46075</v>
      </c>
      <c r="D242" t="inlineStr">
        <is>
          <t>VÄSTMANLANDS LÄN</t>
        </is>
      </c>
      <c r="E242" t="inlineStr">
        <is>
          <t>SALA</t>
        </is>
      </c>
      <c r="F242" t="inlineStr">
        <is>
          <t>Bergvik skog öst AB</t>
        </is>
      </c>
      <c r="G242" t="n">
        <v>4.3</v>
      </c>
      <c r="H242" t="n">
        <v>0</v>
      </c>
      <c r="I242" t="n">
        <v>0</v>
      </c>
      <c r="J242" t="n">
        <v>0</v>
      </c>
      <c r="K242" t="n">
        <v>0</v>
      </c>
      <c r="L242" t="n">
        <v>0</v>
      </c>
      <c r="M242" t="n">
        <v>0</v>
      </c>
      <c r="N242" t="n">
        <v>0</v>
      </c>
      <c r="O242" t="n">
        <v>0</v>
      </c>
      <c r="P242" t="n">
        <v>0</v>
      </c>
      <c r="Q242" t="n">
        <v>0</v>
      </c>
      <c r="R242" s="2" t="inlineStr"/>
    </row>
    <row r="243" ht="15" customHeight="1">
      <c r="A243" t="inlineStr">
        <is>
          <t>A 27981-2025</t>
        </is>
      </c>
      <c r="B243" s="1" t="n">
        <v>45817.57471064815</v>
      </c>
      <c r="C243" s="1" t="n">
        <v>46075</v>
      </c>
      <c r="D243" t="inlineStr">
        <is>
          <t>VÄSTMANLANDS LÄN</t>
        </is>
      </c>
      <c r="E243" t="inlineStr">
        <is>
          <t>SALA</t>
        </is>
      </c>
      <c r="G243" t="n">
        <v>1.7</v>
      </c>
      <c r="H243" t="n">
        <v>0</v>
      </c>
      <c r="I243" t="n">
        <v>0</v>
      </c>
      <c r="J243" t="n">
        <v>0</v>
      </c>
      <c r="K243" t="n">
        <v>0</v>
      </c>
      <c r="L243" t="n">
        <v>0</v>
      </c>
      <c r="M243" t="n">
        <v>0</v>
      </c>
      <c r="N243" t="n">
        <v>0</v>
      </c>
      <c r="O243" t="n">
        <v>0</v>
      </c>
      <c r="P243" t="n">
        <v>0</v>
      </c>
      <c r="Q243" t="n">
        <v>0</v>
      </c>
      <c r="R243" s="2" t="inlineStr"/>
    </row>
    <row r="244" ht="15" customHeight="1">
      <c r="A244" t="inlineStr">
        <is>
          <t>A 28193-2025</t>
        </is>
      </c>
      <c r="B244" s="1" t="n">
        <v>45818.425625</v>
      </c>
      <c r="C244" s="1" t="n">
        <v>46075</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3733-2023</t>
        </is>
      </c>
      <c r="B245" s="1" t="n">
        <v>44951.42501157407</v>
      </c>
      <c r="C245" s="1" t="n">
        <v>46075</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6136-2025</t>
        </is>
      </c>
      <c r="B246" s="1" t="n">
        <v>45698.37601851852</v>
      </c>
      <c r="C246" s="1" t="n">
        <v>46075</v>
      </c>
      <c r="D246" t="inlineStr">
        <is>
          <t>VÄSTMANLANDS LÄN</t>
        </is>
      </c>
      <c r="E246" t="inlineStr">
        <is>
          <t>SALA</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6190-2025</t>
        </is>
      </c>
      <c r="B247" s="1" t="n">
        <v>45698</v>
      </c>
      <c r="C247" s="1" t="n">
        <v>46075</v>
      </c>
      <c r="D247" t="inlineStr">
        <is>
          <t>VÄSTMANLANDS LÄN</t>
        </is>
      </c>
      <c r="E247" t="inlineStr">
        <is>
          <t>SALA</t>
        </is>
      </c>
      <c r="F247" t="inlineStr">
        <is>
          <t>Bergvik skog öst AB</t>
        </is>
      </c>
      <c r="G247" t="n">
        <v>4.6</v>
      </c>
      <c r="H247" t="n">
        <v>0</v>
      </c>
      <c r="I247" t="n">
        <v>0</v>
      </c>
      <c r="J247" t="n">
        <v>0</v>
      </c>
      <c r="K247" t="n">
        <v>0</v>
      </c>
      <c r="L247" t="n">
        <v>0</v>
      </c>
      <c r="M247" t="n">
        <v>0</v>
      </c>
      <c r="N247" t="n">
        <v>0</v>
      </c>
      <c r="O247" t="n">
        <v>0</v>
      </c>
      <c r="P247" t="n">
        <v>0</v>
      </c>
      <c r="Q247" t="n">
        <v>0</v>
      </c>
      <c r="R247" s="2" t="inlineStr"/>
    </row>
    <row r="248" ht="15" customHeight="1">
      <c r="A248" t="inlineStr">
        <is>
          <t>A 988-2025</t>
        </is>
      </c>
      <c r="B248" s="1" t="n">
        <v>45666.44038194444</v>
      </c>
      <c r="C248" s="1" t="n">
        <v>46075</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28284-2025</t>
        </is>
      </c>
      <c r="B249" s="1" t="n">
        <v>45818.58893518519</v>
      </c>
      <c r="C249" s="1" t="n">
        <v>46075</v>
      </c>
      <c r="D249" t="inlineStr">
        <is>
          <t>VÄSTMANLANDS LÄN</t>
        </is>
      </c>
      <c r="E249" t="inlineStr">
        <is>
          <t>SALA</t>
        </is>
      </c>
      <c r="G249" t="n">
        <v>2.4</v>
      </c>
      <c r="H249" t="n">
        <v>0</v>
      </c>
      <c r="I249" t="n">
        <v>0</v>
      </c>
      <c r="J249" t="n">
        <v>0</v>
      </c>
      <c r="K249" t="n">
        <v>0</v>
      </c>
      <c r="L249" t="n">
        <v>0</v>
      </c>
      <c r="M249" t="n">
        <v>0</v>
      </c>
      <c r="N249" t="n">
        <v>0</v>
      </c>
      <c r="O249" t="n">
        <v>0</v>
      </c>
      <c r="P249" t="n">
        <v>0</v>
      </c>
      <c r="Q249" t="n">
        <v>0</v>
      </c>
      <c r="R249" s="2" t="inlineStr"/>
    </row>
    <row r="250" ht="15" customHeight="1">
      <c r="A250" t="inlineStr">
        <is>
          <t>A 60328-2024</t>
        </is>
      </c>
      <c r="B250" s="1" t="n">
        <v>45643.38416666666</v>
      </c>
      <c r="C250" s="1" t="n">
        <v>46075</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35016-2024</t>
        </is>
      </c>
      <c r="B251" s="1" t="n">
        <v>45527.59115740741</v>
      </c>
      <c r="C251" s="1" t="n">
        <v>46075</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38574-2025</t>
        </is>
      </c>
      <c r="B252" s="1" t="n">
        <v>45884.46390046296</v>
      </c>
      <c r="C252" s="1" t="n">
        <v>46075</v>
      </c>
      <c r="D252" t="inlineStr">
        <is>
          <t>VÄSTMANLANDS LÄN</t>
        </is>
      </c>
      <c r="E252" t="inlineStr">
        <is>
          <t>SALA</t>
        </is>
      </c>
      <c r="G252" t="n">
        <v>2.1</v>
      </c>
      <c r="H252" t="n">
        <v>0</v>
      </c>
      <c r="I252" t="n">
        <v>0</v>
      </c>
      <c r="J252" t="n">
        <v>0</v>
      </c>
      <c r="K252" t="n">
        <v>0</v>
      </c>
      <c r="L252" t="n">
        <v>0</v>
      </c>
      <c r="M252" t="n">
        <v>0</v>
      </c>
      <c r="N252" t="n">
        <v>0</v>
      </c>
      <c r="O252" t="n">
        <v>0</v>
      </c>
      <c r="P252" t="n">
        <v>0</v>
      </c>
      <c r="Q252" t="n">
        <v>0</v>
      </c>
      <c r="R252" s="2" t="inlineStr"/>
    </row>
    <row r="253" ht="15" customHeight="1">
      <c r="A253" t="inlineStr">
        <is>
          <t>A 25897-2024</t>
        </is>
      </c>
      <c r="B253" s="1" t="n">
        <v>45467.54435185185</v>
      </c>
      <c r="C253" s="1" t="n">
        <v>46075</v>
      </c>
      <c r="D253" t="inlineStr">
        <is>
          <t>VÄSTMANLANDS LÄN</t>
        </is>
      </c>
      <c r="E253" t="inlineStr">
        <is>
          <t>SALA</t>
        </is>
      </c>
      <c r="G253" t="n">
        <v>9.9</v>
      </c>
      <c r="H253" t="n">
        <v>0</v>
      </c>
      <c r="I253" t="n">
        <v>0</v>
      </c>
      <c r="J253" t="n">
        <v>0</v>
      </c>
      <c r="K253" t="n">
        <v>0</v>
      </c>
      <c r="L253" t="n">
        <v>0</v>
      </c>
      <c r="M253" t="n">
        <v>0</v>
      </c>
      <c r="N253" t="n">
        <v>0</v>
      </c>
      <c r="O253" t="n">
        <v>0</v>
      </c>
      <c r="P253" t="n">
        <v>0</v>
      </c>
      <c r="Q253" t="n">
        <v>0</v>
      </c>
      <c r="R253" s="2" t="inlineStr"/>
    </row>
    <row r="254" ht="15" customHeight="1">
      <c r="A254" t="inlineStr">
        <is>
          <t>A 31072-2021</t>
        </is>
      </c>
      <c r="B254" s="1" t="n">
        <v>44368</v>
      </c>
      <c r="C254" s="1" t="n">
        <v>46075</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28278-2025</t>
        </is>
      </c>
      <c r="B255" s="1" t="n">
        <v>45818.58454861111</v>
      </c>
      <c r="C255" s="1" t="n">
        <v>46075</v>
      </c>
      <c r="D255" t="inlineStr">
        <is>
          <t>VÄSTMANLANDS LÄN</t>
        </is>
      </c>
      <c r="E255" t="inlineStr">
        <is>
          <t>SALA</t>
        </is>
      </c>
      <c r="G255" t="n">
        <v>7.6</v>
      </c>
      <c r="H255" t="n">
        <v>0</v>
      </c>
      <c r="I255" t="n">
        <v>0</v>
      </c>
      <c r="J255" t="n">
        <v>0</v>
      </c>
      <c r="K255" t="n">
        <v>0</v>
      </c>
      <c r="L255" t="n">
        <v>0</v>
      </c>
      <c r="M255" t="n">
        <v>0</v>
      </c>
      <c r="N255" t="n">
        <v>0</v>
      </c>
      <c r="O255" t="n">
        <v>0</v>
      </c>
      <c r="P255" t="n">
        <v>0</v>
      </c>
      <c r="Q255" t="n">
        <v>0</v>
      </c>
      <c r="R255" s="2" t="inlineStr"/>
    </row>
    <row r="256" ht="15" customHeight="1">
      <c r="A256" t="inlineStr">
        <is>
          <t>A 28628-2025</t>
        </is>
      </c>
      <c r="B256" s="1" t="n">
        <v>45819.62158564815</v>
      </c>
      <c r="C256" s="1" t="n">
        <v>46075</v>
      </c>
      <c r="D256" t="inlineStr">
        <is>
          <t>VÄSTMANLANDS LÄN</t>
        </is>
      </c>
      <c r="E256" t="inlineStr">
        <is>
          <t>SALA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28632-2025</t>
        </is>
      </c>
      <c r="B257" s="1" t="n">
        <v>45819.62344907408</v>
      </c>
      <c r="C257" s="1" t="n">
        <v>46075</v>
      </c>
      <c r="D257" t="inlineStr">
        <is>
          <t>VÄSTMANLANDS LÄN</t>
        </is>
      </c>
      <c r="E257" t="inlineStr">
        <is>
          <t>SALA</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28630-2025</t>
        </is>
      </c>
      <c r="B258" s="1" t="n">
        <v>45819.62274305556</v>
      </c>
      <c r="C258" s="1" t="n">
        <v>46075</v>
      </c>
      <c r="D258" t="inlineStr">
        <is>
          <t>VÄSTMANLANDS LÄN</t>
        </is>
      </c>
      <c r="E258" t="inlineStr">
        <is>
          <t>SALA</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57371-2022</t>
        </is>
      </c>
      <c r="B259" s="1" t="n">
        <v>44896.43832175926</v>
      </c>
      <c r="C259" s="1" t="n">
        <v>46075</v>
      </c>
      <c r="D259" t="inlineStr">
        <is>
          <t>VÄSTMANLANDS LÄN</t>
        </is>
      </c>
      <c r="E259" t="inlineStr">
        <is>
          <t>SALA</t>
        </is>
      </c>
      <c r="G259" t="n">
        <v>0.7</v>
      </c>
      <c r="H259" t="n">
        <v>0</v>
      </c>
      <c r="I259" t="n">
        <v>0</v>
      </c>
      <c r="J259" t="n">
        <v>0</v>
      </c>
      <c r="K259" t="n">
        <v>0</v>
      </c>
      <c r="L259" t="n">
        <v>0</v>
      </c>
      <c r="M259" t="n">
        <v>0</v>
      </c>
      <c r="N259" t="n">
        <v>0</v>
      </c>
      <c r="O259" t="n">
        <v>0</v>
      </c>
      <c r="P259" t="n">
        <v>0</v>
      </c>
      <c r="Q259" t="n">
        <v>0</v>
      </c>
      <c r="R259" s="2" t="inlineStr"/>
    </row>
    <row r="260" ht="15" customHeight="1">
      <c r="A260" t="inlineStr">
        <is>
          <t>A 22019-2021</t>
        </is>
      </c>
      <c r="B260" s="1" t="n">
        <v>44323</v>
      </c>
      <c r="C260" s="1" t="n">
        <v>46075</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55784-2024</t>
        </is>
      </c>
      <c r="B261" s="1" t="n">
        <v>45623</v>
      </c>
      <c r="C261" s="1" t="n">
        <v>46075</v>
      </c>
      <c r="D261" t="inlineStr">
        <is>
          <t>VÄSTMANLANDS LÄN</t>
        </is>
      </c>
      <c r="E261" t="inlineStr">
        <is>
          <t>SALA</t>
        </is>
      </c>
      <c r="F261" t="inlineStr">
        <is>
          <t>Bergvik skog öst AB</t>
        </is>
      </c>
      <c r="G261" t="n">
        <v>28.4</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46075</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44294.50096064815</v>
      </c>
      <c r="C263" s="1" t="n">
        <v>46075</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28837-2025</t>
        </is>
      </c>
      <c r="B264" s="1" t="n">
        <v>45820.56243055555</v>
      </c>
      <c r="C264" s="1" t="n">
        <v>46075</v>
      </c>
      <c r="D264" t="inlineStr">
        <is>
          <t>VÄSTMANLANDS LÄN</t>
        </is>
      </c>
      <c r="E264" t="inlineStr">
        <is>
          <t>SALA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28849-2025</t>
        </is>
      </c>
      <c r="B265" s="1" t="n">
        <v>45820</v>
      </c>
      <c r="C265" s="1" t="n">
        <v>46075</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16651-2021</t>
        </is>
      </c>
      <c r="B266" s="1" t="n">
        <v>44294.50096064815</v>
      </c>
      <c r="C266" s="1" t="n">
        <v>46075</v>
      </c>
      <c r="D266" t="inlineStr">
        <is>
          <t>VÄSTMANLANDS LÄN</t>
        </is>
      </c>
      <c r="E266" t="inlineStr">
        <is>
          <t>SALA</t>
        </is>
      </c>
      <c r="G266" t="n">
        <v>7.7</v>
      </c>
      <c r="H266" t="n">
        <v>0</v>
      </c>
      <c r="I266" t="n">
        <v>0</v>
      </c>
      <c r="J266" t="n">
        <v>0</v>
      </c>
      <c r="K266" t="n">
        <v>0</v>
      </c>
      <c r="L266" t="n">
        <v>0</v>
      </c>
      <c r="M266" t="n">
        <v>0</v>
      </c>
      <c r="N266" t="n">
        <v>0</v>
      </c>
      <c r="O266" t="n">
        <v>0</v>
      </c>
      <c r="P266" t="n">
        <v>0</v>
      </c>
      <c r="Q266" t="n">
        <v>0</v>
      </c>
      <c r="R266" s="2" t="inlineStr"/>
    </row>
    <row r="267" ht="15" customHeight="1">
      <c r="A267" t="inlineStr">
        <is>
          <t>A 19803-2024</t>
        </is>
      </c>
      <c r="B267" s="1" t="n">
        <v>45432</v>
      </c>
      <c r="C267" s="1" t="n">
        <v>46075</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29085-2025</t>
        </is>
      </c>
      <c r="B268" s="1" t="n">
        <v>45821</v>
      </c>
      <c r="C268" s="1" t="n">
        <v>46075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7196-2025</t>
        </is>
      </c>
      <c r="B269" s="1" t="n">
        <v>45702</v>
      </c>
      <c r="C269" s="1" t="n">
        <v>46075</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29691-2025</t>
        </is>
      </c>
      <c r="B270" s="1" t="n">
        <v>45825.53645833334</v>
      </c>
      <c r="C270" s="1" t="n">
        <v>46075</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60541-2024</t>
        </is>
      </c>
      <c r="B271" s="1" t="n">
        <v>45643</v>
      </c>
      <c r="C271" s="1" t="n">
        <v>46075</v>
      </c>
      <c r="D271" t="inlineStr">
        <is>
          <t>VÄSTMANLANDS LÄN</t>
        </is>
      </c>
      <c r="E271" t="inlineStr">
        <is>
          <t>SALA</t>
        </is>
      </c>
      <c r="G271" t="n">
        <v>10.6</v>
      </c>
      <c r="H271" t="n">
        <v>0</v>
      </c>
      <c r="I271" t="n">
        <v>0</v>
      </c>
      <c r="J271" t="n">
        <v>0</v>
      </c>
      <c r="K271" t="n">
        <v>0</v>
      </c>
      <c r="L271" t="n">
        <v>0</v>
      </c>
      <c r="M271" t="n">
        <v>0</v>
      </c>
      <c r="N271" t="n">
        <v>0</v>
      </c>
      <c r="O271" t="n">
        <v>0</v>
      </c>
      <c r="P271" t="n">
        <v>0</v>
      </c>
      <c r="Q271" t="n">
        <v>0</v>
      </c>
      <c r="R271" s="2" t="inlineStr"/>
    </row>
    <row r="272" ht="15" customHeight="1">
      <c r="A272" t="inlineStr">
        <is>
          <t>A 40597-2022</t>
        </is>
      </c>
      <c r="B272" s="1" t="n">
        <v>44823.84862268518</v>
      </c>
      <c r="C272" s="1" t="n">
        <v>46075</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39167-2025</t>
        </is>
      </c>
      <c r="B273" s="1" t="n">
        <v>45888</v>
      </c>
      <c r="C273" s="1" t="n">
        <v>46075</v>
      </c>
      <c r="D273" t="inlineStr">
        <is>
          <t>VÄSTMANLANDS LÄN</t>
        </is>
      </c>
      <c r="E273" t="inlineStr">
        <is>
          <t>SALA</t>
        </is>
      </c>
      <c r="G273" t="n">
        <v>5.5</v>
      </c>
      <c r="H273" t="n">
        <v>0</v>
      </c>
      <c r="I273" t="n">
        <v>0</v>
      </c>
      <c r="J273" t="n">
        <v>0</v>
      </c>
      <c r="K273" t="n">
        <v>0</v>
      </c>
      <c r="L273" t="n">
        <v>0</v>
      </c>
      <c r="M273" t="n">
        <v>0</v>
      </c>
      <c r="N273" t="n">
        <v>0</v>
      </c>
      <c r="O273" t="n">
        <v>0</v>
      </c>
      <c r="P273" t="n">
        <v>0</v>
      </c>
      <c r="Q273" t="n">
        <v>0</v>
      </c>
      <c r="R273" s="2" t="inlineStr"/>
    </row>
    <row r="274" ht="15" customHeight="1">
      <c r="A274" t="inlineStr">
        <is>
          <t>A 39182-2025</t>
        </is>
      </c>
      <c r="B274" s="1" t="n">
        <v>45888.66204861111</v>
      </c>
      <c r="C274" s="1" t="n">
        <v>46075</v>
      </c>
      <c r="D274" t="inlineStr">
        <is>
          <t>VÄSTMANLANDS LÄN</t>
        </is>
      </c>
      <c r="E274" t="inlineStr">
        <is>
          <t>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46075</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64925-2023</t>
        </is>
      </c>
      <c r="B276" s="1" t="n">
        <v>45282</v>
      </c>
      <c r="C276" s="1" t="n">
        <v>46075</v>
      </c>
      <c r="D276" t="inlineStr">
        <is>
          <t>VÄSTMANLANDS LÄN</t>
        </is>
      </c>
      <c r="E276" t="inlineStr">
        <is>
          <t>SALA</t>
        </is>
      </c>
      <c r="G276" t="n">
        <v>2.5</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46075</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23406-2024</t>
        </is>
      </c>
      <c r="B278" s="1" t="n">
        <v>45453.58296296297</v>
      </c>
      <c r="C278" s="1" t="n">
        <v>46075</v>
      </c>
      <c r="D278" t="inlineStr">
        <is>
          <t>VÄSTMANLANDS LÄN</t>
        </is>
      </c>
      <c r="E278" t="inlineStr">
        <is>
          <t>SALA</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16133-2025</t>
        </is>
      </c>
      <c r="B279" s="1" t="n">
        <v>45750</v>
      </c>
      <c r="C279" s="1" t="n">
        <v>46075</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15099-2025</t>
        </is>
      </c>
      <c r="B280" s="1" t="n">
        <v>45744.3434837963</v>
      </c>
      <c r="C280" s="1" t="n">
        <v>46075</v>
      </c>
      <c r="D280" t="inlineStr">
        <is>
          <t>VÄSTMANLANDS LÄN</t>
        </is>
      </c>
      <c r="E280" t="inlineStr">
        <is>
          <t>SALA</t>
        </is>
      </c>
      <c r="F280" t="inlineStr">
        <is>
          <t>Sveaskog</t>
        </is>
      </c>
      <c r="G280" t="n">
        <v>14.4</v>
      </c>
      <c r="H280" t="n">
        <v>0</v>
      </c>
      <c r="I280" t="n">
        <v>0</v>
      </c>
      <c r="J280" t="n">
        <v>0</v>
      </c>
      <c r="K280" t="n">
        <v>0</v>
      </c>
      <c r="L280" t="n">
        <v>0</v>
      </c>
      <c r="M280" t="n">
        <v>0</v>
      </c>
      <c r="N280" t="n">
        <v>0</v>
      </c>
      <c r="O280" t="n">
        <v>0</v>
      </c>
      <c r="P280" t="n">
        <v>0</v>
      </c>
      <c r="Q280" t="n">
        <v>0</v>
      </c>
      <c r="R280" s="2" t="inlineStr"/>
    </row>
    <row r="281" ht="15" customHeight="1">
      <c r="A281" t="inlineStr">
        <is>
          <t>A 60036-2024</t>
        </is>
      </c>
      <c r="B281" s="1" t="n">
        <v>45642.46434027778</v>
      </c>
      <c r="C281" s="1" t="n">
        <v>46075</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52827-2024</t>
        </is>
      </c>
      <c r="B282" s="1" t="n">
        <v>45610</v>
      </c>
      <c r="C282" s="1" t="n">
        <v>46075</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31608-2025</t>
        </is>
      </c>
      <c r="B283" s="1" t="n">
        <v>45833</v>
      </c>
      <c r="C283" s="1" t="n">
        <v>46075</v>
      </c>
      <c r="D283" t="inlineStr">
        <is>
          <t>VÄSTMANLANDS LÄN</t>
        </is>
      </c>
      <c r="E283" t="inlineStr">
        <is>
          <t>SALA</t>
        </is>
      </c>
      <c r="G283" t="n">
        <v>6.1</v>
      </c>
      <c r="H283" t="n">
        <v>0</v>
      </c>
      <c r="I283" t="n">
        <v>0</v>
      </c>
      <c r="J283" t="n">
        <v>0</v>
      </c>
      <c r="K283" t="n">
        <v>0</v>
      </c>
      <c r="L283" t="n">
        <v>0</v>
      </c>
      <c r="M283" t="n">
        <v>0</v>
      </c>
      <c r="N283" t="n">
        <v>0</v>
      </c>
      <c r="O283" t="n">
        <v>0</v>
      </c>
      <c r="P283" t="n">
        <v>0</v>
      </c>
      <c r="Q283" t="n">
        <v>0</v>
      </c>
      <c r="R283" s="2" t="inlineStr"/>
    </row>
    <row r="284" ht="15" customHeight="1">
      <c r="A284" t="inlineStr">
        <is>
          <t>A 40559-2025</t>
        </is>
      </c>
      <c r="B284" s="1" t="n">
        <v>45896.45037037037</v>
      </c>
      <c r="C284" s="1" t="n">
        <v>46075</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40556-2025</t>
        </is>
      </c>
      <c r="B285" s="1" t="n">
        <v>45896.44944444444</v>
      </c>
      <c r="C285" s="1" t="n">
        <v>46075</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30866-2025</t>
        </is>
      </c>
      <c r="B286" s="1" t="n">
        <v>45832.3246875</v>
      </c>
      <c r="C286" s="1" t="n">
        <v>46075</v>
      </c>
      <c r="D286" t="inlineStr">
        <is>
          <t>VÄSTMANLANDS LÄN</t>
        </is>
      </c>
      <c r="E286" t="inlineStr">
        <is>
          <t>SALA</t>
        </is>
      </c>
      <c r="G286" t="n">
        <v>14.3</v>
      </c>
      <c r="H286" t="n">
        <v>0</v>
      </c>
      <c r="I286" t="n">
        <v>0</v>
      </c>
      <c r="J286" t="n">
        <v>0</v>
      </c>
      <c r="K286" t="n">
        <v>0</v>
      </c>
      <c r="L286" t="n">
        <v>0</v>
      </c>
      <c r="M286" t="n">
        <v>0</v>
      </c>
      <c r="N286" t="n">
        <v>0</v>
      </c>
      <c r="O286" t="n">
        <v>0</v>
      </c>
      <c r="P286" t="n">
        <v>0</v>
      </c>
      <c r="Q286" t="n">
        <v>0</v>
      </c>
      <c r="R286" s="2" t="inlineStr"/>
    </row>
    <row r="287" ht="15" customHeight="1">
      <c r="A287" t="inlineStr">
        <is>
          <t>A 40620-2025</t>
        </is>
      </c>
      <c r="B287" s="1" t="n">
        <v>45896.58609953704</v>
      </c>
      <c r="C287" s="1" t="n">
        <v>46075</v>
      </c>
      <c r="D287" t="inlineStr">
        <is>
          <t>VÄSTMANLANDS LÄN</t>
        </is>
      </c>
      <c r="E287" t="inlineStr">
        <is>
          <t>SALA</t>
        </is>
      </c>
      <c r="G287" t="n">
        <v>6.7</v>
      </c>
      <c r="H287" t="n">
        <v>0</v>
      </c>
      <c r="I287" t="n">
        <v>0</v>
      </c>
      <c r="J287" t="n">
        <v>0</v>
      </c>
      <c r="K287" t="n">
        <v>0</v>
      </c>
      <c r="L287" t="n">
        <v>0</v>
      </c>
      <c r="M287" t="n">
        <v>0</v>
      </c>
      <c r="N287" t="n">
        <v>0</v>
      </c>
      <c r="O287" t="n">
        <v>0</v>
      </c>
      <c r="P287" t="n">
        <v>0</v>
      </c>
      <c r="Q287" t="n">
        <v>0</v>
      </c>
      <c r="R287" s="2" t="inlineStr"/>
    </row>
    <row r="288" ht="15" customHeight="1">
      <c r="A288" t="inlineStr">
        <is>
          <t>A 30874-2025</t>
        </is>
      </c>
      <c r="B288" s="1" t="n">
        <v>45832.34430555555</v>
      </c>
      <c r="C288" s="1" t="n">
        <v>46075</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31573-2025</t>
        </is>
      </c>
      <c r="B289" s="1" t="n">
        <v>45833</v>
      </c>
      <c r="C289" s="1" t="n">
        <v>46075</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31288-2025</t>
        </is>
      </c>
      <c r="B290" s="1" t="n">
        <v>45833</v>
      </c>
      <c r="C290" s="1" t="n">
        <v>46075</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31554-2025</t>
        </is>
      </c>
      <c r="B291" s="1" t="n">
        <v>45833</v>
      </c>
      <c r="C291" s="1" t="n">
        <v>46075</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16328-2025</t>
        </is>
      </c>
      <c r="B292" s="1" t="n">
        <v>45751</v>
      </c>
      <c r="C292" s="1" t="n">
        <v>46075</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30899-2025</t>
        </is>
      </c>
      <c r="B293" s="1" t="n">
        <v>45832.35767361111</v>
      </c>
      <c r="C293" s="1" t="n">
        <v>46075</v>
      </c>
      <c r="D293" t="inlineStr">
        <is>
          <t>VÄSTMANLANDS LÄN</t>
        </is>
      </c>
      <c r="E293" t="inlineStr">
        <is>
          <t>SALA</t>
        </is>
      </c>
      <c r="G293" t="n">
        <v>3.1</v>
      </c>
      <c r="H293" t="n">
        <v>0</v>
      </c>
      <c r="I293" t="n">
        <v>0</v>
      </c>
      <c r="J293" t="n">
        <v>0</v>
      </c>
      <c r="K293" t="n">
        <v>0</v>
      </c>
      <c r="L293" t="n">
        <v>0</v>
      </c>
      <c r="M293" t="n">
        <v>0</v>
      </c>
      <c r="N293" t="n">
        <v>0</v>
      </c>
      <c r="O293" t="n">
        <v>0</v>
      </c>
      <c r="P293" t="n">
        <v>0</v>
      </c>
      <c r="Q293" t="n">
        <v>0</v>
      </c>
      <c r="R293" s="2" t="inlineStr"/>
    </row>
    <row r="294" ht="15" customHeight="1">
      <c r="A294" t="inlineStr">
        <is>
          <t>A 31065-2025</t>
        </is>
      </c>
      <c r="B294" s="1" t="n">
        <v>45832.57571759259</v>
      </c>
      <c r="C294" s="1" t="n">
        <v>46075</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41230-2025</t>
        </is>
      </c>
      <c r="B295" s="1" t="n">
        <v>45898</v>
      </c>
      <c r="C295" s="1" t="n">
        <v>46075</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31296-2025</t>
        </is>
      </c>
      <c r="B296" s="1" t="n">
        <v>45833.36765046296</v>
      </c>
      <c r="C296" s="1" t="n">
        <v>46075</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66908-2021</t>
        </is>
      </c>
      <c r="B297" s="1" t="n">
        <v>44522</v>
      </c>
      <c r="C297" s="1" t="n">
        <v>46075</v>
      </c>
      <c r="D297" t="inlineStr">
        <is>
          <t>VÄSTMANLANDS LÄN</t>
        </is>
      </c>
      <c r="E297" t="inlineStr">
        <is>
          <t>SALA</t>
        </is>
      </c>
      <c r="G297" t="n">
        <v>2.6</v>
      </c>
      <c r="H297" t="n">
        <v>0</v>
      </c>
      <c r="I297" t="n">
        <v>0</v>
      </c>
      <c r="J297" t="n">
        <v>0</v>
      </c>
      <c r="K297" t="n">
        <v>0</v>
      </c>
      <c r="L297" t="n">
        <v>0</v>
      </c>
      <c r="M297" t="n">
        <v>0</v>
      </c>
      <c r="N297" t="n">
        <v>0</v>
      </c>
      <c r="O297" t="n">
        <v>0</v>
      </c>
      <c r="P297" t="n">
        <v>0</v>
      </c>
      <c r="Q297" t="n">
        <v>0</v>
      </c>
      <c r="R297" s="2" t="inlineStr"/>
    </row>
    <row r="298" ht="15" customHeight="1">
      <c r="A298" t="inlineStr">
        <is>
          <t>A 73835-2021</t>
        </is>
      </c>
      <c r="B298" s="1" t="n">
        <v>44552.92112268518</v>
      </c>
      <c r="C298" s="1" t="n">
        <v>46075</v>
      </c>
      <c r="D298" t="inlineStr">
        <is>
          <t>VÄSTMANLANDS LÄN</t>
        </is>
      </c>
      <c r="E298" t="inlineStr">
        <is>
          <t>SALA</t>
        </is>
      </c>
      <c r="G298" t="n">
        <v>2</v>
      </c>
      <c r="H298" t="n">
        <v>0</v>
      </c>
      <c r="I298" t="n">
        <v>0</v>
      </c>
      <c r="J298" t="n">
        <v>0</v>
      </c>
      <c r="K298" t="n">
        <v>0</v>
      </c>
      <c r="L298" t="n">
        <v>0</v>
      </c>
      <c r="M298" t="n">
        <v>0</v>
      </c>
      <c r="N298" t="n">
        <v>0</v>
      </c>
      <c r="O298" t="n">
        <v>0</v>
      </c>
      <c r="P298" t="n">
        <v>0</v>
      </c>
      <c r="Q298" t="n">
        <v>0</v>
      </c>
      <c r="R298" s="2" t="inlineStr"/>
    </row>
    <row r="299" ht="15" customHeight="1">
      <c r="A299" t="inlineStr">
        <is>
          <t>A 31748-2025</t>
        </is>
      </c>
      <c r="B299" s="1" t="n">
        <v>45834</v>
      </c>
      <c r="C299" s="1" t="n">
        <v>46075</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32210-2025</t>
        </is>
      </c>
      <c r="B300" s="1" t="n">
        <v>45835</v>
      </c>
      <c r="C300" s="1" t="n">
        <v>46075</v>
      </c>
      <c r="D300" t="inlineStr">
        <is>
          <t>VÄSTMANLANDS LÄN</t>
        </is>
      </c>
      <c r="E300" t="inlineStr">
        <is>
          <t>SALA</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41414-2025</t>
        </is>
      </c>
      <c r="B301" s="1" t="n">
        <v>45901.360625</v>
      </c>
      <c r="C301" s="1" t="n">
        <v>46075</v>
      </c>
      <c r="D301" t="inlineStr">
        <is>
          <t>VÄSTMANLANDS LÄN</t>
        </is>
      </c>
      <c r="E301" t="inlineStr">
        <is>
          <t>SALA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3810-2023</t>
        </is>
      </c>
      <c r="B302" s="1" t="n">
        <v>44951.60454861111</v>
      </c>
      <c r="C302" s="1" t="n">
        <v>46075</v>
      </c>
      <c r="D302" t="inlineStr">
        <is>
          <t>VÄSTMANLANDS LÄN</t>
        </is>
      </c>
      <c r="E302" t="inlineStr">
        <is>
          <t>SALA</t>
        </is>
      </c>
      <c r="G302" t="n">
        <v>4.2</v>
      </c>
      <c r="H302" t="n">
        <v>0</v>
      </c>
      <c r="I302" t="n">
        <v>0</v>
      </c>
      <c r="J302" t="n">
        <v>0</v>
      </c>
      <c r="K302" t="n">
        <v>0</v>
      </c>
      <c r="L302" t="n">
        <v>0</v>
      </c>
      <c r="M302" t="n">
        <v>0</v>
      </c>
      <c r="N302" t="n">
        <v>0</v>
      </c>
      <c r="O302" t="n">
        <v>0</v>
      </c>
      <c r="P302" t="n">
        <v>0</v>
      </c>
      <c r="Q302" t="n">
        <v>0</v>
      </c>
      <c r="R302" s="2" t="inlineStr"/>
    </row>
    <row r="303" ht="15" customHeight="1">
      <c r="A303" t="inlineStr">
        <is>
          <t>A 61717-2024</t>
        </is>
      </c>
      <c r="B303" s="1" t="n">
        <v>45648</v>
      </c>
      <c r="C303" s="1" t="n">
        <v>46075</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53164-2024</t>
        </is>
      </c>
      <c r="B304" s="1" t="n">
        <v>45611.64887731482</v>
      </c>
      <c r="C304" s="1" t="n">
        <v>46075</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41431-2025</t>
        </is>
      </c>
      <c r="B305" s="1" t="n">
        <v>45901.39347222223</v>
      </c>
      <c r="C305" s="1" t="n">
        <v>46075</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31610-2025</t>
        </is>
      </c>
      <c r="B306" s="1" t="n">
        <v>45833.78650462963</v>
      </c>
      <c r="C306" s="1" t="n">
        <v>46075</v>
      </c>
      <c r="D306" t="inlineStr">
        <is>
          <t>VÄSTMANLANDS LÄN</t>
        </is>
      </c>
      <c r="E306" t="inlineStr">
        <is>
          <t>SALA</t>
        </is>
      </c>
      <c r="G306" t="n">
        <v>8</v>
      </c>
      <c r="H306" t="n">
        <v>0</v>
      </c>
      <c r="I306" t="n">
        <v>0</v>
      </c>
      <c r="J306" t="n">
        <v>0</v>
      </c>
      <c r="K306" t="n">
        <v>0</v>
      </c>
      <c r="L306" t="n">
        <v>0</v>
      </c>
      <c r="M306" t="n">
        <v>0</v>
      </c>
      <c r="N306" t="n">
        <v>0</v>
      </c>
      <c r="O306" t="n">
        <v>0</v>
      </c>
      <c r="P306" t="n">
        <v>0</v>
      </c>
      <c r="Q306" t="n">
        <v>0</v>
      </c>
      <c r="R306" s="2" t="inlineStr"/>
    </row>
    <row r="307" ht="15" customHeight="1">
      <c r="A307" t="inlineStr">
        <is>
          <t>A 32201-2025</t>
        </is>
      </c>
      <c r="B307" s="1" t="n">
        <v>45835</v>
      </c>
      <c r="C307" s="1" t="n">
        <v>46075</v>
      </c>
      <c r="D307" t="inlineStr">
        <is>
          <t>VÄSTMANLANDS LÄN</t>
        </is>
      </c>
      <c r="E307" t="inlineStr">
        <is>
          <t>SALA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31612-2025</t>
        </is>
      </c>
      <c r="B308" s="1" t="n">
        <v>45833.80056712963</v>
      </c>
      <c r="C308" s="1" t="n">
        <v>46075</v>
      </c>
      <c r="D308" t="inlineStr">
        <is>
          <t>VÄSTMANLANDS LÄN</t>
        </is>
      </c>
      <c r="E308" t="inlineStr">
        <is>
          <t>SALA</t>
        </is>
      </c>
      <c r="G308" t="n">
        <v>6.3</v>
      </c>
      <c r="H308" t="n">
        <v>0</v>
      </c>
      <c r="I308" t="n">
        <v>0</v>
      </c>
      <c r="J308" t="n">
        <v>0</v>
      </c>
      <c r="K308" t="n">
        <v>0</v>
      </c>
      <c r="L308" t="n">
        <v>0</v>
      </c>
      <c r="M308" t="n">
        <v>0</v>
      </c>
      <c r="N308" t="n">
        <v>0</v>
      </c>
      <c r="O308" t="n">
        <v>0</v>
      </c>
      <c r="P308" t="n">
        <v>0</v>
      </c>
      <c r="Q308" t="n">
        <v>0</v>
      </c>
      <c r="R308" s="2" t="inlineStr"/>
    </row>
    <row r="309" ht="15" customHeight="1">
      <c r="A309" t="inlineStr">
        <is>
          <t>A 32207-2025</t>
        </is>
      </c>
      <c r="B309" s="1" t="n">
        <v>45835</v>
      </c>
      <c r="C309" s="1" t="n">
        <v>46075</v>
      </c>
      <c r="D309" t="inlineStr">
        <is>
          <t>VÄSTMANLANDS LÄN</t>
        </is>
      </c>
      <c r="E309" t="inlineStr">
        <is>
          <t>SALA</t>
        </is>
      </c>
      <c r="F309" t="inlineStr">
        <is>
          <t>Bergvik skog öst AB</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31762-2025</t>
        </is>
      </c>
      <c r="B310" s="1" t="n">
        <v>45834.49288194445</v>
      </c>
      <c r="C310" s="1" t="n">
        <v>46075</v>
      </c>
      <c r="D310" t="inlineStr">
        <is>
          <t>VÄSTMANLANDS LÄN</t>
        </is>
      </c>
      <c r="E310" t="inlineStr">
        <is>
          <t>SALA</t>
        </is>
      </c>
      <c r="G310" t="n">
        <v>5.9</v>
      </c>
      <c r="H310" t="n">
        <v>0</v>
      </c>
      <c r="I310" t="n">
        <v>0</v>
      </c>
      <c r="J310" t="n">
        <v>0</v>
      </c>
      <c r="K310" t="n">
        <v>0</v>
      </c>
      <c r="L310" t="n">
        <v>0</v>
      </c>
      <c r="M310" t="n">
        <v>0</v>
      </c>
      <c r="N310" t="n">
        <v>0</v>
      </c>
      <c r="O310" t="n">
        <v>0</v>
      </c>
      <c r="P310" t="n">
        <v>0</v>
      </c>
      <c r="Q310" t="n">
        <v>0</v>
      </c>
      <c r="R310" s="2" t="inlineStr"/>
    </row>
    <row r="311" ht="15" customHeight="1">
      <c r="A311" t="inlineStr">
        <is>
          <t>A 31771-2025</t>
        </is>
      </c>
      <c r="B311" s="1" t="n">
        <v>45834.50910879629</v>
      </c>
      <c r="C311" s="1" t="n">
        <v>46075</v>
      </c>
      <c r="D311" t="inlineStr">
        <is>
          <t>VÄSTMANLANDS LÄN</t>
        </is>
      </c>
      <c r="E311" t="inlineStr">
        <is>
          <t>SALA</t>
        </is>
      </c>
      <c r="G311" t="n">
        <v>5.1</v>
      </c>
      <c r="H311" t="n">
        <v>0</v>
      </c>
      <c r="I311" t="n">
        <v>0</v>
      </c>
      <c r="J311" t="n">
        <v>0</v>
      </c>
      <c r="K311" t="n">
        <v>0</v>
      </c>
      <c r="L311" t="n">
        <v>0</v>
      </c>
      <c r="M311" t="n">
        <v>0</v>
      </c>
      <c r="N311" t="n">
        <v>0</v>
      </c>
      <c r="O311" t="n">
        <v>0</v>
      </c>
      <c r="P311" t="n">
        <v>0</v>
      </c>
      <c r="Q311" t="n">
        <v>0</v>
      </c>
      <c r="R311" s="2" t="inlineStr"/>
    </row>
    <row r="312" ht="15" customHeight="1">
      <c r="A312" t="inlineStr">
        <is>
          <t>A 32205-2025</t>
        </is>
      </c>
      <c r="B312" s="1" t="n">
        <v>45835</v>
      </c>
      <c r="C312" s="1" t="n">
        <v>46075</v>
      </c>
      <c r="D312" t="inlineStr">
        <is>
          <t>VÄSTMANLANDS LÄN</t>
        </is>
      </c>
      <c r="E312" t="inlineStr">
        <is>
          <t>SALA</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32286-2025</t>
        </is>
      </c>
      <c r="B313" s="1" t="n">
        <v>45835</v>
      </c>
      <c r="C313" s="1" t="n">
        <v>46075</v>
      </c>
      <c r="D313" t="inlineStr">
        <is>
          <t>VÄSTMANLANDS LÄN</t>
        </is>
      </c>
      <c r="E313" t="inlineStr">
        <is>
          <t>SALA</t>
        </is>
      </c>
      <c r="G313" t="n">
        <v>6.4</v>
      </c>
      <c r="H313" t="n">
        <v>0</v>
      </c>
      <c r="I313" t="n">
        <v>0</v>
      </c>
      <c r="J313" t="n">
        <v>0</v>
      </c>
      <c r="K313" t="n">
        <v>0</v>
      </c>
      <c r="L313" t="n">
        <v>0</v>
      </c>
      <c r="M313" t="n">
        <v>0</v>
      </c>
      <c r="N313" t="n">
        <v>0</v>
      </c>
      <c r="O313" t="n">
        <v>0</v>
      </c>
      <c r="P313" t="n">
        <v>0</v>
      </c>
      <c r="Q313" t="n">
        <v>0</v>
      </c>
      <c r="R313" s="2" t="inlineStr"/>
    </row>
    <row r="314" ht="15" customHeight="1">
      <c r="A314" t="inlineStr">
        <is>
          <t>A 12252-2023</t>
        </is>
      </c>
      <c r="B314" s="1" t="n">
        <v>44995</v>
      </c>
      <c r="C314" s="1" t="n">
        <v>46075</v>
      </c>
      <c r="D314" t="inlineStr">
        <is>
          <t>VÄSTMANLANDS LÄN</t>
        </is>
      </c>
      <c r="E314" t="inlineStr">
        <is>
          <t>SALA</t>
        </is>
      </c>
      <c r="G314" t="n">
        <v>2.6</v>
      </c>
      <c r="H314" t="n">
        <v>0</v>
      </c>
      <c r="I314" t="n">
        <v>0</v>
      </c>
      <c r="J314" t="n">
        <v>0</v>
      </c>
      <c r="K314" t="n">
        <v>0</v>
      </c>
      <c r="L314" t="n">
        <v>0</v>
      </c>
      <c r="M314" t="n">
        <v>0</v>
      </c>
      <c r="N314" t="n">
        <v>0</v>
      </c>
      <c r="O314" t="n">
        <v>0</v>
      </c>
      <c r="P314" t="n">
        <v>0</v>
      </c>
      <c r="Q314" t="n">
        <v>0</v>
      </c>
      <c r="R314" s="2" t="inlineStr"/>
    </row>
    <row r="315" ht="15" customHeight="1">
      <c r="A315" t="inlineStr">
        <is>
          <t>A 32902-2025</t>
        </is>
      </c>
      <c r="B315" s="1" t="n">
        <v>45839</v>
      </c>
      <c r="C315" s="1" t="n">
        <v>46075</v>
      </c>
      <c r="D315" t="inlineStr">
        <is>
          <t>VÄSTMANLANDS LÄN</t>
        </is>
      </c>
      <c r="E315" t="inlineStr">
        <is>
          <t>SALA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21968-2024</t>
        </is>
      </c>
      <c r="B316" s="1" t="n">
        <v>45443</v>
      </c>
      <c r="C316" s="1" t="n">
        <v>46075</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42421-2025</t>
        </is>
      </c>
      <c r="B317" s="1" t="n">
        <v>45905.40067129629</v>
      </c>
      <c r="C317" s="1" t="n">
        <v>46075</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25260-2023</t>
        </is>
      </c>
      <c r="B318" s="1" t="n">
        <v>45086</v>
      </c>
      <c r="C318" s="1" t="n">
        <v>46075</v>
      </c>
      <c r="D318" t="inlineStr">
        <is>
          <t>VÄSTMANLANDS LÄN</t>
        </is>
      </c>
      <c r="E318" t="inlineStr">
        <is>
          <t>SALA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57404-2024</t>
        </is>
      </c>
      <c r="B319" s="1" t="n">
        <v>45629.71967592592</v>
      </c>
      <c r="C319" s="1" t="n">
        <v>46075</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17495-2024</t>
        </is>
      </c>
      <c r="B320" s="1" t="n">
        <v>45415</v>
      </c>
      <c r="C320" s="1" t="n">
        <v>46075</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37263-2025</t>
        </is>
      </c>
      <c r="B321" s="1" t="n">
        <v>45876.4584837963</v>
      </c>
      <c r="C321" s="1" t="n">
        <v>46075</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43127-2025</t>
        </is>
      </c>
      <c r="B322" s="1" t="n">
        <v>45909</v>
      </c>
      <c r="C322" s="1" t="n">
        <v>46075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13128-2023</t>
        </is>
      </c>
      <c r="B323" s="1" t="n">
        <v>45002</v>
      </c>
      <c r="C323" s="1" t="n">
        <v>46075</v>
      </c>
      <c r="D323" t="inlineStr">
        <is>
          <t>VÄSTMANLANDS LÄN</t>
        </is>
      </c>
      <c r="E323" t="inlineStr">
        <is>
          <t>SALA</t>
        </is>
      </c>
      <c r="G323" t="n">
        <v>7.9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46075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40554-2025</t>
        </is>
      </c>
      <c r="B325" s="1" t="n">
        <v>45896.44506944445</v>
      </c>
      <c r="C325" s="1" t="n">
        <v>46075</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43129-2025</t>
        </is>
      </c>
      <c r="B326" s="1" t="n">
        <v>45909</v>
      </c>
      <c r="C326" s="1" t="n">
        <v>46075</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43130-2025</t>
        </is>
      </c>
      <c r="B327" s="1" t="n">
        <v>45909</v>
      </c>
      <c r="C327" s="1" t="n">
        <v>46075</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46075</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43031-2025</t>
        </is>
      </c>
      <c r="B329" s="1" t="n">
        <v>45909.53856481481</v>
      </c>
      <c r="C329" s="1" t="n">
        <v>46075</v>
      </c>
      <c r="D329" t="inlineStr">
        <is>
          <t>VÄSTMANLANDS LÄN</t>
        </is>
      </c>
      <c r="E329" t="inlineStr">
        <is>
          <t>SALA</t>
        </is>
      </c>
      <c r="G329" t="n">
        <v>0.2</v>
      </c>
      <c r="H329" t="n">
        <v>0</v>
      </c>
      <c r="I329" t="n">
        <v>0</v>
      </c>
      <c r="J329" t="n">
        <v>0</v>
      </c>
      <c r="K329" t="n">
        <v>0</v>
      </c>
      <c r="L329" t="n">
        <v>0</v>
      </c>
      <c r="M329" t="n">
        <v>0</v>
      </c>
      <c r="N329" t="n">
        <v>0</v>
      </c>
      <c r="O329" t="n">
        <v>0</v>
      </c>
      <c r="P329" t="n">
        <v>0</v>
      </c>
      <c r="Q329" t="n">
        <v>0</v>
      </c>
      <c r="R329" s="2" t="inlineStr"/>
    </row>
    <row r="330" ht="15" customHeight="1">
      <c r="A330" t="inlineStr">
        <is>
          <t>A 43328-2025</t>
        </is>
      </c>
      <c r="B330" s="1" t="n">
        <v>45910</v>
      </c>
      <c r="C330" s="1" t="n">
        <v>46075</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24864-2024</t>
        </is>
      </c>
      <c r="B331" s="1" t="n">
        <v>45461.48888888889</v>
      </c>
      <c r="C331" s="1" t="n">
        <v>46075</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46075</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34069-2025</t>
        </is>
      </c>
      <c r="B333" s="1" t="n">
        <v>45845.43560185185</v>
      </c>
      <c r="C333" s="1" t="n">
        <v>46075</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c r="U333">
        <f>HYPERLINK("https://klasma.github.io/Logging_1981/knärot/A 34069-2025 karta knärot.png", "A 34069-2025")</f>
        <v/>
      </c>
      <c r="V333">
        <f>HYPERLINK("https://klasma.github.io/Logging_1981/klagomål/A 34069-2025 FSC-klagomål.docx", "A 34069-2025")</f>
        <v/>
      </c>
      <c r="W333">
        <f>HYPERLINK("https://klasma.github.io/Logging_1981/klagomålsmail/A 34069-2025 FSC-klagomål mail.docx", "A 34069-2025")</f>
        <v/>
      </c>
      <c r="X333">
        <f>HYPERLINK("https://klasma.github.io/Logging_1981/tillsyn/A 34069-2025 tillsynsbegäran.docx", "A 34069-2025")</f>
        <v/>
      </c>
      <c r="Y333">
        <f>HYPERLINK("https://klasma.github.io/Logging_1981/tillsynsmail/A 34069-2025 tillsynsbegäran mail.docx", "A 34069-2025")</f>
        <v/>
      </c>
    </row>
    <row r="334" ht="15" customHeight="1">
      <c r="A334" t="inlineStr">
        <is>
          <t>A 44100-2025</t>
        </is>
      </c>
      <c r="B334" s="1" t="n">
        <v>45915.56707175926</v>
      </c>
      <c r="C334" s="1" t="n">
        <v>46075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15744-2025</t>
        </is>
      </c>
      <c r="B335" s="1" t="n">
        <v>45748</v>
      </c>
      <c r="C335" s="1" t="n">
        <v>46075</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44524-2025</t>
        </is>
      </c>
      <c r="B336" s="1" t="n">
        <v>45916.72920138889</v>
      </c>
      <c r="C336" s="1" t="n">
        <v>46075</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44486-2025</t>
        </is>
      </c>
      <c r="B337" s="1" t="n">
        <v>45916.65517361111</v>
      </c>
      <c r="C337" s="1" t="n">
        <v>46075</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45177-2025</t>
        </is>
      </c>
      <c r="B338" s="1" t="n">
        <v>45919.52444444445</v>
      </c>
      <c r="C338" s="1" t="n">
        <v>46075</v>
      </c>
      <c r="D338" t="inlineStr">
        <is>
          <t>VÄSTMANLANDS LÄN</t>
        </is>
      </c>
      <c r="E338" t="inlineStr">
        <is>
          <t>SALA</t>
        </is>
      </c>
      <c r="G338" t="n">
        <v>2.4</v>
      </c>
      <c r="H338" t="n">
        <v>0</v>
      </c>
      <c r="I338" t="n">
        <v>0</v>
      </c>
      <c r="J338" t="n">
        <v>0</v>
      </c>
      <c r="K338" t="n">
        <v>0</v>
      </c>
      <c r="L338" t="n">
        <v>0</v>
      </c>
      <c r="M338" t="n">
        <v>0</v>
      </c>
      <c r="N338" t="n">
        <v>0</v>
      </c>
      <c r="O338" t="n">
        <v>0</v>
      </c>
      <c r="P338" t="n">
        <v>0</v>
      </c>
      <c r="Q338" t="n">
        <v>0</v>
      </c>
      <c r="R338" s="2" t="inlineStr"/>
    </row>
    <row r="339" ht="15" customHeight="1">
      <c r="A339" t="inlineStr">
        <is>
          <t>A 28696-2023</t>
        </is>
      </c>
      <c r="B339" s="1" t="n">
        <v>45103.71759259259</v>
      </c>
      <c r="C339" s="1" t="n">
        <v>46075</v>
      </c>
      <c r="D339" t="inlineStr">
        <is>
          <t>VÄSTMANLANDS LÄN</t>
        </is>
      </c>
      <c r="E339" t="inlineStr">
        <is>
          <t>SALA</t>
        </is>
      </c>
      <c r="F339" t="inlineStr">
        <is>
          <t>Kommuner</t>
        </is>
      </c>
      <c r="G339" t="n">
        <v>5.9</v>
      </c>
      <c r="H339" t="n">
        <v>0</v>
      </c>
      <c r="I339" t="n">
        <v>0</v>
      </c>
      <c r="J339" t="n">
        <v>0</v>
      </c>
      <c r="K339" t="n">
        <v>0</v>
      </c>
      <c r="L339" t="n">
        <v>0</v>
      </c>
      <c r="M339" t="n">
        <v>0</v>
      </c>
      <c r="N339" t="n">
        <v>0</v>
      </c>
      <c r="O339" t="n">
        <v>0</v>
      </c>
      <c r="P339" t="n">
        <v>0</v>
      </c>
      <c r="Q339" t="n">
        <v>0</v>
      </c>
      <c r="R339" s="2" t="inlineStr"/>
    </row>
    <row r="340" ht="15" customHeight="1">
      <c r="A340" t="inlineStr">
        <is>
          <t>A 6691-2025</t>
        </is>
      </c>
      <c r="B340" s="1" t="n">
        <v>45700.50625</v>
      </c>
      <c r="C340" s="1" t="n">
        <v>46075</v>
      </c>
      <c r="D340" t="inlineStr">
        <is>
          <t>VÄSTMANLANDS LÄN</t>
        </is>
      </c>
      <c r="E340" t="inlineStr">
        <is>
          <t>SALA</t>
        </is>
      </c>
      <c r="G340" t="n">
        <v>2.1</v>
      </c>
      <c r="H340" t="n">
        <v>0</v>
      </c>
      <c r="I340" t="n">
        <v>0</v>
      </c>
      <c r="J340" t="n">
        <v>0</v>
      </c>
      <c r="K340" t="n">
        <v>0</v>
      </c>
      <c r="L340" t="n">
        <v>0</v>
      </c>
      <c r="M340" t="n">
        <v>0</v>
      </c>
      <c r="N340" t="n">
        <v>0</v>
      </c>
      <c r="O340" t="n">
        <v>0</v>
      </c>
      <c r="P340" t="n">
        <v>0</v>
      </c>
      <c r="Q340" t="n">
        <v>0</v>
      </c>
      <c r="R340" s="2" t="inlineStr"/>
    </row>
    <row r="341" ht="15" customHeight="1">
      <c r="A341" t="inlineStr">
        <is>
          <t>A 1934-2023</t>
        </is>
      </c>
      <c r="B341" s="1" t="n">
        <v>44939.43024305555</v>
      </c>
      <c r="C341" s="1" t="n">
        <v>46075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43122-2025</t>
        </is>
      </c>
      <c r="B342" s="1" t="n">
        <v>45909</v>
      </c>
      <c r="C342" s="1" t="n">
        <v>46075</v>
      </c>
      <c r="D342" t="inlineStr">
        <is>
          <t>VÄSTMANLANDS LÄN</t>
        </is>
      </c>
      <c r="E342" t="inlineStr">
        <is>
          <t>SALA</t>
        </is>
      </c>
      <c r="G342" t="n">
        <v>3.2</v>
      </c>
      <c r="H342" t="n">
        <v>0</v>
      </c>
      <c r="I342" t="n">
        <v>0</v>
      </c>
      <c r="J342" t="n">
        <v>0</v>
      </c>
      <c r="K342" t="n">
        <v>0</v>
      </c>
      <c r="L342" t="n">
        <v>0</v>
      </c>
      <c r="M342" t="n">
        <v>0</v>
      </c>
      <c r="N342" t="n">
        <v>0</v>
      </c>
      <c r="O342" t="n">
        <v>0</v>
      </c>
      <c r="P342" t="n">
        <v>0</v>
      </c>
      <c r="Q342" t="n">
        <v>0</v>
      </c>
      <c r="R342" s="2" t="inlineStr"/>
    </row>
    <row r="343" ht="15" customHeight="1">
      <c r="A343" t="inlineStr">
        <is>
          <t>A 35519-2024</t>
        </is>
      </c>
      <c r="B343" s="1" t="n">
        <v>45531</v>
      </c>
      <c r="C343" s="1" t="n">
        <v>46075</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35775-2025</t>
        </is>
      </c>
      <c r="B344" s="1" t="n">
        <v>45860</v>
      </c>
      <c r="C344" s="1" t="n">
        <v>46075</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35779-2025</t>
        </is>
      </c>
      <c r="B345" s="1" t="n">
        <v>45860.69495370371</v>
      </c>
      <c r="C345" s="1" t="n">
        <v>46075</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35776-2025</t>
        </is>
      </c>
      <c r="B346" s="1" t="n">
        <v>45860.69211805556</v>
      </c>
      <c r="C346" s="1" t="n">
        <v>46075</v>
      </c>
      <c r="D346" t="inlineStr">
        <is>
          <t>VÄSTMANLANDS LÄN</t>
        </is>
      </c>
      <c r="E346" t="inlineStr">
        <is>
          <t>SALA</t>
        </is>
      </c>
      <c r="G346" t="n">
        <v>14.2</v>
      </c>
      <c r="H346" t="n">
        <v>0</v>
      </c>
      <c r="I346" t="n">
        <v>0</v>
      </c>
      <c r="J346" t="n">
        <v>0</v>
      </c>
      <c r="K346" t="n">
        <v>0</v>
      </c>
      <c r="L346" t="n">
        <v>0</v>
      </c>
      <c r="M346" t="n">
        <v>0</v>
      </c>
      <c r="N346" t="n">
        <v>0</v>
      </c>
      <c r="O346" t="n">
        <v>0</v>
      </c>
      <c r="P346" t="n">
        <v>0</v>
      </c>
      <c r="Q346" t="n">
        <v>0</v>
      </c>
      <c r="R346" s="2" t="inlineStr"/>
    </row>
    <row r="347" ht="15" customHeight="1">
      <c r="A347" t="inlineStr">
        <is>
          <t>A 35715-2025</t>
        </is>
      </c>
      <c r="B347" s="1" t="n">
        <v>45860.42148148148</v>
      </c>
      <c r="C347" s="1" t="n">
        <v>46075</v>
      </c>
      <c r="D347" t="inlineStr">
        <is>
          <t>VÄSTMANLANDS LÄN</t>
        </is>
      </c>
      <c r="E347" t="inlineStr">
        <is>
          <t>SALA</t>
        </is>
      </c>
      <c r="G347" t="n">
        <v>3.8</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46075</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50241-2023</t>
        </is>
      </c>
      <c r="B349" s="1" t="n">
        <v>45216</v>
      </c>
      <c r="C349" s="1" t="n">
        <v>46075</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30971-2022</t>
        </is>
      </c>
      <c r="B350" s="1" t="n">
        <v>44768.46725694444</v>
      </c>
      <c r="C350" s="1" t="n">
        <v>46075</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35651-2025</t>
        </is>
      </c>
      <c r="B351" s="1" t="n">
        <v>45859.52435185185</v>
      </c>
      <c r="C351" s="1" t="n">
        <v>46075</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35774-2025</t>
        </is>
      </c>
      <c r="B352" s="1" t="n">
        <v>45860.68780092592</v>
      </c>
      <c r="C352" s="1" t="n">
        <v>46075</v>
      </c>
      <c r="D352" t="inlineStr">
        <is>
          <t>VÄSTMANLANDS LÄN</t>
        </is>
      </c>
      <c r="E352" t="inlineStr">
        <is>
          <t>SALA</t>
        </is>
      </c>
      <c r="G352" t="n">
        <v>6.5</v>
      </c>
      <c r="H352" t="n">
        <v>0</v>
      </c>
      <c r="I352" t="n">
        <v>0</v>
      </c>
      <c r="J352" t="n">
        <v>0</v>
      </c>
      <c r="K352" t="n">
        <v>0</v>
      </c>
      <c r="L352" t="n">
        <v>0</v>
      </c>
      <c r="M352" t="n">
        <v>0</v>
      </c>
      <c r="N352" t="n">
        <v>0</v>
      </c>
      <c r="O352" t="n">
        <v>0</v>
      </c>
      <c r="P352" t="n">
        <v>0</v>
      </c>
      <c r="Q352" t="n">
        <v>0</v>
      </c>
      <c r="R352" s="2" t="inlineStr"/>
    </row>
    <row r="353" ht="15" customHeight="1">
      <c r="A353" t="inlineStr">
        <is>
          <t>A 35637-2022</t>
        </is>
      </c>
      <c r="B353" s="1" t="n">
        <v>44799.55194444444</v>
      </c>
      <c r="C353" s="1" t="n">
        <v>46075</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19304-2025</t>
        </is>
      </c>
      <c r="B354" s="1" t="n">
        <v>45769</v>
      </c>
      <c r="C354" s="1" t="n">
        <v>46075</v>
      </c>
      <c r="D354" t="inlineStr">
        <is>
          <t>VÄSTMANLANDS LÄN</t>
        </is>
      </c>
      <c r="E354" t="inlineStr">
        <is>
          <t>SALA</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27038-2023</t>
        </is>
      </c>
      <c r="B355" s="1" t="n">
        <v>45095</v>
      </c>
      <c r="C355" s="1" t="n">
        <v>46075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36060-2025</t>
        </is>
      </c>
      <c r="B356" s="1" t="n">
        <v>45866.39469907407</v>
      </c>
      <c r="C356" s="1" t="n">
        <v>46075</v>
      </c>
      <c r="D356" t="inlineStr">
        <is>
          <t>VÄSTMANLANDS LÄN</t>
        </is>
      </c>
      <c r="E356" t="inlineStr">
        <is>
          <t>SALA</t>
        </is>
      </c>
      <c r="F356" t="inlineStr">
        <is>
          <t>Kommuner</t>
        </is>
      </c>
      <c r="G356" t="n">
        <v>4.3</v>
      </c>
      <c r="H356" t="n">
        <v>0</v>
      </c>
      <c r="I356" t="n">
        <v>0</v>
      </c>
      <c r="J356" t="n">
        <v>0</v>
      </c>
      <c r="K356" t="n">
        <v>0</v>
      </c>
      <c r="L356" t="n">
        <v>0</v>
      </c>
      <c r="M356" t="n">
        <v>0</v>
      </c>
      <c r="N356" t="n">
        <v>0</v>
      </c>
      <c r="O356" t="n">
        <v>0</v>
      </c>
      <c r="P356" t="n">
        <v>0</v>
      </c>
      <c r="Q356" t="n">
        <v>0</v>
      </c>
      <c r="R356" s="2" t="inlineStr"/>
    </row>
    <row r="357" ht="15" customHeight="1">
      <c r="A357" t="inlineStr">
        <is>
          <t>A 45914-2025</t>
        </is>
      </c>
      <c r="B357" s="1" t="n">
        <v>45923.82582175926</v>
      </c>
      <c r="C357" s="1" t="n">
        <v>46075</v>
      </c>
      <c r="D357" t="inlineStr">
        <is>
          <t>VÄSTMANLANDS LÄN</t>
        </is>
      </c>
      <c r="E357" t="inlineStr">
        <is>
          <t>SALA</t>
        </is>
      </c>
      <c r="F357" t="inlineStr">
        <is>
          <t>Kommuner</t>
        </is>
      </c>
      <c r="G357" t="n">
        <v>18.2</v>
      </c>
      <c r="H357" t="n">
        <v>0</v>
      </c>
      <c r="I357" t="n">
        <v>0</v>
      </c>
      <c r="J357" t="n">
        <v>0</v>
      </c>
      <c r="K357" t="n">
        <v>0</v>
      </c>
      <c r="L357" t="n">
        <v>0</v>
      </c>
      <c r="M357" t="n">
        <v>0</v>
      </c>
      <c r="N357" t="n">
        <v>0</v>
      </c>
      <c r="O357" t="n">
        <v>0</v>
      </c>
      <c r="P357" t="n">
        <v>0</v>
      </c>
      <c r="Q357" t="n">
        <v>0</v>
      </c>
      <c r="R357" s="2" t="inlineStr"/>
    </row>
    <row r="358" ht="15" customHeight="1">
      <c r="A358" t="inlineStr">
        <is>
          <t>A 36031-2025</t>
        </is>
      </c>
      <c r="B358" s="1" t="n">
        <v>45865.46111111111</v>
      </c>
      <c r="C358" s="1" t="n">
        <v>46075</v>
      </c>
      <c r="D358" t="inlineStr">
        <is>
          <t>VÄSTMANLANDS LÄN</t>
        </is>
      </c>
      <c r="E358" t="inlineStr">
        <is>
          <t>SALA</t>
        </is>
      </c>
      <c r="G358" t="n">
        <v>7.2</v>
      </c>
      <c r="H358" t="n">
        <v>0</v>
      </c>
      <c r="I358" t="n">
        <v>0</v>
      </c>
      <c r="J358" t="n">
        <v>0</v>
      </c>
      <c r="K358" t="n">
        <v>0</v>
      </c>
      <c r="L358" t="n">
        <v>0</v>
      </c>
      <c r="M358" t="n">
        <v>0</v>
      </c>
      <c r="N358" t="n">
        <v>0</v>
      </c>
      <c r="O358" t="n">
        <v>0</v>
      </c>
      <c r="P358" t="n">
        <v>0</v>
      </c>
      <c r="Q358" t="n">
        <v>0</v>
      </c>
      <c r="R358" s="2" t="inlineStr"/>
    </row>
    <row r="359" ht="15" customHeight="1">
      <c r="A359" t="inlineStr">
        <is>
          <t>A 36043-2025</t>
        </is>
      </c>
      <c r="B359" s="1" t="n">
        <v>45866.35333333333</v>
      </c>
      <c r="C359" s="1" t="n">
        <v>46075</v>
      </c>
      <c r="D359" t="inlineStr">
        <is>
          <t>VÄSTMANLANDS LÄN</t>
        </is>
      </c>
      <c r="E359" t="inlineStr">
        <is>
          <t>SALA</t>
        </is>
      </c>
      <c r="F359" t="inlineStr">
        <is>
          <t>Kommuner</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23182-2022</t>
        </is>
      </c>
      <c r="B360" s="1" t="n">
        <v>44719.79707175926</v>
      </c>
      <c r="C360" s="1" t="n">
        <v>46075</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36032-2025</t>
        </is>
      </c>
      <c r="B361" s="1" t="n">
        <v>45865.48740740741</v>
      </c>
      <c r="C361" s="1" t="n">
        <v>46075</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36049-2025</t>
        </is>
      </c>
      <c r="B362" s="1" t="n">
        <v>45866.37065972222</v>
      </c>
      <c r="C362" s="1" t="n">
        <v>46075</v>
      </c>
      <c r="D362" t="inlineStr">
        <is>
          <t>VÄSTMANLANDS LÄN</t>
        </is>
      </c>
      <c r="E362" t="inlineStr">
        <is>
          <t>SALA</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46075</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36045-2025</t>
        </is>
      </c>
      <c r="B364" s="1" t="n">
        <v>45866.36200231482</v>
      </c>
      <c r="C364" s="1" t="n">
        <v>46075</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31859-2023</t>
        </is>
      </c>
      <c r="B365" s="1" t="n">
        <v>45118</v>
      </c>
      <c r="C365" s="1" t="n">
        <v>46075</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c r="U365">
        <f>HYPERLINK("https://klasma.github.io/Logging_1981/knärot/A 31859-2023 karta knärot.png", "A 31859-2023")</f>
        <v/>
      </c>
      <c r="V365">
        <f>HYPERLINK("https://klasma.github.io/Logging_1981/klagomål/A 31859-2023 FSC-klagomål.docx", "A 31859-2023")</f>
        <v/>
      </c>
      <c r="W365">
        <f>HYPERLINK("https://klasma.github.io/Logging_1981/klagomålsmail/A 31859-2023 FSC-klagomål mail.docx", "A 31859-2023")</f>
        <v/>
      </c>
      <c r="X365">
        <f>HYPERLINK("https://klasma.github.io/Logging_1981/tillsyn/A 31859-2023 tillsynsbegäran.docx", "A 31859-2023")</f>
        <v/>
      </c>
      <c r="Y365">
        <f>HYPERLINK("https://klasma.github.io/Logging_1981/tillsynsmail/A 31859-2023 tillsynsbegäran mail.docx", "A 31859-2023")</f>
        <v/>
      </c>
    </row>
    <row r="366" ht="15" customHeight="1">
      <c r="A366" t="inlineStr">
        <is>
          <t>A 7469-2025</t>
        </is>
      </c>
      <c r="B366" s="1" t="n">
        <v>45705</v>
      </c>
      <c r="C366" s="1" t="n">
        <v>46075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46915-2025</t>
        </is>
      </c>
      <c r="B367" s="1" t="n">
        <v>45929.42114583333</v>
      </c>
      <c r="C367" s="1" t="n">
        <v>46075</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46075</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60034-2024</t>
        </is>
      </c>
      <c r="B369" s="1" t="n">
        <v>45642.46261574074</v>
      </c>
      <c r="C369" s="1" t="n">
        <v>46075</v>
      </c>
      <c r="D369" t="inlineStr">
        <is>
          <t>VÄSTMANLANDS LÄN</t>
        </is>
      </c>
      <c r="E369" t="inlineStr">
        <is>
          <t>SALA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31863-2025</t>
        </is>
      </c>
      <c r="B370" s="1" t="n">
        <v>45834.63303240741</v>
      </c>
      <c r="C370" s="1" t="n">
        <v>46075</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46597-2025</t>
        </is>
      </c>
      <c r="B371" s="1" t="n">
        <v>45926.40113425926</v>
      </c>
      <c r="C371" s="1" t="n">
        <v>46075</v>
      </c>
      <c r="D371" t="inlineStr">
        <is>
          <t>VÄSTMANLANDS LÄN</t>
        </is>
      </c>
      <c r="E371" t="inlineStr">
        <is>
          <t>SALA</t>
        </is>
      </c>
      <c r="G371" t="n">
        <v>3.4</v>
      </c>
      <c r="H371" t="n">
        <v>0</v>
      </c>
      <c r="I371" t="n">
        <v>0</v>
      </c>
      <c r="J371" t="n">
        <v>0</v>
      </c>
      <c r="K371" t="n">
        <v>0</v>
      </c>
      <c r="L371" t="n">
        <v>0</v>
      </c>
      <c r="M371" t="n">
        <v>0</v>
      </c>
      <c r="N371" t="n">
        <v>0</v>
      </c>
      <c r="O371" t="n">
        <v>0</v>
      </c>
      <c r="P371" t="n">
        <v>0</v>
      </c>
      <c r="Q371" t="n">
        <v>0</v>
      </c>
      <c r="R371" s="2" t="inlineStr"/>
    </row>
    <row r="372" ht="15" customHeight="1">
      <c r="A372" t="inlineStr">
        <is>
          <t>A 3546-2025</t>
        </is>
      </c>
      <c r="B372" s="1" t="n">
        <v>45680</v>
      </c>
      <c r="C372" s="1" t="n">
        <v>46075</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31869-2025</t>
        </is>
      </c>
      <c r="B373" s="1" t="n">
        <v>45834.64555555556</v>
      </c>
      <c r="C373" s="1" t="n">
        <v>46075</v>
      </c>
      <c r="D373" t="inlineStr">
        <is>
          <t>VÄSTMANLANDS LÄN</t>
        </is>
      </c>
      <c r="E373" t="inlineStr">
        <is>
          <t>SALA</t>
        </is>
      </c>
      <c r="G373" t="n">
        <v>17.5</v>
      </c>
      <c r="H373" t="n">
        <v>0</v>
      </c>
      <c r="I373" t="n">
        <v>0</v>
      </c>
      <c r="J373" t="n">
        <v>0</v>
      </c>
      <c r="K373" t="n">
        <v>0</v>
      </c>
      <c r="L373" t="n">
        <v>0</v>
      </c>
      <c r="M373" t="n">
        <v>0</v>
      </c>
      <c r="N373" t="n">
        <v>0</v>
      </c>
      <c r="O373" t="n">
        <v>0</v>
      </c>
      <c r="P373" t="n">
        <v>0</v>
      </c>
      <c r="Q373" t="n">
        <v>0</v>
      </c>
      <c r="R373" s="2" t="inlineStr"/>
    </row>
    <row r="374" ht="15" customHeight="1">
      <c r="A374" t="inlineStr">
        <is>
          <t>A 34867-2023</t>
        </is>
      </c>
      <c r="B374" s="1" t="n">
        <v>45142.33481481481</v>
      </c>
      <c r="C374" s="1" t="n">
        <v>46075</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47577-2025</t>
        </is>
      </c>
      <c r="B375" s="1" t="n">
        <v>45931.4047337963</v>
      </c>
      <c r="C375" s="1" t="n">
        <v>46075</v>
      </c>
      <c r="D375" t="inlineStr">
        <is>
          <t>VÄSTMANLANDS LÄN</t>
        </is>
      </c>
      <c r="E375" t="inlineStr">
        <is>
          <t>SALA</t>
        </is>
      </c>
      <c r="G375" t="n">
        <v>3.7</v>
      </c>
      <c r="H375" t="n">
        <v>0</v>
      </c>
      <c r="I375" t="n">
        <v>0</v>
      </c>
      <c r="J375" t="n">
        <v>0</v>
      </c>
      <c r="K375" t="n">
        <v>0</v>
      </c>
      <c r="L375" t="n">
        <v>0</v>
      </c>
      <c r="M375" t="n">
        <v>0</v>
      </c>
      <c r="N375" t="n">
        <v>0</v>
      </c>
      <c r="O375" t="n">
        <v>0</v>
      </c>
      <c r="P375" t="n">
        <v>0</v>
      </c>
      <c r="Q375" t="n">
        <v>0</v>
      </c>
      <c r="R375" s="2" t="inlineStr"/>
    </row>
    <row r="376" ht="15" customHeight="1">
      <c r="A376" t="inlineStr">
        <is>
          <t>A 7664-2023</t>
        </is>
      </c>
      <c r="B376" s="1" t="n">
        <v>44972</v>
      </c>
      <c r="C376" s="1" t="n">
        <v>46075</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17985-2025</t>
        </is>
      </c>
      <c r="B377" s="1" t="n">
        <v>45761</v>
      </c>
      <c r="C377" s="1" t="n">
        <v>46075</v>
      </c>
      <c r="D377" t="inlineStr">
        <is>
          <t>VÄSTMANLANDS LÄN</t>
        </is>
      </c>
      <c r="E377" t="inlineStr">
        <is>
          <t>SALA</t>
        </is>
      </c>
      <c r="G377" t="n">
        <v>12.5</v>
      </c>
      <c r="H377" t="n">
        <v>0</v>
      </c>
      <c r="I377" t="n">
        <v>0</v>
      </c>
      <c r="J377" t="n">
        <v>0</v>
      </c>
      <c r="K377" t="n">
        <v>0</v>
      </c>
      <c r="L377" t="n">
        <v>0</v>
      </c>
      <c r="M377" t="n">
        <v>0</v>
      </c>
      <c r="N377" t="n">
        <v>0</v>
      </c>
      <c r="O377" t="n">
        <v>0</v>
      </c>
      <c r="P377" t="n">
        <v>0</v>
      </c>
      <c r="Q377" t="n">
        <v>0</v>
      </c>
      <c r="R377" s="2" t="inlineStr"/>
    </row>
    <row r="378" ht="15" customHeight="1">
      <c r="A378" t="inlineStr">
        <is>
          <t>A 11631-2023</t>
        </is>
      </c>
      <c r="B378" s="1" t="n">
        <v>44994.44001157407</v>
      </c>
      <c r="C378" s="1" t="n">
        <v>46075</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46661-2025</t>
        </is>
      </c>
      <c r="B379" s="1" t="n">
        <v>45926</v>
      </c>
      <c r="C379" s="1" t="n">
        <v>46075</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37103-2025</t>
        </is>
      </c>
      <c r="B380" s="1" t="n">
        <v>45875.47743055555</v>
      </c>
      <c r="C380" s="1" t="n">
        <v>46075</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37017-2025</t>
        </is>
      </c>
      <c r="B381" s="1" t="n">
        <v>45874</v>
      </c>
      <c r="C381" s="1" t="n">
        <v>46075</v>
      </c>
      <c r="D381" t="inlineStr">
        <is>
          <t>VÄSTMANLANDS LÄN</t>
        </is>
      </c>
      <c r="E381" t="inlineStr">
        <is>
          <t>SALA</t>
        </is>
      </c>
      <c r="G381" t="n">
        <v>11.1</v>
      </c>
      <c r="H381" t="n">
        <v>0</v>
      </c>
      <c r="I381" t="n">
        <v>0</v>
      </c>
      <c r="J381" t="n">
        <v>0</v>
      </c>
      <c r="K381" t="n">
        <v>0</v>
      </c>
      <c r="L381" t="n">
        <v>0</v>
      </c>
      <c r="M381" t="n">
        <v>0</v>
      </c>
      <c r="N381" t="n">
        <v>0</v>
      </c>
      <c r="O381" t="n">
        <v>0</v>
      </c>
      <c r="P381" t="n">
        <v>0</v>
      </c>
      <c r="Q381" t="n">
        <v>0</v>
      </c>
      <c r="R381" s="2" t="inlineStr"/>
    </row>
    <row r="382" ht="15" customHeight="1">
      <c r="A382" t="inlineStr">
        <is>
          <t>A 8775-2024</t>
        </is>
      </c>
      <c r="B382" s="1" t="n">
        <v>45356</v>
      </c>
      <c r="C382" s="1" t="n">
        <v>46075</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37246-2025</t>
        </is>
      </c>
      <c r="B383" s="1" t="n">
        <v>45876.39435185185</v>
      </c>
      <c r="C383" s="1" t="n">
        <v>46075</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48710-2024</t>
        </is>
      </c>
      <c r="B384" s="1" t="n">
        <v>45593.53636574074</v>
      </c>
      <c r="C384" s="1" t="n">
        <v>46075</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16404-2022</t>
        </is>
      </c>
      <c r="B385" s="1" t="n">
        <v>44671</v>
      </c>
      <c r="C385" s="1" t="n">
        <v>46075</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48057-2025</t>
        </is>
      </c>
      <c r="B386" s="1" t="n">
        <v>45932.67947916667</v>
      </c>
      <c r="C386" s="1" t="n">
        <v>46075</v>
      </c>
      <c r="D386" t="inlineStr">
        <is>
          <t>VÄSTMANLANDS LÄN</t>
        </is>
      </c>
      <c r="E386" t="inlineStr">
        <is>
          <t>SALA</t>
        </is>
      </c>
      <c r="G386" t="n">
        <v>4.3</v>
      </c>
      <c r="H386" t="n">
        <v>0</v>
      </c>
      <c r="I386" t="n">
        <v>0</v>
      </c>
      <c r="J386" t="n">
        <v>0</v>
      </c>
      <c r="K386" t="n">
        <v>0</v>
      </c>
      <c r="L386" t="n">
        <v>0</v>
      </c>
      <c r="M386" t="n">
        <v>0</v>
      </c>
      <c r="N386" t="n">
        <v>0</v>
      </c>
      <c r="O386" t="n">
        <v>0</v>
      </c>
      <c r="P386" t="n">
        <v>0</v>
      </c>
      <c r="Q386" t="n">
        <v>0</v>
      </c>
      <c r="R386" s="2" t="inlineStr"/>
    </row>
    <row r="387" ht="15" customHeight="1">
      <c r="A387" t="inlineStr">
        <is>
          <t>A 37590-2025</t>
        </is>
      </c>
      <c r="B387" s="1" t="n">
        <v>45880.41138888889</v>
      </c>
      <c r="C387" s="1" t="n">
        <v>46075</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37593-2025</t>
        </is>
      </c>
      <c r="B388" s="1" t="n">
        <v>45880.41325231481</v>
      </c>
      <c r="C388" s="1" t="n">
        <v>46075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24248-2023</t>
        </is>
      </c>
      <c r="B389" s="1" t="n">
        <v>45079</v>
      </c>
      <c r="C389" s="1" t="n">
        <v>46075</v>
      </c>
      <c r="D389" t="inlineStr">
        <is>
          <t>VÄSTMANLANDS LÄN</t>
        </is>
      </c>
      <c r="E389" t="inlineStr">
        <is>
          <t>SALA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48710-2025</t>
        </is>
      </c>
      <c r="B390" s="1" t="n">
        <v>45936.63184027778</v>
      </c>
      <c r="C390" s="1" t="n">
        <v>46075</v>
      </c>
      <c r="D390" t="inlineStr">
        <is>
          <t>VÄSTMANLANDS LÄN</t>
        </is>
      </c>
      <c r="E390" t="inlineStr">
        <is>
          <t>SALA</t>
        </is>
      </c>
      <c r="G390" t="n">
        <v>2.7</v>
      </c>
      <c r="H390" t="n">
        <v>0</v>
      </c>
      <c r="I390" t="n">
        <v>0</v>
      </c>
      <c r="J390" t="n">
        <v>0</v>
      </c>
      <c r="K390" t="n">
        <v>0</v>
      </c>
      <c r="L390" t="n">
        <v>0</v>
      </c>
      <c r="M390" t="n">
        <v>0</v>
      </c>
      <c r="N390" t="n">
        <v>0</v>
      </c>
      <c r="O390" t="n">
        <v>0</v>
      </c>
      <c r="P390" t="n">
        <v>0</v>
      </c>
      <c r="Q390" t="n">
        <v>0</v>
      </c>
      <c r="R390" s="2" t="inlineStr"/>
    </row>
    <row r="391" ht="15" customHeight="1">
      <c r="A391" t="inlineStr">
        <is>
          <t>A 10559-2024</t>
        </is>
      </c>
      <c r="B391" s="1" t="n">
        <v>45366</v>
      </c>
      <c r="C391" s="1" t="n">
        <v>46075</v>
      </c>
      <c r="D391" t="inlineStr">
        <is>
          <t>VÄSTMANLANDS LÄN</t>
        </is>
      </c>
      <c r="E391" t="inlineStr">
        <is>
          <t>SALA</t>
        </is>
      </c>
      <c r="G391" t="n">
        <v>0.3</v>
      </c>
      <c r="H391" t="n">
        <v>0</v>
      </c>
      <c r="I391" t="n">
        <v>0</v>
      </c>
      <c r="J391" t="n">
        <v>0</v>
      </c>
      <c r="K391" t="n">
        <v>0</v>
      </c>
      <c r="L391" t="n">
        <v>0</v>
      </c>
      <c r="M391" t="n">
        <v>0</v>
      </c>
      <c r="N391" t="n">
        <v>0</v>
      </c>
      <c r="O391" t="n">
        <v>0</v>
      </c>
      <c r="P391" t="n">
        <v>0</v>
      </c>
      <c r="Q391" t="n">
        <v>0</v>
      </c>
      <c r="R391" s="2" t="inlineStr"/>
    </row>
    <row r="392" ht="15" customHeight="1">
      <c r="A392" t="inlineStr">
        <is>
          <t>A 38294-2025</t>
        </is>
      </c>
      <c r="B392" s="1" t="n">
        <v>45883.44854166666</v>
      </c>
      <c r="C392" s="1" t="n">
        <v>46075</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46075</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48910-2025</t>
        </is>
      </c>
      <c r="B394" s="1" t="n">
        <v>45937.48649305556</v>
      </c>
      <c r="C394" s="1" t="n">
        <v>46075</v>
      </c>
      <c r="D394" t="inlineStr">
        <is>
          <t>VÄSTMANLANDS LÄN</t>
        </is>
      </c>
      <c r="E394" t="inlineStr">
        <is>
          <t>SALA</t>
        </is>
      </c>
      <c r="G394" t="n">
        <v>7.8</v>
      </c>
      <c r="H394" t="n">
        <v>0</v>
      </c>
      <c r="I394" t="n">
        <v>0</v>
      </c>
      <c r="J394" t="n">
        <v>0</v>
      </c>
      <c r="K394" t="n">
        <v>0</v>
      </c>
      <c r="L394" t="n">
        <v>0</v>
      </c>
      <c r="M394" t="n">
        <v>0</v>
      </c>
      <c r="N394" t="n">
        <v>0</v>
      </c>
      <c r="O394" t="n">
        <v>0</v>
      </c>
      <c r="P394" t="n">
        <v>0</v>
      </c>
      <c r="Q394" t="n">
        <v>0</v>
      </c>
      <c r="R394" s="2" t="inlineStr"/>
    </row>
    <row r="395" ht="15" customHeight="1">
      <c r="A395" t="inlineStr">
        <is>
          <t>A 9856-2022</t>
        </is>
      </c>
      <c r="B395" s="1" t="n">
        <v>44620</v>
      </c>
      <c r="C395" s="1" t="n">
        <v>46075</v>
      </c>
      <c r="D395" t="inlineStr">
        <is>
          <t>VÄSTMANLANDS LÄN</t>
        </is>
      </c>
      <c r="E395" t="inlineStr">
        <is>
          <t>SALA</t>
        </is>
      </c>
      <c r="G395" t="n">
        <v>2.4</v>
      </c>
      <c r="H395" t="n">
        <v>0</v>
      </c>
      <c r="I395" t="n">
        <v>0</v>
      </c>
      <c r="J395" t="n">
        <v>0</v>
      </c>
      <c r="K395" t="n">
        <v>0</v>
      </c>
      <c r="L395" t="n">
        <v>0</v>
      </c>
      <c r="M395" t="n">
        <v>0</v>
      </c>
      <c r="N395" t="n">
        <v>0</v>
      </c>
      <c r="O395" t="n">
        <v>0</v>
      </c>
      <c r="P395" t="n">
        <v>0</v>
      </c>
      <c r="Q395" t="n">
        <v>0</v>
      </c>
      <c r="R395" s="2" t="inlineStr"/>
    </row>
    <row r="396" ht="15" customHeight="1">
      <c r="A396" t="inlineStr">
        <is>
          <t>A 49585-2025</t>
        </is>
      </c>
      <c r="B396" s="1" t="n">
        <v>45939.5043287037</v>
      </c>
      <c r="C396" s="1" t="n">
        <v>46075</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18100-2023</t>
        </is>
      </c>
      <c r="B397" s="1" t="n">
        <v>45040</v>
      </c>
      <c r="C397" s="1" t="n">
        <v>46075</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43359-2024</t>
        </is>
      </c>
      <c r="B398" s="1" t="n">
        <v>45568.57724537037</v>
      </c>
      <c r="C398" s="1" t="n">
        <v>46075</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29972-2025</t>
        </is>
      </c>
      <c r="B399" s="1" t="n">
        <v>45826</v>
      </c>
      <c r="C399" s="1" t="n">
        <v>46075</v>
      </c>
      <c r="D399" t="inlineStr">
        <is>
          <t>VÄSTMANLANDS LÄN</t>
        </is>
      </c>
      <c r="E399" t="inlineStr">
        <is>
          <t>SALA</t>
        </is>
      </c>
      <c r="G399" t="n">
        <v>2.7</v>
      </c>
      <c r="H399" t="n">
        <v>0</v>
      </c>
      <c r="I399" t="n">
        <v>0</v>
      </c>
      <c r="J399" t="n">
        <v>0</v>
      </c>
      <c r="K399" t="n">
        <v>0</v>
      </c>
      <c r="L399" t="n">
        <v>0</v>
      </c>
      <c r="M399" t="n">
        <v>0</v>
      </c>
      <c r="N399" t="n">
        <v>0</v>
      </c>
      <c r="O399" t="n">
        <v>0</v>
      </c>
      <c r="P399" t="n">
        <v>0</v>
      </c>
      <c r="Q399" t="n">
        <v>0</v>
      </c>
      <c r="R399" s="2" t="inlineStr"/>
    </row>
    <row r="400" ht="15" customHeight="1">
      <c r="A400" t="inlineStr">
        <is>
          <t>A 46279-2021</t>
        </is>
      </c>
      <c r="B400" s="1" t="n">
        <v>44442.57797453704</v>
      </c>
      <c r="C400" s="1" t="n">
        <v>46075</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46075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49640-2025</t>
        </is>
      </c>
      <c r="B402" s="1" t="n">
        <v>45939.61459490741</v>
      </c>
      <c r="C402" s="1" t="n">
        <v>46075</v>
      </c>
      <c r="D402" t="inlineStr">
        <is>
          <t>VÄSTMANLANDS LÄN</t>
        </is>
      </c>
      <c r="E402" t="inlineStr">
        <is>
          <t>SALA</t>
        </is>
      </c>
      <c r="F402" t="inlineStr">
        <is>
          <t>Kommuner</t>
        </is>
      </c>
      <c r="G402" t="n">
        <v>18.8</v>
      </c>
      <c r="H402" t="n">
        <v>0</v>
      </c>
      <c r="I402" t="n">
        <v>0</v>
      </c>
      <c r="J402" t="n">
        <v>0</v>
      </c>
      <c r="K402" t="n">
        <v>0</v>
      </c>
      <c r="L402" t="n">
        <v>0</v>
      </c>
      <c r="M402" t="n">
        <v>0</v>
      </c>
      <c r="N402" t="n">
        <v>0</v>
      </c>
      <c r="O402" t="n">
        <v>0</v>
      </c>
      <c r="P402" t="n">
        <v>0</v>
      </c>
      <c r="Q402" t="n">
        <v>0</v>
      </c>
      <c r="R402" s="2" t="inlineStr"/>
    </row>
    <row r="403" ht="15" customHeight="1">
      <c r="A403" t="inlineStr">
        <is>
          <t>A 6134-2024</t>
        </is>
      </c>
      <c r="B403" s="1" t="n">
        <v>45337</v>
      </c>
      <c r="C403" s="1" t="n">
        <v>46075</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48117-2024</t>
        </is>
      </c>
      <c r="B404" s="1" t="n">
        <v>45589</v>
      </c>
      <c r="C404" s="1" t="n">
        <v>46075</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31082-2021</t>
        </is>
      </c>
      <c r="B405" s="1" t="n">
        <v>44368</v>
      </c>
      <c r="C405" s="1" t="n">
        <v>46075</v>
      </c>
      <c r="D405" t="inlineStr">
        <is>
          <t>VÄSTMANLANDS LÄN</t>
        </is>
      </c>
      <c r="E405" t="inlineStr">
        <is>
          <t>SALA</t>
        </is>
      </c>
      <c r="G405" t="n">
        <v>2</v>
      </c>
      <c r="H405" t="n">
        <v>0</v>
      </c>
      <c r="I405" t="n">
        <v>0</v>
      </c>
      <c r="J405" t="n">
        <v>0</v>
      </c>
      <c r="K405" t="n">
        <v>0</v>
      </c>
      <c r="L405" t="n">
        <v>0</v>
      </c>
      <c r="M405" t="n">
        <v>0</v>
      </c>
      <c r="N405" t="n">
        <v>0</v>
      </c>
      <c r="O405" t="n">
        <v>0</v>
      </c>
      <c r="P405" t="n">
        <v>0</v>
      </c>
      <c r="Q405" t="n">
        <v>0</v>
      </c>
      <c r="R405" s="2" t="inlineStr"/>
    </row>
    <row r="406" ht="15" customHeight="1">
      <c r="A406" t="inlineStr">
        <is>
          <t>A 50128-2025</t>
        </is>
      </c>
      <c r="B406" s="1" t="n">
        <v>45943.55318287037</v>
      </c>
      <c r="C406" s="1" t="n">
        <v>46075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31470-2021</t>
        </is>
      </c>
      <c r="B407" s="1" t="n">
        <v>44369</v>
      </c>
      <c r="C407" s="1" t="n">
        <v>46075</v>
      </c>
      <c r="D407" t="inlineStr">
        <is>
          <t>VÄSTMANLANDS LÄN</t>
        </is>
      </c>
      <c r="E407" t="inlineStr">
        <is>
          <t>SALA</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50119-2025</t>
        </is>
      </c>
      <c r="B408" s="1" t="n">
        <v>45943.54883101852</v>
      </c>
      <c r="C408" s="1" t="n">
        <v>46075</v>
      </c>
      <c r="D408" t="inlineStr">
        <is>
          <t>VÄSTMANLANDS LÄN</t>
        </is>
      </c>
      <c r="E408" t="inlineStr">
        <is>
          <t>SALA</t>
        </is>
      </c>
      <c r="G408" t="n">
        <v>3.3</v>
      </c>
      <c r="H408" t="n">
        <v>0</v>
      </c>
      <c r="I408" t="n">
        <v>0</v>
      </c>
      <c r="J408" t="n">
        <v>0</v>
      </c>
      <c r="K408" t="n">
        <v>0</v>
      </c>
      <c r="L408" t="n">
        <v>0</v>
      </c>
      <c r="M408" t="n">
        <v>0</v>
      </c>
      <c r="N408" t="n">
        <v>0</v>
      </c>
      <c r="O408" t="n">
        <v>0</v>
      </c>
      <c r="P408" t="n">
        <v>0</v>
      </c>
      <c r="Q408" t="n">
        <v>0</v>
      </c>
      <c r="R408" s="2" t="inlineStr"/>
    </row>
    <row r="409" ht="15" customHeight="1">
      <c r="A409" t="inlineStr">
        <is>
          <t>A 50059-2025</t>
        </is>
      </c>
      <c r="B409" s="1" t="n">
        <v>45943.44125</v>
      </c>
      <c r="C409" s="1" t="n">
        <v>46075</v>
      </c>
      <c r="D409" t="inlineStr">
        <is>
          <t>VÄSTMANLANDS LÄN</t>
        </is>
      </c>
      <c r="E409" t="inlineStr">
        <is>
          <t>SALA</t>
        </is>
      </c>
      <c r="G409" t="n">
        <v>4.4</v>
      </c>
      <c r="H409" t="n">
        <v>0</v>
      </c>
      <c r="I409" t="n">
        <v>0</v>
      </c>
      <c r="J409" t="n">
        <v>0</v>
      </c>
      <c r="K409" t="n">
        <v>0</v>
      </c>
      <c r="L409" t="n">
        <v>0</v>
      </c>
      <c r="M409" t="n">
        <v>0</v>
      </c>
      <c r="N409" t="n">
        <v>0</v>
      </c>
      <c r="O409" t="n">
        <v>0</v>
      </c>
      <c r="P409" t="n">
        <v>0</v>
      </c>
      <c r="Q409" t="n">
        <v>0</v>
      </c>
      <c r="R409" s="2" t="inlineStr"/>
    </row>
    <row r="410" ht="15" customHeight="1">
      <c r="A410" t="inlineStr">
        <is>
          <t>A 24175-2024</t>
        </is>
      </c>
      <c r="B410" s="1" t="n">
        <v>45456</v>
      </c>
      <c r="C410" s="1" t="n">
        <v>46075</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50249-2025</t>
        </is>
      </c>
      <c r="B411" s="1" t="n">
        <v>45944.31508101852</v>
      </c>
      <c r="C411" s="1" t="n">
        <v>46075</v>
      </c>
      <c r="D411" t="inlineStr">
        <is>
          <t>VÄSTMANLANDS LÄN</t>
        </is>
      </c>
      <c r="E411" t="inlineStr">
        <is>
          <t>SALA</t>
        </is>
      </c>
      <c r="G411" t="n">
        <v>2.3</v>
      </c>
      <c r="H411" t="n">
        <v>0</v>
      </c>
      <c r="I411" t="n">
        <v>0</v>
      </c>
      <c r="J411" t="n">
        <v>0</v>
      </c>
      <c r="K411" t="n">
        <v>0</v>
      </c>
      <c r="L411" t="n">
        <v>0</v>
      </c>
      <c r="M411" t="n">
        <v>0</v>
      </c>
      <c r="N411" t="n">
        <v>0</v>
      </c>
      <c r="O411" t="n">
        <v>0</v>
      </c>
      <c r="P411" t="n">
        <v>0</v>
      </c>
      <c r="Q411" t="n">
        <v>0</v>
      </c>
      <c r="R411" s="2" t="inlineStr"/>
    </row>
    <row r="412" ht="15" customHeight="1">
      <c r="A412" t="inlineStr">
        <is>
          <t>A 28328-2023</t>
        </is>
      </c>
      <c r="B412" s="1" t="n">
        <v>45099.71063657408</v>
      </c>
      <c r="C412" s="1" t="n">
        <v>46075</v>
      </c>
      <c r="D412" t="inlineStr">
        <is>
          <t>VÄSTMANLANDS LÄN</t>
        </is>
      </c>
      <c r="E412" t="inlineStr">
        <is>
          <t>SALA</t>
        </is>
      </c>
      <c r="G412" t="n">
        <v>1.8</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44552.46501157407</v>
      </c>
      <c r="C413" s="1" t="n">
        <v>46075</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61715-2024</t>
        </is>
      </c>
      <c r="B414" s="1" t="n">
        <v>45648.89519675926</v>
      </c>
      <c r="C414" s="1" t="n">
        <v>46075</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38195-2021</t>
        </is>
      </c>
      <c r="B415" s="1" t="n">
        <v>44405</v>
      </c>
      <c r="C415" s="1" t="n">
        <v>46075</v>
      </c>
      <c r="D415" t="inlineStr">
        <is>
          <t>VÄSTMANLANDS LÄN</t>
        </is>
      </c>
      <c r="E415" t="inlineStr">
        <is>
          <t>SALA</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6132-2025</t>
        </is>
      </c>
      <c r="B416" s="1" t="n">
        <v>45698</v>
      </c>
      <c r="C416" s="1" t="n">
        <v>46075</v>
      </c>
      <c r="D416" t="inlineStr">
        <is>
          <t>VÄSTMANLANDS LÄN</t>
        </is>
      </c>
      <c r="E416" t="inlineStr">
        <is>
          <t>SALA</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21777-2022</t>
        </is>
      </c>
      <c r="B417" s="1" t="n">
        <v>44708.48194444444</v>
      </c>
      <c r="C417" s="1" t="n">
        <v>46075</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11389-2024</t>
        </is>
      </c>
      <c r="B418" s="1" t="n">
        <v>45372.45016203704</v>
      </c>
      <c r="C418" s="1" t="n">
        <v>46075</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2925-2024</t>
        </is>
      </c>
      <c r="B419" s="1" t="n">
        <v>45315.58909722222</v>
      </c>
      <c r="C419" s="1" t="n">
        <v>46075</v>
      </c>
      <c r="D419" t="inlineStr">
        <is>
          <t>VÄSTMANLANDS LÄN</t>
        </is>
      </c>
      <c r="E419" t="inlineStr">
        <is>
          <t>SALA</t>
        </is>
      </c>
      <c r="G419" t="n">
        <v>1.3</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46075</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39439-2021</t>
        </is>
      </c>
      <c r="B421" s="1" t="n">
        <v>44414</v>
      </c>
      <c r="C421" s="1" t="n">
        <v>46075</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51626-2025</t>
        </is>
      </c>
      <c r="B422" s="1" t="n">
        <v>45951.41769675926</v>
      </c>
      <c r="C422" s="1" t="n">
        <v>46075</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51690-2025</t>
        </is>
      </c>
      <c r="B423" s="1" t="n">
        <v>45951.53462962963</v>
      </c>
      <c r="C423" s="1" t="n">
        <v>46075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3332-2024</t>
        </is>
      </c>
      <c r="B424" s="1" t="n">
        <v>45317</v>
      </c>
      <c r="C424" s="1" t="n">
        <v>46075</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51804-2025</t>
        </is>
      </c>
      <c r="B425" s="1" t="n">
        <v>45951.77697916667</v>
      </c>
      <c r="C425" s="1" t="n">
        <v>46075</v>
      </c>
      <c r="D425" t="inlineStr">
        <is>
          <t>VÄSTMANLANDS LÄN</t>
        </is>
      </c>
      <c r="E425" t="inlineStr">
        <is>
          <t>SALA</t>
        </is>
      </c>
      <c r="F425" t="inlineStr">
        <is>
          <t>Kommuner</t>
        </is>
      </c>
      <c r="G425" t="n">
        <v>2</v>
      </c>
      <c r="H425" t="n">
        <v>0</v>
      </c>
      <c r="I425" t="n">
        <v>0</v>
      </c>
      <c r="J425" t="n">
        <v>0</v>
      </c>
      <c r="K425" t="n">
        <v>0</v>
      </c>
      <c r="L425" t="n">
        <v>0</v>
      </c>
      <c r="M425" t="n">
        <v>0</v>
      </c>
      <c r="N425" t="n">
        <v>0</v>
      </c>
      <c r="O425" t="n">
        <v>0</v>
      </c>
      <c r="P425" t="n">
        <v>0</v>
      </c>
      <c r="Q425" t="n">
        <v>0</v>
      </c>
      <c r="R425" s="2" t="inlineStr"/>
    </row>
    <row r="426" ht="15" customHeight="1">
      <c r="A426" t="inlineStr">
        <is>
          <t>A 51808-2025</t>
        </is>
      </c>
      <c r="B426" s="1" t="n">
        <v>45951.79302083333</v>
      </c>
      <c r="C426" s="1" t="n">
        <v>46075</v>
      </c>
      <c r="D426" t="inlineStr">
        <is>
          <t>VÄSTMANLANDS LÄN</t>
        </is>
      </c>
      <c r="E426" t="inlineStr">
        <is>
          <t>SALA</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51803-2025</t>
        </is>
      </c>
      <c r="B427" s="1" t="n">
        <v>45951.76818287037</v>
      </c>
      <c r="C427" s="1" t="n">
        <v>46075</v>
      </c>
      <c r="D427" t="inlineStr">
        <is>
          <t>VÄSTMANLANDS LÄN</t>
        </is>
      </c>
      <c r="E427" t="inlineStr">
        <is>
          <t>SALA</t>
        </is>
      </c>
      <c r="F427" t="inlineStr">
        <is>
          <t>Kommuner</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51805-2025</t>
        </is>
      </c>
      <c r="B428" s="1" t="n">
        <v>45951.78359953704</v>
      </c>
      <c r="C428" s="1" t="n">
        <v>46075</v>
      </c>
      <c r="D428" t="inlineStr">
        <is>
          <t>VÄSTMANLANDS LÄN</t>
        </is>
      </c>
      <c r="E428" t="inlineStr">
        <is>
          <t>SALA</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44579.86452546297</v>
      </c>
      <c r="C429" s="1" t="n">
        <v>46075</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46075</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13471-2025</t>
        </is>
      </c>
      <c r="B431" s="1" t="n">
        <v>45736.40579861111</v>
      </c>
      <c r="C431" s="1" t="n">
        <v>46075</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15681-2025</t>
        </is>
      </c>
      <c r="B432" s="1" t="n">
        <v>45748.45454861111</v>
      </c>
      <c r="C432" s="1" t="n">
        <v>46075</v>
      </c>
      <c r="D432" t="inlineStr">
        <is>
          <t>VÄSTMANLANDS LÄN</t>
        </is>
      </c>
      <c r="E432" t="inlineStr">
        <is>
          <t>SALA</t>
        </is>
      </c>
      <c r="F432" t="inlineStr">
        <is>
          <t>Bergvik skog öst AB</t>
        </is>
      </c>
      <c r="G432" t="n">
        <v>4.3</v>
      </c>
      <c r="H432" t="n">
        <v>0</v>
      </c>
      <c r="I432" t="n">
        <v>0</v>
      </c>
      <c r="J432" t="n">
        <v>0</v>
      </c>
      <c r="K432" t="n">
        <v>0</v>
      </c>
      <c r="L432" t="n">
        <v>0</v>
      </c>
      <c r="M432" t="n">
        <v>0</v>
      </c>
      <c r="N432" t="n">
        <v>0</v>
      </c>
      <c r="O432" t="n">
        <v>0</v>
      </c>
      <c r="P432" t="n">
        <v>0</v>
      </c>
      <c r="Q432" t="n">
        <v>0</v>
      </c>
      <c r="R432" s="2" t="inlineStr"/>
    </row>
    <row r="433" ht="15" customHeight="1">
      <c r="A433" t="inlineStr">
        <is>
          <t>A 18431-2023</t>
        </is>
      </c>
      <c r="B433" s="1" t="n">
        <v>45042</v>
      </c>
      <c r="C433" s="1" t="n">
        <v>46075</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27424-2023</t>
        </is>
      </c>
      <c r="B434" s="1" t="n">
        <v>45097.37690972222</v>
      </c>
      <c r="C434" s="1" t="n">
        <v>46075</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58701-2021</t>
        </is>
      </c>
      <c r="B435" s="1" t="n">
        <v>44489.46454861111</v>
      </c>
      <c r="C435" s="1" t="n">
        <v>46075</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11244-2024</t>
        </is>
      </c>
      <c r="B436" s="1" t="n">
        <v>45371</v>
      </c>
      <c r="C436" s="1" t="n">
        <v>46075</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12225-2023</t>
        </is>
      </c>
      <c r="B437" s="1" t="n">
        <v>44995</v>
      </c>
      <c r="C437" s="1" t="n">
        <v>46075</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61874-2021</t>
        </is>
      </c>
      <c r="B438" s="1" t="n">
        <v>44502</v>
      </c>
      <c r="C438" s="1" t="n">
        <v>46075</v>
      </c>
      <c r="D438" t="inlineStr">
        <is>
          <t>VÄSTMANLANDS LÄN</t>
        </is>
      </c>
      <c r="E438" t="inlineStr">
        <is>
          <t>SALA</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62651-2022</t>
        </is>
      </c>
      <c r="B439" s="1" t="n">
        <v>44917</v>
      </c>
      <c r="C439" s="1" t="n">
        <v>46075</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15968-2024</t>
        </is>
      </c>
      <c r="B440" s="1" t="n">
        <v>45405.56021990741</v>
      </c>
      <c r="C440" s="1" t="n">
        <v>46075</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60730-2023</t>
        </is>
      </c>
      <c r="B441" s="1" t="n">
        <v>45260</v>
      </c>
      <c r="C441" s="1" t="n">
        <v>46075</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60731-2023</t>
        </is>
      </c>
      <c r="B442" s="1" t="n">
        <v>45260</v>
      </c>
      <c r="C442" s="1" t="n">
        <v>46075</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53725-2025</t>
        </is>
      </c>
      <c r="B443" s="1" t="n">
        <v>45960.63394675926</v>
      </c>
      <c r="C443" s="1" t="n">
        <v>46075</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18461-2024</t>
        </is>
      </c>
      <c r="B444" s="1" t="n">
        <v>45425.47435185185</v>
      </c>
      <c r="C444" s="1" t="n">
        <v>46075</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46075</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38636-2024</t>
        </is>
      </c>
      <c r="B446" s="1" t="n">
        <v>45546</v>
      </c>
      <c r="C446" s="1" t="n">
        <v>46075</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53744-2025</t>
        </is>
      </c>
      <c r="B447" s="1" t="n">
        <v>45960.64863425926</v>
      </c>
      <c r="C447" s="1" t="n">
        <v>46075</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6032-2025</t>
        </is>
      </c>
      <c r="B448" s="1" t="n">
        <v>45695.6371875</v>
      </c>
      <c r="C448" s="1" t="n">
        <v>46075</v>
      </c>
      <c r="D448" t="inlineStr">
        <is>
          <t>VÄSTMANLANDS LÄN</t>
        </is>
      </c>
      <c r="E448" t="inlineStr">
        <is>
          <t>SALA</t>
        </is>
      </c>
      <c r="F448" t="inlineStr">
        <is>
          <t>Bergvik skog öst AB</t>
        </is>
      </c>
      <c r="G448" t="n">
        <v>8.1</v>
      </c>
      <c r="H448" t="n">
        <v>0</v>
      </c>
      <c r="I448" t="n">
        <v>0</v>
      </c>
      <c r="J448" t="n">
        <v>0</v>
      </c>
      <c r="K448" t="n">
        <v>0</v>
      </c>
      <c r="L448" t="n">
        <v>0</v>
      </c>
      <c r="M448" t="n">
        <v>0</v>
      </c>
      <c r="N448" t="n">
        <v>0</v>
      </c>
      <c r="O448" t="n">
        <v>0</v>
      </c>
      <c r="P448" t="n">
        <v>0</v>
      </c>
      <c r="Q448" t="n">
        <v>0</v>
      </c>
      <c r="R448" s="2" t="inlineStr"/>
    </row>
    <row r="449" ht="15" customHeight="1">
      <c r="A449" t="inlineStr">
        <is>
          <t>A 53724-2025</t>
        </is>
      </c>
      <c r="B449" s="1" t="n">
        <v>45960.63174768518</v>
      </c>
      <c r="C449" s="1" t="n">
        <v>46075</v>
      </c>
      <c r="D449" t="inlineStr">
        <is>
          <t>VÄSTMANLANDS LÄN</t>
        </is>
      </c>
      <c r="E449" t="inlineStr">
        <is>
          <t>SALA</t>
        </is>
      </c>
      <c r="G449" t="n">
        <v>2.8</v>
      </c>
      <c r="H449" t="n">
        <v>0</v>
      </c>
      <c r="I449" t="n">
        <v>0</v>
      </c>
      <c r="J449" t="n">
        <v>0</v>
      </c>
      <c r="K449" t="n">
        <v>0</v>
      </c>
      <c r="L449" t="n">
        <v>0</v>
      </c>
      <c r="M449" t="n">
        <v>0</v>
      </c>
      <c r="N449" t="n">
        <v>0</v>
      </c>
      <c r="O449" t="n">
        <v>0</v>
      </c>
      <c r="P449" t="n">
        <v>0</v>
      </c>
      <c r="Q449" t="n">
        <v>0</v>
      </c>
      <c r="R449" s="2" t="inlineStr"/>
    </row>
    <row r="450" ht="15" customHeight="1">
      <c r="A450" t="inlineStr">
        <is>
          <t>A 54344-2025</t>
        </is>
      </c>
      <c r="B450" s="1" t="n">
        <v>45965.36462962963</v>
      </c>
      <c r="C450" s="1" t="n">
        <v>46075</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54590-2025</t>
        </is>
      </c>
      <c r="B451" s="1" t="n">
        <v>45965.74199074074</v>
      </c>
      <c r="C451" s="1" t="n">
        <v>46075</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2766-2024</t>
        </is>
      </c>
      <c r="B452" s="1" t="n">
        <v>45314.60950231482</v>
      </c>
      <c r="C452" s="1" t="n">
        <v>46075</v>
      </c>
      <c r="D452" t="inlineStr">
        <is>
          <t>VÄSTMANLANDS LÄN</t>
        </is>
      </c>
      <c r="E452" t="inlineStr">
        <is>
          <t>SALA</t>
        </is>
      </c>
      <c r="G452" t="n">
        <v>2.8</v>
      </c>
      <c r="H452" t="n">
        <v>0</v>
      </c>
      <c r="I452" t="n">
        <v>0</v>
      </c>
      <c r="J452" t="n">
        <v>0</v>
      </c>
      <c r="K452" t="n">
        <v>0</v>
      </c>
      <c r="L452" t="n">
        <v>0</v>
      </c>
      <c r="M452" t="n">
        <v>0</v>
      </c>
      <c r="N452" t="n">
        <v>0</v>
      </c>
      <c r="O452" t="n">
        <v>0</v>
      </c>
      <c r="P452" t="n">
        <v>0</v>
      </c>
      <c r="Q452" t="n">
        <v>0</v>
      </c>
      <c r="R452" s="2" t="inlineStr"/>
    </row>
    <row r="453" ht="15" customHeight="1">
      <c r="A453" t="inlineStr">
        <is>
          <t>A 54201-2025</t>
        </is>
      </c>
      <c r="B453" s="1" t="n">
        <v>45964.58055555556</v>
      </c>
      <c r="C453" s="1" t="n">
        <v>46075</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6351-2023</t>
        </is>
      </c>
      <c r="B454" s="1" t="n">
        <v>44965</v>
      </c>
      <c r="C454" s="1" t="n">
        <v>46075</v>
      </c>
      <c r="D454" t="inlineStr">
        <is>
          <t>VÄSTMANLANDS LÄN</t>
        </is>
      </c>
      <c r="E454" t="inlineStr">
        <is>
          <t>SALA</t>
        </is>
      </c>
      <c r="F454" t="inlineStr">
        <is>
          <t>Kommuner</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45187-2024</t>
        </is>
      </c>
      <c r="B455" s="1" t="n">
        <v>45575</v>
      </c>
      <c r="C455" s="1" t="n">
        <v>46075</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54893-2025</t>
        </is>
      </c>
      <c r="B456" s="1" t="n">
        <v>45967.36383101852</v>
      </c>
      <c r="C456" s="1" t="n">
        <v>46075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33527-2023</t>
        </is>
      </c>
      <c r="B457" s="1" t="n">
        <v>45131</v>
      </c>
      <c r="C457" s="1" t="n">
        <v>46075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7377-2023</t>
        </is>
      </c>
      <c r="B458" s="1" t="n">
        <v>44971</v>
      </c>
      <c r="C458" s="1" t="n">
        <v>46075</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21159-2022</t>
        </is>
      </c>
      <c r="B459" s="1" t="n">
        <v>44704</v>
      </c>
      <c r="C459" s="1" t="n">
        <v>46075</v>
      </c>
      <c r="D459" t="inlineStr">
        <is>
          <t>VÄSTMANLANDS LÄN</t>
        </is>
      </c>
      <c r="E459" t="inlineStr">
        <is>
          <t>SALA</t>
        </is>
      </c>
      <c r="G459" t="n">
        <v>1.4</v>
      </c>
      <c r="H459" t="n">
        <v>0</v>
      </c>
      <c r="I459" t="n">
        <v>0</v>
      </c>
      <c r="J459" t="n">
        <v>0</v>
      </c>
      <c r="K459" t="n">
        <v>0</v>
      </c>
      <c r="L459" t="n">
        <v>0</v>
      </c>
      <c r="M459" t="n">
        <v>0</v>
      </c>
      <c r="N459" t="n">
        <v>0</v>
      </c>
      <c r="O459" t="n">
        <v>0</v>
      </c>
      <c r="P459" t="n">
        <v>0</v>
      </c>
      <c r="Q459" t="n">
        <v>0</v>
      </c>
      <c r="R459" s="2" t="inlineStr"/>
    </row>
    <row r="460" ht="15" customHeight="1">
      <c r="A460" t="inlineStr">
        <is>
          <t>A 19033-2025</t>
        </is>
      </c>
      <c r="B460" s="1" t="n">
        <v>45764.65796296296</v>
      </c>
      <c r="C460" s="1" t="n">
        <v>46075</v>
      </c>
      <c r="D460" t="inlineStr">
        <is>
          <t>VÄSTMANLANDS LÄN</t>
        </is>
      </c>
      <c r="E460" t="inlineStr">
        <is>
          <t>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46075</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46075</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46075</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46075</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46075</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66307-2021</t>
        </is>
      </c>
      <c r="B466" s="1" t="n">
        <v>44518.48670138889</v>
      </c>
      <c r="C466" s="1" t="n">
        <v>46075</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46075</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46075</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46075</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27262-2024</t>
        </is>
      </c>
      <c r="B470" s="1" t="n">
        <v>45471</v>
      </c>
      <c r="C470" s="1" t="n">
        <v>46075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56611-2025</t>
        </is>
      </c>
      <c r="B471" s="1" t="n">
        <v>45975</v>
      </c>
      <c r="C471" s="1" t="n">
        <v>46075</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10913-2025</t>
        </is>
      </c>
      <c r="B472" s="1" t="n">
        <v>45722.73423611111</v>
      </c>
      <c r="C472" s="1" t="n">
        <v>46075</v>
      </c>
      <c r="D472" t="inlineStr">
        <is>
          <t>VÄSTMANLANDS LÄN</t>
        </is>
      </c>
      <c r="E472" t="inlineStr">
        <is>
          <t>SALA</t>
        </is>
      </c>
      <c r="G472" t="n">
        <v>7.6</v>
      </c>
      <c r="H472" t="n">
        <v>0</v>
      </c>
      <c r="I472" t="n">
        <v>0</v>
      </c>
      <c r="J472" t="n">
        <v>0</v>
      </c>
      <c r="K472" t="n">
        <v>0</v>
      </c>
      <c r="L472" t="n">
        <v>0</v>
      </c>
      <c r="M472" t="n">
        <v>0</v>
      </c>
      <c r="N472" t="n">
        <v>0</v>
      </c>
      <c r="O472" t="n">
        <v>0</v>
      </c>
      <c r="P472" t="n">
        <v>0</v>
      </c>
      <c r="Q472" t="n">
        <v>0</v>
      </c>
      <c r="R472" s="2" t="inlineStr"/>
    </row>
    <row r="473" ht="15" customHeight="1">
      <c r="A473" t="inlineStr">
        <is>
          <t>A 35410-2022</t>
        </is>
      </c>
      <c r="B473" s="1" t="n">
        <v>44798.62576388889</v>
      </c>
      <c r="C473" s="1" t="n">
        <v>46075</v>
      </c>
      <c r="D473" t="inlineStr">
        <is>
          <t>VÄSTMANLANDS LÄN</t>
        </is>
      </c>
      <c r="E473" t="inlineStr">
        <is>
          <t>SALA</t>
        </is>
      </c>
      <c r="G473" t="n">
        <v>1.6</v>
      </c>
      <c r="H473" t="n">
        <v>0</v>
      </c>
      <c r="I473" t="n">
        <v>0</v>
      </c>
      <c r="J473" t="n">
        <v>0</v>
      </c>
      <c r="K473" t="n">
        <v>0</v>
      </c>
      <c r="L473" t="n">
        <v>0</v>
      </c>
      <c r="M473" t="n">
        <v>0</v>
      </c>
      <c r="N473" t="n">
        <v>0</v>
      </c>
      <c r="O473" t="n">
        <v>0</v>
      </c>
      <c r="P473" t="n">
        <v>0</v>
      </c>
      <c r="Q473" t="n">
        <v>0</v>
      </c>
      <c r="R473" s="2" t="inlineStr"/>
    </row>
    <row r="474" ht="15" customHeight="1">
      <c r="A474" t="inlineStr">
        <is>
          <t>A 1118-2024</t>
        </is>
      </c>
      <c r="B474" s="1" t="n">
        <v>45302</v>
      </c>
      <c r="C474" s="1" t="n">
        <v>46075</v>
      </c>
      <c r="D474" t="inlineStr">
        <is>
          <t>VÄSTMANLANDS LÄN</t>
        </is>
      </c>
      <c r="E474" t="inlineStr">
        <is>
          <t>SALA</t>
        </is>
      </c>
      <c r="G474" t="n">
        <v>1.9</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46075</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53864-2022</t>
        </is>
      </c>
      <c r="B476" s="1" t="n">
        <v>44880.64016203704</v>
      </c>
      <c r="C476" s="1" t="n">
        <v>46075</v>
      </c>
      <c r="D476" t="inlineStr">
        <is>
          <t>VÄSTMANLANDS LÄN</t>
        </is>
      </c>
      <c r="E476" t="inlineStr">
        <is>
          <t>SALA</t>
        </is>
      </c>
      <c r="G476" t="n">
        <v>5.9</v>
      </c>
      <c r="H476" t="n">
        <v>0</v>
      </c>
      <c r="I476" t="n">
        <v>0</v>
      </c>
      <c r="J476" t="n">
        <v>0</v>
      </c>
      <c r="K476" t="n">
        <v>0</v>
      </c>
      <c r="L476" t="n">
        <v>0</v>
      </c>
      <c r="M476" t="n">
        <v>0</v>
      </c>
      <c r="N476" t="n">
        <v>0</v>
      </c>
      <c r="O476" t="n">
        <v>0</v>
      </c>
      <c r="P476" t="n">
        <v>0</v>
      </c>
      <c r="Q476" t="n">
        <v>0</v>
      </c>
      <c r="R476" s="2" t="inlineStr"/>
    </row>
    <row r="477" ht="15" customHeight="1">
      <c r="A477" t="inlineStr">
        <is>
          <t>A 40085-2024</t>
        </is>
      </c>
      <c r="B477" s="1" t="n">
        <v>45554</v>
      </c>
      <c r="C477" s="1" t="n">
        <v>46075</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3551-2024</t>
        </is>
      </c>
      <c r="B478" s="1" t="n">
        <v>45320.61099537037</v>
      </c>
      <c r="C478" s="1" t="n">
        <v>46075</v>
      </c>
      <c r="D478" t="inlineStr">
        <is>
          <t>VÄSTMANLANDS LÄN</t>
        </is>
      </c>
      <c r="E478" t="inlineStr">
        <is>
          <t>SALA</t>
        </is>
      </c>
      <c r="F478" t="inlineStr">
        <is>
          <t>Kommuner</t>
        </is>
      </c>
      <c r="G478" t="n">
        <v>6</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46075</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46075</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57412-2025</t>
        </is>
      </c>
      <c r="B481" s="1" t="n">
        <v>45980.44883101852</v>
      </c>
      <c r="C481" s="1" t="n">
        <v>46075</v>
      </c>
      <c r="D481" t="inlineStr">
        <is>
          <t>VÄSTMANLANDS LÄN</t>
        </is>
      </c>
      <c r="E481" t="inlineStr">
        <is>
          <t>SALA</t>
        </is>
      </c>
      <c r="F481" t="inlineStr">
        <is>
          <t>Bergvik skog öst AB</t>
        </is>
      </c>
      <c r="G481" t="n">
        <v>4.5</v>
      </c>
      <c r="H481" t="n">
        <v>0</v>
      </c>
      <c r="I481" t="n">
        <v>0</v>
      </c>
      <c r="J481" t="n">
        <v>0</v>
      </c>
      <c r="K481" t="n">
        <v>0</v>
      </c>
      <c r="L481" t="n">
        <v>0</v>
      </c>
      <c r="M481" t="n">
        <v>0</v>
      </c>
      <c r="N481" t="n">
        <v>0</v>
      </c>
      <c r="O481" t="n">
        <v>0</v>
      </c>
      <c r="P481" t="n">
        <v>0</v>
      </c>
      <c r="Q481" t="n">
        <v>0</v>
      </c>
      <c r="R481" s="2" t="inlineStr"/>
    </row>
    <row r="482" ht="15" customHeight="1">
      <c r="A482" t="inlineStr">
        <is>
          <t>A 58359-2025</t>
        </is>
      </c>
      <c r="B482" s="1" t="n">
        <v>45985.51594907408</v>
      </c>
      <c r="C482" s="1" t="n">
        <v>46075</v>
      </c>
      <c r="D482" t="inlineStr">
        <is>
          <t>VÄSTMANLANDS LÄN</t>
        </is>
      </c>
      <c r="E482" t="inlineStr">
        <is>
          <t>SALA</t>
        </is>
      </c>
      <c r="G482" t="n">
        <v>3.7</v>
      </c>
      <c r="H482" t="n">
        <v>0</v>
      </c>
      <c r="I482" t="n">
        <v>0</v>
      </c>
      <c r="J482" t="n">
        <v>0</v>
      </c>
      <c r="K482" t="n">
        <v>0</v>
      </c>
      <c r="L482" t="n">
        <v>0</v>
      </c>
      <c r="M482" t="n">
        <v>0</v>
      </c>
      <c r="N482" t="n">
        <v>0</v>
      </c>
      <c r="O482" t="n">
        <v>0</v>
      </c>
      <c r="P482" t="n">
        <v>0</v>
      </c>
      <c r="Q482" t="n">
        <v>0</v>
      </c>
      <c r="R482" s="2" t="inlineStr"/>
    </row>
    <row r="483" ht="15" customHeight="1">
      <c r="A483" t="inlineStr">
        <is>
          <t>A 58364-2025</t>
        </is>
      </c>
      <c r="B483" s="1" t="n">
        <v>45985.5228125</v>
      </c>
      <c r="C483" s="1" t="n">
        <v>46075</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46075</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22961-2023</t>
        </is>
      </c>
      <c r="B485" s="1" t="n">
        <v>45072</v>
      </c>
      <c r="C485" s="1" t="n">
        <v>46075</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22963-2023</t>
        </is>
      </c>
      <c r="B486" s="1" t="n">
        <v>45072</v>
      </c>
      <c r="C486" s="1" t="n">
        <v>46075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55760-2025</t>
        </is>
      </c>
      <c r="B487" s="1" t="n">
        <v>45972</v>
      </c>
      <c r="C487" s="1" t="n">
        <v>46075</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58357-2025</t>
        </is>
      </c>
      <c r="B488" s="1" t="n">
        <v>45985.51518518518</v>
      </c>
      <c r="C488" s="1" t="n">
        <v>46075</v>
      </c>
      <c r="D488" t="inlineStr">
        <is>
          <t>VÄSTMANLANDS LÄN</t>
        </is>
      </c>
      <c r="E488" t="inlineStr">
        <is>
          <t>SALA</t>
        </is>
      </c>
      <c r="G488" t="n">
        <v>3</v>
      </c>
      <c r="H488" t="n">
        <v>0</v>
      </c>
      <c r="I488" t="n">
        <v>0</v>
      </c>
      <c r="J488" t="n">
        <v>0</v>
      </c>
      <c r="K488" t="n">
        <v>0</v>
      </c>
      <c r="L488" t="n">
        <v>0</v>
      </c>
      <c r="M488" t="n">
        <v>0</v>
      </c>
      <c r="N488" t="n">
        <v>0</v>
      </c>
      <c r="O488" t="n">
        <v>0</v>
      </c>
      <c r="P488" t="n">
        <v>0</v>
      </c>
      <c r="Q488" t="n">
        <v>0</v>
      </c>
      <c r="R488" s="2" t="inlineStr"/>
    </row>
    <row r="489" ht="15" customHeight="1">
      <c r="A489" t="inlineStr">
        <is>
          <t>A 58365-2025</t>
        </is>
      </c>
      <c r="B489" s="1" t="n">
        <v>45985.52288194445</v>
      </c>
      <c r="C489" s="1" t="n">
        <v>46075</v>
      </c>
      <c r="D489" t="inlineStr">
        <is>
          <t>VÄSTMANLANDS LÄN</t>
        </is>
      </c>
      <c r="E489" t="inlineStr">
        <is>
          <t>SALA</t>
        </is>
      </c>
      <c r="G489" t="n">
        <v>3.9</v>
      </c>
      <c r="H489" t="n">
        <v>0</v>
      </c>
      <c r="I489" t="n">
        <v>0</v>
      </c>
      <c r="J489" t="n">
        <v>0</v>
      </c>
      <c r="K489" t="n">
        <v>0</v>
      </c>
      <c r="L489" t="n">
        <v>0</v>
      </c>
      <c r="M489" t="n">
        <v>0</v>
      </c>
      <c r="N489" t="n">
        <v>0</v>
      </c>
      <c r="O489" t="n">
        <v>0</v>
      </c>
      <c r="P489" t="n">
        <v>0</v>
      </c>
      <c r="Q489" t="n">
        <v>0</v>
      </c>
      <c r="R489" s="2" t="inlineStr"/>
    </row>
    <row r="490" ht="15" customHeight="1">
      <c r="A490" t="inlineStr">
        <is>
          <t>A 54960-2024</t>
        </is>
      </c>
      <c r="B490" s="1" t="n">
        <v>45619.85208333333</v>
      </c>
      <c r="C490" s="1" t="n">
        <v>46075</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27228-2023</t>
        </is>
      </c>
      <c r="B491" s="1" t="n">
        <v>45096.59189814814</v>
      </c>
      <c r="C491" s="1" t="n">
        <v>46075</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26507-2023</t>
        </is>
      </c>
      <c r="B492" s="1" t="n">
        <v>45092</v>
      </c>
      <c r="C492" s="1" t="n">
        <v>46075</v>
      </c>
      <c r="D492" t="inlineStr">
        <is>
          <t>VÄSTMANLANDS LÄN</t>
        </is>
      </c>
      <c r="E492" t="inlineStr">
        <is>
          <t>SALA</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6183-2025</t>
        </is>
      </c>
      <c r="B493" s="1" t="n">
        <v>45698</v>
      </c>
      <c r="C493" s="1" t="n">
        <v>46075</v>
      </c>
      <c r="D493" t="inlineStr">
        <is>
          <t>VÄSTMANLANDS LÄN</t>
        </is>
      </c>
      <c r="E493" t="inlineStr">
        <is>
          <t>SALA</t>
        </is>
      </c>
      <c r="F493" t="inlineStr">
        <is>
          <t>Bergvik skog öst AB</t>
        </is>
      </c>
      <c r="G493" t="n">
        <v>2.3</v>
      </c>
      <c r="H493" t="n">
        <v>0</v>
      </c>
      <c r="I493" t="n">
        <v>0</v>
      </c>
      <c r="J493" t="n">
        <v>0</v>
      </c>
      <c r="K493" t="n">
        <v>0</v>
      </c>
      <c r="L493" t="n">
        <v>0</v>
      </c>
      <c r="M493" t="n">
        <v>0</v>
      </c>
      <c r="N493" t="n">
        <v>0</v>
      </c>
      <c r="O493" t="n">
        <v>0</v>
      </c>
      <c r="P493" t="n">
        <v>0</v>
      </c>
      <c r="Q493" t="n">
        <v>0</v>
      </c>
      <c r="R493" s="2" t="inlineStr"/>
    </row>
    <row r="494" ht="15" customHeight="1">
      <c r="A494" t="inlineStr">
        <is>
          <t>A 16543-2023</t>
        </is>
      </c>
      <c r="B494" s="1" t="n">
        <v>45029</v>
      </c>
      <c r="C494" s="1" t="n">
        <v>46075</v>
      </c>
      <c r="D494" t="inlineStr">
        <is>
          <t>VÄSTMANLANDS LÄN</t>
        </is>
      </c>
      <c r="E494" t="inlineStr">
        <is>
          <t>SALA</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46075</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59390-2025</t>
        </is>
      </c>
      <c r="B496" s="1" t="n">
        <v>45989.4640162037</v>
      </c>
      <c r="C496" s="1" t="n">
        <v>46075</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51247-2025</t>
        </is>
      </c>
      <c r="B497" s="1" t="n">
        <v>45947.86487268518</v>
      </c>
      <c r="C497" s="1" t="n">
        <v>46075</v>
      </c>
      <c r="D497" t="inlineStr">
        <is>
          <t>VÄSTMANLANDS LÄN</t>
        </is>
      </c>
      <c r="E497" t="inlineStr">
        <is>
          <t>SALA</t>
        </is>
      </c>
      <c r="G497" t="n">
        <v>10.4</v>
      </c>
      <c r="H497" t="n">
        <v>0</v>
      </c>
      <c r="I497" t="n">
        <v>0</v>
      </c>
      <c r="J497" t="n">
        <v>0</v>
      </c>
      <c r="K497" t="n">
        <v>0</v>
      </c>
      <c r="L497" t="n">
        <v>0</v>
      </c>
      <c r="M497" t="n">
        <v>0</v>
      </c>
      <c r="N497" t="n">
        <v>0</v>
      </c>
      <c r="O497" t="n">
        <v>0</v>
      </c>
      <c r="P497" t="n">
        <v>0</v>
      </c>
      <c r="Q497" t="n">
        <v>0</v>
      </c>
      <c r="R497" s="2" t="inlineStr"/>
    </row>
    <row r="498" ht="15" customHeight="1">
      <c r="A498" t="inlineStr">
        <is>
          <t>A 43176-2023</t>
        </is>
      </c>
      <c r="B498" s="1" t="n">
        <v>45183</v>
      </c>
      <c r="C498" s="1" t="n">
        <v>46075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37624-2024</t>
        </is>
      </c>
      <c r="B499" s="1" t="n">
        <v>45541</v>
      </c>
      <c r="C499" s="1" t="n">
        <v>46075</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57895-2024</t>
        </is>
      </c>
      <c r="B500" s="1" t="n">
        <v>45631</v>
      </c>
      <c r="C500" s="1" t="n">
        <v>46075</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47086-2022</t>
        </is>
      </c>
      <c r="B501" s="1" t="n">
        <v>44852</v>
      </c>
      <c r="C501" s="1" t="n">
        <v>46075</v>
      </c>
      <c r="D501" t="inlineStr">
        <is>
          <t>VÄSTMANLANDS LÄN</t>
        </is>
      </c>
      <c r="E501" t="inlineStr">
        <is>
          <t>SALA</t>
        </is>
      </c>
      <c r="G501" t="n">
        <v>12.5</v>
      </c>
      <c r="H501" t="n">
        <v>0</v>
      </c>
      <c r="I501" t="n">
        <v>0</v>
      </c>
      <c r="J501" t="n">
        <v>0</v>
      </c>
      <c r="K501" t="n">
        <v>0</v>
      </c>
      <c r="L501" t="n">
        <v>0</v>
      </c>
      <c r="M501" t="n">
        <v>0</v>
      </c>
      <c r="N501" t="n">
        <v>0</v>
      </c>
      <c r="O501" t="n">
        <v>0</v>
      </c>
      <c r="P501" t="n">
        <v>0</v>
      </c>
      <c r="Q501" t="n">
        <v>0</v>
      </c>
      <c r="R501" s="2" t="inlineStr"/>
    </row>
    <row r="502" ht="15" customHeight="1">
      <c r="A502" t="inlineStr">
        <is>
          <t>A 14010-2021</t>
        </is>
      </c>
      <c r="B502" s="1" t="n">
        <v>44277.63396990741</v>
      </c>
      <c r="C502" s="1" t="n">
        <v>46075</v>
      </c>
      <c r="D502" t="inlineStr">
        <is>
          <t>VÄSTMANLANDS LÄN</t>
        </is>
      </c>
      <c r="E502" t="inlineStr">
        <is>
          <t>SALA</t>
        </is>
      </c>
      <c r="G502" t="n">
        <v>3.5</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46075</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46075</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59870-2025</t>
        </is>
      </c>
      <c r="B505" s="1" t="n">
        <v>45992.92226851852</v>
      </c>
      <c r="C505" s="1" t="n">
        <v>46075</v>
      </c>
      <c r="D505" t="inlineStr">
        <is>
          <t>VÄSTMANLANDS LÄN</t>
        </is>
      </c>
      <c r="E505" t="inlineStr">
        <is>
          <t>SALA</t>
        </is>
      </c>
      <c r="G505" t="n">
        <v>3.4</v>
      </c>
      <c r="H505" t="n">
        <v>0</v>
      </c>
      <c r="I505" t="n">
        <v>0</v>
      </c>
      <c r="J505" t="n">
        <v>0</v>
      </c>
      <c r="K505" t="n">
        <v>0</v>
      </c>
      <c r="L505" t="n">
        <v>0</v>
      </c>
      <c r="M505" t="n">
        <v>0</v>
      </c>
      <c r="N505" t="n">
        <v>0</v>
      </c>
      <c r="O505" t="n">
        <v>0</v>
      </c>
      <c r="P505" t="n">
        <v>0</v>
      </c>
      <c r="Q505" t="n">
        <v>0</v>
      </c>
      <c r="R505" s="2" t="inlineStr"/>
    </row>
    <row r="506" ht="15" customHeight="1">
      <c r="A506" t="inlineStr">
        <is>
          <t>A 59926-2025</t>
        </is>
      </c>
      <c r="B506" s="1" t="n">
        <v>45993.39221064815</v>
      </c>
      <c r="C506" s="1" t="n">
        <v>46075</v>
      </c>
      <c r="D506" t="inlineStr">
        <is>
          <t>VÄSTMANLANDS LÄN</t>
        </is>
      </c>
      <c r="E506" t="inlineStr">
        <is>
          <t>SALA</t>
        </is>
      </c>
      <c r="G506" t="n">
        <v>7.1</v>
      </c>
      <c r="H506" t="n">
        <v>0</v>
      </c>
      <c r="I506" t="n">
        <v>0</v>
      </c>
      <c r="J506" t="n">
        <v>0</v>
      </c>
      <c r="K506" t="n">
        <v>0</v>
      </c>
      <c r="L506" t="n">
        <v>0</v>
      </c>
      <c r="M506" t="n">
        <v>0</v>
      </c>
      <c r="N506" t="n">
        <v>0</v>
      </c>
      <c r="O506" t="n">
        <v>0</v>
      </c>
      <c r="P506" t="n">
        <v>0</v>
      </c>
      <c r="Q506" t="n">
        <v>0</v>
      </c>
      <c r="R506" s="2" t="inlineStr"/>
    </row>
    <row r="507" ht="15" customHeight="1">
      <c r="A507" t="inlineStr">
        <is>
          <t>A 56687-2024</t>
        </is>
      </c>
      <c r="B507" s="1" t="n">
        <v>45627.63271990741</v>
      </c>
      <c r="C507" s="1" t="n">
        <v>46075</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54347-2024</t>
        </is>
      </c>
      <c r="B508" s="1" t="n">
        <v>45617.39325231482</v>
      </c>
      <c r="C508" s="1" t="n">
        <v>46075</v>
      </c>
      <c r="D508" t="inlineStr">
        <is>
          <t>VÄSTMANLANDS LÄN</t>
        </is>
      </c>
      <c r="E508" t="inlineStr">
        <is>
          <t>SALA</t>
        </is>
      </c>
      <c r="G508" t="n">
        <v>2</v>
      </c>
      <c r="H508" t="n">
        <v>0</v>
      </c>
      <c r="I508" t="n">
        <v>0</v>
      </c>
      <c r="J508" t="n">
        <v>0</v>
      </c>
      <c r="K508" t="n">
        <v>0</v>
      </c>
      <c r="L508" t="n">
        <v>0</v>
      </c>
      <c r="M508" t="n">
        <v>0</v>
      </c>
      <c r="N508" t="n">
        <v>0</v>
      </c>
      <c r="O508" t="n">
        <v>0</v>
      </c>
      <c r="P508" t="n">
        <v>0</v>
      </c>
      <c r="Q508" t="n">
        <v>0</v>
      </c>
      <c r="R508" s="2" t="inlineStr"/>
    </row>
    <row r="509" ht="15" customHeight="1">
      <c r="A509" t="inlineStr">
        <is>
          <t>A 60017-2025</t>
        </is>
      </c>
      <c r="B509" s="1" t="n">
        <v>45993.59998842593</v>
      </c>
      <c r="C509" s="1" t="n">
        <v>46075</v>
      </c>
      <c r="D509" t="inlineStr">
        <is>
          <t>VÄSTMANLANDS LÄN</t>
        </is>
      </c>
      <c r="E509" t="inlineStr">
        <is>
          <t>SALA</t>
        </is>
      </c>
      <c r="G509" t="n">
        <v>4.4</v>
      </c>
      <c r="H509" t="n">
        <v>0</v>
      </c>
      <c r="I509" t="n">
        <v>0</v>
      </c>
      <c r="J509" t="n">
        <v>0</v>
      </c>
      <c r="K509" t="n">
        <v>0</v>
      </c>
      <c r="L509" t="n">
        <v>0</v>
      </c>
      <c r="M509" t="n">
        <v>0</v>
      </c>
      <c r="N509" t="n">
        <v>0</v>
      </c>
      <c r="O509" t="n">
        <v>0</v>
      </c>
      <c r="P509" t="n">
        <v>0</v>
      </c>
      <c r="Q509" t="n">
        <v>0</v>
      </c>
      <c r="R509" s="2" t="inlineStr"/>
    </row>
    <row r="510" ht="15" customHeight="1">
      <c r="A510" t="inlineStr">
        <is>
          <t>A 64693-2023</t>
        </is>
      </c>
      <c r="B510" s="1" t="n">
        <v>45281.63850694444</v>
      </c>
      <c r="C510" s="1" t="n">
        <v>46075</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64695-2023</t>
        </is>
      </c>
      <c r="B511" s="1" t="n">
        <v>45281.64099537037</v>
      </c>
      <c r="C511" s="1" t="n">
        <v>46075</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27486-2022</t>
        </is>
      </c>
      <c r="B512" s="1" t="n">
        <v>44742.60846064815</v>
      </c>
      <c r="C512" s="1" t="n">
        <v>46075</v>
      </c>
      <c r="D512" t="inlineStr">
        <is>
          <t>VÄSTMANLANDS LÄN</t>
        </is>
      </c>
      <c r="E512" t="inlineStr">
        <is>
          <t>SALA</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35003-2024</t>
        </is>
      </c>
      <c r="B513" s="1" t="n">
        <v>45527.56790509259</v>
      </c>
      <c r="C513" s="1" t="n">
        <v>46075</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46075</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60259-2025</t>
        </is>
      </c>
      <c r="B515" s="1" t="n">
        <v>45994.60913194445</v>
      </c>
      <c r="C515" s="1" t="n">
        <v>46075</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60241-2025</t>
        </is>
      </c>
      <c r="B516" s="1" t="n">
        <v>45994.58454861111</v>
      </c>
      <c r="C516" s="1" t="n">
        <v>46075</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48688-2024</t>
        </is>
      </c>
      <c r="B517" s="1" t="n">
        <v>45593.50541666667</v>
      </c>
      <c r="C517" s="1" t="n">
        <v>46075</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15354-2021</t>
        </is>
      </c>
      <c r="B518" s="1" t="n">
        <v>44284</v>
      </c>
      <c r="C518" s="1" t="n">
        <v>46075</v>
      </c>
      <c r="D518" t="inlineStr">
        <is>
          <t>VÄSTMANLANDS LÄN</t>
        </is>
      </c>
      <c r="E518" t="inlineStr">
        <is>
          <t>SALA</t>
        </is>
      </c>
      <c r="F518" t="inlineStr">
        <is>
          <t>Kyrkan</t>
        </is>
      </c>
      <c r="G518" t="n">
        <v>8.5</v>
      </c>
      <c r="H518" t="n">
        <v>0</v>
      </c>
      <c r="I518" t="n">
        <v>0</v>
      </c>
      <c r="J518" t="n">
        <v>0</v>
      </c>
      <c r="K518" t="n">
        <v>0</v>
      </c>
      <c r="L518" t="n">
        <v>0</v>
      </c>
      <c r="M518" t="n">
        <v>0</v>
      </c>
      <c r="N518" t="n">
        <v>0</v>
      </c>
      <c r="O518" t="n">
        <v>0</v>
      </c>
      <c r="P518" t="n">
        <v>0</v>
      </c>
      <c r="Q518" t="n">
        <v>0</v>
      </c>
      <c r="R518" s="2" t="inlineStr"/>
    </row>
    <row r="519" ht="15" customHeight="1">
      <c r="A519" t="inlineStr">
        <is>
          <t>A 63933-2023</t>
        </is>
      </c>
      <c r="B519" s="1" t="n">
        <v>45278</v>
      </c>
      <c r="C519" s="1" t="n">
        <v>46075</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44746-2024</t>
        </is>
      </c>
      <c r="B520" s="1" t="n">
        <v>45574.59813657407</v>
      </c>
      <c r="C520" s="1" t="n">
        <v>46075</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33273-2023</t>
        </is>
      </c>
      <c r="B521" s="1" t="n">
        <v>45127</v>
      </c>
      <c r="C521" s="1" t="n">
        <v>46075</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11696-2025</t>
        </is>
      </c>
      <c r="B522" s="1" t="n">
        <v>45727</v>
      </c>
      <c r="C522" s="1" t="n">
        <v>46075</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60258-2025</t>
        </is>
      </c>
      <c r="B523" s="1" t="n">
        <v>45994.6064699074</v>
      </c>
      <c r="C523" s="1" t="n">
        <v>46075</v>
      </c>
      <c r="D523" t="inlineStr">
        <is>
          <t>VÄSTMANLANDS LÄN</t>
        </is>
      </c>
      <c r="E523" t="inlineStr">
        <is>
          <t>SALA</t>
        </is>
      </c>
      <c r="G523" t="n">
        <v>2.2</v>
      </c>
      <c r="H523" t="n">
        <v>0</v>
      </c>
      <c r="I523" t="n">
        <v>0</v>
      </c>
      <c r="J523" t="n">
        <v>0</v>
      </c>
      <c r="K523" t="n">
        <v>0</v>
      </c>
      <c r="L523" t="n">
        <v>0</v>
      </c>
      <c r="M523" t="n">
        <v>0</v>
      </c>
      <c r="N523" t="n">
        <v>0</v>
      </c>
      <c r="O523" t="n">
        <v>0</v>
      </c>
      <c r="P523" t="n">
        <v>0</v>
      </c>
      <c r="Q523" t="n">
        <v>0</v>
      </c>
      <c r="R523" s="2" t="inlineStr"/>
    </row>
    <row r="524" ht="15" customHeight="1">
      <c r="A524" t="inlineStr">
        <is>
          <t>A 60246-2025</t>
        </is>
      </c>
      <c r="B524" s="1" t="n">
        <v>45994.58931712963</v>
      </c>
      <c r="C524" s="1" t="n">
        <v>46075</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60629-2025</t>
        </is>
      </c>
      <c r="B525" s="1" t="n">
        <v>45996.41972222222</v>
      </c>
      <c r="C525" s="1" t="n">
        <v>46075</v>
      </c>
      <c r="D525" t="inlineStr">
        <is>
          <t>VÄSTMANLANDS LÄN</t>
        </is>
      </c>
      <c r="E525" t="inlineStr">
        <is>
          <t>SALA</t>
        </is>
      </c>
      <c r="G525" t="n">
        <v>4.3</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46075</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46075</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46075</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46075</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46075</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46075</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46075</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46075</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46075</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46075</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2928-2024</t>
        </is>
      </c>
      <c r="B536" s="1" t="n">
        <v>45315.59041666667</v>
      </c>
      <c r="C536" s="1" t="n">
        <v>46075</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73673-2021</t>
        </is>
      </c>
      <c r="B537" s="1" t="n">
        <v>44552.46501157407</v>
      </c>
      <c r="C537" s="1" t="n">
        <v>46075</v>
      </c>
      <c r="D537" t="inlineStr">
        <is>
          <t>VÄSTMANLANDS LÄN</t>
        </is>
      </c>
      <c r="E537" t="inlineStr">
        <is>
          <t>SALA</t>
        </is>
      </c>
      <c r="G537" t="n">
        <v>11.4</v>
      </c>
      <c r="H537" t="n">
        <v>0</v>
      </c>
      <c r="I537" t="n">
        <v>0</v>
      </c>
      <c r="J537" t="n">
        <v>0</v>
      </c>
      <c r="K537" t="n">
        <v>0</v>
      </c>
      <c r="L537" t="n">
        <v>0</v>
      </c>
      <c r="M537" t="n">
        <v>0</v>
      </c>
      <c r="N537" t="n">
        <v>0</v>
      </c>
      <c r="O537" t="n">
        <v>0</v>
      </c>
      <c r="P537" t="n">
        <v>0</v>
      </c>
      <c r="Q537" t="n">
        <v>0</v>
      </c>
      <c r="R537" s="2" t="inlineStr"/>
    </row>
    <row r="538" ht="15" customHeight="1">
      <c r="A538" t="inlineStr">
        <is>
          <t>A 40871-2021</t>
        </is>
      </c>
      <c r="B538" s="1" t="n">
        <v>44421</v>
      </c>
      <c r="C538" s="1" t="n">
        <v>46075</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14271-2025</t>
        </is>
      </c>
      <c r="B539" s="1" t="n">
        <v>45740.64129629629</v>
      </c>
      <c r="C539" s="1" t="n">
        <v>46075</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54199-2024</t>
        </is>
      </c>
      <c r="B540" s="1" t="n">
        <v>45616.64703703704</v>
      </c>
      <c r="C540" s="1" t="n">
        <v>46075</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6312-2025</t>
        </is>
      </c>
      <c r="B541" s="1" t="n">
        <v>45698</v>
      </c>
      <c r="C541" s="1" t="n">
        <v>46075</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4712-2026</t>
        </is>
      </c>
      <c r="B542" s="1" t="n">
        <v>46048.46082175926</v>
      </c>
      <c r="C542" s="1" t="n">
        <v>46075</v>
      </c>
      <c r="D542" t="inlineStr">
        <is>
          <t>VÄSTMANLANDS LÄN</t>
        </is>
      </c>
      <c r="E542" t="inlineStr">
        <is>
          <t>SALA</t>
        </is>
      </c>
      <c r="G542" t="n">
        <v>4.1</v>
      </c>
      <c r="H542" t="n">
        <v>0</v>
      </c>
      <c r="I542" t="n">
        <v>0</v>
      </c>
      <c r="J542" t="n">
        <v>0</v>
      </c>
      <c r="K542" t="n">
        <v>0</v>
      </c>
      <c r="L542" t="n">
        <v>0</v>
      </c>
      <c r="M542" t="n">
        <v>0</v>
      </c>
      <c r="N542" t="n">
        <v>0</v>
      </c>
      <c r="O542" t="n">
        <v>0</v>
      </c>
      <c r="P542" t="n">
        <v>0</v>
      </c>
      <c r="Q542" t="n">
        <v>0</v>
      </c>
      <c r="R542" s="2" t="inlineStr"/>
    </row>
    <row r="543" ht="15" customHeight="1">
      <c r="A543" t="inlineStr">
        <is>
          <t>A 44857-2023</t>
        </is>
      </c>
      <c r="B543" s="1" t="n">
        <v>45190.58479166667</v>
      </c>
      <c r="C543" s="1" t="n">
        <v>46075</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4681-2026</t>
        </is>
      </c>
      <c r="B544" s="1" t="n">
        <v>46048.43016203704</v>
      </c>
      <c r="C544" s="1" t="n">
        <v>46075</v>
      </c>
      <c r="D544" t="inlineStr">
        <is>
          <t>VÄSTMANLANDS LÄN</t>
        </is>
      </c>
      <c r="E544" t="inlineStr">
        <is>
          <t>SALA</t>
        </is>
      </c>
      <c r="G544" t="n">
        <v>2.5</v>
      </c>
      <c r="H544" t="n">
        <v>0</v>
      </c>
      <c r="I544" t="n">
        <v>0</v>
      </c>
      <c r="J544" t="n">
        <v>0</v>
      </c>
      <c r="K544" t="n">
        <v>0</v>
      </c>
      <c r="L544" t="n">
        <v>0</v>
      </c>
      <c r="M544" t="n">
        <v>0</v>
      </c>
      <c r="N544" t="n">
        <v>0</v>
      </c>
      <c r="O544" t="n">
        <v>0</v>
      </c>
      <c r="P544" t="n">
        <v>0</v>
      </c>
      <c r="Q544" t="n">
        <v>0</v>
      </c>
      <c r="R544" s="2" t="inlineStr"/>
    </row>
    <row r="545" ht="15" customHeight="1">
      <c r="A545" t="inlineStr">
        <is>
          <t>A 4664-2026</t>
        </is>
      </c>
      <c r="B545" s="1" t="n">
        <v>46048.41061342593</v>
      </c>
      <c r="C545" s="1" t="n">
        <v>46075</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62654-2022</t>
        </is>
      </c>
      <c r="B546" s="1" t="n">
        <v>44917</v>
      </c>
      <c r="C546" s="1" t="n">
        <v>46075</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43188-2023</t>
        </is>
      </c>
      <c r="B547" s="1" t="n">
        <v>45183</v>
      </c>
      <c r="C547" s="1" t="n">
        <v>46075</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43205-2023</t>
        </is>
      </c>
      <c r="B548" s="1" t="n">
        <v>45183</v>
      </c>
      <c r="C548" s="1" t="n">
        <v>46075</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61892-2021</t>
        </is>
      </c>
      <c r="B549" s="1" t="n">
        <v>44502</v>
      </c>
      <c r="C549" s="1" t="n">
        <v>46075</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29213-2022</t>
        </is>
      </c>
      <c r="B550" s="1" t="n">
        <v>44750.57474537037</v>
      </c>
      <c r="C550" s="1" t="n">
        <v>46075</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62523-2025</t>
        </is>
      </c>
      <c r="B551" s="1" t="n">
        <v>46007.61512731481</v>
      </c>
      <c r="C551" s="1" t="n">
        <v>46075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59483-2022</t>
        </is>
      </c>
      <c r="B552" s="1" t="n">
        <v>44907.45679398148</v>
      </c>
      <c r="C552" s="1" t="n">
        <v>46075</v>
      </c>
      <c r="D552" t="inlineStr">
        <is>
          <t>VÄSTMANLANDS LÄN</t>
        </is>
      </c>
      <c r="E552" t="inlineStr">
        <is>
          <t>SALA</t>
        </is>
      </c>
      <c r="G552" t="n">
        <v>5.2</v>
      </c>
      <c r="H552" t="n">
        <v>0</v>
      </c>
      <c r="I552" t="n">
        <v>0</v>
      </c>
      <c r="J552" t="n">
        <v>0</v>
      </c>
      <c r="K552" t="n">
        <v>0</v>
      </c>
      <c r="L552" t="n">
        <v>0</v>
      </c>
      <c r="M552" t="n">
        <v>0</v>
      </c>
      <c r="N552" t="n">
        <v>0</v>
      </c>
      <c r="O552" t="n">
        <v>0</v>
      </c>
      <c r="P552" t="n">
        <v>0</v>
      </c>
      <c r="Q552" t="n">
        <v>0</v>
      </c>
      <c r="R552" s="2" t="inlineStr"/>
    </row>
    <row r="553" ht="15" customHeight="1">
      <c r="A553" t="inlineStr">
        <is>
          <t>A 4624-2026</t>
        </is>
      </c>
      <c r="B553" s="1" t="n">
        <v>46048.38107638889</v>
      </c>
      <c r="C553" s="1" t="n">
        <v>46075</v>
      </c>
      <c r="D553" t="inlineStr">
        <is>
          <t>VÄSTMANLANDS LÄN</t>
        </is>
      </c>
      <c r="E553" t="inlineStr">
        <is>
          <t>SALA</t>
        </is>
      </c>
      <c r="G553" t="n">
        <v>12.3</v>
      </c>
      <c r="H553" t="n">
        <v>0</v>
      </c>
      <c r="I553" t="n">
        <v>0</v>
      </c>
      <c r="J553" t="n">
        <v>0</v>
      </c>
      <c r="K553" t="n">
        <v>0</v>
      </c>
      <c r="L553" t="n">
        <v>0</v>
      </c>
      <c r="M553" t="n">
        <v>0</v>
      </c>
      <c r="N553" t="n">
        <v>0</v>
      </c>
      <c r="O553" t="n">
        <v>0</v>
      </c>
      <c r="P553" t="n">
        <v>0</v>
      </c>
      <c r="Q553" t="n">
        <v>0</v>
      </c>
      <c r="R553" s="2" t="inlineStr"/>
    </row>
    <row r="554" ht="15" customHeight="1">
      <c r="A554" t="inlineStr">
        <is>
          <t>A 16160-2024</t>
        </is>
      </c>
      <c r="B554" s="1" t="n">
        <v>45406</v>
      </c>
      <c r="C554" s="1" t="n">
        <v>46075</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46075</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39597-2022</t>
        </is>
      </c>
      <c r="B556" s="1" t="n">
        <v>44818</v>
      </c>
      <c r="C556" s="1" t="n">
        <v>46075</v>
      </c>
      <c r="D556" t="inlineStr">
        <is>
          <t>VÄSTMANLANDS LÄN</t>
        </is>
      </c>
      <c r="E556" t="inlineStr">
        <is>
          <t>SALA</t>
        </is>
      </c>
      <c r="G556" t="n">
        <v>2.3</v>
      </c>
      <c r="H556" t="n">
        <v>0</v>
      </c>
      <c r="I556" t="n">
        <v>0</v>
      </c>
      <c r="J556" t="n">
        <v>0</v>
      </c>
      <c r="K556" t="n">
        <v>0</v>
      </c>
      <c r="L556" t="n">
        <v>0</v>
      </c>
      <c r="M556" t="n">
        <v>0</v>
      </c>
      <c r="N556" t="n">
        <v>0</v>
      </c>
      <c r="O556" t="n">
        <v>0</v>
      </c>
      <c r="P556" t="n">
        <v>0</v>
      </c>
      <c r="Q556" t="n">
        <v>0</v>
      </c>
      <c r="R556" s="2" t="inlineStr"/>
    </row>
    <row r="557" ht="15" customHeight="1">
      <c r="A557" t="inlineStr">
        <is>
          <t>A 63055-2025</t>
        </is>
      </c>
      <c r="B557" s="1" t="n">
        <v>46009.63619212963</v>
      </c>
      <c r="C557" s="1" t="n">
        <v>46075</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63051-2025</t>
        </is>
      </c>
      <c r="B558" s="1" t="n">
        <v>46009.63134259259</v>
      </c>
      <c r="C558" s="1" t="n">
        <v>46075</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22921-2023</t>
        </is>
      </c>
      <c r="B559" s="1" t="n">
        <v>45070</v>
      </c>
      <c r="C559" s="1" t="n">
        <v>46075</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63046-2025</t>
        </is>
      </c>
      <c r="B560" s="1" t="n">
        <v>46009.62373842593</v>
      </c>
      <c r="C560" s="1" t="n">
        <v>46075</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5418-2026</t>
        </is>
      </c>
      <c r="B561" s="1" t="n">
        <v>46050.53740740741</v>
      </c>
      <c r="C561" s="1" t="n">
        <v>46075</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36858-2023</t>
        </is>
      </c>
      <c r="B562" s="1" t="n">
        <v>45154.55184027777</v>
      </c>
      <c r="C562" s="1" t="n">
        <v>46075</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55024-2023</t>
        </is>
      </c>
      <c r="B563" s="1" t="n">
        <v>45229</v>
      </c>
      <c r="C563" s="1" t="n">
        <v>46075</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55032-2023</t>
        </is>
      </c>
      <c r="B564" s="1" t="n">
        <v>45229</v>
      </c>
      <c r="C564" s="1" t="n">
        <v>46075</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20352-2022</t>
        </is>
      </c>
      <c r="B565" s="1" t="n">
        <v>44699.37318287037</v>
      </c>
      <c r="C565" s="1" t="n">
        <v>46075</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46075</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5032-2025</t>
        </is>
      </c>
      <c r="B567" s="1" t="n">
        <v>45691</v>
      </c>
      <c r="C567" s="1" t="n">
        <v>46075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17117-2023</t>
        </is>
      </c>
      <c r="B568" s="1" t="n">
        <v>45034</v>
      </c>
      <c r="C568" s="1" t="n">
        <v>46075</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19243-2025</t>
        </is>
      </c>
      <c r="B569" s="1" t="n">
        <v>45769</v>
      </c>
      <c r="C569" s="1" t="n">
        <v>46075</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63353-2025</t>
        </is>
      </c>
      <c r="B570" s="1" t="n">
        <v>46010.66670138889</v>
      </c>
      <c r="C570" s="1" t="n">
        <v>46075</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63269-2025</t>
        </is>
      </c>
      <c r="B571" s="1" t="n">
        <v>46010</v>
      </c>
      <c r="C571" s="1" t="n">
        <v>46075</v>
      </c>
      <c r="D571" t="inlineStr">
        <is>
          <t>VÄSTMANLANDS LÄN</t>
        </is>
      </c>
      <c r="E571" t="inlineStr">
        <is>
          <t>SALA</t>
        </is>
      </c>
      <c r="G571" t="n">
        <v>6.4</v>
      </c>
      <c r="H571" t="n">
        <v>0</v>
      </c>
      <c r="I571" t="n">
        <v>0</v>
      </c>
      <c r="J571" t="n">
        <v>0</v>
      </c>
      <c r="K571" t="n">
        <v>0</v>
      </c>
      <c r="L571" t="n">
        <v>0</v>
      </c>
      <c r="M571" t="n">
        <v>0</v>
      </c>
      <c r="N571" t="n">
        <v>0</v>
      </c>
      <c r="O571" t="n">
        <v>0</v>
      </c>
      <c r="P571" t="n">
        <v>0</v>
      </c>
      <c r="Q571" t="n">
        <v>0</v>
      </c>
      <c r="R571" s="2" t="inlineStr"/>
    </row>
    <row r="572" ht="15" customHeight="1">
      <c r="A572" t="inlineStr">
        <is>
          <t>A 7166-2025</t>
        </is>
      </c>
      <c r="B572" s="1" t="n">
        <v>45702</v>
      </c>
      <c r="C572" s="1" t="n">
        <v>46075</v>
      </c>
      <c r="D572" t="inlineStr">
        <is>
          <t>VÄSTMANLANDS LÄN</t>
        </is>
      </c>
      <c r="E572" t="inlineStr">
        <is>
          <t>SALA</t>
        </is>
      </c>
      <c r="G572" t="n">
        <v>6.1</v>
      </c>
      <c r="H572" t="n">
        <v>0</v>
      </c>
      <c r="I572" t="n">
        <v>0</v>
      </c>
      <c r="J572" t="n">
        <v>0</v>
      </c>
      <c r="K572" t="n">
        <v>0</v>
      </c>
      <c r="L572" t="n">
        <v>0</v>
      </c>
      <c r="M572" t="n">
        <v>0</v>
      </c>
      <c r="N572" t="n">
        <v>0</v>
      </c>
      <c r="O572" t="n">
        <v>0</v>
      </c>
      <c r="P572" t="n">
        <v>0</v>
      </c>
      <c r="Q572" t="n">
        <v>0</v>
      </c>
      <c r="R572" s="2" t="inlineStr"/>
    </row>
    <row r="573" ht="15" customHeight="1">
      <c r="A573" t="inlineStr">
        <is>
          <t>A 36393-2023</t>
        </is>
      </c>
      <c r="B573" s="1" t="n">
        <v>45152</v>
      </c>
      <c r="C573" s="1" t="n">
        <v>46075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26416-2023</t>
        </is>
      </c>
      <c r="B574" s="1" t="n">
        <v>45092.38087962963</v>
      </c>
      <c r="C574" s="1" t="n">
        <v>46075</v>
      </c>
      <c r="D574" t="inlineStr">
        <is>
          <t>VÄSTMANLANDS LÄN</t>
        </is>
      </c>
      <c r="E574" t="inlineStr">
        <is>
          <t>SALA</t>
        </is>
      </c>
      <c r="G574" t="n">
        <v>2.9</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46075</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46075</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27255-2023</t>
        </is>
      </c>
      <c r="B577" s="1" t="n">
        <v>45096</v>
      </c>
      <c r="C577" s="1" t="n">
        <v>46075</v>
      </c>
      <c r="D577" t="inlineStr">
        <is>
          <t>VÄSTMANLANDS LÄN</t>
        </is>
      </c>
      <c r="E577" t="inlineStr">
        <is>
          <t>SALA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17722-2025</t>
        </is>
      </c>
      <c r="B578" s="1" t="n">
        <v>45758</v>
      </c>
      <c r="C578" s="1" t="n">
        <v>46075</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7498-2026</t>
        </is>
      </c>
      <c r="B579" s="1" t="n">
        <v>46059.55550925926</v>
      </c>
      <c r="C579" s="1" t="n">
        <v>46075</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63749-2025</t>
        </is>
      </c>
      <c r="B580" s="1" t="n">
        <v>46017.75243055556</v>
      </c>
      <c r="C580" s="1" t="n">
        <v>46075</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7329-2026</t>
        </is>
      </c>
      <c r="B581" s="1" t="n">
        <v>46058.68678240741</v>
      </c>
      <c r="C581" s="1" t="n">
        <v>46075</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7324-2026</t>
        </is>
      </c>
      <c r="B582" s="1" t="n">
        <v>46058.68023148148</v>
      </c>
      <c r="C582" s="1" t="n">
        <v>46075</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7197-2025</t>
        </is>
      </c>
      <c r="B583" s="1" t="n">
        <v>45702</v>
      </c>
      <c r="C583" s="1" t="n">
        <v>46075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63748-2025</t>
        </is>
      </c>
      <c r="B584" s="1" t="n">
        <v>46017.71640046296</v>
      </c>
      <c r="C584" s="1" t="n">
        <v>46075</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7327-2026</t>
        </is>
      </c>
      <c r="B585" s="1" t="n">
        <v>46058.68371527778</v>
      </c>
      <c r="C585" s="1" t="n">
        <v>46075</v>
      </c>
      <c r="D585" t="inlineStr">
        <is>
          <t>VÄSTMANLANDS LÄN</t>
        </is>
      </c>
      <c r="E585" t="inlineStr">
        <is>
          <t>SALA</t>
        </is>
      </c>
      <c r="G585" t="n">
        <v>5.8</v>
      </c>
      <c r="H585" t="n">
        <v>0</v>
      </c>
      <c r="I585" t="n">
        <v>0</v>
      </c>
      <c r="J585" t="n">
        <v>0</v>
      </c>
      <c r="K585" t="n">
        <v>0</v>
      </c>
      <c r="L585" t="n">
        <v>0</v>
      </c>
      <c r="M585" t="n">
        <v>0</v>
      </c>
      <c r="N585" t="n">
        <v>0</v>
      </c>
      <c r="O585" t="n">
        <v>0</v>
      </c>
      <c r="P585" t="n">
        <v>0</v>
      </c>
      <c r="Q585" t="n">
        <v>0</v>
      </c>
      <c r="R585" s="2" t="inlineStr"/>
    </row>
    <row r="586" ht="15" customHeight="1">
      <c r="A586" t="inlineStr">
        <is>
          <t>A 7332-2026</t>
        </is>
      </c>
      <c r="B586" s="1" t="n">
        <v>46058.68884259259</v>
      </c>
      <c r="C586" s="1" t="n">
        <v>46075</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13752-2025</t>
        </is>
      </c>
      <c r="B587" s="1" t="n">
        <v>45737.41416666667</v>
      </c>
      <c r="C587" s="1" t="n">
        <v>46075</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7654-2026</t>
        </is>
      </c>
      <c r="B588" s="1" t="n">
        <v>46062.38828703704</v>
      </c>
      <c r="C588" s="1" t="n">
        <v>46075</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2927-2024</t>
        </is>
      </c>
      <c r="B589" s="1" t="n">
        <v>45315.58989583333</v>
      </c>
      <c r="C589" s="1" t="n">
        <v>46075</v>
      </c>
      <c r="D589" t="inlineStr">
        <is>
          <t>VÄSTMANLANDS LÄN</t>
        </is>
      </c>
      <c r="E589" t="inlineStr">
        <is>
          <t>SALA</t>
        </is>
      </c>
      <c r="G589" t="n">
        <v>2.5</v>
      </c>
      <c r="H589" t="n">
        <v>0</v>
      </c>
      <c r="I589" t="n">
        <v>0</v>
      </c>
      <c r="J589" t="n">
        <v>0</v>
      </c>
      <c r="K589" t="n">
        <v>0</v>
      </c>
      <c r="L589" t="n">
        <v>0</v>
      </c>
      <c r="M589" t="n">
        <v>0</v>
      </c>
      <c r="N589" t="n">
        <v>0</v>
      </c>
      <c r="O589" t="n">
        <v>0</v>
      </c>
      <c r="P589" t="n">
        <v>0</v>
      </c>
      <c r="Q589" t="n">
        <v>0</v>
      </c>
      <c r="R589" s="2" t="inlineStr"/>
    </row>
    <row r="590" ht="15" customHeight="1">
      <c r="A590" t="inlineStr">
        <is>
          <t>A 26854-2024</t>
        </is>
      </c>
      <c r="B590" s="1" t="n">
        <v>45470</v>
      </c>
      <c r="C590" s="1" t="n">
        <v>46075</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7680-2026</t>
        </is>
      </c>
      <c r="B591" s="1" t="n">
        <v>46062.43087962963</v>
      </c>
      <c r="C591" s="1" t="n">
        <v>46075</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7595-2026</t>
        </is>
      </c>
      <c r="B592" s="1" t="n">
        <v>46061.90009259259</v>
      </c>
      <c r="C592" s="1" t="n">
        <v>46075</v>
      </c>
      <c r="D592" t="inlineStr">
        <is>
          <t>VÄSTMANLANDS LÄN</t>
        </is>
      </c>
      <c r="E592" t="inlineStr">
        <is>
          <t>SALA</t>
        </is>
      </c>
      <c r="G592" t="n">
        <v>1.2</v>
      </c>
      <c r="H592" t="n">
        <v>0</v>
      </c>
      <c r="I592" t="n">
        <v>0</v>
      </c>
      <c r="J592" t="n">
        <v>0</v>
      </c>
      <c r="K592" t="n">
        <v>0</v>
      </c>
      <c r="L592" t="n">
        <v>0</v>
      </c>
      <c r="M592" t="n">
        <v>0</v>
      </c>
      <c r="N592" t="n">
        <v>0</v>
      </c>
      <c r="O592" t="n">
        <v>0</v>
      </c>
      <c r="P592" t="n">
        <v>0</v>
      </c>
      <c r="Q592" t="n">
        <v>0</v>
      </c>
      <c r="R592" s="2" t="inlineStr"/>
    </row>
    <row r="593" ht="15" customHeight="1">
      <c r="A593" t="inlineStr">
        <is>
          <t>A 4214-2026</t>
        </is>
      </c>
      <c r="B593" s="1" t="n">
        <v>46044.76459490741</v>
      </c>
      <c r="C593" s="1" t="n">
        <v>46075</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7588-2026</t>
        </is>
      </c>
      <c r="B594" s="1" t="n">
        <v>46061.83528935185</v>
      </c>
      <c r="C594" s="1" t="n">
        <v>46075</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46075</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46075</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7850-2026</t>
        </is>
      </c>
      <c r="B597" s="1" t="n">
        <v>46062.66236111111</v>
      </c>
      <c r="C597" s="1" t="n">
        <v>46075</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48570-2024</t>
        </is>
      </c>
      <c r="B598" s="1" t="n">
        <v>45591</v>
      </c>
      <c r="C598" s="1" t="n">
        <v>46075</v>
      </c>
      <c r="D598" t="inlineStr">
        <is>
          <t>VÄSTMANLANDS LÄN</t>
        </is>
      </c>
      <c r="E598" t="inlineStr">
        <is>
          <t>SALA</t>
        </is>
      </c>
      <c r="G598" t="n">
        <v>3</v>
      </c>
      <c r="H598" t="n">
        <v>0</v>
      </c>
      <c r="I598" t="n">
        <v>0</v>
      </c>
      <c r="J598" t="n">
        <v>0</v>
      </c>
      <c r="K598" t="n">
        <v>0</v>
      </c>
      <c r="L598" t="n">
        <v>0</v>
      </c>
      <c r="M598" t="n">
        <v>0</v>
      </c>
      <c r="N598" t="n">
        <v>0</v>
      </c>
      <c r="O598" t="n">
        <v>0</v>
      </c>
      <c r="P598" t="n">
        <v>0</v>
      </c>
      <c r="Q598" t="n">
        <v>0</v>
      </c>
      <c r="R598" s="2" t="inlineStr"/>
    </row>
    <row r="599" ht="15" customHeight="1">
      <c r="A599" t="inlineStr">
        <is>
          <t>A 10812-2021</t>
        </is>
      </c>
      <c r="B599" s="1" t="n">
        <v>44259</v>
      </c>
      <c r="C599" s="1" t="n">
        <v>46075</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7611-2026</t>
        </is>
      </c>
      <c r="B600" s="1" t="n">
        <v>46062.32387731481</v>
      </c>
      <c r="C600" s="1" t="n">
        <v>46075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7676-2026</t>
        </is>
      </c>
      <c r="B601" s="1" t="n">
        <v>46062.42498842593</v>
      </c>
      <c r="C601" s="1" t="n">
        <v>46075</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57883-2024</t>
        </is>
      </c>
      <c r="B602" s="1" t="n">
        <v>45630</v>
      </c>
      <c r="C602" s="1" t="n">
        <v>46075</v>
      </c>
      <c r="D602" t="inlineStr">
        <is>
          <t>VÄSTMANLANDS LÄN</t>
        </is>
      </c>
      <c r="E602" t="inlineStr">
        <is>
          <t>SALA</t>
        </is>
      </c>
      <c r="G602" t="n">
        <v>5.4</v>
      </c>
      <c r="H602" t="n">
        <v>0</v>
      </c>
      <c r="I602" t="n">
        <v>0</v>
      </c>
      <c r="J602" t="n">
        <v>0</v>
      </c>
      <c r="K602" t="n">
        <v>0</v>
      </c>
      <c r="L602" t="n">
        <v>0</v>
      </c>
      <c r="M602" t="n">
        <v>0</v>
      </c>
      <c r="N602" t="n">
        <v>0</v>
      </c>
      <c r="O602" t="n">
        <v>0</v>
      </c>
      <c r="P602" t="n">
        <v>0</v>
      </c>
      <c r="Q602" t="n">
        <v>0</v>
      </c>
      <c r="R602" s="2" t="inlineStr"/>
    </row>
    <row r="603" ht="15" customHeight="1">
      <c r="A603" t="inlineStr">
        <is>
          <t>A 7661-2026</t>
        </is>
      </c>
      <c r="B603" s="1" t="n">
        <v>46062.39614583334</v>
      </c>
      <c r="C603" s="1" t="n">
        <v>46075</v>
      </c>
      <c r="D603" t="inlineStr">
        <is>
          <t>VÄSTMANLANDS LÄN</t>
        </is>
      </c>
      <c r="E603" t="inlineStr">
        <is>
          <t>SALA</t>
        </is>
      </c>
      <c r="G603" t="n">
        <v>1.3</v>
      </c>
      <c r="H603" t="n">
        <v>0</v>
      </c>
      <c r="I603" t="n">
        <v>0</v>
      </c>
      <c r="J603" t="n">
        <v>0</v>
      </c>
      <c r="K603" t="n">
        <v>0</v>
      </c>
      <c r="L603" t="n">
        <v>0</v>
      </c>
      <c r="M603" t="n">
        <v>0</v>
      </c>
      <c r="N603" t="n">
        <v>0</v>
      </c>
      <c r="O603" t="n">
        <v>0</v>
      </c>
      <c r="P603" t="n">
        <v>0</v>
      </c>
      <c r="Q603" t="n">
        <v>0</v>
      </c>
      <c r="R603" s="2" t="inlineStr"/>
    </row>
    <row r="604" ht="15" customHeight="1">
      <c r="A604" t="inlineStr">
        <is>
          <t>A 16769-2024</t>
        </is>
      </c>
      <c r="B604" s="1" t="n">
        <v>45411.38738425926</v>
      </c>
      <c r="C604" s="1" t="n">
        <v>46075</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18877-2023</t>
        </is>
      </c>
      <c r="B605" s="1" t="n">
        <v>45044</v>
      </c>
      <c r="C605" s="1" t="n">
        <v>46075</v>
      </c>
      <c r="D605" t="inlineStr">
        <is>
          <t>VÄSTMANLANDS LÄN</t>
        </is>
      </c>
      <c r="E605" t="inlineStr">
        <is>
          <t>SALA</t>
        </is>
      </c>
      <c r="F605" t="inlineStr">
        <is>
          <t>Kommuner</t>
        </is>
      </c>
      <c r="G605" t="n">
        <v>4.4</v>
      </c>
      <c r="H605" t="n">
        <v>0</v>
      </c>
      <c r="I605" t="n">
        <v>0</v>
      </c>
      <c r="J605" t="n">
        <v>0</v>
      </c>
      <c r="K605" t="n">
        <v>0</v>
      </c>
      <c r="L605" t="n">
        <v>0</v>
      </c>
      <c r="M605" t="n">
        <v>0</v>
      </c>
      <c r="N605" t="n">
        <v>0</v>
      </c>
      <c r="O605" t="n">
        <v>0</v>
      </c>
      <c r="P605" t="n">
        <v>0</v>
      </c>
      <c r="Q605" t="n">
        <v>0</v>
      </c>
      <c r="R605" s="2" t="inlineStr"/>
    </row>
    <row r="606" ht="15" customHeight="1">
      <c r="A606" t="inlineStr">
        <is>
          <t>A 7584-2026</t>
        </is>
      </c>
      <c r="B606" s="1" t="n">
        <v>46061.81653935185</v>
      </c>
      <c r="C606" s="1" t="n">
        <v>46075</v>
      </c>
      <c r="D606" t="inlineStr">
        <is>
          <t>VÄSTMANLANDS LÄN</t>
        </is>
      </c>
      <c r="E606" t="inlineStr">
        <is>
          <t>SALA</t>
        </is>
      </c>
      <c r="G606" t="n">
        <v>16.7</v>
      </c>
      <c r="H606" t="n">
        <v>0</v>
      </c>
      <c r="I606" t="n">
        <v>0</v>
      </c>
      <c r="J606" t="n">
        <v>0</v>
      </c>
      <c r="K606" t="n">
        <v>0</v>
      </c>
      <c r="L606" t="n">
        <v>0</v>
      </c>
      <c r="M606" t="n">
        <v>0</v>
      </c>
      <c r="N606" t="n">
        <v>0</v>
      </c>
      <c r="O606" t="n">
        <v>0</v>
      </c>
      <c r="P606" t="n">
        <v>0</v>
      </c>
      <c r="Q606" t="n">
        <v>0</v>
      </c>
      <c r="R606" s="2" t="inlineStr"/>
    </row>
    <row r="607" ht="15" customHeight="1">
      <c r="A607" t="inlineStr">
        <is>
          <t>A 7590-2026</t>
        </is>
      </c>
      <c r="B607" s="1" t="n">
        <v>46061.85252314815</v>
      </c>
      <c r="C607" s="1" t="n">
        <v>46075</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7596-2026</t>
        </is>
      </c>
      <c r="B608" s="1" t="n">
        <v>46061.90922453703</v>
      </c>
      <c r="C608" s="1" t="n">
        <v>46075</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44544-2024</t>
        </is>
      </c>
      <c r="B609" s="1" t="n">
        <v>45574.46119212963</v>
      </c>
      <c r="C609" s="1" t="n">
        <v>46075</v>
      </c>
      <c r="D609" t="inlineStr">
        <is>
          <t>VÄSTMANLANDS LÄN</t>
        </is>
      </c>
      <c r="E609" t="inlineStr">
        <is>
          <t>SALA</t>
        </is>
      </c>
      <c r="G609" t="n">
        <v>3.3</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46075</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56547-2022</t>
        </is>
      </c>
      <c r="B611" s="1" t="n">
        <v>44893.48284722222</v>
      </c>
      <c r="C611" s="1" t="n">
        <v>46075</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29542-2023</t>
        </is>
      </c>
      <c r="B612" s="1" t="n">
        <v>45098</v>
      </c>
      <c r="C612" s="1" t="n">
        <v>46075</v>
      </c>
      <c r="D612" t="inlineStr">
        <is>
          <t>VÄSTMANLANDS LÄN</t>
        </is>
      </c>
      <c r="E612" t="inlineStr">
        <is>
          <t>SALA</t>
        </is>
      </c>
      <c r="G612" t="n">
        <v>4.8</v>
      </c>
      <c r="H612" t="n">
        <v>0</v>
      </c>
      <c r="I612" t="n">
        <v>0</v>
      </c>
      <c r="J612" t="n">
        <v>0</v>
      </c>
      <c r="K612" t="n">
        <v>0</v>
      </c>
      <c r="L612" t="n">
        <v>0</v>
      </c>
      <c r="M612" t="n">
        <v>0</v>
      </c>
      <c r="N612" t="n">
        <v>0</v>
      </c>
      <c r="O612" t="n">
        <v>0</v>
      </c>
      <c r="P612" t="n">
        <v>0</v>
      </c>
      <c r="Q612" t="n">
        <v>0</v>
      </c>
      <c r="R612" s="2" t="inlineStr"/>
    </row>
    <row r="613" ht="15" customHeight="1">
      <c r="A613" t="inlineStr">
        <is>
          <t>A 4683-2026</t>
        </is>
      </c>
      <c r="B613" s="1" t="n">
        <v>46048.43489583334</v>
      </c>
      <c r="C613" s="1" t="n">
        <v>46075</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46075</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46075</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46075</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46075</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46075</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46075</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46075</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46075</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46075</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46075</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46075</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46075</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46075</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46075</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46075</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46075</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46075</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46075</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46075</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46075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5219-2026</t>
        </is>
      </c>
      <c r="B634" s="1" t="n">
        <v>46049.76225694444</v>
      </c>
      <c r="C634" s="1" t="n">
        <v>46075</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46075</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910-2026</t>
        </is>
      </c>
      <c r="B636" s="1" t="n">
        <v>46030.4771412037</v>
      </c>
      <c r="C636" s="1" t="n">
        <v>46075</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10154-2021</t>
        </is>
      </c>
      <c r="B637" s="1" t="n">
        <v>44256</v>
      </c>
      <c r="C637" s="1" t="n">
        <v>46075</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914-2026</t>
        </is>
      </c>
      <c r="B638" s="1" t="n">
        <v>46030.47952546296</v>
      </c>
      <c r="C638" s="1" t="n">
        <v>46075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56916-2022</t>
        </is>
      </c>
      <c r="B639" s="1" t="n">
        <v>44888</v>
      </c>
      <c r="C639" s="1" t="n">
        <v>46075</v>
      </c>
      <c r="D639" t="inlineStr">
        <is>
          <t>VÄSTMANLANDS LÄN</t>
        </is>
      </c>
      <c r="E639" t="inlineStr">
        <is>
          <t>SALA</t>
        </is>
      </c>
      <c r="G639" t="n">
        <v>1.7</v>
      </c>
      <c r="H639" t="n">
        <v>0</v>
      </c>
      <c r="I639" t="n">
        <v>0</v>
      </c>
      <c r="J639" t="n">
        <v>0</v>
      </c>
      <c r="K639" t="n">
        <v>0</v>
      </c>
      <c r="L639" t="n">
        <v>0</v>
      </c>
      <c r="M639" t="n">
        <v>0</v>
      </c>
      <c r="N639" t="n">
        <v>0</v>
      </c>
      <c r="O639" t="n">
        <v>0</v>
      </c>
      <c r="P639" t="n">
        <v>0</v>
      </c>
      <c r="Q639" t="n">
        <v>0</v>
      </c>
      <c r="R639" s="2" t="inlineStr"/>
    </row>
    <row r="640" ht="15" customHeight="1">
      <c r="A640" t="inlineStr">
        <is>
          <t>A 948-2026</t>
        </is>
      </c>
      <c r="B640" s="1" t="n">
        <v>46030.53986111111</v>
      </c>
      <c r="C640" s="1" t="n">
        <v>46075</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71471-2021</t>
        </is>
      </c>
      <c r="B641" s="1" t="n">
        <v>44540.53421296296</v>
      </c>
      <c r="C641" s="1" t="n">
        <v>46075</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13987-2023</t>
        </is>
      </c>
      <c r="B642" s="1" t="n">
        <v>45007</v>
      </c>
      <c r="C642" s="1" t="n">
        <v>46075</v>
      </c>
      <c r="D642" t="inlineStr">
        <is>
          <t>VÄSTMANLANDS LÄN</t>
        </is>
      </c>
      <c r="E642" t="inlineStr">
        <is>
          <t>SALA</t>
        </is>
      </c>
      <c r="G642" t="n">
        <v>3.2</v>
      </c>
      <c r="H642" t="n">
        <v>0</v>
      </c>
      <c r="I642" t="n">
        <v>0</v>
      </c>
      <c r="J642" t="n">
        <v>0</v>
      </c>
      <c r="K642" t="n">
        <v>0</v>
      </c>
      <c r="L642" t="n">
        <v>0</v>
      </c>
      <c r="M642" t="n">
        <v>0</v>
      </c>
      <c r="N642" t="n">
        <v>0</v>
      </c>
      <c r="O642" t="n">
        <v>0</v>
      </c>
      <c r="P642" t="n">
        <v>0</v>
      </c>
      <c r="Q642" t="n">
        <v>0</v>
      </c>
      <c r="R642" s="2" t="inlineStr"/>
    </row>
    <row r="643" ht="15" customHeight="1">
      <c r="A643" t="inlineStr">
        <is>
          <t>A 13990-2023</t>
        </is>
      </c>
      <c r="B643" s="1" t="n">
        <v>45007</v>
      </c>
      <c r="C643" s="1" t="n">
        <v>46075</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46075</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17051-2025</t>
        </is>
      </c>
      <c r="B645" s="1" t="n">
        <v>45755</v>
      </c>
      <c r="C645" s="1" t="n">
        <v>46075</v>
      </c>
      <c r="D645" t="inlineStr">
        <is>
          <t>VÄSTMANLANDS LÄN</t>
        </is>
      </c>
      <c r="E645" t="inlineStr">
        <is>
          <t>SALA</t>
        </is>
      </c>
      <c r="G645" t="n">
        <v>2.9</v>
      </c>
      <c r="H645" t="n">
        <v>0</v>
      </c>
      <c r="I645" t="n">
        <v>0</v>
      </c>
      <c r="J645" t="n">
        <v>0</v>
      </c>
      <c r="K645" t="n">
        <v>0</v>
      </c>
      <c r="L645" t="n">
        <v>0</v>
      </c>
      <c r="M645" t="n">
        <v>0</v>
      </c>
      <c r="N645" t="n">
        <v>0</v>
      </c>
      <c r="O645" t="n">
        <v>0</v>
      </c>
      <c r="P645" t="n">
        <v>0</v>
      </c>
      <c r="Q645" t="n">
        <v>0</v>
      </c>
      <c r="R645" s="2" t="inlineStr"/>
    </row>
    <row r="646" ht="15" customHeight="1">
      <c r="A646" t="inlineStr">
        <is>
          <t>A 43509-2021</t>
        </is>
      </c>
      <c r="B646" s="1" t="n">
        <v>44433</v>
      </c>
      <c r="C646" s="1" t="n">
        <v>46075</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54959-2024</t>
        </is>
      </c>
      <c r="B647" s="1" t="n">
        <v>45619</v>
      </c>
      <c r="C647" s="1" t="n">
        <v>46075</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56964-2023</t>
        </is>
      </c>
      <c r="B648" s="1" t="n">
        <v>45244.63140046296</v>
      </c>
      <c r="C648" s="1" t="n">
        <v>46075</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37337-2024</t>
        </is>
      </c>
      <c r="B649" s="1" t="n">
        <v>45540</v>
      </c>
      <c r="C649" s="1" t="n">
        <v>46075</v>
      </c>
      <c r="D649" t="inlineStr">
        <is>
          <t>VÄSTMANLANDS LÄN</t>
        </is>
      </c>
      <c r="E649" t="inlineStr">
        <is>
          <t>SALA</t>
        </is>
      </c>
      <c r="G649" t="n">
        <v>6.5</v>
      </c>
      <c r="H649" t="n">
        <v>0</v>
      </c>
      <c r="I649" t="n">
        <v>0</v>
      </c>
      <c r="J649" t="n">
        <v>0</v>
      </c>
      <c r="K649" t="n">
        <v>0</v>
      </c>
      <c r="L649" t="n">
        <v>0</v>
      </c>
      <c r="M649" t="n">
        <v>0</v>
      </c>
      <c r="N649" t="n">
        <v>0</v>
      </c>
      <c r="O649" t="n">
        <v>0</v>
      </c>
      <c r="P649" t="n">
        <v>0</v>
      </c>
      <c r="Q649" t="n">
        <v>0</v>
      </c>
      <c r="R649" s="2" t="inlineStr"/>
    </row>
    <row r="650" ht="15" customHeight="1">
      <c r="A650" t="inlineStr">
        <is>
          <t>A 17120-2023</t>
        </is>
      </c>
      <c r="B650" s="1" t="n">
        <v>45034</v>
      </c>
      <c r="C650" s="1" t="n">
        <v>46075</v>
      </c>
      <c r="D650" t="inlineStr">
        <is>
          <t>VÄSTMANLANDS LÄN</t>
        </is>
      </c>
      <c r="E650" t="inlineStr">
        <is>
          <t>SALA</t>
        </is>
      </c>
      <c r="G650" t="n">
        <v>0.1</v>
      </c>
      <c r="H650" t="n">
        <v>0</v>
      </c>
      <c r="I650" t="n">
        <v>0</v>
      </c>
      <c r="J650" t="n">
        <v>0</v>
      </c>
      <c r="K650" t="n">
        <v>0</v>
      </c>
      <c r="L650" t="n">
        <v>0</v>
      </c>
      <c r="M650" t="n">
        <v>0</v>
      </c>
      <c r="N650" t="n">
        <v>0</v>
      </c>
      <c r="O650" t="n">
        <v>0</v>
      </c>
      <c r="P650" t="n">
        <v>0</v>
      </c>
      <c r="Q650" t="n">
        <v>0</v>
      </c>
      <c r="R650" s="2" t="inlineStr"/>
    </row>
    <row r="651" ht="15" customHeight="1">
      <c r="A651" t="inlineStr">
        <is>
          <t>A 34494-2023</t>
        </is>
      </c>
      <c r="B651" s="1" t="n">
        <v>45133</v>
      </c>
      <c r="C651" s="1" t="n">
        <v>46075</v>
      </c>
      <c r="D651" t="inlineStr">
        <is>
          <t>VÄSTMANLANDS LÄN</t>
        </is>
      </c>
      <c r="E651" t="inlineStr">
        <is>
          <t>SALA</t>
        </is>
      </c>
      <c r="G651" t="n">
        <v>0.8</v>
      </c>
      <c r="H651" t="n">
        <v>0</v>
      </c>
      <c r="I651" t="n">
        <v>0</v>
      </c>
      <c r="J651" t="n">
        <v>0</v>
      </c>
      <c r="K651" t="n">
        <v>0</v>
      </c>
      <c r="L651" t="n">
        <v>0</v>
      </c>
      <c r="M651" t="n">
        <v>0</v>
      </c>
      <c r="N651" t="n">
        <v>0</v>
      </c>
      <c r="O651" t="n">
        <v>0</v>
      </c>
      <c r="P651" t="n">
        <v>0</v>
      </c>
      <c r="Q651" t="n">
        <v>0</v>
      </c>
      <c r="R651" s="2" t="inlineStr"/>
    </row>
    <row r="652" ht="15" customHeight="1">
      <c r="A652" t="inlineStr">
        <is>
          <t>A 10579-2022</t>
        </is>
      </c>
      <c r="B652" s="1" t="n">
        <v>44624</v>
      </c>
      <c r="C652" s="1" t="n">
        <v>46075</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9335-2022</t>
        </is>
      </c>
      <c r="B653" s="1" t="n">
        <v>44616.56579861111</v>
      </c>
      <c r="C653" s="1" t="n">
        <v>46075</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45313-2024</t>
        </is>
      </c>
      <c r="B654" s="1" t="n">
        <v>45576</v>
      </c>
      <c r="C654" s="1" t="n">
        <v>46075</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23119-2022</t>
        </is>
      </c>
      <c r="B655" s="1" t="n">
        <v>44719.56697916667</v>
      </c>
      <c r="C655" s="1" t="n">
        <v>46075</v>
      </c>
      <c r="D655" t="inlineStr">
        <is>
          <t>VÄSTMANLANDS LÄN</t>
        </is>
      </c>
      <c r="E655" t="inlineStr">
        <is>
          <t>SALA</t>
        </is>
      </c>
      <c r="G655" t="n">
        <v>7</v>
      </c>
      <c r="H655" t="n">
        <v>0</v>
      </c>
      <c r="I655" t="n">
        <v>0</v>
      </c>
      <c r="J655" t="n">
        <v>0</v>
      </c>
      <c r="K655" t="n">
        <v>0</v>
      </c>
      <c r="L655" t="n">
        <v>0</v>
      </c>
      <c r="M655" t="n">
        <v>0</v>
      </c>
      <c r="N655" t="n">
        <v>0</v>
      </c>
      <c r="O655" t="n">
        <v>0</v>
      </c>
      <c r="P655" t="n">
        <v>0</v>
      </c>
      <c r="Q655" t="n">
        <v>0</v>
      </c>
      <c r="R655" s="2" t="inlineStr"/>
    </row>
    <row r="656" ht="15" customHeight="1">
      <c r="A656" t="inlineStr">
        <is>
          <t>A 1196-2023</t>
        </is>
      </c>
      <c r="B656" s="1" t="n">
        <v>44935.82290509259</v>
      </c>
      <c r="C656" s="1" t="n">
        <v>46075</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52503-2024</t>
        </is>
      </c>
      <c r="B657" s="1" t="n">
        <v>45609.58806712963</v>
      </c>
      <c r="C657" s="1" t="n">
        <v>46075</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7953-2024</t>
        </is>
      </c>
      <c r="B658" s="1" t="n">
        <v>45350</v>
      </c>
      <c r="C658" s="1" t="n">
        <v>46075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30028-2024</t>
        </is>
      </c>
      <c r="B659" s="1" t="n">
        <v>45485</v>
      </c>
      <c r="C659" s="1" t="n">
        <v>46075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7950-2025</t>
        </is>
      </c>
      <c r="B660" s="1" t="n">
        <v>45707.41799768519</v>
      </c>
      <c r="C660" s="1" t="n">
        <v>46075</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27657-2023</t>
        </is>
      </c>
      <c r="B661" s="1" t="n">
        <v>45097.76631944445</v>
      </c>
      <c r="C661" s="1" t="n">
        <v>46075</v>
      </c>
      <c r="D661" t="inlineStr">
        <is>
          <t>VÄSTMANLANDS LÄN</t>
        </is>
      </c>
      <c r="E661" t="inlineStr">
        <is>
          <t>SALA</t>
        </is>
      </c>
      <c r="G661" t="n">
        <v>0.1</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46075</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33309-2022</t>
        </is>
      </c>
      <c r="B663" s="1" t="n">
        <v>44788.40986111111</v>
      </c>
      <c r="C663" s="1" t="n">
        <v>46075</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47909-2022</t>
        </is>
      </c>
      <c r="B664" s="1" t="n">
        <v>44855</v>
      </c>
      <c r="C664" s="1" t="n">
        <v>46075</v>
      </c>
      <c r="D664" t="inlineStr">
        <is>
          <t>VÄSTMANLANDS LÄN</t>
        </is>
      </c>
      <c r="E664" t="inlineStr">
        <is>
          <t>SALA</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15272-2025</t>
        </is>
      </c>
      <c r="B665" s="1" t="n">
        <v>45744</v>
      </c>
      <c r="C665" s="1" t="n">
        <v>46075</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11183-2023</t>
        </is>
      </c>
      <c r="B666" s="1" t="n">
        <v>44992.57782407408</v>
      </c>
      <c r="C666" s="1" t="n">
        <v>46075</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11190-2023</t>
        </is>
      </c>
      <c r="B667" s="1" t="n">
        <v>44992</v>
      </c>
      <c r="C667" s="1" t="n">
        <v>46075</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53838-2022</t>
        </is>
      </c>
      <c r="B668" s="1" t="n">
        <v>44880.59363425926</v>
      </c>
      <c r="C668" s="1" t="n">
        <v>46075</v>
      </c>
      <c r="D668" t="inlineStr">
        <is>
          <t>VÄSTMANLANDS LÄN</t>
        </is>
      </c>
      <c r="E668" t="inlineStr">
        <is>
          <t>SALA</t>
        </is>
      </c>
      <c r="G668" t="n">
        <v>3.9</v>
      </c>
      <c r="H668" t="n">
        <v>0</v>
      </c>
      <c r="I668" t="n">
        <v>0</v>
      </c>
      <c r="J668" t="n">
        <v>0</v>
      </c>
      <c r="K668" t="n">
        <v>0</v>
      </c>
      <c r="L668" t="n">
        <v>0</v>
      </c>
      <c r="M668" t="n">
        <v>0</v>
      </c>
      <c r="N668" t="n">
        <v>0</v>
      </c>
      <c r="O668" t="n">
        <v>0</v>
      </c>
      <c r="P668" t="n">
        <v>0</v>
      </c>
      <c r="Q668" t="n">
        <v>0</v>
      </c>
      <c r="R668" s="2" t="inlineStr"/>
    </row>
    <row r="669" ht="15" customHeight="1">
      <c r="A669" t="inlineStr">
        <is>
          <t>A 53166-2024</t>
        </is>
      </c>
      <c r="B669" s="1" t="n">
        <v>45611</v>
      </c>
      <c r="C669" s="1" t="n">
        <v>46075</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28827-2022</t>
        </is>
      </c>
      <c r="B670" s="1" t="n">
        <v>44749.45561342593</v>
      </c>
      <c r="C670" s="1" t="n">
        <v>46075</v>
      </c>
      <c r="D670" t="inlineStr">
        <is>
          <t>VÄSTMANLANDS LÄN</t>
        </is>
      </c>
      <c r="E670" t="inlineStr">
        <is>
          <t>SALA</t>
        </is>
      </c>
      <c r="F670" t="inlineStr">
        <is>
          <t>Kommuner</t>
        </is>
      </c>
      <c r="G670" t="n">
        <v>11.9</v>
      </c>
      <c r="H670" t="n">
        <v>0</v>
      </c>
      <c r="I670" t="n">
        <v>0</v>
      </c>
      <c r="J670" t="n">
        <v>0</v>
      </c>
      <c r="K670" t="n">
        <v>0</v>
      </c>
      <c r="L670" t="n">
        <v>0</v>
      </c>
      <c r="M670" t="n">
        <v>0</v>
      </c>
      <c r="N670" t="n">
        <v>0</v>
      </c>
      <c r="O670" t="n">
        <v>0</v>
      </c>
      <c r="P670" t="n">
        <v>0</v>
      </c>
      <c r="Q670" t="n">
        <v>0</v>
      </c>
      <c r="R670" s="2" t="inlineStr"/>
    </row>
    <row r="671" ht="15" customHeight="1">
      <c r="A671" t="inlineStr">
        <is>
          <t>A 17866-2025</t>
        </is>
      </c>
      <c r="B671" s="1" t="n">
        <v>45758</v>
      </c>
      <c r="C671" s="1" t="n">
        <v>46075</v>
      </c>
      <c r="D671" t="inlineStr">
        <is>
          <t>VÄSTMANLANDS LÄN</t>
        </is>
      </c>
      <c r="E671" t="inlineStr">
        <is>
          <t>SALA</t>
        </is>
      </c>
      <c r="F671" t="inlineStr">
        <is>
          <t>Bergvik skog öst AB</t>
        </is>
      </c>
      <c r="G671" t="n">
        <v>2.1</v>
      </c>
      <c r="H671" t="n">
        <v>0</v>
      </c>
      <c r="I671" t="n">
        <v>0</v>
      </c>
      <c r="J671" t="n">
        <v>0</v>
      </c>
      <c r="K671" t="n">
        <v>0</v>
      </c>
      <c r="L671" t="n">
        <v>0</v>
      </c>
      <c r="M671" t="n">
        <v>0</v>
      </c>
      <c r="N671" t="n">
        <v>0</v>
      </c>
      <c r="O671" t="n">
        <v>0</v>
      </c>
      <c r="P671" t="n">
        <v>0</v>
      </c>
      <c r="Q671" t="n">
        <v>0</v>
      </c>
      <c r="R671" s="2" t="inlineStr"/>
    </row>
    <row r="672" ht="15" customHeight="1">
      <c r="A672" t="inlineStr">
        <is>
          <t>A 54836-2024</t>
        </is>
      </c>
      <c r="B672" s="1" t="n">
        <v>45618</v>
      </c>
      <c r="C672" s="1" t="n">
        <v>46075</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64729-2023</t>
        </is>
      </c>
      <c r="B673" s="1" t="n">
        <v>45281</v>
      </c>
      <c r="C673" s="1" t="n">
        <v>46075</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10585-2022</t>
        </is>
      </c>
      <c r="B674" s="1" t="n">
        <v>44624</v>
      </c>
      <c r="C674" s="1" t="n">
        <v>46075</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22523-2023</t>
        </is>
      </c>
      <c r="B675" s="1" t="n">
        <v>45069</v>
      </c>
      <c r="C675" s="1" t="n">
        <v>46075</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31609-2024</t>
        </is>
      </c>
      <c r="B676" s="1" t="n">
        <v>45506</v>
      </c>
      <c r="C676" s="1" t="n">
        <v>46075</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56057-2023</t>
        </is>
      </c>
      <c r="B677" s="1" t="n">
        <v>45233</v>
      </c>
      <c r="C677" s="1" t="n">
        <v>46075</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62635-2022</t>
        </is>
      </c>
      <c r="B678" s="1" t="n">
        <v>44917</v>
      </c>
      <c r="C678" s="1" t="n">
        <v>46075</v>
      </c>
      <c r="D678" t="inlineStr">
        <is>
          <t>VÄSTMANLANDS LÄN</t>
        </is>
      </c>
      <c r="E678" t="inlineStr">
        <is>
          <t>SALA</t>
        </is>
      </c>
      <c r="G678" t="n">
        <v>0.4</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46075</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39714-2023</t>
        </is>
      </c>
      <c r="B680" s="1" t="n">
        <v>45167.62133101852</v>
      </c>
      <c r="C680" s="1" t="n">
        <v>46075</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42984-2023</t>
        </is>
      </c>
      <c r="B681" s="1" t="n">
        <v>45179</v>
      </c>
      <c r="C681" s="1" t="n">
        <v>46075</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56535-2022</t>
        </is>
      </c>
      <c r="B682" s="1" t="n">
        <v>44893.47173611111</v>
      </c>
      <c r="C682" s="1" t="n">
        <v>46075</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60550-2024</t>
        </is>
      </c>
      <c r="B683" s="1" t="n">
        <v>45643</v>
      </c>
      <c r="C683" s="1" t="n">
        <v>46075</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13746-2025</t>
        </is>
      </c>
      <c r="B684" s="1" t="n">
        <v>45737.40944444444</v>
      </c>
      <c r="C684" s="1" t="n">
        <v>46075</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46075</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59175-2022</t>
        </is>
      </c>
      <c r="B686" s="1" t="n">
        <v>44904.48502314815</v>
      </c>
      <c r="C686" s="1" t="n">
        <v>46075</v>
      </c>
      <c r="D686" t="inlineStr">
        <is>
          <t>VÄSTMANLANDS LÄN</t>
        </is>
      </c>
      <c r="E686" t="inlineStr">
        <is>
          <t>SALA</t>
        </is>
      </c>
      <c r="G686" t="n">
        <v>2.1</v>
      </c>
      <c r="H686" t="n">
        <v>0</v>
      </c>
      <c r="I686" t="n">
        <v>0</v>
      </c>
      <c r="J686" t="n">
        <v>0</v>
      </c>
      <c r="K686" t="n">
        <v>0</v>
      </c>
      <c r="L686" t="n">
        <v>0</v>
      </c>
      <c r="M686" t="n">
        <v>0</v>
      </c>
      <c r="N686" t="n">
        <v>0</v>
      </c>
      <c r="O686" t="n">
        <v>0</v>
      </c>
      <c r="P686" t="n">
        <v>0</v>
      </c>
      <c r="Q686" t="n">
        <v>0</v>
      </c>
      <c r="R686" s="2" t="inlineStr"/>
    </row>
    <row r="687" ht="15" customHeight="1">
      <c r="A687" t="inlineStr">
        <is>
          <t>A 19381-2025</t>
        </is>
      </c>
      <c r="B687" s="1" t="n">
        <v>45769</v>
      </c>
      <c r="C687" s="1" t="n">
        <v>46075</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42938-2023</t>
        </is>
      </c>
      <c r="B688" s="1" t="n">
        <v>45179</v>
      </c>
      <c r="C688" s="1" t="n">
        <v>46075</v>
      </c>
      <c r="D688" t="inlineStr">
        <is>
          <t>VÄSTMANLANDS LÄN</t>
        </is>
      </c>
      <c r="E688" t="inlineStr">
        <is>
          <t>SALA</t>
        </is>
      </c>
      <c r="G688" t="n">
        <v>10.9</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46075</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46075</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60823-2024</t>
        </is>
      </c>
      <c r="B691" s="1" t="n">
        <v>45644</v>
      </c>
      <c r="C691" s="1" t="n">
        <v>46075</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61681-2024</t>
        </is>
      </c>
      <c r="B692" s="1" t="n">
        <v>45647</v>
      </c>
      <c r="C692" s="1" t="n">
        <v>46075</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49661-2024</t>
        </is>
      </c>
      <c r="B693" s="1" t="n">
        <v>45596</v>
      </c>
      <c r="C693" s="1" t="n">
        <v>46075</v>
      </c>
      <c r="D693" t="inlineStr">
        <is>
          <t>VÄSTMANLANDS LÄN</t>
        </is>
      </c>
      <c r="E693" t="inlineStr">
        <is>
          <t>SALA</t>
        </is>
      </c>
      <c r="G693" t="n">
        <v>6.7</v>
      </c>
      <c r="H693" t="n">
        <v>0</v>
      </c>
      <c r="I693" t="n">
        <v>0</v>
      </c>
      <c r="J693" t="n">
        <v>0</v>
      </c>
      <c r="K693" t="n">
        <v>0</v>
      </c>
      <c r="L693" t="n">
        <v>0</v>
      </c>
      <c r="M693" t="n">
        <v>0</v>
      </c>
      <c r="N693" t="n">
        <v>0</v>
      </c>
      <c r="O693" t="n">
        <v>0</v>
      </c>
      <c r="P693" t="n">
        <v>0</v>
      </c>
      <c r="Q693" t="n">
        <v>0</v>
      </c>
      <c r="R693" s="2" t="inlineStr"/>
    </row>
    <row r="694" ht="15" customHeight="1">
      <c r="A694" t="inlineStr">
        <is>
          <t>A 59297-2023</t>
        </is>
      </c>
      <c r="B694" s="1" t="n">
        <v>45253</v>
      </c>
      <c r="C694" s="1" t="n">
        <v>46075</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15965-2024</t>
        </is>
      </c>
      <c r="B695" s="1" t="n">
        <v>45405.55740740741</v>
      </c>
      <c r="C695" s="1" t="n">
        <v>46075</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23180-2022</t>
        </is>
      </c>
      <c r="B696" s="1" t="n">
        <v>44719.79344907407</v>
      </c>
      <c r="C696" s="1" t="n">
        <v>46075</v>
      </c>
      <c r="D696" t="inlineStr">
        <is>
          <t>VÄSTMANLANDS LÄN</t>
        </is>
      </c>
      <c r="E696" t="inlineStr">
        <is>
          <t>SALA</t>
        </is>
      </c>
      <c r="G696" t="n">
        <v>1.2</v>
      </c>
      <c r="H696" t="n">
        <v>0</v>
      </c>
      <c r="I696" t="n">
        <v>0</v>
      </c>
      <c r="J696" t="n">
        <v>0</v>
      </c>
      <c r="K696" t="n">
        <v>0</v>
      </c>
      <c r="L696" t="n">
        <v>0</v>
      </c>
      <c r="M696" t="n">
        <v>0</v>
      </c>
      <c r="N696" t="n">
        <v>0</v>
      </c>
      <c r="O696" t="n">
        <v>0</v>
      </c>
      <c r="P696" t="n">
        <v>0</v>
      </c>
      <c r="Q696" t="n">
        <v>0</v>
      </c>
      <c r="R696" s="2" t="inlineStr"/>
    </row>
    <row r="697" ht="15" customHeight="1">
      <c r="A697" t="inlineStr">
        <is>
          <t>A 21455-2023</t>
        </is>
      </c>
      <c r="B697" s="1" t="n">
        <v>45058</v>
      </c>
      <c r="C697" s="1" t="n">
        <v>46075</v>
      </c>
      <c r="D697" t="inlineStr">
        <is>
          <t>VÄSTMANLANDS LÄN</t>
        </is>
      </c>
      <c r="E697" t="inlineStr">
        <is>
          <t>SALA</t>
        </is>
      </c>
      <c r="G697" t="n">
        <v>6.4</v>
      </c>
      <c r="H697" t="n">
        <v>0</v>
      </c>
      <c r="I697" t="n">
        <v>0</v>
      </c>
      <c r="J697" t="n">
        <v>0</v>
      </c>
      <c r="K697" t="n">
        <v>0</v>
      </c>
      <c r="L697" t="n">
        <v>0</v>
      </c>
      <c r="M697" t="n">
        <v>0</v>
      </c>
      <c r="N697" t="n">
        <v>0</v>
      </c>
      <c r="O697" t="n">
        <v>0</v>
      </c>
      <c r="P697" t="n">
        <v>0</v>
      </c>
      <c r="Q697" t="n">
        <v>0</v>
      </c>
      <c r="R697" s="2" t="inlineStr"/>
    </row>
    <row r="698" ht="15" customHeight="1">
      <c r="A698" t="inlineStr">
        <is>
          <t>A 21053-2022</t>
        </is>
      </c>
      <c r="B698" s="1" t="n">
        <v>44704</v>
      </c>
      <c r="C698" s="1" t="n">
        <v>46075</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11927-2025</t>
        </is>
      </c>
      <c r="B699" s="1" t="n">
        <v>45728.5137962963</v>
      </c>
      <c r="C699" s="1" t="n">
        <v>46075</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50876-2023</t>
        </is>
      </c>
      <c r="B700" s="1" t="n">
        <v>45211</v>
      </c>
      <c r="C700" s="1" t="n">
        <v>46075</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10255-2024</t>
        </is>
      </c>
      <c r="B701" s="1" t="n">
        <v>45365</v>
      </c>
      <c r="C701" s="1" t="n">
        <v>46075</v>
      </c>
      <c r="D701" t="inlineStr">
        <is>
          <t>VÄSTMANLANDS LÄN</t>
        </is>
      </c>
      <c r="E701" t="inlineStr">
        <is>
          <t>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62648-2022</t>
        </is>
      </c>
      <c r="B702" s="1" t="n">
        <v>44917</v>
      </c>
      <c r="C702" s="1" t="n">
        <v>46075</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56548-2024</t>
        </is>
      </c>
      <c r="B703" s="1" t="n">
        <v>45625</v>
      </c>
      <c r="C703" s="1" t="n">
        <v>46075</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5477-2024</t>
        </is>
      </c>
      <c r="B704" s="1" t="n">
        <v>45333.67833333334</v>
      </c>
      <c r="C704" s="1" t="n">
        <v>46075</v>
      </c>
      <c r="D704" t="inlineStr">
        <is>
          <t>VÄSTMANLANDS LÄN</t>
        </is>
      </c>
      <c r="E704" t="inlineStr">
        <is>
          <t>SALA</t>
        </is>
      </c>
      <c r="G704" t="n">
        <v>2.3</v>
      </c>
      <c r="H704" t="n">
        <v>0</v>
      </c>
      <c r="I704" t="n">
        <v>0</v>
      </c>
      <c r="J704" t="n">
        <v>0</v>
      </c>
      <c r="K704" t="n">
        <v>0</v>
      </c>
      <c r="L704" t="n">
        <v>0</v>
      </c>
      <c r="M704" t="n">
        <v>0</v>
      </c>
      <c r="N704" t="n">
        <v>0</v>
      </c>
      <c r="O704" t="n">
        <v>0</v>
      </c>
      <c r="P704" t="n">
        <v>0</v>
      </c>
      <c r="Q704" t="n">
        <v>0</v>
      </c>
      <c r="R704" s="2" t="inlineStr"/>
    </row>
    <row r="705" ht="15" customHeight="1">
      <c r="A705" t="inlineStr">
        <is>
          <t>A 39451-2022</t>
        </is>
      </c>
      <c r="B705" s="1" t="n">
        <v>44818.36606481481</v>
      </c>
      <c r="C705" s="1" t="n">
        <v>46075</v>
      </c>
      <c r="D705" t="inlineStr">
        <is>
          <t>VÄSTMANLANDS LÄN</t>
        </is>
      </c>
      <c r="E705" t="inlineStr">
        <is>
          <t>SALA</t>
        </is>
      </c>
      <c r="G705" t="n">
        <v>9.4</v>
      </c>
      <c r="H705" t="n">
        <v>0</v>
      </c>
      <c r="I705" t="n">
        <v>0</v>
      </c>
      <c r="J705" t="n">
        <v>0</v>
      </c>
      <c r="K705" t="n">
        <v>0</v>
      </c>
      <c r="L705" t="n">
        <v>0</v>
      </c>
      <c r="M705" t="n">
        <v>0</v>
      </c>
      <c r="N705" t="n">
        <v>0</v>
      </c>
      <c r="O705" t="n">
        <v>0</v>
      </c>
      <c r="P705" t="n">
        <v>0</v>
      </c>
      <c r="Q705" t="n">
        <v>0</v>
      </c>
      <c r="R705" s="2" t="inlineStr"/>
    </row>
    <row r="706" ht="15" customHeight="1">
      <c r="A706" t="inlineStr">
        <is>
          <t>A 7772-2023</t>
        </is>
      </c>
      <c r="B706" s="1" t="n">
        <v>44973.40076388889</v>
      </c>
      <c r="C706" s="1" t="n">
        <v>46075</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19751-2022</t>
        </is>
      </c>
      <c r="B707" s="1" t="n">
        <v>44694</v>
      </c>
      <c r="C707" s="1" t="n">
        <v>46075</v>
      </c>
      <c r="D707" t="inlineStr">
        <is>
          <t>VÄSTMANLANDS LÄN</t>
        </is>
      </c>
      <c r="E707" t="inlineStr">
        <is>
          <t>SALA</t>
        </is>
      </c>
      <c r="G707" t="n">
        <v>2.7</v>
      </c>
      <c r="H707" t="n">
        <v>0</v>
      </c>
      <c r="I707" t="n">
        <v>0</v>
      </c>
      <c r="J707" t="n">
        <v>0</v>
      </c>
      <c r="K707" t="n">
        <v>0</v>
      </c>
      <c r="L707" t="n">
        <v>0</v>
      </c>
      <c r="M707" t="n">
        <v>0</v>
      </c>
      <c r="N707" t="n">
        <v>0</v>
      </c>
      <c r="O707" t="n">
        <v>0</v>
      </c>
      <c r="P707" t="n">
        <v>0</v>
      </c>
      <c r="Q707" t="n">
        <v>0</v>
      </c>
      <c r="R707" s="2" t="inlineStr"/>
    </row>
    <row r="708" ht="15" customHeight="1">
      <c r="A708" t="inlineStr">
        <is>
          <t>A 44713-2023</t>
        </is>
      </c>
      <c r="B708" s="1" t="n">
        <v>45184</v>
      </c>
      <c r="C708" s="1" t="n">
        <v>46075</v>
      </c>
      <c r="D708" t="inlineStr">
        <is>
          <t>VÄSTMANLANDS LÄN</t>
        </is>
      </c>
      <c r="E708" t="inlineStr">
        <is>
          <t>SALA</t>
        </is>
      </c>
      <c r="F708" t="inlineStr">
        <is>
          <t>Kyrkan</t>
        </is>
      </c>
      <c r="G708" t="n">
        <v>7.6</v>
      </c>
      <c r="H708" t="n">
        <v>0</v>
      </c>
      <c r="I708" t="n">
        <v>0</v>
      </c>
      <c r="J708" t="n">
        <v>0</v>
      </c>
      <c r="K708" t="n">
        <v>0</v>
      </c>
      <c r="L708" t="n">
        <v>0</v>
      </c>
      <c r="M708" t="n">
        <v>0</v>
      </c>
      <c r="N708" t="n">
        <v>0</v>
      </c>
      <c r="O708" t="n">
        <v>0</v>
      </c>
      <c r="P708" t="n">
        <v>0</v>
      </c>
      <c r="Q708" t="n">
        <v>0</v>
      </c>
      <c r="R708" s="2" t="inlineStr"/>
    </row>
    <row r="709" ht="15" customHeight="1">
      <c r="A709" t="inlineStr">
        <is>
          <t>A 18713-2025</t>
        </is>
      </c>
      <c r="B709" s="1" t="n">
        <v>45763</v>
      </c>
      <c r="C709" s="1" t="n">
        <v>46075</v>
      </c>
      <c r="D709" t="inlineStr">
        <is>
          <t>VÄSTMANLANDS LÄN</t>
        </is>
      </c>
      <c r="E709" t="inlineStr">
        <is>
          <t>SALA</t>
        </is>
      </c>
      <c r="F709" t="inlineStr">
        <is>
          <t>Bergvik skog öst AB</t>
        </is>
      </c>
      <c r="G709" t="n">
        <v>11.6</v>
      </c>
      <c r="H709" t="n">
        <v>0</v>
      </c>
      <c r="I709" t="n">
        <v>0</v>
      </c>
      <c r="J709" t="n">
        <v>0</v>
      </c>
      <c r="K709" t="n">
        <v>0</v>
      </c>
      <c r="L709" t="n">
        <v>0</v>
      </c>
      <c r="M709" t="n">
        <v>0</v>
      </c>
      <c r="N709" t="n">
        <v>0</v>
      </c>
      <c r="O709" t="n">
        <v>0</v>
      </c>
      <c r="P709" t="n">
        <v>0</v>
      </c>
      <c r="Q709" t="n">
        <v>0</v>
      </c>
      <c r="R709" s="2" t="inlineStr"/>
    </row>
    <row r="710" ht="15" customHeight="1">
      <c r="A710" t="inlineStr">
        <is>
          <t>A 47479-2024</t>
        </is>
      </c>
      <c r="B710" s="1" t="n">
        <v>45587</v>
      </c>
      <c r="C710" s="1" t="n">
        <v>46075</v>
      </c>
      <c r="D710" t="inlineStr">
        <is>
          <t>VÄSTMANLANDS LÄN</t>
        </is>
      </c>
      <c r="E710" t="inlineStr">
        <is>
          <t>SALA</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69236-2021</t>
        </is>
      </c>
      <c r="B711" s="1" t="n">
        <v>44531.4047337963</v>
      </c>
      <c r="C711" s="1" t="n">
        <v>46075</v>
      </c>
      <c r="D711" t="inlineStr">
        <is>
          <t>VÄSTMANLANDS LÄN</t>
        </is>
      </c>
      <c r="E711" t="inlineStr">
        <is>
          <t>SALA</t>
        </is>
      </c>
      <c r="G711" t="n">
        <v>2.8</v>
      </c>
      <c r="H711" t="n">
        <v>0</v>
      </c>
      <c r="I711" t="n">
        <v>0</v>
      </c>
      <c r="J711" t="n">
        <v>0</v>
      </c>
      <c r="K711" t="n">
        <v>0</v>
      </c>
      <c r="L711" t="n">
        <v>0</v>
      </c>
      <c r="M711" t="n">
        <v>0</v>
      </c>
      <c r="N711" t="n">
        <v>0</v>
      </c>
      <c r="O711" t="n">
        <v>0</v>
      </c>
      <c r="P711" t="n">
        <v>0</v>
      </c>
      <c r="Q711" t="n">
        <v>0</v>
      </c>
      <c r="R711" s="2" t="inlineStr"/>
    </row>
    <row r="712" ht="15" customHeight="1">
      <c r="A712" t="inlineStr">
        <is>
          <t>A 25541-2024</t>
        </is>
      </c>
      <c r="B712" s="1" t="n">
        <v>45463.56337962963</v>
      </c>
      <c r="C712" s="1" t="n">
        <v>46075</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5728-2022</t>
        </is>
      </c>
      <c r="B713" s="1" t="n">
        <v>44596.42082175926</v>
      </c>
      <c r="C713" s="1" t="n">
        <v>46075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10250-2025</t>
        </is>
      </c>
      <c r="B714" s="1" t="n">
        <v>45720.36165509259</v>
      </c>
      <c r="C714" s="1" t="n">
        <v>46075</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49512-2024</t>
        </is>
      </c>
      <c r="B715" s="1" t="n">
        <v>45591</v>
      </c>
      <c r="C715" s="1" t="n">
        <v>46075</v>
      </c>
      <c r="D715" t="inlineStr">
        <is>
          <t>VÄSTMANLANDS LÄN</t>
        </is>
      </c>
      <c r="E715" t="inlineStr">
        <is>
          <t>SALA</t>
        </is>
      </c>
      <c r="G715" t="n">
        <v>8.1</v>
      </c>
      <c r="H715" t="n">
        <v>0</v>
      </c>
      <c r="I715" t="n">
        <v>0</v>
      </c>
      <c r="J715" t="n">
        <v>0</v>
      </c>
      <c r="K715" t="n">
        <v>0</v>
      </c>
      <c r="L715" t="n">
        <v>0</v>
      </c>
      <c r="M715" t="n">
        <v>0</v>
      </c>
      <c r="N715" t="n">
        <v>0</v>
      </c>
      <c r="O715" t="n">
        <v>0</v>
      </c>
      <c r="P715" t="n">
        <v>0</v>
      </c>
      <c r="Q715" t="n">
        <v>0</v>
      </c>
      <c r="R715" s="2" t="inlineStr"/>
    </row>
    <row r="716" ht="15" customHeight="1">
      <c r="A716" t="inlineStr">
        <is>
          <t>A 42416-2022</t>
        </is>
      </c>
      <c r="B716" s="1" t="n">
        <v>44831</v>
      </c>
      <c r="C716" s="1" t="n">
        <v>46075</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6135-2023</t>
        </is>
      </c>
      <c r="B717" s="1" t="n">
        <v>44964.62628472222</v>
      </c>
      <c r="C717" s="1" t="n">
        <v>46075</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16693-2023</t>
        </is>
      </c>
      <c r="B718" s="1" t="n">
        <v>45028</v>
      </c>
      <c r="C718" s="1" t="n">
        <v>46075</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8285-2025</t>
        </is>
      </c>
      <c r="B719" s="1" t="n">
        <v>45708</v>
      </c>
      <c r="C719" s="1" t="n">
        <v>46075</v>
      </c>
      <c r="D719" t="inlineStr">
        <is>
          <t>VÄSTMANLANDS LÄN</t>
        </is>
      </c>
      <c r="E719" t="inlineStr">
        <is>
          <t>SALA</t>
        </is>
      </c>
      <c r="G719" t="n">
        <v>5.7</v>
      </c>
      <c r="H719" t="n">
        <v>0</v>
      </c>
      <c r="I719" t="n">
        <v>0</v>
      </c>
      <c r="J719" t="n">
        <v>0</v>
      </c>
      <c r="K719" t="n">
        <v>0</v>
      </c>
      <c r="L719" t="n">
        <v>0</v>
      </c>
      <c r="M719" t="n">
        <v>0</v>
      </c>
      <c r="N719" t="n">
        <v>0</v>
      </c>
      <c r="O719" t="n">
        <v>0</v>
      </c>
      <c r="P719" t="n">
        <v>0</v>
      </c>
      <c r="Q719" t="n">
        <v>0</v>
      </c>
      <c r="R719" s="2" t="inlineStr"/>
    </row>
    <row r="720" ht="15" customHeight="1">
      <c r="A720" t="inlineStr">
        <is>
          <t>A 15584-2021</t>
        </is>
      </c>
      <c r="B720" s="1" t="n">
        <v>44285</v>
      </c>
      <c r="C720" s="1" t="n">
        <v>46075</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18340-2025</t>
        </is>
      </c>
      <c r="B721" s="1" t="n">
        <v>45762</v>
      </c>
      <c r="C721" s="1" t="n">
        <v>46075</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56706-2022</t>
        </is>
      </c>
      <c r="B722" s="1" t="n">
        <v>44893.78893518518</v>
      </c>
      <c r="C722" s="1" t="n">
        <v>46075</v>
      </c>
      <c r="D722" t="inlineStr">
        <is>
          <t>VÄSTMANLANDS LÄN</t>
        </is>
      </c>
      <c r="E722" t="inlineStr">
        <is>
          <t>SALA</t>
        </is>
      </c>
      <c r="G722" t="n">
        <v>4.5</v>
      </c>
      <c r="H722" t="n">
        <v>0</v>
      </c>
      <c r="I722" t="n">
        <v>0</v>
      </c>
      <c r="J722" t="n">
        <v>0</v>
      </c>
      <c r="K722" t="n">
        <v>0</v>
      </c>
      <c r="L722" t="n">
        <v>0</v>
      </c>
      <c r="M722" t="n">
        <v>0</v>
      </c>
      <c r="N722" t="n">
        <v>0</v>
      </c>
      <c r="O722" t="n">
        <v>0</v>
      </c>
      <c r="P722" t="n">
        <v>0</v>
      </c>
      <c r="Q722" t="n">
        <v>0</v>
      </c>
      <c r="R722" s="2" t="inlineStr"/>
    </row>
    <row r="723" ht="15" customHeight="1">
      <c r="A723" t="inlineStr">
        <is>
          <t>A 56707-2022</t>
        </is>
      </c>
      <c r="B723" s="1" t="n">
        <v>44893.79412037037</v>
      </c>
      <c r="C723" s="1" t="n">
        <v>46075</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48571-2024</t>
        </is>
      </c>
      <c r="B724" s="1" t="n">
        <v>45591</v>
      </c>
      <c r="C724" s="1" t="n">
        <v>46075</v>
      </c>
      <c r="D724" t="inlineStr">
        <is>
          <t>VÄSTMANLANDS LÄN</t>
        </is>
      </c>
      <c r="E724" t="inlineStr">
        <is>
          <t>SALA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13188-2025</t>
        </is>
      </c>
      <c r="B725" s="1" t="n">
        <v>45735.39246527778</v>
      </c>
      <c r="C725" s="1" t="n">
        <v>46075</v>
      </c>
      <c r="D725" t="inlineStr">
        <is>
          <t>VÄSTMANLANDS LÄN</t>
        </is>
      </c>
      <c r="E725" t="inlineStr">
        <is>
          <t>SALA</t>
        </is>
      </c>
      <c r="F725" t="inlineStr">
        <is>
          <t>Naturvårdsverket</t>
        </is>
      </c>
      <c r="G725" t="n">
        <v>18.4</v>
      </c>
      <c r="H725" t="n">
        <v>0</v>
      </c>
      <c r="I725" t="n">
        <v>0</v>
      </c>
      <c r="J725" t="n">
        <v>0</v>
      </c>
      <c r="K725" t="n">
        <v>0</v>
      </c>
      <c r="L725" t="n">
        <v>0</v>
      </c>
      <c r="M725" t="n">
        <v>0</v>
      </c>
      <c r="N725" t="n">
        <v>0</v>
      </c>
      <c r="O725" t="n">
        <v>0</v>
      </c>
      <c r="P725" t="n">
        <v>0</v>
      </c>
      <c r="Q725" t="n">
        <v>0</v>
      </c>
      <c r="R725" s="2" t="inlineStr"/>
    </row>
    <row r="726" ht="15" customHeight="1">
      <c r="A726" t="inlineStr">
        <is>
          <t>A 23431-2024</t>
        </is>
      </c>
      <c r="B726" s="1" t="n">
        <v>45453</v>
      </c>
      <c r="C726" s="1" t="n">
        <v>46075</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21168-2025</t>
        </is>
      </c>
      <c r="B727" s="1" t="n">
        <v>45777</v>
      </c>
      <c r="C727" s="1" t="n">
        <v>46075</v>
      </c>
      <c r="D727" t="inlineStr">
        <is>
          <t>VÄSTMANLANDS LÄN</t>
        </is>
      </c>
      <c r="E727" t="inlineStr">
        <is>
          <t>SALA</t>
        </is>
      </c>
      <c r="G727" t="n">
        <v>4.5</v>
      </c>
      <c r="H727" t="n">
        <v>0</v>
      </c>
      <c r="I727" t="n">
        <v>0</v>
      </c>
      <c r="J727" t="n">
        <v>0</v>
      </c>
      <c r="K727" t="n">
        <v>0</v>
      </c>
      <c r="L727" t="n">
        <v>0</v>
      </c>
      <c r="M727" t="n">
        <v>0</v>
      </c>
      <c r="N727" t="n">
        <v>0</v>
      </c>
      <c r="O727" t="n">
        <v>0</v>
      </c>
      <c r="P727" t="n">
        <v>0</v>
      </c>
      <c r="Q727" t="n">
        <v>0</v>
      </c>
      <c r="R727" s="2" t="inlineStr"/>
    </row>
    <row r="728" ht="15" customHeight="1">
      <c r="A728" t="inlineStr">
        <is>
          <t>A 21754-2025</t>
        </is>
      </c>
      <c r="B728" s="1" t="n">
        <v>45783.61837962963</v>
      </c>
      <c r="C728" s="1" t="n">
        <v>46075</v>
      </c>
      <c r="D728" t="inlineStr">
        <is>
          <t>VÄSTMANLANDS LÄN</t>
        </is>
      </c>
      <c r="E728" t="inlineStr">
        <is>
          <t>SALA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21751-2025</t>
        </is>
      </c>
      <c r="B729" s="1" t="n">
        <v>45783.61372685185</v>
      </c>
      <c r="C729" s="1" t="n">
        <v>46075</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37587-2024</t>
        </is>
      </c>
      <c r="B730" s="1" t="n">
        <v>45541</v>
      </c>
      <c r="C730" s="1" t="n">
        <v>46075</v>
      </c>
      <c r="D730" t="inlineStr">
        <is>
          <t>VÄSTMANLANDS LÄN</t>
        </is>
      </c>
      <c r="E730" t="inlineStr">
        <is>
          <t>SALA</t>
        </is>
      </c>
      <c r="G730" t="n">
        <v>1.2</v>
      </c>
      <c r="H730" t="n">
        <v>0</v>
      </c>
      <c r="I730" t="n">
        <v>0</v>
      </c>
      <c r="J730" t="n">
        <v>0</v>
      </c>
      <c r="K730" t="n">
        <v>0</v>
      </c>
      <c r="L730" t="n">
        <v>0</v>
      </c>
      <c r="M730" t="n">
        <v>0</v>
      </c>
      <c r="N730" t="n">
        <v>0</v>
      </c>
      <c r="O730" t="n">
        <v>0</v>
      </c>
      <c r="P730" t="n">
        <v>0</v>
      </c>
      <c r="Q730" t="n">
        <v>0</v>
      </c>
      <c r="R730" s="2" t="inlineStr"/>
    </row>
    <row r="731" ht="15" customHeight="1">
      <c r="A731" t="inlineStr">
        <is>
          <t>A 64724-2023</t>
        </is>
      </c>
      <c r="B731" s="1" t="n">
        <v>45281.7602662037</v>
      </c>
      <c r="C731" s="1" t="n">
        <v>46075</v>
      </c>
      <c r="D731" t="inlineStr">
        <is>
          <t>VÄSTMANLANDS LÄN</t>
        </is>
      </c>
      <c r="E731" t="inlineStr">
        <is>
          <t>SALA</t>
        </is>
      </c>
      <c r="G731" t="n">
        <v>2.3</v>
      </c>
      <c r="H731" t="n">
        <v>0</v>
      </c>
      <c r="I731" t="n">
        <v>0</v>
      </c>
      <c r="J731" t="n">
        <v>0</v>
      </c>
      <c r="K731" t="n">
        <v>0</v>
      </c>
      <c r="L731" t="n">
        <v>0</v>
      </c>
      <c r="M731" t="n">
        <v>0</v>
      </c>
      <c r="N731" t="n">
        <v>0</v>
      </c>
      <c r="O731" t="n">
        <v>0</v>
      </c>
      <c r="P731" t="n">
        <v>0</v>
      </c>
      <c r="Q731" t="n">
        <v>0</v>
      </c>
      <c r="R731" s="2" t="inlineStr"/>
    </row>
    <row r="732" ht="15" customHeight="1">
      <c r="A732" t="inlineStr">
        <is>
          <t>A 7176-2023</t>
        </is>
      </c>
      <c r="B732" s="1" t="n">
        <v>44970</v>
      </c>
      <c r="C732" s="1" t="n">
        <v>46075</v>
      </c>
      <c r="D732" t="inlineStr">
        <is>
          <t>VÄSTMANLANDS LÄN</t>
        </is>
      </c>
      <c r="E732" t="inlineStr">
        <is>
          <t>SALA</t>
        </is>
      </c>
      <c r="G732" t="n">
        <v>1.5</v>
      </c>
      <c r="H732" t="n">
        <v>0</v>
      </c>
      <c r="I732" t="n">
        <v>0</v>
      </c>
      <c r="J732" t="n">
        <v>0</v>
      </c>
      <c r="K732" t="n">
        <v>0</v>
      </c>
      <c r="L732" t="n">
        <v>0</v>
      </c>
      <c r="M732" t="n">
        <v>0</v>
      </c>
      <c r="N732" t="n">
        <v>0</v>
      </c>
      <c r="O732" t="n">
        <v>0</v>
      </c>
      <c r="P732" t="n">
        <v>0</v>
      </c>
      <c r="Q732" t="n">
        <v>0</v>
      </c>
      <c r="R732" s="2" t="inlineStr"/>
    </row>
    <row r="733" ht="15" customHeight="1">
      <c r="A733" t="inlineStr">
        <is>
          <t>A 43600-2024</t>
        </is>
      </c>
      <c r="B733" s="1" t="n">
        <v>45569</v>
      </c>
      <c r="C733" s="1" t="n">
        <v>46075</v>
      </c>
      <c r="D733" t="inlineStr">
        <is>
          <t>VÄSTMANLANDS LÄN</t>
        </is>
      </c>
      <c r="E733" t="inlineStr">
        <is>
          <t>SALA</t>
        </is>
      </c>
      <c r="G733" t="n">
        <v>0.9</v>
      </c>
      <c r="H733" t="n">
        <v>0</v>
      </c>
      <c r="I733" t="n">
        <v>0</v>
      </c>
      <c r="J733" t="n">
        <v>0</v>
      </c>
      <c r="K733" t="n">
        <v>0</v>
      </c>
      <c r="L733" t="n">
        <v>0</v>
      </c>
      <c r="M733" t="n">
        <v>0</v>
      </c>
      <c r="N733" t="n">
        <v>0</v>
      </c>
      <c r="O733" t="n">
        <v>0</v>
      </c>
      <c r="P733" t="n">
        <v>0</v>
      </c>
      <c r="Q733" t="n">
        <v>0</v>
      </c>
      <c r="R733" s="2" t="inlineStr"/>
    </row>
    <row r="734" ht="15" customHeight="1">
      <c r="A734" t="inlineStr">
        <is>
          <t>A 31405-2024</t>
        </is>
      </c>
      <c r="B734" s="1" t="n">
        <v>45505.5490625</v>
      </c>
      <c r="C734" s="1" t="n">
        <v>46075</v>
      </c>
      <c r="D734" t="inlineStr">
        <is>
          <t>VÄSTMANLANDS LÄN</t>
        </is>
      </c>
      <c r="E734" t="inlineStr">
        <is>
          <t>SALA</t>
        </is>
      </c>
      <c r="G734" t="n">
        <v>5.2</v>
      </c>
      <c r="H734" t="n">
        <v>0</v>
      </c>
      <c r="I734" t="n">
        <v>0</v>
      </c>
      <c r="J734" t="n">
        <v>0</v>
      </c>
      <c r="K734" t="n">
        <v>0</v>
      </c>
      <c r="L734" t="n">
        <v>0</v>
      </c>
      <c r="M734" t="n">
        <v>0</v>
      </c>
      <c r="N734" t="n">
        <v>0</v>
      </c>
      <c r="O734" t="n">
        <v>0</v>
      </c>
      <c r="P734" t="n">
        <v>0</v>
      </c>
      <c r="Q734" t="n">
        <v>0</v>
      </c>
      <c r="R734" s="2" t="inlineStr"/>
    </row>
    <row r="735" ht="15" customHeight="1">
      <c r="A735" t="inlineStr">
        <is>
          <t>A 22616-2025</t>
        </is>
      </c>
      <c r="B735" s="1" t="n">
        <v>45789.42752314815</v>
      </c>
      <c r="C735" s="1" t="n">
        <v>46075</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22353-2025</t>
        </is>
      </c>
      <c r="B736" s="1" t="n">
        <v>45786</v>
      </c>
      <c r="C736" s="1" t="n">
        <v>46075</v>
      </c>
      <c r="D736" t="inlineStr">
        <is>
          <t>VÄSTMANLANDS LÄN</t>
        </is>
      </c>
      <c r="E736" t="inlineStr">
        <is>
          <t>SALA</t>
        </is>
      </c>
      <c r="G736" t="n">
        <v>2.5</v>
      </c>
      <c r="H736" t="n">
        <v>0</v>
      </c>
      <c r="I736" t="n">
        <v>0</v>
      </c>
      <c r="J736" t="n">
        <v>0</v>
      </c>
      <c r="K736" t="n">
        <v>0</v>
      </c>
      <c r="L736" t="n">
        <v>0</v>
      </c>
      <c r="M736" t="n">
        <v>0</v>
      </c>
      <c r="N736" t="n">
        <v>0</v>
      </c>
      <c r="O736" t="n">
        <v>0</v>
      </c>
      <c r="P736" t="n">
        <v>0</v>
      </c>
      <c r="Q736" t="n">
        <v>0</v>
      </c>
      <c r="R736" s="2" t="inlineStr"/>
    </row>
    <row r="737" ht="15" customHeight="1">
      <c r="A737" t="inlineStr">
        <is>
          <t>A 22383-2025</t>
        </is>
      </c>
      <c r="B737" s="1" t="n">
        <v>45786</v>
      </c>
      <c r="C737" s="1" t="n">
        <v>46075</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22624-2025</t>
        </is>
      </c>
      <c r="B738" s="1" t="n">
        <v>45789.43327546296</v>
      </c>
      <c r="C738" s="1" t="n">
        <v>46075</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22370-2025</t>
        </is>
      </c>
      <c r="B739" s="1" t="n">
        <v>45786</v>
      </c>
      <c r="C739" s="1" t="n">
        <v>46075</v>
      </c>
      <c r="D739" t="inlineStr">
        <is>
          <t>VÄSTMANLANDS LÄN</t>
        </is>
      </c>
      <c r="E739" t="inlineStr">
        <is>
          <t>SALA</t>
        </is>
      </c>
      <c r="G739" t="n">
        <v>3.2</v>
      </c>
      <c r="H739" t="n">
        <v>0</v>
      </c>
      <c r="I739" t="n">
        <v>0</v>
      </c>
      <c r="J739" t="n">
        <v>0</v>
      </c>
      <c r="K739" t="n">
        <v>0</v>
      </c>
      <c r="L739" t="n">
        <v>0</v>
      </c>
      <c r="M739" t="n">
        <v>0</v>
      </c>
      <c r="N739" t="n">
        <v>0</v>
      </c>
      <c r="O739" t="n">
        <v>0</v>
      </c>
      <c r="P739" t="n">
        <v>0</v>
      </c>
      <c r="Q739" t="n">
        <v>0</v>
      </c>
      <c r="R739" s="2" t="inlineStr"/>
    </row>
    <row r="740" ht="15" customHeight="1">
      <c r="A740" t="inlineStr">
        <is>
          <t>A 13130-2025</t>
        </is>
      </c>
      <c r="B740" s="1" t="n">
        <v>45734</v>
      </c>
      <c r="C740" s="1" t="n">
        <v>46075</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23804-2025</t>
        </is>
      </c>
      <c r="B741" s="1" t="n">
        <v>45793.55995370371</v>
      </c>
      <c r="C741" s="1" t="n">
        <v>46075</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22126-2025</t>
        </is>
      </c>
      <c r="B742" s="1" t="n">
        <v>45785</v>
      </c>
      <c r="C742" s="1" t="n">
        <v>46075</v>
      </c>
      <c r="D742" t="inlineStr">
        <is>
          <t>VÄSTMANLANDS LÄN</t>
        </is>
      </c>
      <c r="E742" t="inlineStr">
        <is>
          <t>SALA</t>
        </is>
      </c>
      <c r="G742" t="n">
        <v>10.6</v>
      </c>
      <c r="H742" t="n">
        <v>0</v>
      </c>
      <c r="I742" t="n">
        <v>0</v>
      </c>
      <c r="J742" t="n">
        <v>0</v>
      </c>
      <c r="K742" t="n">
        <v>0</v>
      </c>
      <c r="L742" t="n">
        <v>0</v>
      </c>
      <c r="M742" t="n">
        <v>0</v>
      </c>
      <c r="N742" t="n">
        <v>0</v>
      </c>
      <c r="O742" t="n">
        <v>0</v>
      </c>
      <c r="P742" t="n">
        <v>0</v>
      </c>
      <c r="Q742" t="n">
        <v>0</v>
      </c>
      <c r="R742" s="2" t="inlineStr"/>
    </row>
    <row r="743" ht="15" customHeight="1">
      <c r="A743" t="inlineStr">
        <is>
          <t>A 19297-2025</t>
        </is>
      </c>
      <c r="B743" s="1" t="n">
        <v>45769.56261574074</v>
      </c>
      <c r="C743" s="1" t="n">
        <v>46075</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23810-2025</t>
        </is>
      </c>
      <c r="B744" s="1" t="n">
        <v>45793.56989583333</v>
      </c>
      <c r="C744" s="1" t="n">
        <v>46075</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46075</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11210-2025</t>
        </is>
      </c>
      <c r="B746" s="1" t="n">
        <v>45726</v>
      </c>
      <c r="C746" s="1" t="n">
        <v>46075</v>
      </c>
      <c r="D746" t="inlineStr">
        <is>
          <t>VÄSTMANLANDS LÄN</t>
        </is>
      </c>
      <c r="E746" t="inlineStr">
        <is>
          <t>SALA</t>
        </is>
      </c>
      <c r="G746" t="n">
        <v>4.1</v>
      </c>
      <c r="H746" t="n">
        <v>0</v>
      </c>
      <c r="I746" t="n">
        <v>0</v>
      </c>
      <c r="J746" t="n">
        <v>0</v>
      </c>
      <c r="K746" t="n">
        <v>0</v>
      </c>
      <c r="L746" t="n">
        <v>0</v>
      </c>
      <c r="M746" t="n">
        <v>0</v>
      </c>
      <c r="N746" t="n">
        <v>0</v>
      </c>
      <c r="O746" t="n">
        <v>0</v>
      </c>
      <c r="P746" t="n">
        <v>0</v>
      </c>
      <c r="Q746" t="n">
        <v>0</v>
      </c>
      <c r="R746" s="2" t="inlineStr"/>
    </row>
    <row r="747" ht="15" customHeight="1">
      <c r="A747" t="inlineStr">
        <is>
          <t>A 24944-2023</t>
        </is>
      </c>
      <c r="B747" s="1" t="n">
        <v>45085</v>
      </c>
      <c r="C747" s="1" t="n">
        <v>46075</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24460-2025</t>
        </is>
      </c>
      <c r="B748" s="1" t="n">
        <v>45798</v>
      </c>
      <c r="C748" s="1" t="n">
        <v>46075</v>
      </c>
      <c r="D748" t="inlineStr">
        <is>
          <t>VÄSTMANLANDS LÄN</t>
        </is>
      </c>
      <c r="E748" t="inlineStr">
        <is>
          <t>SALA</t>
        </is>
      </c>
      <c r="F748" t="inlineStr">
        <is>
          <t>Bergvik skog öst AB</t>
        </is>
      </c>
      <c r="G748" t="n">
        <v>2.6</v>
      </c>
      <c r="H748" t="n">
        <v>0</v>
      </c>
      <c r="I748" t="n">
        <v>0</v>
      </c>
      <c r="J748" t="n">
        <v>0</v>
      </c>
      <c r="K748" t="n">
        <v>0</v>
      </c>
      <c r="L748" t="n">
        <v>0</v>
      </c>
      <c r="M748" t="n">
        <v>0</v>
      </c>
      <c r="N748" t="n">
        <v>0</v>
      </c>
      <c r="O748" t="n">
        <v>0</v>
      </c>
      <c r="P748" t="n">
        <v>0</v>
      </c>
      <c r="Q748" t="n">
        <v>0</v>
      </c>
      <c r="R748" s="2" t="inlineStr"/>
    </row>
    <row r="749" ht="15" customHeight="1">
      <c r="A749" t="inlineStr">
        <is>
          <t>A 24463-2025</t>
        </is>
      </c>
      <c r="B749" s="1" t="n">
        <v>45798</v>
      </c>
      <c r="C749" s="1" t="n">
        <v>46075</v>
      </c>
      <c r="D749" t="inlineStr">
        <is>
          <t>VÄSTMANLANDS LÄN</t>
        </is>
      </c>
      <c r="E749" t="inlineStr">
        <is>
          <t>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55065-2024</t>
        </is>
      </c>
      <c r="B750" s="1" t="n">
        <v>45618</v>
      </c>
      <c r="C750" s="1" t="n">
        <v>46075</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24907-2025</t>
        </is>
      </c>
      <c r="B751" s="1" t="n">
        <v>45799</v>
      </c>
      <c r="C751" s="1" t="n">
        <v>46075</v>
      </c>
      <c r="D751" t="inlineStr">
        <is>
          <t>VÄSTMANLANDS LÄN</t>
        </is>
      </c>
      <c r="E751" t="inlineStr">
        <is>
          <t>SALA</t>
        </is>
      </c>
      <c r="G751" t="n">
        <v>3.5</v>
      </c>
      <c r="H751" t="n">
        <v>0</v>
      </c>
      <c r="I751" t="n">
        <v>0</v>
      </c>
      <c r="J751" t="n">
        <v>0</v>
      </c>
      <c r="K751" t="n">
        <v>0</v>
      </c>
      <c r="L751" t="n">
        <v>0</v>
      </c>
      <c r="M751" t="n">
        <v>0</v>
      </c>
      <c r="N751" t="n">
        <v>0</v>
      </c>
      <c r="O751" t="n">
        <v>0</v>
      </c>
      <c r="P751" t="n">
        <v>0</v>
      </c>
      <c r="Q751" t="n">
        <v>0</v>
      </c>
      <c r="R751" s="2" t="inlineStr"/>
    </row>
    <row r="752" ht="15" customHeight="1">
      <c r="A752" t="inlineStr">
        <is>
          <t>A 24910-2025</t>
        </is>
      </c>
      <c r="B752" s="1" t="n">
        <v>45799.53775462963</v>
      </c>
      <c r="C752" s="1" t="n">
        <v>46075</v>
      </c>
      <c r="D752" t="inlineStr">
        <is>
          <t>VÄSTMANLANDS LÄN</t>
        </is>
      </c>
      <c r="E752" t="inlineStr">
        <is>
          <t>SALA</t>
        </is>
      </c>
      <c r="G752" t="n">
        <v>3.5</v>
      </c>
      <c r="H752" t="n">
        <v>0</v>
      </c>
      <c r="I752" t="n">
        <v>0</v>
      </c>
      <c r="J752" t="n">
        <v>0</v>
      </c>
      <c r="K752" t="n">
        <v>0</v>
      </c>
      <c r="L752" t="n">
        <v>0</v>
      </c>
      <c r="M752" t="n">
        <v>0</v>
      </c>
      <c r="N752" t="n">
        <v>0</v>
      </c>
      <c r="O752" t="n">
        <v>0</v>
      </c>
      <c r="P752" t="n">
        <v>0</v>
      </c>
      <c r="Q752" t="n">
        <v>0</v>
      </c>
      <c r="R752" s="2" t="inlineStr"/>
    </row>
    <row r="753" ht="15" customHeight="1">
      <c r="A753" t="inlineStr">
        <is>
          <t>A 10909-2024</t>
        </is>
      </c>
      <c r="B753" s="1" t="n">
        <v>45370</v>
      </c>
      <c r="C753" s="1" t="n">
        <v>46075</v>
      </c>
      <c r="D753" t="inlineStr">
        <is>
          <t>VÄSTMANLANDS LÄN</t>
        </is>
      </c>
      <c r="E753" t="inlineStr">
        <is>
          <t>SALA</t>
        </is>
      </c>
      <c r="G753" t="n">
        <v>3.3</v>
      </c>
      <c r="H753" t="n">
        <v>0</v>
      </c>
      <c r="I753" t="n">
        <v>0</v>
      </c>
      <c r="J753" t="n">
        <v>0</v>
      </c>
      <c r="K753" t="n">
        <v>0</v>
      </c>
      <c r="L753" t="n">
        <v>0</v>
      </c>
      <c r="M753" t="n">
        <v>0</v>
      </c>
      <c r="N753" t="n">
        <v>0</v>
      </c>
      <c r="O753" t="n">
        <v>0</v>
      </c>
      <c r="P753" t="n">
        <v>0</v>
      </c>
      <c r="Q753" t="n">
        <v>0</v>
      </c>
      <c r="R753" s="2" t="inlineStr"/>
    </row>
    <row r="754">
      <c r="A754" t="inlineStr">
        <is>
          <t>A 26661-2025</t>
        </is>
      </c>
      <c r="B754" s="1" t="n">
        <v>45810</v>
      </c>
      <c r="C754" s="1" t="n">
        <v>46075</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2026-02-22T11:04:43Z</dcterms:created>
  <dcterms:modified xmlns:dcterms="http://purl.org/dc/terms/" xmlns:xsi="http://www.w3.org/2001/XMLSchema-instance" xsi:type="dcterms:W3CDTF">2026-02-22T11:04:43Z</dcterms:modified>
</cp:coreProperties>
</file>