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46159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46159</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46159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46159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46159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46159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46159</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46159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46159</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46159</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53009-2024</t>
        </is>
      </c>
      <c r="B12" s="1" t="n">
        <v>45610</v>
      </c>
      <c r="C12" s="1" t="n">
        <v>46159</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46159</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46159</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46159</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46159</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46159</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46159</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46159</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3930-2026</t>
        </is>
      </c>
      <c r="B20" s="1" t="n">
        <v>46043</v>
      </c>
      <c r="C20" s="1" t="n">
        <v>46159</v>
      </c>
      <c r="D20" t="inlineStr">
        <is>
          <t>VÄSTMANLANDS LÄN</t>
        </is>
      </c>
      <c r="E20" t="inlineStr">
        <is>
          <t>SALA</t>
        </is>
      </c>
      <c r="G20" t="n">
        <v>17.4</v>
      </c>
      <c r="H20" t="n">
        <v>1</v>
      </c>
      <c r="I20" t="n">
        <v>0</v>
      </c>
      <c r="J20" t="n">
        <v>2</v>
      </c>
      <c r="K20" t="n">
        <v>1</v>
      </c>
      <c r="L20" t="n">
        <v>0</v>
      </c>
      <c r="M20" t="n">
        <v>0</v>
      </c>
      <c r="N20" t="n">
        <v>0</v>
      </c>
      <c r="O20" t="n">
        <v>3</v>
      </c>
      <c r="P20" t="n">
        <v>1</v>
      </c>
      <c r="Q20" t="n">
        <v>3</v>
      </c>
      <c r="R20" s="2" t="inlineStr">
        <is>
          <t>Knärot
Gränsticka
Ullticka</t>
        </is>
      </c>
      <c r="S20">
        <f>HYPERLINK("https://klasma.github.io/Logging_1981/artfynd/A 3930-2026 artfynd.xlsx", "A 3930-2026")</f>
        <v/>
      </c>
      <c r="T20">
        <f>HYPERLINK("https://klasma.github.io/Logging_1981/kartor/A 3930-2026 karta.png", "A 3930-2026")</f>
        <v/>
      </c>
      <c r="U20">
        <f>HYPERLINK("https://klasma.github.io/Logging_1981/knärot/A 3930-2026 karta knärot.png", "A 3930-2026")</f>
        <v/>
      </c>
      <c r="V20">
        <f>HYPERLINK("https://klasma.github.io/Logging_1981/klagomål/A 3930-2026 FSC-klagomål.docx", "A 3930-2026")</f>
        <v/>
      </c>
      <c r="W20">
        <f>HYPERLINK("https://klasma.github.io/Logging_1981/klagomålsmail/A 3930-2026 FSC-klagomål mail.docx", "A 3930-2026")</f>
        <v/>
      </c>
      <c r="X20">
        <f>HYPERLINK("https://klasma.github.io/Logging_1981/tillsyn/A 3930-2026 tillsynsbegäran.docx", "A 3930-2026")</f>
        <v/>
      </c>
      <c r="Y20">
        <f>HYPERLINK("https://klasma.github.io/Logging_1981/tillsynsmail/A 3930-2026 tillsynsbegäran mail.docx", "A 3930-2026")</f>
        <v/>
      </c>
    </row>
    <row r="21" ht="15" customHeight="1">
      <c r="A21" t="inlineStr">
        <is>
          <t>A 34065-2025</t>
        </is>
      </c>
      <c r="B21" s="1" t="n">
        <v>45845.42806712963</v>
      </c>
      <c r="C21" s="1" t="n">
        <v>46159</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Kötticka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53019-2024</t>
        </is>
      </c>
      <c r="B22" s="1" t="n">
        <v>45610</v>
      </c>
      <c r="C22" s="1" t="n">
        <v>46159</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47475-2024</t>
        </is>
      </c>
      <c r="B23" s="1" t="n">
        <v>45587.57552083334</v>
      </c>
      <c r="C23" s="1" t="n">
        <v>46159</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62768-2021</t>
        </is>
      </c>
      <c r="B24" s="1" t="n">
        <v>44504</v>
      </c>
      <c r="C24" s="1" t="n">
        <v>46159</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46159</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21044-2026</t>
        </is>
      </c>
      <c r="B26" s="1" t="n">
        <v>46146.36681712963</v>
      </c>
      <c r="C26" s="1" t="n">
        <v>46159</v>
      </c>
      <c r="D26" t="inlineStr">
        <is>
          <t>VÄSTMANLANDS LÄN</t>
        </is>
      </c>
      <c r="E26" t="inlineStr">
        <is>
          <t>SALA</t>
        </is>
      </c>
      <c r="G26" t="n">
        <v>41.2</v>
      </c>
      <c r="H26" t="n">
        <v>1</v>
      </c>
      <c r="I26" t="n">
        <v>0</v>
      </c>
      <c r="J26" t="n">
        <v>2</v>
      </c>
      <c r="K26" t="n">
        <v>1</v>
      </c>
      <c r="L26" t="n">
        <v>0</v>
      </c>
      <c r="M26" t="n">
        <v>0</v>
      </c>
      <c r="N26" t="n">
        <v>0</v>
      </c>
      <c r="O26" t="n">
        <v>3</v>
      </c>
      <c r="P26" t="n">
        <v>1</v>
      </c>
      <c r="Q26" t="n">
        <v>3</v>
      </c>
      <c r="R26" s="2" t="inlineStr">
        <is>
          <t>Knärot
Garnlav
Motaggsvamp</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4264-2024</t>
        </is>
      </c>
      <c r="B27" s="1" t="n">
        <v>45324</v>
      </c>
      <c r="C27" s="1" t="n">
        <v>46159</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35461-2024</t>
        </is>
      </c>
      <c r="B28" s="1" t="n">
        <v>45531</v>
      </c>
      <c r="C28" s="1" t="n">
        <v>46159</v>
      </c>
      <c r="D28" t="inlineStr">
        <is>
          <t>VÄSTMANLANDS LÄN</t>
        </is>
      </c>
      <c r="E28" t="inlineStr">
        <is>
          <t>SALA</t>
        </is>
      </c>
      <c r="G28" t="n">
        <v>4.4</v>
      </c>
      <c r="H28" t="n">
        <v>2</v>
      </c>
      <c r="I28" t="n">
        <v>1</v>
      </c>
      <c r="J28" t="n">
        <v>2</v>
      </c>
      <c r="K28" t="n">
        <v>0</v>
      </c>
      <c r="L28" t="n">
        <v>0</v>
      </c>
      <c r="M28" t="n">
        <v>0</v>
      </c>
      <c r="N28" t="n">
        <v>0</v>
      </c>
      <c r="O28" t="n">
        <v>2</v>
      </c>
      <c r="P28" t="n">
        <v>0</v>
      </c>
      <c r="Q28" t="n">
        <v>3</v>
      </c>
      <c r="R28" s="2" t="inlineStr">
        <is>
          <t>Duvhök
Talltita
Grönpyrola</t>
        </is>
      </c>
      <c r="S28">
        <f>HYPERLINK("https://klasma.github.io/Logging_1981/artfynd/A 35461-2024 artfynd.xlsx", "A 35461-2024")</f>
        <v/>
      </c>
      <c r="T28">
        <f>HYPERLINK("https://klasma.github.io/Logging_1981/kartor/A 35461-2024 karta.png", "A 35461-2024")</f>
        <v/>
      </c>
      <c r="V28">
        <f>HYPERLINK("https://klasma.github.io/Logging_1981/klagomål/A 35461-2024 FSC-klagomål.docx", "A 35461-2024")</f>
        <v/>
      </c>
      <c r="W28">
        <f>HYPERLINK("https://klasma.github.io/Logging_1981/klagomålsmail/A 35461-2024 FSC-klagomål mail.docx", "A 35461-2024")</f>
        <v/>
      </c>
      <c r="X28">
        <f>HYPERLINK("https://klasma.github.io/Logging_1981/tillsyn/A 35461-2024 tillsynsbegäran.docx", "A 35461-2024")</f>
        <v/>
      </c>
      <c r="Y28">
        <f>HYPERLINK("https://klasma.github.io/Logging_1981/tillsynsmail/A 35461-2024 tillsynsbegäran mail.docx", "A 35461-2024")</f>
        <v/>
      </c>
      <c r="Z28">
        <f>HYPERLINK("https://klasma.github.io/Logging_1981/fåglar/A 35461-2024 prioriterade fågelarter.docx", "A 35461-2024")</f>
        <v/>
      </c>
    </row>
    <row r="29" ht="15" customHeight="1">
      <c r="A29" t="inlineStr">
        <is>
          <t>A 52909-2022</t>
        </is>
      </c>
      <c r="B29" s="1" t="n">
        <v>44875</v>
      </c>
      <c r="C29" s="1" t="n">
        <v>46159</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46159</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11846-2024</t>
        </is>
      </c>
      <c r="B31" s="1" t="n">
        <v>45376.4047337963</v>
      </c>
      <c r="C31" s="1" t="n">
        <v>46159</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63584-2025</t>
        </is>
      </c>
      <c r="B32" s="1" t="n">
        <v>46013.77002314815</v>
      </c>
      <c r="C32" s="1" t="n">
        <v>46159</v>
      </c>
      <c r="D32" t="inlineStr">
        <is>
          <t>VÄSTMANLANDS LÄN</t>
        </is>
      </c>
      <c r="E32" t="inlineStr">
        <is>
          <t>SALA</t>
        </is>
      </c>
      <c r="G32" t="n">
        <v>7.3</v>
      </c>
      <c r="H32" t="n">
        <v>1</v>
      </c>
      <c r="I32" t="n">
        <v>0</v>
      </c>
      <c r="J32" t="n">
        <v>1</v>
      </c>
      <c r="K32" t="n">
        <v>1</v>
      </c>
      <c r="L32" t="n">
        <v>0</v>
      </c>
      <c r="M32" t="n">
        <v>0</v>
      </c>
      <c r="N32" t="n">
        <v>0</v>
      </c>
      <c r="O32" t="n">
        <v>2</v>
      </c>
      <c r="P32" t="n">
        <v>1</v>
      </c>
      <c r="Q32" t="n">
        <v>2</v>
      </c>
      <c r="R32" s="2" t="inlineStr">
        <is>
          <t>Knärot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24872-2025</t>
        </is>
      </c>
      <c r="B33" s="1" t="n">
        <v>45799.49038194444</v>
      </c>
      <c r="C33" s="1" t="n">
        <v>46159</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12444-2024</t>
        </is>
      </c>
      <c r="B34" s="1" t="n">
        <v>45379.46285879629</v>
      </c>
      <c r="C34" s="1" t="n">
        <v>46159</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46159</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53048-2025</t>
        </is>
      </c>
      <c r="B36" s="1" t="n">
        <v>45958.36018518519</v>
      </c>
      <c r="C36" s="1" t="n">
        <v>46159</v>
      </c>
      <c r="D36" t="inlineStr">
        <is>
          <t>VÄSTMANLANDS LÄN</t>
        </is>
      </c>
      <c r="E36" t="inlineStr">
        <is>
          <t>SALA</t>
        </is>
      </c>
      <c r="F36" t="inlineStr">
        <is>
          <t>Sveaskog</t>
        </is>
      </c>
      <c r="G36" t="n">
        <v>7.5</v>
      </c>
      <c r="H36" t="n">
        <v>1</v>
      </c>
      <c r="I36" t="n">
        <v>1</v>
      </c>
      <c r="J36" t="n">
        <v>1</v>
      </c>
      <c r="K36" t="n">
        <v>0</v>
      </c>
      <c r="L36" t="n">
        <v>0</v>
      </c>
      <c r="M36" t="n">
        <v>0</v>
      </c>
      <c r="N36" t="n">
        <v>0</v>
      </c>
      <c r="O36" t="n">
        <v>1</v>
      </c>
      <c r="P36" t="n">
        <v>0</v>
      </c>
      <c r="Q36" t="n">
        <v>2</v>
      </c>
      <c r="R36" s="2" t="inlineStr">
        <is>
          <t>Motaggsvamp
Plattlummer</t>
        </is>
      </c>
      <c r="S36">
        <f>HYPERLINK("https://klasma.github.io/Logging_1981/artfynd/A 53048-2025 artfynd.xlsx", "A 53048-2025")</f>
        <v/>
      </c>
      <c r="T36">
        <f>HYPERLINK("https://klasma.github.io/Logging_1981/kartor/A 53048-2025 karta.png", "A 53048-2025")</f>
        <v/>
      </c>
      <c r="V36">
        <f>HYPERLINK("https://klasma.github.io/Logging_1981/klagomål/A 53048-2025 FSC-klagomål.docx", "A 53048-2025")</f>
        <v/>
      </c>
      <c r="W36">
        <f>HYPERLINK("https://klasma.github.io/Logging_1981/klagomålsmail/A 53048-2025 FSC-klagomål mail.docx", "A 53048-2025")</f>
        <v/>
      </c>
      <c r="X36">
        <f>HYPERLINK("https://klasma.github.io/Logging_1981/tillsyn/A 53048-2025 tillsynsbegäran.docx", "A 53048-2025")</f>
        <v/>
      </c>
      <c r="Y36">
        <f>HYPERLINK("https://klasma.github.io/Logging_1981/tillsynsmail/A 53048-2025 tillsynsbegäran mail.docx", "A 53048-2025")</f>
        <v/>
      </c>
    </row>
    <row r="37" ht="15" customHeight="1">
      <c r="A37" t="inlineStr">
        <is>
          <t>A 59826-2025</t>
        </is>
      </c>
      <c r="B37" s="1" t="n">
        <v>45992.65416666667</v>
      </c>
      <c r="C37" s="1" t="n">
        <v>46159</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1500-2022</t>
        </is>
      </c>
      <c r="B38" s="1" t="n">
        <v>44573.54357638889</v>
      </c>
      <c r="C38" s="1" t="n">
        <v>46159</v>
      </c>
      <c r="D38" t="inlineStr">
        <is>
          <t>VÄSTMANLANDS LÄN</t>
        </is>
      </c>
      <c r="E38" t="inlineStr">
        <is>
          <t>SALA</t>
        </is>
      </c>
      <c r="G38" t="n">
        <v>5.8</v>
      </c>
      <c r="H38" t="n">
        <v>2</v>
      </c>
      <c r="I38" t="n">
        <v>0</v>
      </c>
      <c r="J38" t="n">
        <v>0</v>
      </c>
      <c r="K38" t="n">
        <v>1</v>
      </c>
      <c r="L38" t="n">
        <v>0</v>
      </c>
      <c r="M38" t="n">
        <v>0</v>
      </c>
      <c r="N38" t="n">
        <v>0</v>
      </c>
      <c r="O38" t="n">
        <v>1</v>
      </c>
      <c r="P38" t="n">
        <v>1</v>
      </c>
      <c r="Q38" t="n">
        <v>2</v>
      </c>
      <c r="R38" s="2" t="inlineStr">
        <is>
          <t>Knärot
Revlummer</t>
        </is>
      </c>
      <c r="S38">
        <f>HYPERLINK("https://klasma.github.io/Logging_1981/artfynd/A 1500-2022 artfynd.xlsx", "A 1500-2022")</f>
        <v/>
      </c>
      <c r="T38">
        <f>HYPERLINK("https://klasma.github.io/Logging_1981/kartor/A 1500-2022 karta.png", "A 1500-2022")</f>
        <v/>
      </c>
      <c r="U38">
        <f>HYPERLINK("https://klasma.github.io/Logging_1981/knärot/A 1500-2022 karta knärot.png", "A 1500-2022")</f>
        <v/>
      </c>
      <c r="V38">
        <f>HYPERLINK("https://klasma.github.io/Logging_1981/klagomål/A 1500-2022 FSC-klagomål.docx", "A 1500-2022")</f>
        <v/>
      </c>
      <c r="W38">
        <f>HYPERLINK("https://klasma.github.io/Logging_1981/klagomålsmail/A 1500-2022 FSC-klagomål mail.docx", "A 1500-2022")</f>
        <v/>
      </c>
      <c r="X38">
        <f>HYPERLINK("https://klasma.github.io/Logging_1981/tillsyn/A 1500-2022 tillsynsbegäran.docx", "A 1500-2022")</f>
        <v/>
      </c>
      <c r="Y38">
        <f>HYPERLINK("https://klasma.github.io/Logging_1981/tillsynsmail/A 1500-2022 tillsynsbegäran mail.docx", "A 1500-2022")</f>
        <v/>
      </c>
    </row>
    <row r="39" ht="15" customHeight="1">
      <c r="A39" t="inlineStr">
        <is>
          <t>A 14485-2026</t>
        </is>
      </c>
      <c r="B39" s="1" t="n">
        <v>46100.59055555556</v>
      </c>
      <c r="C39" s="1" t="n">
        <v>46159</v>
      </c>
      <c r="D39" t="inlineStr">
        <is>
          <t>VÄSTMANLANDS LÄN</t>
        </is>
      </c>
      <c r="E39" t="inlineStr">
        <is>
          <t>SALA</t>
        </is>
      </c>
      <c r="F39" t="inlineStr">
        <is>
          <t>Sveaskog</t>
        </is>
      </c>
      <c r="G39" t="n">
        <v>13.6</v>
      </c>
      <c r="H39" t="n">
        <v>1</v>
      </c>
      <c r="I39" t="n">
        <v>0</v>
      </c>
      <c r="J39" t="n">
        <v>2</v>
      </c>
      <c r="K39" t="n">
        <v>0</v>
      </c>
      <c r="L39" t="n">
        <v>0</v>
      </c>
      <c r="M39" t="n">
        <v>0</v>
      </c>
      <c r="N39" t="n">
        <v>0</v>
      </c>
      <c r="O39" t="n">
        <v>2</v>
      </c>
      <c r="P39" t="n">
        <v>0</v>
      </c>
      <c r="Q39" t="n">
        <v>2</v>
      </c>
      <c r="R39" s="2" t="inlineStr">
        <is>
          <t>Motaggsvamp
Talltita</t>
        </is>
      </c>
      <c r="S39">
        <f>HYPERLINK("https://klasma.github.io/Logging_1981/artfynd/A 14485-2026 artfynd.xlsx", "A 14485-2026")</f>
        <v/>
      </c>
      <c r="T39">
        <f>HYPERLINK("https://klasma.github.io/Logging_1981/kartor/A 14485-2026 karta.png", "A 14485-2026")</f>
        <v/>
      </c>
      <c r="V39">
        <f>HYPERLINK("https://klasma.github.io/Logging_1981/klagomål/A 14485-2026 FSC-klagomål.docx", "A 14485-2026")</f>
        <v/>
      </c>
      <c r="W39">
        <f>HYPERLINK("https://klasma.github.io/Logging_1981/klagomålsmail/A 14485-2026 FSC-klagomål mail.docx", "A 14485-2026")</f>
        <v/>
      </c>
      <c r="X39">
        <f>HYPERLINK("https://klasma.github.io/Logging_1981/tillsyn/A 14485-2026 tillsynsbegäran.docx", "A 14485-2026")</f>
        <v/>
      </c>
      <c r="Y39">
        <f>HYPERLINK("https://klasma.github.io/Logging_1981/tillsynsmail/A 14485-2026 tillsynsbegäran mail.docx", "A 14485-2026")</f>
        <v/>
      </c>
      <c r="Z39">
        <f>HYPERLINK("https://klasma.github.io/Logging_1981/fåglar/A 14485-2026 prioriterade fågelarter.docx", "A 14485-2026")</f>
        <v/>
      </c>
    </row>
    <row r="40" ht="15" customHeight="1">
      <c r="A40" t="inlineStr">
        <is>
          <t>A 15102-2025</t>
        </is>
      </c>
      <c r="B40" s="1" t="n">
        <v>45744.34585648148</v>
      </c>
      <c r="C40" s="1" t="n">
        <v>46159</v>
      </c>
      <c r="D40" t="inlineStr">
        <is>
          <t>VÄSTMANLANDS LÄN</t>
        </is>
      </c>
      <c r="E40" t="inlineStr">
        <is>
          <t>SALA</t>
        </is>
      </c>
      <c r="F40" t="inlineStr">
        <is>
          <t>Sveaskog</t>
        </is>
      </c>
      <c r="G40" t="n">
        <v>4.2</v>
      </c>
      <c r="H40" t="n">
        <v>2</v>
      </c>
      <c r="I40" t="n">
        <v>0</v>
      </c>
      <c r="J40" t="n">
        <v>1</v>
      </c>
      <c r="K40" t="n">
        <v>0</v>
      </c>
      <c r="L40" t="n">
        <v>0</v>
      </c>
      <c r="M40" t="n">
        <v>0</v>
      </c>
      <c r="N40" t="n">
        <v>0</v>
      </c>
      <c r="O40" t="n">
        <v>1</v>
      </c>
      <c r="P40" t="n">
        <v>0</v>
      </c>
      <c r="Q40" t="n">
        <v>2</v>
      </c>
      <c r="R40" s="2" t="inlineStr">
        <is>
          <t>Spillkråka
Grönsiska</t>
        </is>
      </c>
      <c r="S40">
        <f>HYPERLINK("https://klasma.github.io/Logging_1981/artfynd/A 15102-2025 artfynd.xlsx", "A 15102-2025")</f>
        <v/>
      </c>
      <c r="T40">
        <f>HYPERLINK("https://klasma.github.io/Logging_1981/kartor/A 15102-2025 karta.png", "A 15102-2025")</f>
        <v/>
      </c>
      <c r="V40">
        <f>HYPERLINK("https://klasma.github.io/Logging_1981/klagomål/A 15102-2025 FSC-klagomål.docx", "A 15102-2025")</f>
        <v/>
      </c>
      <c r="W40">
        <f>HYPERLINK("https://klasma.github.io/Logging_1981/klagomålsmail/A 15102-2025 FSC-klagomål mail.docx", "A 15102-2025")</f>
        <v/>
      </c>
      <c r="X40">
        <f>HYPERLINK("https://klasma.github.io/Logging_1981/tillsyn/A 15102-2025 tillsynsbegäran.docx", "A 15102-2025")</f>
        <v/>
      </c>
      <c r="Y40">
        <f>HYPERLINK("https://klasma.github.io/Logging_1981/tillsynsmail/A 15102-2025 tillsynsbegäran mail.docx", "A 15102-2025")</f>
        <v/>
      </c>
      <c r="Z40">
        <f>HYPERLINK("https://klasma.github.io/Logging_1981/fåglar/A 15102-2025 prioriterade fågelarter.docx", "A 15102-2025")</f>
        <v/>
      </c>
    </row>
    <row r="41" ht="15" customHeight="1">
      <c r="A41" t="inlineStr">
        <is>
          <t>A 44970-2021</t>
        </is>
      </c>
      <c r="B41" s="1" t="n">
        <v>44438.74399305556</v>
      </c>
      <c r="C41" s="1" t="n">
        <v>46159</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46159</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56704-2022</t>
        </is>
      </c>
      <c r="B43" s="1" t="n">
        <v>44893.78075231481</v>
      </c>
      <c r="C43" s="1" t="n">
        <v>46159</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38255-2025</t>
        </is>
      </c>
      <c r="B44" s="1" t="n">
        <v>45883.38020833334</v>
      </c>
      <c r="C44" s="1" t="n">
        <v>46159</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60852-2024</t>
        </is>
      </c>
      <c r="B45" s="1" t="n">
        <v>45644</v>
      </c>
      <c r="C45" s="1" t="n">
        <v>46159</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43175-2023</t>
        </is>
      </c>
      <c r="B46" s="1" t="n">
        <v>45183</v>
      </c>
      <c r="C46" s="1" t="n">
        <v>46159</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41270-2024</t>
        </is>
      </c>
      <c r="B47" s="1" t="n">
        <v>45559</v>
      </c>
      <c r="C47" s="1" t="n">
        <v>46159</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32594-2025</t>
        </is>
      </c>
      <c r="B48" s="1" t="n">
        <v>45838</v>
      </c>
      <c r="C48" s="1" t="n">
        <v>46159</v>
      </c>
      <c r="D48" t="inlineStr">
        <is>
          <t>VÄSTMANLANDS LÄN</t>
        </is>
      </c>
      <c r="E48" t="inlineStr">
        <is>
          <t>SALA</t>
        </is>
      </c>
      <c r="F48" t="inlineStr">
        <is>
          <t>Bergvik skog öst AB</t>
        </is>
      </c>
      <c r="G48" t="n">
        <v>0.9</v>
      </c>
      <c r="H48" t="n">
        <v>1</v>
      </c>
      <c r="I48" t="n">
        <v>0</v>
      </c>
      <c r="J48" t="n">
        <v>0</v>
      </c>
      <c r="K48" t="n">
        <v>0</v>
      </c>
      <c r="L48" t="n">
        <v>0</v>
      </c>
      <c r="M48" t="n">
        <v>0</v>
      </c>
      <c r="N48" t="n">
        <v>0</v>
      </c>
      <c r="O48" t="n">
        <v>0</v>
      </c>
      <c r="P48" t="n">
        <v>0</v>
      </c>
      <c r="Q48" t="n">
        <v>1</v>
      </c>
      <c r="R48" s="2" t="inlineStr">
        <is>
          <t>Blåsippa</t>
        </is>
      </c>
      <c r="S48">
        <f>HYPERLINK("https://klasma.github.io/Logging_1981/artfynd/A 32594-2025 artfynd.xlsx", "A 32594-2025")</f>
        <v/>
      </c>
      <c r="T48">
        <f>HYPERLINK("https://klasma.github.io/Logging_1981/kartor/A 32594-2025 karta.png", "A 32594-2025")</f>
        <v/>
      </c>
      <c r="V48">
        <f>HYPERLINK("https://klasma.github.io/Logging_1981/klagomål/A 32594-2025 FSC-klagomål.docx", "A 32594-2025")</f>
        <v/>
      </c>
      <c r="W48">
        <f>HYPERLINK("https://klasma.github.io/Logging_1981/klagomålsmail/A 32594-2025 FSC-klagomål mail.docx", "A 32594-2025")</f>
        <v/>
      </c>
      <c r="X48">
        <f>HYPERLINK("https://klasma.github.io/Logging_1981/tillsyn/A 32594-2025 tillsynsbegäran.docx", "A 32594-2025")</f>
        <v/>
      </c>
      <c r="Y48">
        <f>HYPERLINK("https://klasma.github.io/Logging_1981/tillsynsmail/A 32594-2025 tillsynsbegäran mail.docx", "A 32594-2025")</f>
        <v/>
      </c>
    </row>
    <row r="49" ht="15" customHeight="1">
      <c r="A49" t="inlineStr">
        <is>
          <t>A 48705-2025</t>
        </is>
      </c>
      <c r="B49" s="1" t="n">
        <v>45936.62290509259</v>
      </c>
      <c r="C49" s="1" t="n">
        <v>46159</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22350-2024</t>
        </is>
      </c>
      <c r="B50" s="1" t="n">
        <v>45446</v>
      </c>
      <c r="C50" s="1" t="n">
        <v>46159</v>
      </c>
      <c r="D50" t="inlineStr">
        <is>
          <t>VÄSTMANLANDS LÄN</t>
        </is>
      </c>
      <c r="E50" t="inlineStr">
        <is>
          <t>SALA</t>
        </is>
      </c>
      <c r="G50" t="n">
        <v>1.2</v>
      </c>
      <c r="H50" t="n">
        <v>1</v>
      </c>
      <c r="I50" t="n">
        <v>0</v>
      </c>
      <c r="J50" t="n">
        <v>0</v>
      </c>
      <c r="K50" t="n">
        <v>0</v>
      </c>
      <c r="L50" t="n">
        <v>0</v>
      </c>
      <c r="M50" t="n">
        <v>0</v>
      </c>
      <c r="N50" t="n">
        <v>0</v>
      </c>
      <c r="O50" t="n">
        <v>0</v>
      </c>
      <c r="P50" t="n">
        <v>0</v>
      </c>
      <c r="Q50" t="n">
        <v>1</v>
      </c>
      <c r="R50" s="2" t="inlineStr">
        <is>
          <t>Blåsippa</t>
        </is>
      </c>
      <c r="S50">
        <f>HYPERLINK("https://klasma.github.io/Logging_1981/artfynd/A 22350-2024 artfynd.xlsx", "A 22350-2024")</f>
        <v/>
      </c>
      <c r="T50">
        <f>HYPERLINK("https://klasma.github.io/Logging_1981/kartor/A 22350-2024 karta.png", "A 22350-2024")</f>
        <v/>
      </c>
      <c r="V50">
        <f>HYPERLINK("https://klasma.github.io/Logging_1981/klagomål/A 22350-2024 FSC-klagomål.docx", "A 22350-2024")</f>
        <v/>
      </c>
      <c r="W50">
        <f>HYPERLINK("https://klasma.github.io/Logging_1981/klagomålsmail/A 22350-2024 FSC-klagomål mail.docx", "A 22350-2024")</f>
        <v/>
      </c>
      <c r="X50">
        <f>HYPERLINK("https://klasma.github.io/Logging_1981/tillsyn/A 22350-2024 tillsynsbegäran.docx", "A 22350-2024")</f>
        <v/>
      </c>
      <c r="Y50">
        <f>HYPERLINK("https://klasma.github.io/Logging_1981/tillsynsmail/A 22350-2024 tillsynsbegäran mail.docx", "A 22350-2024")</f>
        <v/>
      </c>
    </row>
    <row r="51" ht="15" customHeight="1">
      <c r="A51" t="inlineStr">
        <is>
          <t>A 43068-2024</t>
        </is>
      </c>
      <c r="B51" s="1" t="n">
        <v>45567</v>
      </c>
      <c r="C51" s="1" t="n">
        <v>46159</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50268-2025</t>
        </is>
      </c>
      <c r="B52" s="1" t="n">
        <v>45944.35162037037</v>
      </c>
      <c r="C52" s="1" t="n">
        <v>46159</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7731-2023</t>
        </is>
      </c>
      <c r="B53" s="1" t="n">
        <v>44973</v>
      </c>
      <c r="C53" s="1" t="n">
        <v>46159</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53052-2025</t>
        </is>
      </c>
      <c r="B54" s="1" t="n">
        <v>45958.36266203703</v>
      </c>
      <c r="C54" s="1" t="n">
        <v>46159</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7672-2026</t>
        </is>
      </c>
      <c r="B55" s="1" t="n">
        <v>46062.42077546296</v>
      </c>
      <c r="C55" s="1" t="n">
        <v>46159</v>
      </c>
      <c r="D55" t="inlineStr">
        <is>
          <t>VÄSTMANLANDS LÄN</t>
        </is>
      </c>
      <c r="E55" t="inlineStr">
        <is>
          <t>SALA</t>
        </is>
      </c>
      <c r="G55" t="n">
        <v>2.9</v>
      </c>
      <c r="H55" t="n">
        <v>1</v>
      </c>
      <c r="I55" t="n">
        <v>0</v>
      </c>
      <c r="J55" t="n">
        <v>0</v>
      </c>
      <c r="K55" t="n">
        <v>0</v>
      </c>
      <c r="L55" t="n">
        <v>0</v>
      </c>
      <c r="M55" t="n">
        <v>0</v>
      </c>
      <c r="N55" t="n">
        <v>0</v>
      </c>
      <c r="O55" t="n">
        <v>0</v>
      </c>
      <c r="P55" t="n">
        <v>0</v>
      </c>
      <c r="Q55" t="n">
        <v>1</v>
      </c>
      <c r="R55" s="2" t="inlineStr">
        <is>
          <t>Nattviol</t>
        </is>
      </c>
      <c r="S55">
        <f>HYPERLINK("https://klasma.github.io/Logging_1981/artfynd/A 7672-2026 artfynd.xlsx", "A 7672-2026")</f>
        <v/>
      </c>
      <c r="T55">
        <f>HYPERLINK("https://klasma.github.io/Logging_1981/kartor/A 7672-2026 karta.png", "A 7672-2026")</f>
        <v/>
      </c>
      <c r="V55">
        <f>HYPERLINK("https://klasma.github.io/Logging_1981/klagomål/A 7672-2026 FSC-klagomål.docx", "A 7672-2026")</f>
        <v/>
      </c>
      <c r="W55">
        <f>HYPERLINK("https://klasma.github.io/Logging_1981/klagomålsmail/A 7672-2026 FSC-klagomål mail.docx", "A 7672-2026")</f>
        <v/>
      </c>
      <c r="X55">
        <f>HYPERLINK("https://klasma.github.io/Logging_1981/tillsyn/A 7672-2026 tillsynsbegäran.docx", "A 7672-2026")</f>
        <v/>
      </c>
      <c r="Y55">
        <f>HYPERLINK("https://klasma.github.io/Logging_1981/tillsynsmail/A 7672-2026 tillsynsbegäran mail.docx", "A 7672-2026")</f>
        <v/>
      </c>
    </row>
    <row r="56" ht="15" customHeight="1">
      <c r="A56" t="inlineStr">
        <is>
          <t>A 12509-2023</t>
        </is>
      </c>
      <c r="B56" s="1" t="n">
        <v>44999.95988425926</v>
      </c>
      <c r="C56" s="1" t="n">
        <v>46159</v>
      </c>
      <c r="D56" t="inlineStr">
        <is>
          <t>VÄSTMANLANDS LÄN</t>
        </is>
      </c>
      <c r="E56" t="inlineStr">
        <is>
          <t>SALA</t>
        </is>
      </c>
      <c r="G56" t="n">
        <v>13.9</v>
      </c>
      <c r="H56" t="n">
        <v>1</v>
      </c>
      <c r="I56" t="n">
        <v>0</v>
      </c>
      <c r="J56" t="n">
        <v>0</v>
      </c>
      <c r="K56" t="n">
        <v>0</v>
      </c>
      <c r="L56" t="n">
        <v>0</v>
      </c>
      <c r="M56" t="n">
        <v>0</v>
      </c>
      <c r="N56" t="n">
        <v>0</v>
      </c>
      <c r="O56" t="n">
        <v>0</v>
      </c>
      <c r="P56" t="n">
        <v>0</v>
      </c>
      <c r="Q56" t="n">
        <v>1</v>
      </c>
      <c r="R56" s="2" t="inlineStr">
        <is>
          <t>Grönvit nattviol</t>
        </is>
      </c>
      <c r="S56">
        <f>HYPERLINK("https://klasma.github.io/Logging_1981/artfynd/A 12509-2023 artfynd.xlsx", "A 12509-2023")</f>
        <v/>
      </c>
      <c r="T56">
        <f>HYPERLINK("https://klasma.github.io/Logging_1981/kartor/A 12509-2023 karta.png", "A 12509-2023")</f>
        <v/>
      </c>
      <c r="V56">
        <f>HYPERLINK("https://klasma.github.io/Logging_1981/klagomål/A 12509-2023 FSC-klagomål.docx", "A 12509-2023")</f>
        <v/>
      </c>
      <c r="W56">
        <f>HYPERLINK("https://klasma.github.io/Logging_1981/klagomålsmail/A 12509-2023 FSC-klagomål mail.docx", "A 12509-2023")</f>
        <v/>
      </c>
      <c r="X56">
        <f>HYPERLINK("https://klasma.github.io/Logging_1981/tillsyn/A 12509-2023 tillsynsbegäran.docx", "A 12509-2023")</f>
        <v/>
      </c>
      <c r="Y56">
        <f>HYPERLINK("https://klasma.github.io/Logging_1981/tillsynsmail/A 12509-2023 tillsynsbegäran mail.docx", "A 12509-2023")</f>
        <v/>
      </c>
    </row>
    <row r="57" ht="15" customHeight="1">
      <c r="A57" t="inlineStr">
        <is>
          <t>A 55995-2025</t>
        </is>
      </c>
      <c r="B57" s="1" t="n">
        <v>45973.56733796297</v>
      </c>
      <c r="C57" s="1" t="n">
        <v>46159</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14775-2023</t>
        </is>
      </c>
      <c r="B58" s="1" t="n">
        <v>45014</v>
      </c>
      <c r="C58" s="1" t="n">
        <v>46159</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14775-2023 artfynd.xlsx", "A 14775-2023")</f>
        <v/>
      </c>
      <c r="T58">
        <f>HYPERLINK("https://klasma.github.io/Logging_1981/kartor/A 14775-2023 karta.png", "A 14775-2023")</f>
        <v/>
      </c>
      <c r="U58">
        <f>HYPERLINK("https://klasma.github.io/Logging_1981/knärot/A 14775-2023 karta knärot.png", "A 14775-2023")</f>
        <v/>
      </c>
      <c r="V58">
        <f>HYPERLINK("https://klasma.github.io/Logging_1981/klagomål/A 14775-2023 FSC-klagomål.docx", "A 14775-2023")</f>
        <v/>
      </c>
      <c r="W58">
        <f>HYPERLINK("https://klasma.github.io/Logging_1981/klagomålsmail/A 14775-2023 FSC-klagomål mail.docx", "A 14775-2023")</f>
        <v/>
      </c>
      <c r="X58">
        <f>HYPERLINK("https://klasma.github.io/Logging_1981/tillsyn/A 14775-2023 tillsynsbegäran.docx", "A 14775-2023")</f>
        <v/>
      </c>
      <c r="Y58">
        <f>HYPERLINK("https://klasma.github.io/Logging_1981/tillsynsmail/A 14775-2023 tillsynsbegäran mail.docx", "A 14775-2023")</f>
        <v/>
      </c>
    </row>
    <row r="59" ht="15" customHeight="1">
      <c r="A59" t="inlineStr">
        <is>
          <t>A 19361-2025</t>
        </is>
      </c>
      <c r="B59" s="1" t="n">
        <v>45769.63357638889</v>
      </c>
      <c r="C59" s="1" t="n">
        <v>46159</v>
      </c>
      <c r="D59" t="inlineStr">
        <is>
          <t>VÄSTMANLANDS LÄN</t>
        </is>
      </c>
      <c r="E59" t="inlineStr">
        <is>
          <t>SALA</t>
        </is>
      </c>
      <c r="F59" t="inlineStr">
        <is>
          <t>Bergvik skog öst AB</t>
        </is>
      </c>
      <c r="G59" t="n">
        <v>8.9</v>
      </c>
      <c r="H59" t="n">
        <v>0</v>
      </c>
      <c r="I59" t="n">
        <v>0</v>
      </c>
      <c r="J59" t="n">
        <v>1</v>
      </c>
      <c r="K59" t="n">
        <v>0</v>
      </c>
      <c r="L59" t="n">
        <v>0</v>
      </c>
      <c r="M59" t="n">
        <v>0</v>
      </c>
      <c r="N59" t="n">
        <v>0</v>
      </c>
      <c r="O59" t="n">
        <v>1</v>
      </c>
      <c r="P59" t="n">
        <v>0</v>
      </c>
      <c r="Q59" t="n">
        <v>1</v>
      </c>
      <c r="R59" s="2" t="inlineStr">
        <is>
          <t>Garnlav</t>
        </is>
      </c>
      <c r="S59">
        <f>HYPERLINK("https://klasma.github.io/Logging_1981/artfynd/A 19361-2025 artfynd.xlsx", "A 19361-2025")</f>
        <v/>
      </c>
      <c r="T59">
        <f>HYPERLINK("https://klasma.github.io/Logging_1981/kartor/A 19361-2025 karta.png", "A 19361-2025")</f>
        <v/>
      </c>
      <c r="V59">
        <f>HYPERLINK("https://klasma.github.io/Logging_1981/klagomål/A 19361-2025 FSC-klagomål.docx", "A 19361-2025")</f>
        <v/>
      </c>
      <c r="W59">
        <f>HYPERLINK("https://klasma.github.io/Logging_1981/klagomålsmail/A 19361-2025 FSC-klagomål mail.docx", "A 19361-2025")</f>
        <v/>
      </c>
      <c r="X59">
        <f>HYPERLINK("https://klasma.github.io/Logging_1981/tillsyn/A 19361-2025 tillsynsbegäran.docx", "A 19361-2025")</f>
        <v/>
      </c>
      <c r="Y59">
        <f>HYPERLINK("https://klasma.github.io/Logging_1981/tillsynsmail/A 19361-2025 tillsynsbegäran mail.docx", "A 19361-2025")</f>
        <v/>
      </c>
    </row>
    <row r="60" ht="15" customHeight="1">
      <c r="A60" t="inlineStr">
        <is>
          <t>A 41570-2021</t>
        </is>
      </c>
      <c r="B60" s="1" t="n">
        <v>44425</v>
      </c>
      <c r="C60" s="1" t="n">
        <v>46159</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37166-2024</t>
        </is>
      </c>
      <c r="B61" s="1" t="n">
        <v>45539</v>
      </c>
      <c r="C61" s="1" t="n">
        <v>46159</v>
      </c>
      <c r="D61" t="inlineStr">
        <is>
          <t>VÄSTMANLANDS LÄN</t>
        </is>
      </c>
      <c r="E61" t="inlineStr">
        <is>
          <t>SALA</t>
        </is>
      </c>
      <c r="G61" t="n">
        <v>1.3</v>
      </c>
      <c r="H61" t="n">
        <v>1</v>
      </c>
      <c r="I61" t="n">
        <v>0</v>
      </c>
      <c r="J61" t="n">
        <v>0</v>
      </c>
      <c r="K61" t="n">
        <v>1</v>
      </c>
      <c r="L61" t="n">
        <v>0</v>
      </c>
      <c r="M61" t="n">
        <v>0</v>
      </c>
      <c r="N61" t="n">
        <v>0</v>
      </c>
      <c r="O61" t="n">
        <v>1</v>
      </c>
      <c r="P61" t="n">
        <v>1</v>
      </c>
      <c r="Q61" t="n">
        <v>1</v>
      </c>
      <c r="R61" s="2" t="inlineStr">
        <is>
          <t>Knärot</t>
        </is>
      </c>
      <c r="S61">
        <f>HYPERLINK("https://klasma.github.io/Logging_1981/artfynd/A 37166-2024 artfynd.xlsx", "A 37166-2024")</f>
        <v/>
      </c>
      <c r="T61">
        <f>HYPERLINK("https://klasma.github.io/Logging_1981/kartor/A 37166-2024 karta.png", "A 37166-2024")</f>
        <v/>
      </c>
      <c r="U61">
        <f>HYPERLINK("https://klasma.github.io/Logging_1981/knärot/A 37166-2024 karta knärot.png", "A 37166-2024")</f>
        <v/>
      </c>
      <c r="V61">
        <f>HYPERLINK("https://klasma.github.io/Logging_1981/klagomål/A 37166-2024 FSC-klagomål.docx", "A 37166-2024")</f>
        <v/>
      </c>
      <c r="W61">
        <f>HYPERLINK("https://klasma.github.io/Logging_1981/klagomålsmail/A 37166-2024 FSC-klagomål mail.docx", "A 37166-2024")</f>
        <v/>
      </c>
      <c r="X61">
        <f>HYPERLINK("https://klasma.github.io/Logging_1981/tillsyn/A 37166-2024 tillsynsbegäran.docx", "A 37166-2024")</f>
        <v/>
      </c>
      <c r="Y61">
        <f>HYPERLINK("https://klasma.github.io/Logging_1981/tillsynsmail/A 37166-2024 tillsynsbegäran mail.docx", "A 37166-2024")</f>
        <v/>
      </c>
    </row>
    <row r="62" ht="15" customHeight="1">
      <c r="A62" t="inlineStr">
        <is>
          <t>A 18896-2026</t>
        </is>
      </c>
      <c r="B62" s="1" t="n">
        <v>46129</v>
      </c>
      <c r="C62" s="1" t="n">
        <v>46159</v>
      </c>
      <c r="D62" t="inlineStr">
        <is>
          <t>VÄSTMANLANDS LÄN</t>
        </is>
      </c>
      <c r="E62" t="inlineStr">
        <is>
          <t>SALA</t>
        </is>
      </c>
      <c r="F62" t="inlineStr">
        <is>
          <t>Kommuner</t>
        </is>
      </c>
      <c r="G62" t="n">
        <v>1.1</v>
      </c>
      <c r="H62" t="n">
        <v>0</v>
      </c>
      <c r="I62" t="n">
        <v>0</v>
      </c>
      <c r="J62" t="n">
        <v>1</v>
      </c>
      <c r="K62" t="n">
        <v>0</v>
      </c>
      <c r="L62" t="n">
        <v>0</v>
      </c>
      <c r="M62" t="n">
        <v>0</v>
      </c>
      <c r="N62" t="n">
        <v>0</v>
      </c>
      <c r="O62" t="n">
        <v>1</v>
      </c>
      <c r="P62" t="n">
        <v>0</v>
      </c>
      <c r="Q62" t="n">
        <v>1</v>
      </c>
      <c r="R62" s="2" t="inlineStr">
        <is>
          <t>Ullticka</t>
        </is>
      </c>
      <c r="S62">
        <f>HYPERLINK("https://klasma.github.io/Logging_1981/artfynd/A 18896-2026 artfynd.xlsx", "A 18896-2026")</f>
        <v/>
      </c>
      <c r="T62">
        <f>HYPERLINK("https://klasma.github.io/Logging_1981/kartor/A 18896-2026 karta.png", "A 18896-2026")</f>
        <v/>
      </c>
      <c r="V62">
        <f>HYPERLINK("https://klasma.github.io/Logging_1981/klagomål/A 18896-2026 FSC-klagomål.docx", "A 18896-2026")</f>
        <v/>
      </c>
      <c r="W62">
        <f>HYPERLINK("https://klasma.github.io/Logging_1981/klagomålsmail/A 18896-2026 FSC-klagomål mail.docx", "A 18896-2026")</f>
        <v/>
      </c>
      <c r="X62">
        <f>HYPERLINK("https://klasma.github.io/Logging_1981/tillsyn/A 18896-2026 tillsynsbegäran.docx", "A 18896-2026")</f>
        <v/>
      </c>
      <c r="Y62">
        <f>HYPERLINK("https://klasma.github.io/Logging_1981/tillsynsmail/A 18896-2026 tillsynsbegäran mail.docx", "A 18896-2026")</f>
        <v/>
      </c>
    </row>
    <row r="63" ht="15" customHeight="1">
      <c r="A63" t="inlineStr">
        <is>
          <t>A 14488-2026</t>
        </is>
      </c>
      <c r="B63" s="1" t="n">
        <v>46100.59216435185</v>
      </c>
      <c r="C63" s="1" t="n">
        <v>46159</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14487-2026</t>
        </is>
      </c>
      <c r="B64" s="1" t="n">
        <v>46100.59162037037</v>
      </c>
      <c r="C64" s="1" t="n">
        <v>46159</v>
      </c>
      <c r="D64" t="inlineStr">
        <is>
          <t>VÄSTMANLANDS LÄN</t>
        </is>
      </c>
      <c r="E64" t="inlineStr">
        <is>
          <t>SALA</t>
        </is>
      </c>
      <c r="F64" t="inlineStr">
        <is>
          <t>Sveaskog</t>
        </is>
      </c>
      <c r="G64" t="n">
        <v>6.7</v>
      </c>
      <c r="H64" t="n">
        <v>0</v>
      </c>
      <c r="I64" t="n">
        <v>0</v>
      </c>
      <c r="J64" t="n">
        <v>1</v>
      </c>
      <c r="K64" t="n">
        <v>0</v>
      </c>
      <c r="L64" t="n">
        <v>0</v>
      </c>
      <c r="M64" t="n">
        <v>0</v>
      </c>
      <c r="N64" t="n">
        <v>0</v>
      </c>
      <c r="O64" t="n">
        <v>1</v>
      </c>
      <c r="P64" t="n">
        <v>0</v>
      </c>
      <c r="Q64" t="n">
        <v>1</v>
      </c>
      <c r="R64" s="2" t="inlineStr">
        <is>
          <t>Motaggsvamp</t>
        </is>
      </c>
      <c r="S64">
        <f>HYPERLINK("https://klasma.github.io/Logging_1981/artfynd/A 14487-2026 artfynd.xlsx", "A 14487-2026")</f>
        <v/>
      </c>
      <c r="T64">
        <f>HYPERLINK("https://klasma.github.io/Logging_1981/kartor/A 14487-2026 karta.png", "A 14487-2026")</f>
        <v/>
      </c>
      <c r="V64">
        <f>HYPERLINK("https://klasma.github.io/Logging_1981/klagomål/A 14487-2026 FSC-klagomål.docx", "A 14487-2026")</f>
        <v/>
      </c>
      <c r="W64">
        <f>HYPERLINK("https://klasma.github.io/Logging_1981/klagomålsmail/A 14487-2026 FSC-klagomål mail.docx", "A 14487-2026")</f>
        <v/>
      </c>
      <c r="X64">
        <f>HYPERLINK("https://klasma.github.io/Logging_1981/tillsyn/A 14487-2026 tillsynsbegäran.docx", "A 14487-2026")</f>
        <v/>
      </c>
      <c r="Y64">
        <f>HYPERLINK("https://klasma.github.io/Logging_1981/tillsynsmail/A 14487-2026 tillsynsbegäran mail.docx", "A 14487-2026")</f>
        <v/>
      </c>
    </row>
    <row r="65" ht="15" customHeight="1">
      <c r="A65" t="inlineStr">
        <is>
          <t>A 29985-2022</t>
        </is>
      </c>
      <c r="B65" s="1" t="n">
        <v>44756</v>
      </c>
      <c r="C65" s="1" t="n">
        <v>46159</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7919-2022</t>
        </is>
      </c>
      <c r="B66" s="1" t="n">
        <v>44608</v>
      </c>
      <c r="C66" s="1" t="n">
        <v>46159</v>
      </c>
      <c r="D66" t="inlineStr">
        <is>
          <t>VÄSTMANLANDS LÄN</t>
        </is>
      </c>
      <c r="E66" t="inlineStr">
        <is>
          <t>SALA</t>
        </is>
      </c>
      <c r="F66" t="inlineStr">
        <is>
          <t>Bergvik skog öst AB</t>
        </is>
      </c>
      <c r="G66" t="n">
        <v>4.5</v>
      </c>
      <c r="H66" t="n">
        <v>1</v>
      </c>
      <c r="I66" t="n">
        <v>0</v>
      </c>
      <c r="J66" t="n">
        <v>1</v>
      </c>
      <c r="K66" t="n">
        <v>0</v>
      </c>
      <c r="L66" t="n">
        <v>0</v>
      </c>
      <c r="M66" t="n">
        <v>0</v>
      </c>
      <c r="N66" t="n">
        <v>0</v>
      </c>
      <c r="O66" t="n">
        <v>1</v>
      </c>
      <c r="P66" t="n">
        <v>0</v>
      </c>
      <c r="Q66" t="n">
        <v>1</v>
      </c>
      <c r="R66" s="2" t="inlineStr">
        <is>
          <t>Ävjepilört</t>
        </is>
      </c>
      <c r="S66">
        <f>HYPERLINK("https://klasma.github.io/Logging_1981/artfynd/A 7919-2022 artfynd.xlsx", "A 7919-2022")</f>
        <v/>
      </c>
      <c r="T66">
        <f>HYPERLINK("https://klasma.github.io/Logging_1981/kartor/A 7919-2022 karta.png", "A 7919-2022")</f>
        <v/>
      </c>
      <c r="V66">
        <f>HYPERLINK("https://klasma.github.io/Logging_1981/klagomål/A 7919-2022 FSC-klagomål.docx", "A 7919-2022")</f>
        <v/>
      </c>
      <c r="W66">
        <f>HYPERLINK("https://klasma.github.io/Logging_1981/klagomålsmail/A 7919-2022 FSC-klagomål mail.docx", "A 7919-2022")</f>
        <v/>
      </c>
      <c r="X66">
        <f>HYPERLINK("https://klasma.github.io/Logging_1981/tillsyn/A 7919-2022 tillsynsbegäran.docx", "A 7919-2022")</f>
        <v/>
      </c>
      <c r="Y66">
        <f>HYPERLINK("https://klasma.github.io/Logging_1981/tillsynsmail/A 7919-2022 tillsynsbegäran mail.docx", "A 7919-2022")</f>
        <v/>
      </c>
    </row>
    <row r="67" ht="15" customHeight="1">
      <c r="A67" t="inlineStr">
        <is>
          <t>A 29727-2023</t>
        </is>
      </c>
      <c r="B67" s="1" t="n">
        <v>45107</v>
      </c>
      <c r="C67" s="1" t="n">
        <v>46159</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55550-2023</t>
        </is>
      </c>
      <c r="B68" s="1" t="n">
        <v>45232</v>
      </c>
      <c r="C68" s="1" t="n">
        <v>46159</v>
      </c>
      <c r="D68" t="inlineStr">
        <is>
          <t>VÄSTMANLANDS LÄN</t>
        </is>
      </c>
      <c r="E68" t="inlineStr">
        <is>
          <t>SALA</t>
        </is>
      </c>
      <c r="G68" t="n">
        <v>9.9</v>
      </c>
      <c r="H68" t="n">
        <v>1</v>
      </c>
      <c r="I68" t="n">
        <v>0</v>
      </c>
      <c r="J68" t="n">
        <v>0</v>
      </c>
      <c r="K68" t="n">
        <v>1</v>
      </c>
      <c r="L68" t="n">
        <v>0</v>
      </c>
      <c r="M68" t="n">
        <v>0</v>
      </c>
      <c r="N68" t="n">
        <v>0</v>
      </c>
      <c r="O68" t="n">
        <v>1</v>
      </c>
      <c r="P68" t="n">
        <v>1</v>
      </c>
      <c r="Q68" t="n">
        <v>1</v>
      </c>
      <c r="R68" s="2" t="inlineStr">
        <is>
          <t>Knärot</t>
        </is>
      </c>
      <c r="S68">
        <f>HYPERLINK("https://klasma.github.io/Logging_1981/artfynd/A 55550-2023 artfynd.xlsx", "A 55550-2023")</f>
        <v/>
      </c>
      <c r="T68">
        <f>HYPERLINK("https://klasma.github.io/Logging_1981/kartor/A 55550-2023 karta.png", "A 55550-2023")</f>
        <v/>
      </c>
      <c r="U68">
        <f>HYPERLINK("https://klasma.github.io/Logging_1981/knärot/A 55550-2023 karta knärot.png", "A 55550-2023")</f>
        <v/>
      </c>
      <c r="V68">
        <f>HYPERLINK("https://klasma.github.io/Logging_1981/klagomål/A 55550-2023 FSC-klagomål.docx", "A 55550-2023")</f>
        <v/>
      </c>
      <c r="W68">
        <f>HYPERLINK("https://klasma.github.io/Logging_1981/klagomålsmail/A 55550-2023 FSC-klagomål mail.docx", "A 55550-2023")</f>
        <v/>
      </c>
      <c r="X68">
        <f>HYPERLINK("https://klasma.github.io/Logging_1981/tillsyn/A 55550-2023 tillsynsbegäran.docx", "A 55550-2023")</f>
        <v/>
      </c>
      <c r="Y68">
        <f>HYPERLINK("https://klasma.github.io/Logging_1981/tillsynsmail/A 55550-2023 tillsynsbegäran mail.docx", "A 55550-2023")</f>
        <v/>
      </c>
    </row>
    <row r="69" ht="15" customHeight="1">
      <c r="A69" t="inlineStr">
        <is>
          <t>A 21738-2025</t>
        </is>
      </c>
      <c r="B69" s="1" t="n">
        <v>45783.59173611111</v>
      </c>
      <c r="C69" s="1" t="n">
        <v>46159</v>
      </c>
      <c r="D69" t="inlineStr">
        <is>
          <t>VÄSTMANLANDS LÄN</t>
        </is>
      </c>
      <c r="E69" t="inlineStr">
        <is>
          <t>SALA</t>
        </is>
      </c>
      <c r="G69" t="n">
        <v>2.1</v>
      </c>
      <c r="H69" t="n">
        <v>0</v>
      </c>
      <c r="I69" t="n">
        <v>0</v>
      </c>
      <c r="J69" t="n">
        <v>1</v>
      </c>
      <c r="K69" t="n">
        <v>0</v>
      </c>
      <c r="L69" t="n">
        <v>0</v>
      </c>
      <c r="M69" t="n">
        <v>0</v>
      </c>
      <c r="N69" t="n">
        <v>0</v>
      </c>
      <c r="O69" t="n">
        <v>1</v>
      </c>
      <c r="P69" t="n">
        <v>0</v>
      </c>
      <c r="Q69" t="n">
        <v>1</v>
      </c>
      <c r="R69" s="2" t="inlineStr">
        <is>
          <t>Motaggsvamp</t>
        </is>
      </c>
      <c r="S69">
        <f>HYPERLINK("https://klasma.github.io/Logging_1981/artfynd/A 21738-2025 artfynd.xlsx", "A 21738-2025")</f>
        <v/>
      </c>
      <c r="T69">
        <f>HYPERLINK("https://klasma.github.io/Logging_1981/kartor/A 21738-2025 karta.png", "A 21738-2025")</f>
        <v/>
      </c>
      <c r="V69">
        <f>HYPERLINK("https://klasma.github.io/Logging_1981/klagomål/A 21738-2025 FSC-klagomål.docx", "A 21738-2025")</f>
        <v/>
      </c>
      <c r="W69">
        <f>HYPERLINK("https://klasma.github.io/Logging_1981/klagomålsmail/A 21738-2025 FSC-klagomål mail.docx", "A 21738-2025")</f>
        <v/>
      </c>
      <c r="X69">
        <f>HYPERLINK("https://klasma.github.io/Logging_1981/tillsyn/A 21738-2025 tillsynsbegäran.docx", "A 21738-2025")</f>
        <v/>
      </c>
      <c r="Y69">
        <f>HYPERLINK("https://klasma.github.io/Logging_1981/tillsynsmail/A 21738-2025 tillsynsbegäran mail.docx", "A 21738-2025")</f>
        <v/>
      </c>
    </row>
    <row r="70" ht="15" customHeight="1">
      <c r="A70" t="inlineStr">
        <is>
          <t>A 22950-2025</t>
        </is>
      </c>
      <c r="B70" s="1" t="n">
        <v>45790.50728009259</v>
      </c>
      <c r="C70" s="1" t="n">
        <v>46159</v>
      </c>
      <c r="D70" t="inlineStr">
        <is>
          <t>VÄSTMANLANDS LÄN</t>
        </is>
      </c>
      <c r="E70" t="inlineStr">
        <is>
          <t>SALA</t>
        </is>
      </c>
      <c r="G70" t="n">
        <v>6.2</v>
      </c>
      <c r="H70" t="n">
        <v>1</v>
      </c>
      <c r="I70" t="n">
        <v>0</v>
      </c>
      <c r="J70" t="n">
        <v>1</v>
      </c>
      <c r="K70" t="n">
        <v>0</v>
      </c>
      <c r="L70" t="n">
        <v>0</v>
      </c>
      <c r="M70" t="n">
        <v>0</v>
      </c>
      <c r="N70" t="n">
        <v>0</v>
      </c>
      <c r="O70" t="n">
        <v>1</v>
      </c>
      <c r="P70" t="n">
        <v>0</v>
      </c>
      <c r="Q70" t="n">
        <v>1</v>
      </c>
      <c r="R70" s="2" t="inlineStr">
        <is>
          <t>Svartvit flugsnappare</t>
        </is>
      </c>
      <c r="S70">
        <f>HYPERLINK("https://klasma.github.io/Logging_1981/artfynd/A 22950-2025 artfynd.xlsx", "A 22950-2025")</f>
        <v/>
      </c>
      <c r="T70">
        <f>HYPERLINK("https://klasma.github.io/Logging_1981/kartor/A 22950-2025 karta.png", "A 22950-2025")</f>
        <v/>
      </c>
      <c r="V70">
        <f>HYPERLINK("https://klasma.github.io/Logging_1981/klagomål/A 22950-2025 FSC-klagomål.docx", "A 22950-2025")</f>
        <v/>
      </c>
      <c r="W70">
        <f>HYPERLINK("https://klasma.github.io/Logging_1981/klagomålsmail/A 22950-2025 FSC-klagomål mail.docx", "A 22950-2025")</f>
        <v/>
      </c>
      <c r="X70">
        <f>HYPERLINK("https://klasma.github.io/Logging_1981/tillsyn/A 22950-2025 tillsynsbegäran.docx", "A 22950-2025")</f>
        <v/>
      </c>
      <c r="Y70">
        <f>HYPERLINK("https://klasma.github.io/Logging_1981/tillsynsmail/A 22950-2025 tillsynsbegäran mail.docx", "A 22950-2025")</f>
        <v/>
      </c>
      <c r="Z70">
        <f>HYPERLINK("https://klasma.github.io/Logging_1981/fåglar/A 22950-2025 prioriterade fågelarter.docx", "A 22950-2025")</f>
        <v/>
      </c>
    </row>
    <row r="71" ht="15" customHeight="1">
      <c r="A71" t="inlineStr">
        <is>
          <t>A 66561-2021</t>
        </is>
      </c>
      <c r="B71" s="1" t="n">
        <v>44519.41648148148</v>
      </c>
      <c r="C71" s="1" t="n">
        <v>46159</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73124-2021</t>
        </is>
      </c>
      <c r="B72" s="1" t="n">
        <v>44550</v>
      </c>
      <c r="C72" s="1" t="n">
        <v>46159</v>
      </c>
      <c r="D72" t="inlineStr">
        <is>
          <t>VÄSTMANLANDS LÄN</t>
        </is>
      </c>
      <c r="E72" t="inlineStr">
        <is>
          <t>SALA</t>
        </is>
      </c>
      <c r="G72" t="n">
        <v>2.8</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46159</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46159</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46159</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46159</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46159</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46159</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46159</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46159</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46159</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46159</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46159</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46159</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10083-2022</t>
        </is>
      </c>
      <c r="B85" s="1" t="n">
        <v>44621.66173611111</v>
      </c>
      <c r="C85" s="1" t="n">
        <v>46159</v>
      </c>
      <c r="D85" t="inlineStr">
        <is>
          <t>VÄSTMANLANDS LÄN</t>
        </is>
      </c>
      <c r="E85" t="inlineStr">
        <is>
          <t>SALA</t>
        </is>
      </c>
      <c r="G85" t="n">
        <v>7.8</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46159</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62842-2021</t>
        </is>
      </c>
      <c r="B87" s="1" t="n">
        <v>44504.55927083334</v>
      </c>
      <c r="C87" s="1" t="n">
        <v>46159</v>
      </c>
      <c r="D87" t="inlineStr">
        <is>
          <t>VÄSTMANLANDS LÄN</t>
        </is>
      </c>
      <c r="E87" t="inlineStr">
        <is>
          <t>SALA</t>
        </is>
      </c>
      <c r="G87" t="n">
        <v>5.3</v>
      </c>
      <c r="H87" t="n">
        <v>0</v>
      </c>
      <c r="I87" t="n">
        <v>0</v>
      </c>
      <c r="J87" t="n">
        <v>0</v>
      </c>
      <c r="K87" t="n">
        <v>0</v>
      </c>
      <c r="L87" t="n">
        <v>0</v>
      </c>
      <c r="M87" t="n">
        <v>0</v>
      </c>
      <c r="N87" t="n">
        <v>0</v>
      </c>
      <c r="O87" t="n">
        <v>0</v>
      </c>
      <c r="P87" t="n">
        <v>0</v>
      </c>
      <c r="Q87" t="n">
        <v>0</v>
      </c>
      <c r="R87" s="2" t="inlineStr"/>
    </row>
    <row r="88" ht="15" customHeight="1">
      <c r="A88" t="inlineStr">
        <is>
          <t>A 62850-2021</t>
        </is>
      </c>
      <c r="B88" s="1" t="n">
        <v>44504</v>
      </c>
      <c r="C88" s="1" t="n">
        <v>46159</v>
      </c>
      <c r="D88" t="inlineStr">
        <is>
          <t>VÄSTMANLANDS LÄN</t>
        </is>
      </c>
      <c r="E88" t="inlineStr">
        <is>
          <t>SALA</t>
        </is>
      </c>
      <c r="G88" t="n">
        <v>5.2</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46159</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46159</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46159</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46159</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46159</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46159</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46159</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46159</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46159</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46159</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46159</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939-2022</t>
        </is>
      </c>
      <c r="B100" s="1" t="n">
        <v>44571</v>
      </c>
      <c r="C100" s="1" t="n">
        <v>46159</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6667-2022</t>
        </is>
      </c>
      <c r="B101" s="1" t="n">
        <v>44602.38149305555</v>
      </c>
      <c r="C101" s="1" t="n">
        <v>46159</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46159</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46159</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46159</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42976-2021</t>
        </is>
      </c>
      <c r="B105" s="1" t="n">
        <v>44431</v>
      </c>
      <c r="C105" s="1" t="n">
        <v>46159</v>
      </c>
      <c r="D105" t="inlineStr">
        <is>
          <t>VÄSTMANLANDS LÄN</t>
        </is>
      </c>
      <c r="E105" t="inlineStr">
        <is>
          <t>SALA</t>
        </is>
      </c>
      <c r="G105" t="n">
        <v>1.1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46159</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46159</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46159</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46159</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46159</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46159</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46159</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46159</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46159</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46159</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46159</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46159</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46159</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46159</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46159</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46159</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46159</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46159</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46159</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46159</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22811-2022</t>
        </is>
      </c>
      <c r="B126" s="1" t="n">
        <v>44715</v>
      </c>
      <c r="C126" s="1" t="n">
        <v>46159</v>
      </c>
      <c r="D126" t="inlineStr">
        <is>
          <t>VÄSTMANLANDS LÄN</t>
        </is>
      </c>
      <c r="E126" t="inlineStr">
        <is>
          <t>SALA</t>
        </is>
      </c>
      <c r="G126" t="n">
        <v>5</v>
      </c>
      <c r="H126" t="n">
        <v>0</v>
      </c>
      <c r="I126" t="n">
        <v>0</v>
      </c>
      <c r="J126" t="n">
        <v>0</v>
      </c>
      <c r="K126" t="n">
        <v>0</v>
      </c>
      <c r="L126" t="n">
        <v>0</v>
      </c>
      <c r="M126" t="n">
        <v>0</v>
      </c>
      <c r="N126" t="n">
        <v>0</v>
      </c>
      <c r="O126" t="n">
        <v>0</v>
      </c>
      <c r="P126" t="n">
        <v>0</v>
      </c>
      <c r="Q126" t="n">
        <v>0</v>
      </c>
      <c r="R126" s="2" t="inlineStr"/>
    </row>
    <row r="127" ht="15" customHeight="1">
      <c r="A127" t="inlineStr">
        <is>
          <t>A 65213-2021</t>
        </is>
      </c>
      <c r="B127" s="1" t="n">
        <v>44515</v>
      </c>
      <c r="C127" s="1" t="n">
        <v>46159</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46159</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46159</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46159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46159</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46159</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46159</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46159</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46159</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46159</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46159</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46159</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46159</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46159</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46159</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46159</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46159</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46159</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46159</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46159</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46159</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46159</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46159</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46159</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46159</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46159</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46159</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46159</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46159</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46159</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46159</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46159</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46159</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46159</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46159</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46159</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46159</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46159</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46159</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46159</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46159</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46159</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46159</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46159</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46159</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46159</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46159</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46159</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46159</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46159</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56688-2024</t>
        </is>
      </c>
      <c r="B177" s="1" t="n">
        <v>45627.66478009259</v>
      </c>
      <c r="C177" s="1" t="n">
        <v>46159</v>
      </c>
      <c r="D177" t="inlineStr">
        <is>
          <t>VÄSTMANLANDS LÄN</t>
        </is>
      </c>
      <c r="E177" t="inlineStr">
        <is>
          <t>SALA</t>
        </is>
      </c>
      <c r="G177" t="n">
        <v>0.9</v>
      </c>
      <c r="H177" t="n">
        <v>0</v>
      </c>
      <c r="I177" t="n">
        <v>0</v>
      </c>
      <c r="J177" t="n">
        <v>0</v>
      </c>
      <c r="K177" t="n">
        <v>0</v>
      </c>
      <c r="L177" t="n">
        <v>0</v>
      </c>
      <c r="M177" t="n">
        <v>0</v>
      </c>
      <c r="N177" t="n">
        <v>0</v>
      </c>
      <c r="O177" t="n">
        <v>0</v>
      </c>
      <c r="P177" t="n">
        <v>0</v>
      </c>
      <c r="Q177" t="n">
        <v>0</v>
      </c>
      <c r="R177" s="2" t="inlineStr"/>
    </row>
    <row r="178" ht="15" customHeight="1">
      <c r="A178" t="inlineStr">
        <is>
          <t>A 27486-2022</t>
        </is>
      </c>
      <c r="B178" s="1" t="n">
        <v>44742.60846064815</v>
      </c>
      <c r="C178" s="1" t="n">
        <v>46159</v>
      </c>
      <c r="D178" t="inlineStr">
        <is>
          <t>VÄSTMANLANDS LÄN</t>
        </is>
      </c>
      <c r="E178" t="inlineStr">
        <is>
          <t>SALA</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27261-2024</t>
        </is>
      </c>
      <c r="B179" s="1" t="n">
        <v>45471</v>
      </c>
      <c r="C179" s="1" t="n">
        <v>46159</v>
      </c>
      <c r="D179" t="inlineStr">
        <is>
          <t>VÄSTMANLANDS LÄN</t>
        </is>
      </c>
      <c r="E179" t="inlineStr">
        <is>
          <t>SALA</t>
        </is>
      </c>
      <c r="G179" t="n">
        <v>6.1</v>
      </c>
      <c r="H179" t="n">
        <v>0</v>
      </c>
      <c r="I179" t="n">
        <v>0</v>
      </c>
      <c r="J179" t="n">
        <v>0</v>
      </c>
      <c r="K179" t="n">
        <v>0</v>
      </c>
      <c r="L179" t="n">
        <v>0</v>
      </c>
      <c r="M179" t="n">
        <v>0</v>
      </c>
      <c r="N179" t="n">
        <v>0</v>
      </c>
      <c r="O179" t="n">
        <v>0</v>
      </c>
      <c r="P179" t="n">
        <v>0</v>
      </c>
      <c r="Q179" t="n">
        <v>0</v>
      </c>
      <c r="R179" s="2" t="inlineStr"/>
    </row>
    <row r="180" ht="15" customHeight="1">
      <c r="A180" t="inlineStr">
        <is>
          <t>A 39597-2022</t>
        </is>
      </c>
      <c r="B180" s="1" t="n">
        <v>44818</v>
      </c>
      <c r="C180" s="1" t="n">
        <v>46159</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6134-2024</t>
        </is>
      </c>
      <c r="B181" s="1" t="n">
        <v>45337</v>
      </c>
      <c r="C181" s="1" t="n">
        <v>46159</v>
      </c>
      <c r="D181" t="inlineStr">
        <is>
          <t>VÄSTMANLANDS LÄN</t>
        </is>
      </c>
      <c r="E181" t="inlineStr">
        <is>
          <t>SALA</t>
        </is>
      </c>
      <c r="G181" t="n">
        <v>1.8</v>
      </c>
      <c r="H181" t="n">
        <v>0</v>
      </c>
      <c r="I181" t="n">
        <v>0</v>
      </c>
      <c r="J181" t="n">
        <v>0</v>
      </c>
      <c r="K181" t="n">
        <v>0</v>
      </c>
      <c r="L181" t="n">
        <v>0</v>
      </c>
      <c r="M181" t="n">
        <v>0</v>
      </c>
      <c r="N181" t="n">
        <v>0</v>
      </c>
      <c r="O181" t="n">
        <v>0</v>
      </c>
      <c r="P181" t="n">
        <v>0</v>
      </c>
      <c r="Q181" t="n">
        <v>0</v>
      </c>
      <c r="R181" s="2" t="inlineStr"/>
    </row>
    <row r="182" ht="15" customHeight="1">
      <c r="A182" t="inlineStr">
        <is>
          <t>A 18713-2025</t>
        </is>
      </c>
      <c r="B182" s="1" t="n">
        <v>45763</v>
      </c>
      <c r="C182" s="1" t="n">
        <v>46159</v>
      </c>
      <c r="D182" t="inlineStr">
        <is>
          <t>VÄSTMANLANDS LÄN</t>
        </is>
      </c>
      <c r="E182" t="inlineStr">
        <is>
          <t>SALA</t>
        </is>
      </c>
      <c r="F182" t="inlineStr">
        <is>
          <t>Bergvik skog öst AB</t>
        </is>
      </c>
      <c r="G182" t="n">
        <v>11.6</v>
      </c>
      <c r="H182" t="n">
        <v>0</v>
      </c>
      <c r="I182" t="n">
        <v>0</v>
      </c>
      <c r="J182" t="n">
        <v>0</v>
      </c>
      <c r="K182" t="n">
        <v>0</v>
      </c>
      <c r="L182" t="n">
        <v>0</v>
      </c>
      <c r="M182" t="n">
        <v>0</v>
      </c>
      <c r="N182" t="n">
        <v>0</v>
      </c>
      <c r="O182" t="n">
        <v>0</v>
      </c>
      <c r="P182" t="n">
        <v>0</v>
      </c>
      <c r="Q182" t="n">
        <v>0</v>
      </c>
      <c r="R182" s="2" t="inlineStr"/>
    </row>
    <row r="183" ht="15" customHeight="1">
      <c r="A183" t="inlineStr">
        <is>
          <t>A 54959-2024</t>
        </is>
      </c>
      <c r="B183" s="1" t="n">
        <v>45619</v>
      </c>
      <c r="C183" s="1" t="n">
        <v>46159</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25860-2024</t>
        </is>
      </c>
      <c r="B184" s="1" t="n">
        <v>45467.46278935186</v>
      </c>
      <c r="C184" s="1" t="n">
        <v>46159</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7196-2025</t>
        </is>
      </c>
      <c r="B185" s="1" t="n">
        <v>45702</v>
      </c>
      <c r="C185" s="1" t="n">
        <v>46159</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6183-2025</t>
        </is>
      </c>
      <c r="B186" s="1" t="n">
        <v>45698</v>
      </c>
      <c r="C186" s="1" t="n">
        <v>46159</v>
      </c>
      <c r="D186" t="inlineStr">
        <is>
          <t>VÄSTMANLANDS LÄN</t>
        </is>
      </c>
      <c r="E186" t="inlineStr">
        <is>
          <t>SALA</t>
        </is>
      </c>
      <c r="F186" t="inlineStr">
        <is>
          <t>Bergvik skog öst AB</t>
        </is>
      </c>
      <c r="G186" t="n">
        <v>2.3</v>
      </c>
      <c r="H186" t="n">
        <v>0</v>
      </c>
      <c r="I186" t="n">
        <v>0</v>
      </c>
      <c r="J186" t="n">
        <v>0</v>
      </c>
      <c r="K186" t="n">
        <v>0</v>
      </c>
      <c r="L186" t="n">
        <v>0</v>
      </c>
      <c r="M186" t="n">
        <v>0</v>
      </c>
      <c r="N186" t="n">
        <v>0</v>
      </c>
      <c r="O186" t="n">
        <v>0</v>
      </c>
      <c r="P186" t="n">
        <v>0</v>
      </c>
      <c r="Q186" t="n">
        <v>0</v>
      </c>
      <c r="R186" s="2" t="inlineStr"/>
    </row>
    <row r="187" ht="15" customHeight="1">
      <c r="A187" t="inlineStr">
        <is>
          <t>A 40597-2022</t>
        </is>
      </c>
      <c r="B187" s="1" t="n">
        <v>44823.84862268518</v>
      </c>
      <c r="C187" s="1" t="n">
        <v>46159</v>
      </c>
      <c r="D187" t="inlineStr">
        <is>
          <t>VÄSTMANLANDS LÄN</t>
        </is>
      </c>
      <c r="E187" t="inlineStr">
        <is>
          <t>SALA</t>
        </is>
      </c>
      <c r="G187" t="n">
        <v>3.5</v>
      </c>
      <c r="H187" t="n">
        <v>0</v>
      </c>
      <c r="I187" t="n">
        <v>0</v>
      </c>
      <c r="J187" t="n">
        <v>0</v>
      </c>
      <c r="K187" t="n">
        <v>0</v>
      </c>
      <c r="L187" t="n">
        <v>0</v>
      </c>
      <c r="M187" t="n">
        <v>0</v>
      </c>
      <c r="N187" t="n">
        <v>0</v>
      </c>
      <c r="O187" t="n">
        <v>0</v>
      </c>
      <c r="P187" t="n">
        <v>0</v>
      </c>
      <c r="Q187" t="n">
        <v>0</v>
      </c>
      <c r="R187" s="2" t="inlineStr"/>
    </row>
    <row r="188" ht="15" customHeight="1">
      <c r="A188" t="inlineStr">
        <is>
          <t>A 16160-2024</t>
        </is>
      </c>
      <c r="B188" s="1" t="n">
        <v>45406</v>
      </c>
      <c r="C188" s="1" t="n">
        <v>46159</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19803-2024</t>
        </is>
      </c>
      <c r="B189" s="1" t="n">
        <v>45432</v>
      </c>
      <c r="C189" s="1" t="n">
        <v>46159</v>
      </c>
      <c r="D189" t="inlineStr">
        <is>
          <t>VÄSTMANLANDS LÄN</t>
        </is>
      </c>
      <c r="E189" t="inlineStr">
        <is>
          <t>SALA</t>
        </is>
      </c>
      <c r="G189" t="n">
        <v>3.1</v>
      </c>
      <c r="H189" t="n">
        <v>0</v>
      </c>
      <c r="I189" t="n">
        <v>0</v>
      </c>
      <c r="J189" t="n">
        <v>0</v>
      </c>
      <c r="K189" t="n">
        <v>0</v>
      </c>
      <c r="L189" t="n">
        <v>0</v>
      </c>
      <c r="M189" t="n">
        <v>0</v>
      </c>
      <c r="N189" t="n">
        <v>0</v>
      </c>
      <c r="O189" t="n">
        <v>0</v>
      </c>
      <c r="P189" t="n">
        <v>0</v>
      </c>
      <c r="Q189" t="n">
        <v>0</v>
      </c>
      <c r="R189" s="2" t="inlineStr"/>
    </row>
    <row r="190" ht="15" customHeight="1">
      <c r="A190" t="inlineStr">
        <is>
          <t>A 40871-2021</t>
        </is>
      </c>
      <c r="B190" s="1" t="n">
        <v>44421</v>
      </c>
      <c r="C190" s="1" t="n">
        <v>46159</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24864-2024</t>
        </is>
      </c>
      <c r="B191" s="1" t="n">
        <v>45461.48888888889</v>
      </c>
      <c r="C191" s="1" t="n">
        <v>46159</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63933-2023</t>
        </is>
      </c>
      <c r="B192" s="1" t="n">
        <v>45278</v>
      </c>
      <c r="C192" s="1" t="n">
        <v>46159</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1118-2024</t>
        </is>
      </c>
      <c r="B193" s="1" t="n">
        <v>45302</v>
      </c>
      <c r="C193" s="1" t="n">
        <v>46159</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39439-2021</t>
        </is>
      </c>
      <c r="B194" s="1" t="n">
        <v>44414</v>
      </c>
      <c r="C194" s="1" t="n">
        <v>46159</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30971-2022</t>
        </is>
      </c>
      <c r="B195" s="1" t="n">
        <v>44768.46725694444</v>
      </c>
      <c r="C195" s="1" t="n">
        <v>46159</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11389-2024</t>
        </is>
      </c>
      <c r="B196" s="1" t="n">
        <v>45372.45016203704</v>
      </c>
      <c r="C196" s="1" t="n">
        <v>46159</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56706-2022</t>
        </is>
      </c>
      <c r="B197" s="1" t="n">
        <v>44893.78893518518</v>
      </c>
      <c r="C197" s="1" t="n">
        <v>46159</v>
      </c>
      <c r="D197" t="inlineStr">
        <is>
          <t>VÄSTMANLANDS LÄN</t>
        </is>
      </c>
      <c r="E197" t="inlineStr">
        <is>
          <t>SALA</t>
        </is>
      </c>
      <c r="G197" t="n">
        <v>4.5</v>
      </c>
      <c r="H197" t="n">
        <v>0</v>
      </c>
      <c r="I197" t="n">
        <v>0</v>
      </c>
      <c r="J197" t="n">
        <v>0</v>
      </c>
      <c r="K197" t="n">
        <v>0</v>
      </c>
      <c r="L197" t="n">
        <v>0</v>
      </c>
      <c r="M197" t="n">
        <v>0</v>
      </c>
      <c r="N197" t="n">
        <v>0</v>
      </c>
      <c r="O197" t="n">
        <v>0</v>
      </c>
      <c r="P197" t="n">
        <v>0</v>
      </c>
      <c r="Q197" t="n">
        <v>0</v>
      </c>
      <c r="R197" s="2" t="inlineStr"/>
    </row>
    <row r="198" ht="15" customHeight="1">
      <c r="A198" t="inlineStr">
        <is>
          <t>A 56707-2022</t>
        </is>
      </c>
      <c r="B198" s="1" t="n">
        <v>44893.79412037037</v>
      </c>
      <c r="C198" s="1" t="n">
        <v>46159</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37190-2024</t>
        </is>
      </c>
      <c r="B199" s="1" t="n">
        <v>45539</v>
      </c>
      <c r="C199" s="1" t="n">
        <v>46159</v>
      </c>
      <c r="D199" t="inlineStr">
        <is>
          <t>VÄSTMANLANDS LÄN</t>
        </is>
      </c>
      <c r="E199" t="inlineStr">
        <is>
          <t>SALA</t>
        </is>
      </c>
      <c r="G199" t="n">
        <v>0.9</v>
      </c>
      <c r="H199" t="n">
        <v>0</v>
      </c>
      <c r="I199" t="n">
        <v>0</v>
      </c>
      <c r="J199" t="n">
        <v>0</v>
      </c>
      <c r="K199" t="n">
        <v>0</v>
      </c>
      <c r="L199" t="n">
        <v>0</v>
      </c>
      <c r="M199" t="n">
        <v>0</v>
      </c>
      <c r="N199" t="n">
        <v>0</v>
      </c>
      <c r="O199" t="n">
        <v>0</v>
      </c>
      <c r="P199" t="n">
        <v>0</v>
      </c>
      <c r="Q199" t="n">
        <v>0</v>
      </c>
      <c r="R199" s="2" t="inlineStr"/>
    </row>
    <row r="200" ht="15" customHeight="1">
      <c r="A200" t="inlineStr">
        <is>
          <t>A 2900-2023</t>
        </is>
      </c>
      <c r="B200" s="1" t="n">
        <v>44943</v>
      </c>
      <c r="C200" s="1" t="n">
        <v>46159</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60730-2023</t>
        </is>
      </c>
      <c r="B201" s="1" t="n">
        <v>45260</v>
      </c>
      <c r="C201" s="1" t="n">
        <v>46159</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60731-2023</t>
        </is>
      </c>
      <c r="B202" s="1" t="n">
        <v>45260</v>
      </c>
      <c r="C202" s="1" t="n">
        <v>46159</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73673-2021</t>
        </is>
      </c>
      <c r="B203" s="1" t="n">
        <v>44552.46501157407</v>
      </c>
      <c r="C203" s="1" t="n">
        <v>46159</v>
      </c>
      <c r="D203" t="inlineStr">
        <is>
          <t>VÄSTMANLANDS LÄN</t>
        </is>
      </c>
      <c r="E203" t="inlineStr">
        <is>
          <t>SALA</t>
        </is>
      </c>
      <c r="G203" t="n">
        <v>11.4</v>
      </c>
      <c r="H203" t="n">
        <v>0</v>
      </c>
      <c r="I203" t="n">
        <v>0</v>
      </c>
      <c r="J203" t="n">
        <v>0</v>
      </c>
      <c r="K203" t="n">
        <v>0</v>
      </c>
      <c r="L203" t="n">
        <v>0</v>
      </c>
      <c r="M203" t="n">
        <v>0</v>
      </c>
      <c r="N203" t="n">
        <v>0</v>
      </c>
      <c r="O203" t="n">
        <v>0</v>
      </c>
      <c r="P203" t="n">
        <v>0</v>
      </c>
      <c r="Q203" t="n">
        <v>0</v>
      </c>
      <c r="R203" s="2" t="inlineStr"/>
    </row>
    <row r="204" ht="15" customHeight="1">
      <c r="A204" t="inlineStr">
        <is>
          <t>A 38574-2025</t>
        </is>
      </c>
      <c r="B204" s="1" t="n">
        <v>45884.46390046296</v>
      </c>
      <c r="C204" s="1" t="n">
        <v>46159</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17722-2025</t>
        </is>
      </c>
      <c r="B205" s="1" t="n">
        <v>45758</v>
      </c>
      <c r="C205" s="1" t="n">
        <v>46159</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38294-2025</t>
        </is>
      </c>
      <c r="B206" s="1" t="n">
        <v>45883.44854166666</v>
      </c>
      <c r="C206" s="1" t="n">
        <v>46159</v>
      </c>
      <c r="D206" t="inlineStr">
        <is>
          <t>VÄSTMANLANDS LÄN</t>
        </is>
      </c>
      <c r="E206" t="inlineStr">
        <is>
          <t>SALA</t>
        </is>
      </c>
      <c r="G206" t="n">
        <v>1.5</v>
      </c>
      <c r="H206" t="n">
        <v>0</v>
      </c>
      <c r="I206" t="n">
        <v>0</v>
      </c>
      <c r="J206" t="n">
        <v>0</v>
      </c>
      <c r="K206" t="n">
        <v>0</v>
      </c>
      <c r="L206" t="n">
        <v>0</v>
      </c>
      <c r="M206" t="n">
        <v>0</v>
      </c>
      <c r="N206" t="n">
        <v>0</v>
      </c>
      <c r="O206" t="n">
        <v>0</v>
      </c>
      <c r="P206" t="n">
        <v>0</v>
      </c>
      <c r="Q206" t="n">
        <v>0</v>
      </c>
      <c r="R206" s="2" t="inlineStr"/>
    </row>
    <row r="207" ht="15" customHeight="1">
      <c r="A207" t="inlineStr">
        <is>
          <t>A 63749-2025</t>
        </is>
      </c>
      <c r="B207" s="1" t="n">
        <v>46017.75243055556</v>
      </c>
      <c r="C207" s="1" t="n">
        <v>46159</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24169-2025</t>
        </is>
      </c>
      <c r="B208" s="1" t="n">
        <v>45796</v>
      </c>
      <c r="C208" s="1" t="n">
        <v>46159</v>
      </c>
      <c r="D208" t="inlineStr">
        <is>
          <t>VÄSTMANLANDS LÄN</t>
        </is>
      </c>
      <c r="E208" t="inlineStr">
        <is>
          <t>SALA</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22126-2025</t>
        </is>
      </c>
      <c r="B209" s="1" t="n">
        <v>45785</v>
      </c>
      <c r="C209" s="1" t="n">
        <v>46159</v>
      </c>
      <c r="D209" t="inlineStr">
        <is>
          <t>VÄSTMANLANDS LÄN</t>
        </is>
      </c>
      <c r="E209" t="inlineStr">
        <is>
          <t>SALA</t>
        </is>
      </c>
      <c r="G209" t="n">
        <v>10.6</v>
      </c>
      <c r="H209" t="n">
        <v>0</v>
      </c>
      <c r="I209" t="n">
        <v>0</v>
      </c>
      <c r="J209" t="n">
        <v>0</v>
      </c>
      <c r="K209" t="n">
        <v>0</v>
      </c>
      <c r="L209" t="n">
        <v>0</v>
      </c>
      <c r="M209" t="n">
        <v>0</v>
      </c>
      <c r="N209" t="n">
        <v>0</v>
      </c>
      <c r="O209" t="n">
        <v>0</v>
      </c>
      <c r="P209" t="n">
        <v>0</v>
      </c>
      <c r="Q209" t="n">
        <v>0</v>
      </c>
      <c r="R209" s="2" t="inlineStr"/>
    </row>
    <row r="210" ht="15" customHeight="1">
      <c r="A210" t="inlineStr">
        <is>
          <t>A 23810-2025</t>
        </is>
      </c>
      <c r="B210" s="1" t="n">
        <v>45793.56989583333</v>
      </c>
      <c r="C210" s="1" t="n">
        <v>46159</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63748-2025</t>
        </is>
      </c>
      <c r="B211" s="1" t="n">
        <v>46017.71640046296</v>
      </c>
      <c r="C211" s="1" t="n">
        <v>46159</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35976-2024</t>
        </is>
      </c>
      <c r="B212" s="1" t="n">
        <v>45533.49555555556</v>
      </c>
      <c r="C212" s="1" t="n">
        <v>46159</v>
      </c>
      <c r="D212" t="inlineStr">
        <is>
          <t>VÄSTMANLANDS LÄN</t>
        </is>
      </c>
      <c r="E212" t="inlineStr">
        <is>
          <t>SALA</t>
        </is>
      </c>
      <c r="G212" t="n">
        <v>2.3</v>
      </c>
      <c r="H212" t="n">
        <v>0</v>
      </c>
      <c r="I212" t="n">
        <v>0</v>
      </c>
      <c r="J212" t="n">
        <v>0</v>
      </c>
      <c r="K212" t="n">
        <v>0</v>
      </c>
      <c r="L212" t="n">
        <v>0</v>
      </c>
      <c r="M212" t="n">
        <v>0</v>
      </c>
      <c r="N212" t="n">
        <v>0</v>
      </c>
      <c r="O212" t="n">
        <v>0</v>
      </c>
      <c r="P212" t="n">
        <v>0</v>
      </c>
      <c r="Q212" t="n">
        <v>0</v>
      </c>
      <c r="R212" s="2" t="inlineStr"/>
    </row>
    <row r="213" ht="15" customHeight="1">
      <c r="A213" t="inlineStr">
        <is>
          <t>A 24944-2023</t>
        </is>
      </c>
      <c r="B213" s="1" t="n">
        <v>45085</v>
      </c>
      <c r="C213" s="1" t="n">
        <v>46159</v>
      </c>
      <c r="D213" t="inlineStr">
        <is>
          <t>VÄSTMANLANDS LÄN</t>
        </is>
      </c>
      <c r="E213" t="inlineStr">
        <is>
          <t>SALA</t>
        </is>
      </c>
      <c r="G213" t="n">
        <v>3.8</v>
      </c>
      <c r="H213" t="n">
        <v>0</v>
      </c>
      <c r="I213" t="n">
        <v>0</v>
      </c>
      <c r="J213" t="n">
        <v>0</v>
      </c>
      <c r="K213" t="n">
        <v>0</v>
      </c>
      <c r="L213" t="n">
        <v>0</v>
      </c>
      <c r="M213" t="n">
        <v>0</v>
      </c>
      <c r="N213" t="n">
        <v>0</v>
      </c>
      <c r="O213" t="n">
        <v>0</v>
      </c>
      <c r="P213" t="n">
        <v>0</v>
      </c>
      <c r="Q213" t="n">
        <v>0</v>
      </c>
      <c r="R213" s="2" t="inlineStr"/>
    </row>
    <row r="214" ht="15" customHeight="1">
      <c r="A214" t="inlineStr">
        <is>
          <t>A 23804-2025</t>
        </is>
      </c>
      <c r="B214" s="1" t="n">
        <v>45793.55995370371</v>
      </c>
      <c r="C214" s="1" t="n">
        <v>46159</v>
      </c>
      <c r="D214" t="inlineStr">
        <is>
          <t>VÄSTMANLANDS LÄN</t>
        </is>
      </c>
      <c r="E214" t="inlineStr">
        <is>
          <t>SALA</t>
        </is>
      </c>
      <c r="G214" t="n">
        <v>1.9</v>
      </c>
      <c r="H214" t="n">
        <v>0</v>
      </c>
      <c r="I214" t="n">
        <v>0</v>
      </c>
      <c r="J214" t="n">
        <v>0</v>
      </c>
      <c r="K214" t="n">
        <v>0</v>
      </c>
      <c r="L214" t="n">
        <v>0</v>
      </c>
      <c r="M214" t="n">
        <v>0</v>
      </c>
      <c r="N214" t="n">
        <v>0</v>
      </c>
      <c r="O214" t="n">
        <v>0</v>
      </c>
      <c r="P214" t="n">
        <v>0</v>
      </c>
      <c r="Q214" t="n">
        <v>0</v>
      </c>
      <c r="R214" s="2" t="inlineStr"/>
    </row>
    <row r="215" ht="15" customHeight="1">
      <c r="A215" t="inlineStr">
        <is>
          <t>A 11210-2025</t>
        </is>
      </c>
      <c r="B215" s="1" t="n">
        <v>45726</v>
      </c>
      <c r="C215" s="1" t="n">
        <v>46159</v>
      </c>
      <c r="D215" t="inlineStr">
        <is>
          <t>VÄSTMANLANDS LÄN</t>
        </is>
      </c>
      <c r="E215" t="inlineStr">
        <is>
          <t>SALA</t>
        </is>
      </c>
      <c r="G215" t="n">
        <v>4.1</v>
      </c>
      <c r="H215" t="n">
        <v>0</v>
      </c>
      <c r="I215" t="n">
        <v>0</v>
      </c>
      <c r="J215" t="n">
        <v>0</v>
      </c>
      <c r="K215" t="n">
        <v>0</v>
      </c>
      <c r="L215" t="n">
        <v>0</v>
      </c>
      <c r="M215" t="n">
        <v>0</v>
      </c>
      <c r="N215" t="n">
        <v>0</v>
      </c>
      <c r="O215" t="n">
        <v>0</v>
      </c>
      <c r="P215" t="n">
        <v>0</v>
      </c>
      <c r="Q215" t="n">
        <v>0</v>
      </c>
      <c r="R215" s="2" t="inlineStr"/>
    </row>
    <row r="216" ht="15" customHeight="1">
      <c r="A216" t="inlineStr">
        <is>
          <t>A 19297-2025</t>
        </is>
      </c>
      <c r="B216" s="1" t="n">
        <v>45769.56261574074</v>
      </c>
      <c r="C216" s="1" t="n">
        <v>46159</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71471-2021</t>
        </is>
      </c>
      <c r="B217" s="1" t="n">
        <v>44540.53421296296</v>
      </c>
      <c r="C217" s="1" t="n">
        <v>46159</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24460-2025</t>
        </is>
      </c>
      <c r="B218" s="1" t="n">
        <v>45798</v>
      </c>
      <c r="C218" s="1" t="n">
        <v>46159</v>
      </c>
      <c r="D218" t="inlineStr">
        <is>
          <t>VÄSTMANLANDS LÄN</t>
        </is>
      </c>
      <c r="E218" t="inlineStr">
        <is>
          <t>SALA</t>
        </is>
      </c>
      <c r="F218" t="inlineStr">
        <is>
          <t>Bergvik skog öst AB</t>
        </is>
      </c>
      <c r="G218" t="n">
        <v>2.6</v>
      </c>
      <c r="H218" t="n">
        <v>0</v>
      </c>
      <c r="I218" t="n">
        <v>0</v>
      </c>
      <c r="J218" t="n">
        <v>0</v>
      </c>
      <c r="K218" t="n">
        <v>0</v>
      </c>
      <c r="L218" t="n">
        <v>0</v>
      </c>
      <c r="M218" t="n">
        <v>0</v>
      </c>
      <c r="N218" t="n">
        <v>0</v>
      </c>
      <c r="O218" t="n">
        <v>0</v>
      </c>
      <c r="P218" t="n">
        <v>0</v>
      </c>
      <c r="Q218" t="n">
        <v>0</v>
      </c>
      <c r="R218" s="2" t="inlineStr"/>
    </row>
    <row r="219" ht="15" customHeight="1">
      <c r="A219" t="inlineStr">
        <is>
          <t>A 8775-2024</t>
        </is>
      </c>
      <c r="B219" s="1" t="n">
        <v>45356</v>
      </c>
      <c r="C219" s="1" t="n">
        <v>46159</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39182-2025</t>
        </is>
      </c>
      <c r="B220" s="1" t="n">
        <v>45888.66204861111</v>
      </c>
      <c r="C220" s="1" t="n">
        <v>46159</v>
      </c>
      <c r="D220" t="inlineStr">
        <is>
          <t>VÄSTMANLANDS LÄN</t>
        </is>
      </c>
      <c r="E220" t="inlineStr">
        <is>
          <t>SALA</t>
        </is>
      </c>
      <c r="F220" t="inlineStr">
        <is>
          <t>Bergvik skog öst AB</t>
        </is>
      </c>
      <c r="G220" t="n">
        <v>1.3</v>
      </c>
      <c r="H220" t="n">
        <v>0</v>
      </c>
      <c r="I220" t="n">
        <v>0</v>
      </c>
      <c r="J220" t="n">
        <v>0</v>
      </c>
      <c r="K220" t="n">
        <v>0</v>
      </c>
      <c r="L220" t="n">
        <v>0</v>
      </c>
      <c r="M220" t="n">
        <v>0</v>
      </c>
      <c r="N220" t="n">
        <v>0</v>
      </c>
      <c r="O220" t="n">
        <v>0</v>
      </c>
      <c r="P220" t="n">
        <v>0</v>
      </c>
      <c r="Q220" t="n">
        <v>0</v>
      </c>
      <c r="R220" s="2" t="inlineStr"/>
    </row>
    <row r="221" ht="15" customHeight="1">
      <c r="A221" t="inlineStr">
        <is>
          <t>A 55065-2024</t>
        </is>
      </c>
      <c r="B221" s="1" t="n">
        <v>45618</v>
      </c>
      <c r="C221" s="1" t="n">
        <v>46159</v>
      </c>
      <c r="D221" t="inlineStr">
        <is>
          <t>VÄSTMANLANDS LÄN</t>
        </is>
      </c>
      <c r="E221" t="inlineStr">
        <is>
          <t>SALA</t>
        </is>
      </c>
      <c r="G221" t="n">
        <v>3.5</v>
      </c>
      <c r="H221" t="n">
        <v>0</v>
      </c>
      <c r="I221" t="n">
        <v>0</v>
      </c>
      <c r="J221" t="n">
        <v>0</v>
      </c>
      <c r="K221" t="n">
        <v>0</v>
      </c>
      <c r="L221" t="n">
        <v>0</v>
      </c>
      <c r="M221" t="n">
        <v>0</v>
      </c>
      <c r="N221" t="n">
        <v>0</v>
      </c>
      <c r="O221" t="n">
        <v>0</v>
      </c>
      <c r="P221" t="n">
        <v>0</v>
      </c>
      <c r="Q221" t="n">
        <v>0</v>
      </c>
      <c r="R221" s="2" t="inlineStr"/>
    </row>
    <row r="222" ht="15" customHeight="1">
      <c r="A222" t="inlineStr">
        <is>
          <t>A 39011-2023</t>
        </is>
      </c>
      <c r="B222" s="1" t="n">
        <v>45162</v>
      </c>
      <c r="C222" s="1" t="n">
        <v>46159</v>
      </c>
      <c r="D222" t="inlineStr">
        <is>
          <t>VÄSTMANLANDS LÄN</t>
        </is>
      </c>
      <c r="E222" t="inlineStr">
        <is>
          <t>SALA</t>
        </is>
      </c>
      <c r="G222" t="n">
        <v>1.6</v>
      </c>
      <c r="H222" t="n">
        <v>0</v>
      </c>
      <c r="I222" t="n">
        <v>0</v>
      </c>
      <c r="J222" t="n">
        <v>0</v>
      </c>
      <c r="K222" t="n">
        <v>0</v>
      </c>
      <c r="L222" t="n">
        <v>0</v>
      </c>
      <c r="M222" t="n">
        <v>0</v>
      </c>
      <c r="N222" t="n">
        <v>0</v>
      </c>
      <c r="O222" t="n">
        <v>0</v>
      </c>
      <c r="P222" t="n">
        <v>0</v>
      </c>
      <c r="Q222" t="n">
        <v>0</v>
      </c>
      <c r="R222" s="2" t="inlineStr"/>
    </row>
    <row r="223" ht="15" customHeight="1">
      <c r="A223" t="inlineStr">
        <is>
          <t>A 46279-2021</t>
        </is>
      </c>
      <c r="B223" s="1" t="n">
        <v>44442.57797453704</v>
      </c>
      <c r="C223" s="1" t="n">
        <v>46159</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24463-2025</t>
        </is>
      </c>
      <c r="B224" s="1" t="n">
        <v>45798</v>
      </c>
      <c r="C224" s="1" t="n">
        <v>46159</v>
      </c>
      <c r="D224" t="inlineStr">
        <is>
          <t>VÄSTMANLANDS LÄN</t>
        </is>
      </c>
      <c r="E224" t="inlineStr">
        <is>
          <t>SALA</t>
        </is>
      </c>
      <c r="F224" t="inlineStr">
        <is>
          <t>Bergvik skog öst AB</t>
        </is>
      </c>
      <c r="G224" t="n">
        <v>1.5</v>
      </c>
      <c r="H224" t="n">
        <v>0</v>
      </c>
      <c r="I224" t="n">
        <v>0</v>
      </c>
      <c r="J224" t="n">
        <v>0</v>
      </c>
      <c r="K224" t="n">
        <v>0</v>
      </c>
      <c r="L224" t="n">
        <v>0</v>
      </c>
      <c r="M224" t="n">
        <v>0</v>
      </c>
      <c r="N224" t="n">
        <v>0</v>
      </c>
      <c r="O224" t="n">
        <v>0</v>
      </c>
      <c r="P224" t="n">
        <v>0</v>
      </c>
      <c r="Q224" t="n">
        <v>0</v>
      </c>
      <c r="R224" s="2" t="inlineStr"/>
    </row>
    <row r="225" ht="15" customHeight="1">
      <c r="A225" t="inlineStr">
        <is>
          <t>A 56547-2022</t>
        </is>
      </c>
      <c r="B225" s="1" t="n">
        <v>44893.48284722222</v>
      </c>
      <c r="C225" s="1" t="n">
        <v>46159</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31864-2025</t>
        </is>
      </c>
      <c r="B226" s="1" t="n">
        <v>45834.63819444444</v>
      </c>
      <c r="C226" s="1" t="n">
        <v>46159</v>
      </c>
      <c r="D226" t="inlineStr">
        <is>
          <t>VÄSTMANLANDS LÄN</t>
        </is>
      </c>
      <c r="E226" t="inlineStr">
        <is>
          <t>SALA</t>
        </is>
      </c>
      <c r="G226" t="n">
        <v>6.3</v>
      </c>
      <c r="H226" t="n">
        <v>0</v>
      </c>
      <c r="I226" t="n">
        <v>0</v>
      </c>
      <c r="J226" t="n">
        <v>0</v>
      </c>
      <c r="K226" t="n">
        <v>0</v>
      </c>
      <c r="L226" t="n">
        <v>0</v>
      </c>
      <c r="M226" t="n">
        <v>0</v>
      </c>
      <c r="N226" t="n">
        <v>0</v>
      </c>
      <c r="O226" t="n">
        <v>0</v>
      </c>
      <c r="P226" t="n">
        <v>0</v>
      </c>
      <c r="Q226" t="n">
        <v>0</v>
      </c>
      <c r="R226" s="2" t="inlineStr"/>
    </row>
    <row r="227" ht="15" customHeight="1">
      <c r="A227" t="inlineStr">
        <is>
          <t>A 56916-2022</t>
        </is>
      </c>
      <c r="B227" s="1" t="n">
        <v>44888</v>
      </c>
      <c r="C227" s="1" t="n">
        <v>46159</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39167-2025</t>
        </is>
      </c>
      <c r="B228" s="1" t="n">
        <v>45888</v>
      </c>
      <c r="C228" s="1" t="n">
        <v>46159</v>
      </c>
      <c r="D228" t="inlineStr">
        <is>
          <t>VÄSTMANLANDS LÄN</t>
        </is>
      </c>
      <c r="E228" t="inlineStr">
        <is>
          <t>SALA</t>
        </is>
      </c>
      <c r="G228" t="n">
        <v>5.5</v>
      </c>
      <c r="H228" t="n">
        <v>0</v>
      </c>
      <c r="I228" t="n">
        <v>0</v>
      </c>
      <c r="J228" t="n">
        <v>0</v>
      </c>
      <c r="K228" t="n">
        <v>0</v>
      </c>
      <c r="L228" t="n">
        <v>0</v>
      </c>
      <c r="M228" t="n">
        <v>0</v>
      </c>
      <c r="N228" t="n">
        <v>0</v>
      </c>
      <c r="O228" t="n">
        <v>0</v>
      </c>
      <c r="P228" t="n">
        <v>0</v>
      </c>
      <c r="Q228" t="n">
        <v>0</v>
      </c>
      <c r="R228" s="2" t="inlineStr"/>
    </row>
    <row r="229" ht="15" customHeight="1">
      <c r="A229" t="inlineStr">
        <is>
          <t>A 24907-2025</t>
        </is>
      </c>
      <c r="B229" s="1" t="n">
        <v>45799</v>
      </c>
      <c r="C229" s="1" t="n">
        <v>46159</v>
      </c>
      <c r="D229" t="inlineStr">
        <is>
          <t>VÄSTMANLANDS LÄN</t>
        </is>
      </c>
      <c r="E229" t="inlineStr">
        <is>
          <t>SALA</t>
        </is>
      </c>
      <c r="G229" t="n">
        <v>3.5</v>
      </c>
      <c r="H229" t="n">
        <v>0</v>
      </c>
      <c r="I229" t="n">
        <v>0</v>
      </c>
      <c r="J229" t="n">
        <v>0</v>
      </c>
      <c r="K229" t="n">
        <v>0</v>
      </c>
      <c r="L229" t="n">
        <v>0</v>
      </c>
      <c r="M229" t="n">
        <v>0</v>
      </c>
      <c r="N229" t="n">
        <v>0</v>
      </c>
      <c r="O229" t="n">
        <v>0</v>
      </c>
      <c r="P229" t="n">
        <v>0</v>
      </c>
      <c r="Q229" t="n">
        <v>0</v>
      </c>
      <c r="R229" s="2" t="inlineStr"/>
    </row>
    <row r="230" ht="15" customHeight="1">
      <c r="A230" t="inlineStr">
        <is>
          <t>A 24910-2025</t>
        </is>
      </c>
      <c r="B230" s="1" t="n">
        <v>45799.53775462963</v>
      </c>
      <c r="C230" s="1" t="n">
        <v>46159</v>
      </c>
      <c r="D230" t="inlineStr">
        <is>
          <t>VÄSTMANLANDS LÄN</t>
        </is>
      </c>
      <c r="E230" t="inlineStr">
        <is>
          <t>SALA</t>
        </is>
      </c>
      <c r="G230" t="n">
        <v>3.5</v>
      </c>
      <c r="H230" t="n">
        <v>0</v>
      </c>
      <c r="I230" t="n">
        <v>0</v>
      </c>
      <c r="J230" t="n">
        <v>0</v>
      </c>
      <c r="K230" t="n">
        <v>0</v>
      </c>
      <c r="L230" t="n">
        <v>0</v>
      </c>
      <c r="M230" t="n">
        <v>0</v>
      </c>
      <c r="N230" t="n">
        <v>0</v>
      </c>
      <c r="O230" t="n">
        <v>0</v>
      </c>
      <c r="P230" t="n">
        <v>0</v>
      </c>
      <c r="Q230" t="n">
        <v>0</v>
      </c>
      <c r="R230" s="2" t="inlineStr"/>
    </row>
    <row r="231" ht="15" customHeight="1">
      <c r="A231" t="inlineStr">
        <is>
          <t>A 52498-2022</t>
        </is>
      </c>
      <c r="B231" s="1" t="n">
        <v>44874.50152777778</v>
      </c>
      <c r="C231" s="1" t="n">
        <v>46159</v>
      </c>
      <c r="D231" t="inlineStr">
        <is>
          <t>VÄSTMANLANDS LÄN</t>
        </is>
      </c>
      <c r="E231" t="inlineStr">
        <is>
          <t>SALA</t>
        </is>
      </c>
      <c r="G231" t="n">
        <v>2.1</v>
      </c>
      <c r="H231" t="n">
        <v>0</v>
      </c>
      <c r="I231" t="n">
        <v>0</v>
      </c>
      <c r="J231" t="n">
        <v>0</v>
      </c>
      <c r="K231" t="n">
        <v>0</v>
      </c>
      <c r="L231" t="n">
        <v>0</v>
      </c>
      <c r="M231" t="n">
        <v>0</v>
      </c>
      <c r="N231" t="n">
        <v>0</v>
      </c>
      <c r="O231" t="n">
        <v>0</v>
      </c>
      <c r="P231" t="n">
        <v>0</v>
      </c>
      <c r="Q231" t="n">
        <v>0</v>
      </c>
      <c r="R231" s="2" t="inlineStr"/>
    </row>
    <row r="232" ht="15" customHeight="1">
      <c r="A232" t="inlineStr">
        <is>
          <t>A 10909-2024</t>
        </is>
      </c>
      <c r="B232" s="1" t="n">
        <v>45370</v>
      </c>
      <c r="C232" s="1" t="n">
        <v>46159</v>
      </c>
      <c r="D232" t="inlineStr">
        <is>
          <t>VÄSTMANLANDS LÄN</t>
        </is>
      </c>
      <c r="E232" t="inlineStr">
        <is>
          <t>SALA</t>
        </is>
      </c>
      <c r="G232" t="n">
        <v>3.3</v>
      </c>
      <c r="H232" t="n">
        <v>0</v>
      </c>
      <c r="I232" t="n">
        <v>0</v>
      </c>
      <c r="J232" t="n">
        <v>0</v>
      </c>
      <c r="K232" t="n">
        <v>0</v>
      </c>
      <c r="L232" t="n">
        <v>0</v>
      </c>
      <c r="M232" t="n">
        <v>0</v>
      </c>
      <c r="N232" t="n">
        <v>0</v>
      </c>
      <c r="O232" t="n">
        <v>0</v>
      </c>
      <c r="P232" t="n">
        <v>0</v>
      </c>
      <c r="Q232" t="n">
        <v>0</v>
      </c>
      <c r="R232" s="2" t="inlineStr"/>
    </row>
    <row r="233" ht="15" customHeight="1">
      <c r="A233" t="inlineStr">
        <is>
          <t>A 45313-2024</t>
        </is>
      </c>
      <c r="B233" s="1" t="n">
        <v>45576</v>
      </c>
      <c r="C233" s="1" t="n">
        <v>46159</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56535-2022</t>
        </is>
      </c>
      <c r="B234" s="1" t="n">
        <v>44893.47173611111</v>
      </c>
      <c r="C234" s="1" t="n">
        <v>46159</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47909-2022</t>
        </is>
      </c>
      <c r="B235" s="1" t="n">
        <v>44855</v>
      </c>
      <c r="C235" s="1" t="n">
        <v>46159</v>
      </c>
      <c r="D235" t="inlineStr">
        <is>
          <t>VÄSTMANLANDS LÄN</t>
        </is>
      </c>
      <c r="E235" t="inlineStr">
        <is>
          <t>SALA</t>
        </is>
      </c>
      <c r="F235" t="inlineStr">
        <is>
          <t>Bergvik skog öst AB</t>
        </is>
      </c>
      <c r="G235" t="n">
        <v>2</v>
      </c>
      <c r="H235" t="n">
        <v>0</v>
      </c>
      <c r="I235" t="n">
        <v>0</v>
      </c>
      <c r="J235" t="n">
        <v>0</v>
      </c>
      <c r="K235" t="n">
        <v>0</v>
      </c>
      <c r="L235" t="n">
        <v>0</v>
      </c>
      <c r="M235" t="n">
        <v>0</v>
      </c>
      <c r="N235" t="n">
        <v>0</v>
      </c>
      <c r="O235" t="n">
        <v>0</v>
      </c>
      <c r="P235" t="n">
        <v>0</v>
      </c>
      <c r="Q235" t="n">
        <v>0</v>
      </c>
      <c r="R235" s="2" t="inlineStr"/>
    </row>
    <row r="236" ht="15" customHeight="1">
      <c r="A236" t="inlineStr">
        <is>
          <t>A 52630-2022</t>
        </is>
      </c>
      <c r="B236" s="1" t="n">
        <v>44874</v>
      </c>
      <c r="C236" s="1" t="n">
        <v>46159</v>
      </c>
      <c r="D236" t="inlineStr">
        <is>
          <t>VÄSTMANLANDS LÄN</t>
        </is>
      </c>
      <c r="E236" t="inlineStr">
        <is>
          <t>SALA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56687-2024</t>
        </is>
      </c>
      <c r="B237" s="1" t="n">
        <v>45627.63271990741</v>
      </c>
      <c r="C237" s="1" t="n">
        <v>46159</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40556-2025</t>
        </is>
      </c>
      <c r="B238" s="1" t="n">
        <v>45896.44944444444</v>
      </c>
      <c r="C238" s="1" t="n">
        <v>46159</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61715-2024</t>
        </is>
      </c>
      <c r="B239" s="1" t="n">
        <v>45648.89519675926</v>
      </c>
      <c r="C239" s="1" t="n">
        <v>46159</v>
      </c>
      <c r="D239" t="inlineStr">
        <is>
          <t>VÄSTMANLANDS LÄN</t>
        </is>
      </c>
      <c r="E239" t="inlineStr">
        <is>
          <t>SALA</t>
        </is>
      </c>
      <c r="G239" t="n">
        <v>2.5</v>
      </c>
      <c r="H239" t="n">
        <v>0</v>
      </c>
      <c r="I239" t="n">
        <v>0</v>
      </c>
      <c r="J239" t="n">
        <v>0</v>
      </c>
      <c r="K239" t="n">
        <v>0</v>
      </c>
      <c r="L239" t="n">
        <v>0</v>
      </c>
      <c r="M239" t="n">
        <v>0</v>
      </c>
      <c r="N239" t="n">
        <v>0</v>
      </c>
      <c r="O239" t="n">
        <v>0</v>
      </c>
      <c r="P239" t="n">
        <v>0</v>
      </c>
      <c r="Q239" t="n">
        <v>0</v>
      </c>
      <c r="R239" s="2" t="inlineStr"/>
    </row>
    <row r="240" ht="15" customHeight="1">
      <c r="A240" t="inlineStr">
        <is>
          <t>A 40559-2025</t>
        </is>
      </c>
      <c r="B240" s="1" t="n">
        <v>45896.45037037037</v>
      </c>
      <c r="C240" s="1" t="n">
        <v>46159</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40620-2025</t>
        </is>
      </c>
      <c r="B241" s="1" t="n">
        <v>45896.58609953704</v>
      </c>
      <c r="C241" s="1" t="n">
        <v>46159</v>
      </c>
      <c r="D241" t="inlineStr">
        <is>
          <t>VÄSTMANLANDS LÄN</t>
        </is>
      </c>
      <c r="E241" t="inlineStr">
        <is>
          <t>SALA</t>
        </is>
      </c>
      <c r="G241" t="n">
        <v>6.7</v>
      </c>
      <c r="H241" t="n">
        <v>0</v>
      </c>
      <c r="I241" t="n">
        <v>0</v>
      </c>
      <c r="J241" t="n">
        <v>0</v>
      </c>
      <c r="K241" t="n">
        <v>0</v>
      </c>
      <c r="L241" t="n">
        <v>0</v>
      </c>
      <c r="M241" t="n">
        <v>0</v>
      </c>
      <c r="N241" t="n">
        <v>0</v>
      </c>
      <c r="O241" t="n">
        <v>0</v>
      </c>
      <c r="P241" t="n">
        <v>0</v>
      </c>
      <c r="Q241" t="n">
        <v>0</v>
      </c>
      <c r="R241" s="2" t="inlineStr"/>
    </row>
    <row r="242" ht="15" customHeight="1">
      <c r="A242" t="inlineStr">
        <is>
          <t>A 16404-2022</t>
        </is>
      </c>
      <c r="B242" s="1" t="n">
        <v>44671</v>
      </c>
      <c r="C242" s="1" t="n">
        <v>46159</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6097-2022</t>
        </is>
      </c>
      <c r="B243" s="1" t="n">
        <v>44599</v>
      </c>
      <c r="C243" s="1" t="n">
        <v>46159</v>
      </c>
      <c r="D243" t="inlineStr">
        <is>
          <t>VÄSTMANLANDS LÄN</t>
        </is>
      </c>
      <c r="E243" t="inlineStr">
        <is>
          <t>SALA</t>
        </is>
      </c>
      <c r="G243" t="n">
        <v>0.6</v>
      </c>
      <c r="H243" t="n">
        <v>0</v>
      </c>
      <c r="I243" t="n">
        <v>0</v>
      </c>
      <c r="J243" t="n">
        <v>0</v>
      </c>
      <c r="K243" t="n">
        <v>0</v>
      </c>
      <c r="L243" t="n">
        <v>0</v>
      </c>
      <c r="M243" t="n">
        <v>0</v>
      </c>
      <c r="N243" t="n">
        <v>0</v>
      </c>
      <c r="O243" t="n">
        <v>0</v>
      </c>
      <c r="P243" t="n">
        <v>0</v>
      </c>
      <c r="Q243" t="n">
        <v>0</v>
      </c>
      <c r="R243" s="2" t="inlineStr"/>
    </row>
    <row r="244" ht="15" customHeight="1">
      <c r="A244" t="inlineStr">
        <is>
          <t>A 10559-2024</t>
        </is>
      </c>
      <c r="B244" s="1" t="n">
        <v>45366</v>
      </c>
      <c r="C244" s="1" t="n">
        <v>46159</v>
      </c>
      <c r="D244" t="inlineStr">
        <is>
          <t>VÄSTMANLANDS LÄN</t>
        </is>
      </c>
      <c r="E244" t="inlineStr">
        <is>
          <t>SALA</t>
        </is>
      </c>
      <c r="G244" t="n">
        <v>0.3</v>
      </c>
      <c r="H244" t="n">
        <v>0</v>
      </c>
      <c r="I244" t="n">
        <v>0</v>
      </c>
      <c r="J244" t="n">
        <v>0</v>
      </c>
      <c r="K244" t="n">
        <v>0</v>
      </c>
      <c r="L244" t="n">
        <v>0</v>
      </c>
      <c r="M244" t="n">
        <v>0</v>
      </c>
      <c r="N244" t="n">
        <v>0</v>
      </c>
      <c r="O244" t="n">
        <v>0</v>
      </c>
      <c r="P244" t="n">
        <v>0</v>
      </c>
      <c r="Q244" t="n">
        <v>0</v>
      </c>
      <c r="R244" s="2" t="inlineStr"/>
    </row>
    <row r="245" ht="15" customHeight="1">
      <c r="A245" t="inlineStr">
        <is>
          <t>A 26661-2025</t>
        </is>
      </c>
      <c r="B245" s="1" t="n">
        <v>45810</v>
      </c>
      <c r="C245" s="1" t="n">
        <v>46159</v>
      </c>
      <c r="D245" t="inlineStr">
        <is>
          <t>VÄSTMANLANDS LÄN</t>
        </is>
      </c>
      <c r="E245" t="inlineStr">
        <is>
          <t>SALA</t>
        </is>
      </c>
      <c r="G245" t="n">
        <v>3.5</v>
      </c>
      <c r="H245" t="n">
        <v>0</v>
      </c>
      <c r="I245" t="n">
        <v>0</v>
      </c>
      <c r="J245" t="n">
        <v>0</v>
      </c>
      <c r="K245" t="n">
        <v>0</v>
      </c>
      <c r="L245" t="n">
        <v>0</v>
      </c>
      <c r="M245" t="n">
        <v>0</v>
      </c>
      <c r="N245" t="n">
        <v>0</v>
      </c>
      <c r="O245" t="n">
        <v>0</v>
      </c>
      <c r="P245" t="n">
        <v>0</v>
      </c>
      <c r="Q245" t="n">
        <v>0</v>
      </c>
      <c r="R245" s="2" t="inlineStr"/>
    </row>
    <row r="246" ht="15" customHeight="1">
      <c r="A246" t="inlineStr">
        <is>
          <t>A 910-2026</t>
        </is>
      </c>
      <c r="B246" s="1" t="n">
        <v>46030.4771412037</v>
      </c>
      <c r="C246" s="1" t="n">
        <v>46159</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41230-2025</t>
        </is>
      </c>
      <c r="B247" s="1" t="n">
        <v>45898</v>
      </c>
      <c r="C247" s="1" t="n">
        <v>46159</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60545-2024</t>
        </is>
      </c>
      <c r="B248" s="1" t="n">
        <v>45643</v>
      </c>
      <c r="C248" s="1" t="n">
        <v>46159</v>
      </c>
      <c r="D248" t="inlineStr">
        <is>
          <t>VÄSTMANLANDS LÄN</t>
        </is>
      </c>
      <c r="E248" t="inlineStr">
        <is>
          <t>SALA</t>
        </is>
      </c>
      <c r="G248" t="n">
        <v>3.3</v>
      </c>
      <c r="H248" t="n">
        <v>0</v>
      </c>
      <c r="I248" t="n">
        <v>0</v>
      </c>
      <c r="J248" t="n">
        <v>0</v>
      </c>
      <c r="K248" t="n">
        <v>0</v>
      </c>
      <c r="L248" t="n">
        <v>0</v>
      </c>
      <c r="M248" t="n">
        <v>0</v>
      </c>
      <c r="N248" t="n">
        <v>0</v>
      </c>
      <c r="O248" t="n">
        <v>0</v>
      </c>
      <c r="P248" t="n">
        <v>0</v>
      </c>
      <c r="Q248" t="n">
        <v>0</v>
      </c>
      <c r="R248" s="2" t="inlineStr"/>
    </row>
    <row r="249" ht="15" customHeight="1">
      <c r="A249" t="inlineStr">
        <is>
          <t>A 60547-2024</t>
        </is>
      </c>
      <c r="B249" s="1" t="n">
        <v>45643</v>
      </c>
      <c r="C249" s="1" t="n">
        <v>46159</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15965-2024</t>
        </is>
      </c>
      <c r="B250" s="1" t="n">
        <v>45405.55740740741</v>
      </c>
      <c r="C250" s="1" t="n">
        <v>46159</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1196-2023</t>
        </is>
      </c>
      <c r="B251" s="1" t="n">
        <v>44935.82290509259</v>
      </c>
      <c r="C251" s="1" t="n">
        <v>46159</v>
      </c>
      <c r="D251" t="inlineStr">
        <is>
          <t>VÄSTMANLANDS LÄN</t>
        </is>
      </c>
      <c r="E251" t="inlineStr">
        <is>
          <t>SALA</t>
        </is>
      </c>
      <c r="G251" t="n">
        <v>4.1</v>
      </c>
      <c r="H251" t="n">
        <v>0</v>
      </c>
      <c r="I251" t="n">
        <v>0</v>
      </c>
      <c r="J251" t="n">
        <v>0</v>
      </c>
      <c r="K251" t="n">
        <v>0</v>
      </c>
      <c r="L251" t="n">
        <v>0</v>
      </c>
      <c r="M251" t="n">
        <v>0</v>
      </c>
      <c r="N251" t="n">
        <v>0</v>
      </c>
      <c r="O251" t="n">
        <v>0</v>
      </c>
      <c r="P251" t="n">
        <v>0</v>
      </c>
      <c r="Q251" t="n">
        <v>0</v>
      </c>
      <c r="R251" s="2" t="inlineStr"/>
    </row>
    <row r="252" ht="15" customHeight="1">
      <c r="A252" t="inlineStr">
        <is>
          <t>A 41431-2025</t>
        </is>
      </c>
      <c r="B252" s="1" t="n">
        <v>45901.39347222223</v>
      </c>
      <c r="C252" s="1" t="n">
        <v>46159</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41414-2025</t>
        </is>
      </c>
      <c r="B253" s="1" t="n">
        <v>45901.360625</v>
      </c>
      <c r="C253" s="1" t="n">
        <v>46159</v>
      </c>
      <c r="D253" t="inlineStr">
        <is>
          <t>VÄSTMANLANDS LÄN</t>
        </is>
      </c>
      <c r="E253" t="inlineStr">
        <is>
          <t>SALA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53164-2024</t>
        </is>
      </c>
      <c r="B254" s="1" t="n">
        <v>45611.64887731482</v>
      </c>
      <c r="C254" s="1" t="n">
        <v>46159</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62651-2022</t>
        </is>
      </c>
      <c r="B255" s="1" t="n">
        <v>44917</v>
      </c>
      <c r="C255" s="1" t="n">
        <v>46159</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54836-2024</t>
        </is>
      </c>
      <c r="B256" s="1" t="n">
        <v>45618</v>
      </c>
      <c r="C256" s="1" t="n">
        <v>46159</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61717-2024</t>
        </is>
      </c>
      <c r="B257" s="1" t="n">
        <v>45648</v>
      </c>
      <c r="C257" s="1" t="n">
        <v>46159</v>
      </c>
      <c r="D257" t="inlineStr">
        <is>
          <t>VÄSTMANLANDS LÄN</t>
        </is>
      </c>
      <c r="E257" t="inlineStr">
        <is>
          <t>SALA</t>
        </is>
      </c>
      <c r="G257" t="n">
        <v>3.7</v>
      </c>
      <c r="H257" t="n">
        <v>0</v>
      </c>
      <c r="I257" t="n">
        <v>0</v>
      </c>
      <c r="J257" t="n">
        <v>0</v>
      </c>
      <c r="K257" t="n">
        <v>0</v>
      </c>
      <c r="L257" t="n">
        <v>0</v>
      </c>
      <c r="M257" t="n">
        <v>0</v>
      </c>
      <c r="N257" t="n">
        <v>0</v>
      </c>
      <c r="O257" t="n">
        <v>0</v>
      </c>
      <c r="P257" t="n">
        <v>0</v>
      </c>
      <c r="Q257" t="n">
        <v>0</v>
      </c>
      <c r="R257" s="2" t="inlineStr"/>
    </row>
    <row r="258" ht="15" customHeight="1">
      <c r="A258" t="inlineStr">
        <is>
          <t>A 13987-2023</t>
        </is>
      </c>
      <c r="B258" s="1" t="n">
        <v>45007</v>
      </c>
      <c r="C258" s="1" t="n">
        <v>46159</v>
      </c>
      <c r="D258" t="inlineStr">
        <is>
          <t>VÄSTMANLANDS LÄN</t>
        </is>
      </c>
      <c r="E258" t="inlineStr">
        <is>
          <t>SALA</t>
        </is>
      </c>
      <c r="G258" t="n">
        <v>3.2</v>
      </c>
      <c r="H258" t="n">
        <v>0</v>
      </c>
      <c r="I258" t="n">
        <v>0</v>
      </c>
      <c r="J258" t="n">
        <v>0</v>
      </c>
      <c r="K258" t="n">
        <v>0</v>
      </c>
      <c r="L258" t="n">
        <v>0</v>
      </c>
      <c r="M258" t="n">
        <v>0</v>
      </c>
      <c r="N258" t="n">
        <v>0</v>
      </c>
      <c r="O258" t="n">
        <v>0</v>
      </c>
      <c r="P258" t="n">
        <v>0</v>
      </c>
      <c r="Q258" t="n">
        <v>0</v>
      </c>
      <c r="R258" s="2" t="inlineStr"/>
    </row>
    <row r="259" ht="15" customHeight="1">
      <c r="A259" t="inlineStr">
        <is>
          <t>A 13990-2023</t>
        </is>
      </c>
      <c r="B259" s="1" t="n">
        <v>45007</v>
      </c>
      <c r="C259" s="1" t="n">
        <v>46159</v>
      </c>
      <c r="D259" t="inlineStr">
        <is>
          <t>VÄSTMANLANDS LÄN</t>
        </is>
      </c>
      <c r="E259" t="inlineStr">
        <is>
          <t>SALA</t>
        </is>
      </c>
      <c r="G259" t="n">
        <v>2.6</v>
      </c>
      <c r="H259" t="n">
        <v>0</v>
      </c>
      <c r="I259" t="n">
        <v>0</v>
      </c>
      <c r="J259" t="n">
        <v>0</v>
      </c>
      <c r="K259" t="n">
        <v>0</v>
      </c>
      <c r="L259" t="n">
        <v>0</v>
      </c>
      <c r="M259" t="n">
        <v>0</v>
      </c>
      <c r="N259" t="n">
        <v>0</v>
      </c>
      <c r="O259" t="n">
        <v>0</v>
      </c>
      <c r="P259" t="n">
        <v>0</v>
      </c>
      <c r="Q259" t="n">
        <v>0</v>
      </c>
      <c r="R259" s="2" t="inlineStr"/>
    </row>
    <row r="260" ht="15" customHeight="1">
      <c r="A260" t="inlineStr">
        <is>
          <t>A 51464-2024</t>
        </is>
      </c>
      <c r="B260" s="1" t="n">
        <v>45604.49768518518</v>
      </c>
      <c r="C260" s="1" t="n">
        <v>46159</v>
      </c>
      <c r="D260" t="inlineStr">
        <is>
          <t>VÄSTMANLANDS LÄN</t>
        </is>
      </c>
      <c r="E260" t="inlineStr">
        <is>
          <t>SALA</t>
        </is>
      </c>
      <c r="G260" t="n">
        <v>3.9</v>
      </c>
      <c r="H260" t="n">
        <v>0</v>
      </c>
      <c r="I260" t="n">
        <v>0</v>
      </c>
      <c r="J260" t="n">
        <v>0</v>
      </c>
      <c r="K260" t="n">
        <v>0</v>
      </c>
      <c r="L260" t="n">
        <v>0</v>
      </c>
      <c r="M260" t="n">
        <v>0</v>
      </c>
      <c r="N260" t="n">
        <v>0</v>
      </c>
      <c r="O260" t="n">
        <v>0</v>
      </c>
      <c r="P260" t="n">
        <v>0</v>
      </c>
      <c r="Q260" t="n">
        <v>0</v>
      </c>
      <c r="R260" s="2" t="inlineStr"/>
    </row>
    <row r="261" ht="15" customHeight="1">
      <c r="A261" t="inlineStr">
        <is>
          <t>A 914-2026</t>
        </is>
      </c>
      <c r="B261" s="1" t="n">
        <v>46030.47952546296</v>
      </c>
      <c r="C261" s="1" t="n">
        <v>46159</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28193-2025</t>
        </is>
      </c>
      <c r="B262" s="1" t="n">
        <v>45818.425625</v>
      </c>
      <c r="C262" s="1" t="n">
        <v>46159</v>
      </c>
      <c r="D262" t="inlineStr">
        <is>
          <t>VÄSTMANLANDS LÄN</t>
        </is>
      </c>
      <c r="E262" t="inlineStr">
        <is>
          <t>SALA</t>
        </is>
      </c>
      <c r="G262" t="n">
        <v>1.8</v>
      </c>
      <c r="H262" t="n">
        <v>0</v>
      </c>
      <c r="I262" t="n">
        <v>0</v>
      </c>
      <c r="J262" t="n">
        <v>0</v>
      </c>
      <c r="K262" t="n">
        <v>0</v>
      </c>
      <c r="L262" t="n">
        <v>0</v>
      </c>
      <c r="M262" t="n">
        <v>0</v>
      </c>
      <c r="N262" t="n">
        <v>0</v>
      </c>
      <c r="O262" t="n">
        <v>0</v>
      </c>
      <c r="P262" t="n">
        <v>0</v>
      </c>
      <c r="Q262" t="n">
        <v>0</v>
      </c>
      <c r="R262" s="2" t="inlineStr"/>
    </row>
    <row r="263" ht="15" customHeight="1">
      <c r="A263" t="inlineStr">
        <is>
          <t>A 1128-2025</t>
        </is>
      </c>
      <c r="B263" s="1" t="n">
        <v>45666.68469907407</v>
      </c>
      <c r="C263" s="1" t="n">
        <v>46159</v>
      </c>
      <c r="D263" t="inlineStr">
        <is>
          <t>VÄSTMANLANDS LÄN</t>
        </is>
      </c>
      <c r="E263" t="inlineStr">
        <is>
          <t>SALA</t>
        </is>
      </c>
      <c r="G263" t="n">
        <v>2.5</v>
      </c>
      <c r="H263" t="n">
        <v>0</v>
      </c>
      <c r="I263" t="n">
        <v>0</v>
      </c>
      <c r="J263" t="n">
        <v>0</v>
      </c>
      <c r="K263" t="n">
        <v>0</v>
      </c>
      <c r="L263" t="n">
        <v>0</v>
      </c>
      <c r="M263" t="n">
        <v>0</v>
      </c>
      <c r="N263" t="n">
        <v>0</v>
      </c>
      <c r="O263" t="n">
        <v>0</v>
      </c>
      <c r="P263" t="n">
        <v>0</v>
      </c>
      <c r="Q263" t="n">
        <v>0</v>
      </c>
      <c r="R263" s="2" t="inlineStr"/>
    </row>
    <row r="264" ht="15" customHeight="1">
      <c r="A264" t="inlineStr">
        <is>
          <t>A 27981-2025</t>
        </is>
      </c>
      <c r="B264" s="1" t="n">
        <v>45817.57471064815</v>
      </c>
      <c r="C264" s="1" t="n">
        <v>46159</v>
      </c>
      <c r="D264" t="inlineStr">
        <is>
          <t>VÄSTMANLANDS LÄN</t>
        </is>
      </c>
      <c r="E264" t="inlineStr">
        <is>
          <t>SALA</t>
        </is>
      </c>
      <c r="G264" t="n">
        <v>1.7</v>
      </c>
      <c r="H264" t="n">
        <v>0</v>
      </c>
      <c r="I264" t="n">
        <v>0</v>
      </c>
      <c r="J264" t="n">
        <v>0</v>
      </c>
      <c r="K264" t="n">
        <v>0</v>
      </c>
      <c r="L264" t="n">
        <v>0</v>
      </c>
      <c r="M264" t="n">
        <v>0</v>
      </c>
      <c r="N264" t="n">
        <v>0</v>
      </c>
      <c r="O264" t="n">
        <v>0</v>
      </c>
      <c r="P264" t="n">
        <v>0</v>
      </c>
      <c r="Q264" t="n">
        <v>0</v>
      </c>
      <c r="R264" s="2" t="inlineStr"/>
    </row>
    <row r="265" ht="15" customHeight="1">
      <c r="A265" t="inlineStr">
        <is>
          <t>A 43176-2023</t>
        </is>
      </c>
      <c r="B265" s="1" t="n">
        <v>45183</v>
      </c>
      <c r="C265" s="1" t="n">
        <v>46159</v>
      </c>
      <c r="D265" t="inlineStr">
        <is>
          <t>VÄSTMANLANDS LÄN</t>
        </is>
      </c>
      <c r="E265" t="inlineStr">
        <is>
          <t>SALA</t>
        </is>
      </c>
      <c r="G265" t="n">
        <v>1.2</v>
      </c>
      <c r="H265" t="n">
        <v>0</v>
      </c>
      <c r="I265" t="n">
        <v>0</v>
      </c>
      <c r="J265" t="n">
        <v>0</v>
      </c>
      <c r="K265" t="n">
        <v>0</v>
      </c>
      <c r="L265" t="n">
        <v>0</v>
      </c>
      <c r="M265" t="n">
        <v>0</v>
      </c>
      <c r="N265" t="n">
        <v>0</v>
      </c>
      <c r="O265" t="n">
        <v>0</v>
      </c>
      <c r="P265" t="n">
        <v>0</v>
      </c>
      <c r="Q265" t="n">
        <v>0</v>
      </c>
      <c r="R265" s="2" t="inlineStr"/>
    </row>
    <row r="266" ht="15" customHeight="1">
      <c r="A266" t="inlineStr">
        <is>
          <t>A 28278-2025</t>
        </is>
      </c>
      <c r="B266" s="1" t="n">
        <v>45818.58454861111</v>
      </c>
      <c r="C266" s="1" t="n">
        <v>46159</v>
      </c>
      <c r="D266" t="inlineStr">
        <is>
          <t>VÄSTMANLANDS LÄN</t>
        </is>
      </c>
      <c r="E266" t="inlineStr">
        <is>
          <t>SALA</t>
        </is>
      </c>
      <c r="G266" t="n">
        <v>7.6</v>
      </c>
      <c r="H266" t="n">
        <v>0</v>
      </c>
      <c r="I266" t="n">
        <v>0</v>
      </c>
      <c r="J266" t="n">
        <v>0</v>
      </c>
      <c r="K266" t="n">
        <v>0</v>
      </c>
      <c r="L266" t="n">
        <v>0</v>
      </c>
      <c r="M266" t="n">
        <v>0</v>
      </c>
      <c r="N266" t="n">
        <v>0</v>
      </c>
      <c r="O266" t="n">
        <v>0</v>
      </c>
      <c r="P266" t="n">
        <v>0</v>
      </c>
      <c r="Q266" t="n">
        <v>0</v>
      </c>
      <c r="R266" s="2" t="inlineStr"/>
    </row>
    <row r="267" ht="15" customHeight="1">
      <c r="A267" t="inlineStr">
        <is>
          <t>A 73835-2021</t>
        </is>
      </c>
      <c r="B267" s="1" t="n">
        <v>44552.92112268518</v>
      </c>
      <c r="C267" s="1" t="n">
        <v>46159</v>
      </c>
      <c r="D267" t="inlineStr">
        <is>
          <t>VÄSTMANLANDS LÄN</t>
        </is>
      </c>
      <c r="E267" t="inlineStr">
        <is>
          <t>SALA</t>
        </is>
      </c>
      <c r="G267" t="n">
        <v>2</v>
      </c>
      <c r="H267" t="n">
        <v>0</v>
      </c>
      <c r="I267" t="n">
        <v>0</v>
      </c>
      <c r="J267" t="n">
        <v>0</v>
      </c>
      <c r="K267" t="n">
        <v>0</v>
      </c>
      <c r="L267" t="n">
        <v>0</v>
      </c>
      <c r="M267" t="n">
        <v>0</v>
      </c>
      <c r="N267" t="n">
        <v>0</v>
      </c>
      <c r="O267" t="n">
        <v>0</v>
      </c>
      <c r="P267" t="n">
        <v>0</v>
      </c>
      <c r="Q267" t="n">
        <v>0</v>
      </c>
      <c r="R267" s="2" t="inlineStr"/>
    </row>
    <row r="268" ht="15" customHeight="1">
      <c r="A268" t="inlineStr">
        <is>
          <t>A 60379-2022</t>
        </is>
      </c>
      <c r="B268" s="1" t="n">
        <v>44910</v>
      </c>
      <c r="C268" s="1" t="n">
        <v>46159</v>
      </c>
      <c r="D268" t="inlineStr">
        <is>
          <t>VÄSTMANLANDS LÄN</t>
        </is>
      </c>
      <c r="E268" t="inlineStr">
        <is>
          <t>SALA</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948-2026</t>
        </is>
      </c>
      <c r="B269" s="1" t="n">
        <v>46030.53986111111</v>
      </c>
      <c r="C269" s="1" t="n">
        <v>46159</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1638-2023</t>
        </is>
      </c>
      <c r="B270" s="1" t="n">
        <v>44937</v>
      </c>
      <c r="C270" s="1" t="n">
        <v>46159</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27989-2025</t>
        </is>
      </c>
      <c r="B271" s="1" t="n">
        <v>45817.58716435185</v>
      </c>
      <c r="C271" s="1" t="n">
        <v>46159</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7953-2024</t>
        </is>
      </c>
      <c r="B272" s="1" t="n">
        <v>45350</v>
      </c>
      <c r="C272" s="1" t="n">
        <v>46159</v>
      </c>
      <c r="D272" t="inlineStr">
        <is>
          <t>VÄSTMANLANDS LÄN</t>
        </is>
      </c>
      <c r="E272" t="inlineStr">
        <is>
          <t>SALA</t>
        </is>
      </c>
      <c r="G272" t="n">
        <v>2.6</v>
      </c>
      <c r="H272" t="n">
        <v>0</v>
      </c>
      <c r="I272" t="n">
        <v>0</v>
      </c>
      <c r="J272" t="n">
        <v>0</v>
      </c>
      <c r="K272" t="n">
        <v>0</v>
      </c>
      <c r="L272" t="n">
        <v>0</v>
      </c>
      <c r="M272" t="n">
        <v>0</v>
      </c>
      <c r="N272" t="n">
        <v>0</v>
      </c>
      <c r="O272" t="n">
        <v>0</v>
      </c>
      <c r="P272" t="n">
        <v>0</v>
      </c>
      <c r="Q272" t="n">
        <v>0</v>
      </c>
      <c r="R272" s="2" t="inlineStr"/>
    </row>
    <row r="273" ht="15" customHeight="1">
      <c r="A273" t="inlineStr">
        <is>
          <t>A 28284-2025</t>
        </is>
      </c>
      <c r="B273" s="1" t="n">
        <v>45818.58893518519</v>
      </c>
      <c r="C273" s="1" t="n">
        <v>46159</v>
      </c>
      <c r="D273" t="inlineStr">
        <is>
          <t>VÄSTMANLANDS LÄN</t>
        </is>
      </c>
      <c r="E273" t="inlineStr">
        <is>
          <t>SALA</t>
        </is>
      </c>
      <c r="G273" t="n">
        <v>2.4</v>
      </c>
      <c r="H273" t="n">
        <v>0</v>
      </c>
      <c r="I273" t="n">
        <v>0</v>
      </c>
      <c r="J273" t="n">
        <v>0</v>
      </c>
      <c r="K273" t="n">
        <v>0</v>
      </c>
      <c r="L273" t="n">
        <v>0</v>
      </c>
      <c r="M273" t="n">
        <v>0</v>
      </c>
      <c r="N273" t="n">
        <v>0</v>
      </c>
      <c r="O273" t="n">
        <v>0</v>
      </c>
      <c r="P273" t="n">
        <v>0</v>
      </c>
      <c r="Q273" t="n">
        <v>0</v>
      </c>
      <c r="R273" s="2" t="inlineStr"/>
    </row>
    <row r="274" ht="15" customHeight="1">
      <c r="A274" t="inlineStr">
        <is>
          <t>A 5477-2024</t>
        </is>
      </c>
      <c r="B274" s="1" t="n">
        <v>45333.67833333334</v>
      </c>
      <c r="C274" s="1" t="n">
        <v>46159</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28632-2025</t>
        </is>
      </c>
      <c r="B275" s="1" t="n">
        <v>45819.62344907408</v>
      </c>
      <c r="C275" s="1" t="n">
        <v>46159</v>
      </c>
      <c r="D275" t="inlineStr">
        <is>
          <t>VÄSTMANLANDS LÄN</t>
        </is>
      </c>
      <c r="E275" t="inlineStr">
        <is>
          <t>SALA</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21968-2024</t>
        </is>
      </c>
      <c r="B276" s="1" t="n">
        <v>45443</v>
      </c>
      <c r="C276" s="1" t="n">
        <v>46159</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26507-2023</t>
        </is>
      </c>
      <c r="B277" s="1" t="n">
        <v>45092</v>
      </c>
      <c r="C277" s="1" t="n">
        <v>46159</v>
      </c>
      <c r="D277" t="inlineStr">
        <is>
          <t>VÄSTMANLANDS LÄN</t>
        </is>
      </c>
      <c r="E277" t="inlineStr">
        <is>
          <t>SALA</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28628-2025</t>
        </is>
      </c>
      <c r="B278" s="1" t="n">
        <v>45819.62158564815</v>
      </c>
      <c r="C278" s="1" t="n">
        <v>46159</v>
      </c>
      <c r="D278" t="inlineStr">
        <is>
          <t>VÄSTMANLANDS LÄN</t>
        </is>
      </c>
      <c r="E278" t="inlineStr">
        <is>
          <t>SALA</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6032-2025</t>
        </is>
      </c>
      <c r="B279" s="1" t="n">
        <v>45695.6371875</v>
      </c>
      <c r="C279" s="1" t="n">
        <v>46159</v>
      </c>
      <c r="D279" t="inlineStr">
        <is>
          <t>VÄSTMANLANDS LÄN</t>
        </is>
      </c>
      <c r="E279" t="inlineStr">
        <is>
          <t>SALA</t>
        </is>
      </c>
      <c r="F279" t="inlineStr">
        <is>
          <t>Bergvik skog öst AB</t>
        </is>
      </c>
      <c r="G279" t="n">
        <v>8.1</v>
      </c>
      <c r="H279" t="n">
        <v>0</v>
      </c>
      <c r="I279" t="n">
        <v>0</v>
      </c>
      <c r="J279" t="n">
        <v>0</v>
      </c>
      <c r="K279" t="n">
        <v>0</v>
      </c>
      <c r="L279" t="n">
        <v>0</v>
      </c>
      <c r="M279" t="n">
        <v>0</v>
      </c>
      <c r="N279" t="n">
        <v>0</v>
      </c>
      <c r="O279" t="n">
        <v>0</v>
      </c>
      <c r="P279" t="n">
        <v>0</v>
      </c>
      <c r="Q279" t="n">
        <v>0</v>
      </c>
      <c r="R279" s="2" t="inlineStr"/>
    </row>
    <row r="280" ht="15" customHeight="1">
      <c r="A280" t="inlineStr">
        <is>
          <t>A 28630-2025</t>
        </is>
      </c>
      <c r="B280" s="1" t="n">
        <v>45819.62274305556</v>
      </c>
      <c r="C280" s="1" t="n">
        <v>46159</v>
      </c>
      <c r="D280" t="inlineStr">
        <is>
          <t>VÄSTMANLANDS LÄN</t>
        </is>
      </c>
      <c r="E280" t="inlineStr">
        <is>
          <t>SALA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28837-2025</t>
        </is>
      </c>
      <c r="B281" s="1" t="n">
        <v>45820.56243055555</v>
      </c>
      <c r="C281" s="1" t="n">
        <v>46159</v>
      </c>
      <c r="D281" t="inlineStr">
        <is>
          <t>VÄSTMANLANDS LÄN</t>
        </is>
      </c>
      <c r="E281" t="inlineStr">
        <is>
          <t>SALA</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28849-2025</t>
        </is>
      </c>
      <c r="B282" s="1" t="n">
        <v>45820</v>
      </c>
      <c r="C282" s="1" t="n">
        <v>46159</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42421-2025</t>
        </is>
      </c>
      <c r="B283" s="1" t="n">
        <v>45905.40067129629</v>
      </c>
      <c r="C283" s="1" t="n">
        <v>46159</v>
      </c>
      <c r="D283" t="inlineStr">
        <is>
          <t>VÄSTMANLANDS LÄN</t>
        </is>
      </c>
      <c r="E283" t="inlineStr">
        <is>
          <t>SALA</t>
        </is>
      </c>
      <c r="G283" t="n">
        <v>1.3</v>
      </c>
      <c r="H283" t="n">
        <v>0</v>
      </c>
      <c r="I283" t="n">
        <v>0</v>
      </c>
      <c r="J283" t="n">
        <v>0</v>
      </c>
      <c r="K283" t="n">
        <v>0</v>
      </c>
      <c r="L283" t="n">
        <v>0</v>
      </c>
      <c r="M283" t="n">
        <v>0</v>
      </c>
      <c r="N283" t="n">
        <v>0</v>
      </c>
      <c r="O283" t="n">
        <v>0</v>
      </c>
      <c r="P283" t="n">
        <v>0</v>
      </c>
      <c r="Q283" t="n">
        <v>0</v>
      </c>
      <c r="R283" s="2" t="inlineStr"/>
    </row>
    <row r="284" ht="15" customHeight="1">
      <c r="A284" t="inlineStr">
        <is>
          <t>A 1705-2026</t>
        </is>
      </c>
      <c r="B284" s="1" t="n">
        <v>46034.59930555556</v>
      </c>
      <c r="C284" s="1" t="n">
        <v>46159</v>
      </c>
      <c r="D284" t="inlineStr">
        <is>
          <t>VÄSTMANLANDS LÄN</t>
        </is>
      </c>
      <c r="E284" t="inlineStr">
        <is>
          <t>SALA</t>
        </is>
      </c>
      <c r="G284" t="n">
        <v>0.4</v>
      </c>
      <c r="H284" t="n">
        <v>0</v>
      </c>
      <c r="I284" t="n">
        <v>0</v>
      </c>
      <c r="J284" t="n">
        <v>0</v>
      </c>
      <c r="K284" t="n">
        <v>0</v>
      </c>
      <c r="L284" t="n">
        <v>0</v>
      </c>
      <c r="M284" t="n">
        <v>0</v>
      </c>
      <c r="N284" t="n">
        <v>0</v>
      </c>
      <c r="O284" t="n">
        <v>0</v>
      </c>
      <c r="P284" t="n">
        <v>0</v>
      </c>
      <c r="Q284" t="n">
        <v>0</v>
      </c>
      <c r="R284" s="2" t="inlineStr"/>
    </row>
    <row r="285" ht="15" customHeight="1">
      <c r="A285" t="inlineStr">
        <is>
          <t>A 34814-2021</t>
        </is>
      </c>
      <c r="B285" s="1" t="n">
        <v>44383</v>
      </c>
      <c r="C285" s="1" t="n">
        <v>46159</v>
      </c>
      <c r="D285" t="inlineStr">
        <is>
          <t>VÄSTMANLANDS LÄN</t>
        </is>
      </c>
      <c r="E285" t="inlineStr">
        <is>
          <t>SALA</t>
        </is>
      </c>
      <c r="F285" t="inlineStr">
        <is>
          <t>Sveaskog</t>
        </is>
      </c>
      <c r="G285" t="n">
        <v>0.5</v>
      </c>
      <c r="H285" t="n">
        <v>0</v>
      </c>
      <c r="I285" t="n">
        <v>0</v>
      </c>
      <c r="J285" t="n">
        <v>0</v>
      </c>
      <c r="K285" t="n">
        <v>0</v>
      </c>
      <c r="L285" t="n">
        <v>0</v>
      </c>
      <c r="M285" t="n">
        <v>0</v>
      </c>
      <c r="N285" t="n">
        <v>0</v>
      </c>
      <c r="O285" t="n">
        <v>0</v>
      </c>
      <c r="P285" t="n">
        <v>0</v>
      </c>
      <c r="Q285" t="n">
        <v>0</v>
      </c>
      <c r="R285" s="2" t="inlineStr"/>
    </row>
    <row r="286" ht="15" customHeight="1">
      <c r="A286" t="inlineStr">
        <is>
          <t>A 43028-2025</t>
        </is>
      </c>
      <c r="B286" s="1" t="n">
        <v>45909.53472222222</v>
      </c>
      <c r="C286" s="1" t="n">
        <v>46159</v>
      </c>
      <c r="D286" t="inlineStr">
        <is>
          <t>VÄSTMANLANDS LÄN</t>
        </is>
      </c>
      <c r="E286" t="inlineStr">
        <is>
          <t>SALA</t>
        </is>
      </c>
      <c r="G286" t="n">
        <v>3.8</v>
      </c>
      <c r="H286" t="n">
        <v>0</v>
      </c>
      <c r="I286" t="n">
        <v>0</v>
      </c>
      <c r="J286" t="n">
        <v>0</v>
      </c>
      <c r="K286" t="n">
        <v>0</v>
      </c>
      <c r="L286" t="n">
        <v>0</v>
      </c>
      <c r="M286" t="n">
        <v>0</v>
      </c>
      <c r="N286" t="n">
        <v>0</v>
      </c>
      <c r="O286" t="n">
        <v>0</v>
      </c>
      <c r="P286" t="n">
        <v>0</v>
      </c>
      <c r="Q286" t="n">
        <v>0</v>
      </c>
      <c r="R286" s="2" t="inlineStr"/>
    </row>
    <row r="287" ht="15" customHeight="1">
      <c r="A287" t="inlineStr">
        <is>
          <t>A 43328-2025</t>
        </is>
      </c>
      <c r="B287" s="1" t="n">
        <v>45910</v>
      </c>
      <c r="C287" s="1" t="n">
        <v>46159</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29085-2025</t>
        </is>
      </c>
      <c r="B288" s="1" t="n">
        <v>45821</v>
      </c>
      <c r="C288" s="1" t="n">
        <v>46159</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43031-2025</t>
        </is>
      </c>
      <c r="B289" s="1" t="n">
        <v>45909.53856481481</v>
      </c>
      <c r="C289" s="1" t="n">
        <v>46159</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17495-2024</t>
        </is>
      </c>
      <c r="B290" s="1" t="n">
        <v>45415</v>
      </c>
      <c r="C290" s="1" t="n">
        <v>46159</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37263-2025</t>
        </is>
      </c>
      <c r="B291" s="1" t="n">
        <v>45876.4584837963</v>
      </c>
      <c r="C291" s="1" t="n">
        <v>46159</v>
      </c>
      <c r="D291" t="inlineStr">
        <is>
          <t>VÄSTMANLANDS LÄN</t>
        </is>
      </c>
      <c r="E291" t="inlineStr">
        <is>
          <t>SALA</t>
        </is>
      </c>
      <c r="G291" t="n">
        <v>2.3</v>
      </c>
      <c r="H291" t="n">
        <v>0</v>
      </c>
      <c r="I291" t="n">
        <v>0</v>
      </c>
      <c r="J291" t="n">
        <v>0</v>
      </c>
      <c r="K291" t="n">
        <v>0</v>
      </c>
      <c r="L291" t="n">
        <v>0</v>
      </c>
      <c r="M291" t="n">
        <v>0</v>
      </c>
      <c r="N291" t="n">
        <v>0</v>
      </c>
      <c r="O291" t="n">
        <v>0</v>
      </c>
      <c r="P291" t="n">
        <v>0</v>
      </c>
      <c r="Q291" t="n">
        <v>0</v>
      </c>
      <c r="R291" s="2" t="inlineStr"/>
    </row>
    <row r="292" ht="15" customHeight="1">
      <c r="A292" t="inlineStr">
        <is>
          <t>A 40554-2025</t>
        </is>
      </c>
      <c r="B292" s="1" t="n">
        <v>45896.44506944445</v>
      </c>
      <c r="C292" s="1" t="n">
        <v>46159</v>
      </c>
      <c r="D292" t="inlineStr">
        <is>
          <t>VÄSTMANLANDS LÄN</t>
        </is>
      </c>
      <c r="E292" t="inlineStr">
        <is>
          <t>SALA</t>
        </is>
      </c>
      <c r="G292" t="n">
        <v>0.9</v>
      </c>
      <c r="H292" t="n">
        <v>0</v>
      </c>
      <c r="I292" t="n">
        <v>0</v>
      </c>
      <c r="J292" t="n">
        <v>0</v>
      </c>
      <c r="K292" t="n">
        <v>0</v>
      </c>
      <c r="L292" t="n">
        <v>0</v>
      </c>
      <c r="M292" t="n">
        <v>0</v>
      </c>
      <c r="N292" t="n">
        <v>0</v>
      </c>
      <c r="O292" t="n">
        <v>0</v>
      </c>
      <c r="P292" t="n">
        <v>0</v>
      </c>
      <c r="Q292" t="n">
        <v>0</v>
      </c>
      <c r="R292" s="2" t="inlineStr"/>
    </row>
    <row r="293" ht="15" customHeight="1">
      <c r="A293" t="inlineStr">
        <is>
          <t>A 43129-2025</t>
        </is>
      </c>
      <c r="B293" s="1" t="n">
        <v>45909</v>
      </c>
      <c r="C293" s="1" t="n">
        <v>46159</v>
      </c>
      <c r="D293" t="inlineStr">
        <is>
          <t>VÄSTMANLANDS LÄN</t>
        </is>
      </c>
      <c r="E293" t="inlineStr">
        <is>
          <t>SALA</t>
        </is>
      </c>
      <c r="G293" t="n">
        <v>2.4</v>
      </c>
      <c r="H293" t="n">
        <v>0</v>
      </c>
      <c r="I293" t="n">
        <v>0</v>
      </c>
      <c r="J293" t="n">
        <v>0</v>
      </c>
      <c r="K293" t="n">
        <v>0</v>
      </c>
      <c r="L293" t="n">
        <v>0</v>
      </c>
      <c r="M293" t="n">
        <v>0</v>
      </c>
      <c r="N293" t="n">
        <v>0</v>
      </c>
      <c r="O293" t="n">
        <v>0</v>
      </c>
      <c r="P293" t="n">
        <v>0</v>
      </c>
      <c r="Q293" t="n">
        <v>0</v>
      </c>
      <c r="R293" s="2" t="inlineStr"/>
    </row>
    <row r="294" ht="15" customHeight="1">
      <c r="A294" t="inlineStr">
        <is>
          <t>A 43130-2025</t>
        </is>
      </c>
      <c r="B294" s="1" t="n">
        <v>45909</v>
      </c>
      <c r="C294" s="1" t="n">
        <v>46159</v>
      </c>
      <c r="D294" t="inlineStr">
        <is>
          <t>VÄSTMANLANDS LÄN</t>
        </is>
      </c>
      <c r="E294" t="inlineStr">
        <is>
          <t>SALA</t>
        </is>
      </c>
      <c r="G294" t="n">
        <v>0.9</v>
      </c>
      <c r="H294" t="n">
        <v>0</v>
      </c>
      <c r="I294" t="n">
        <v>0</v>
      </c>
      <c r="J294" t="n">
        <v>0</v>
      </c>
      <c r="K294" t="n">
        <v>0</v>
      </c>
      <c r="L294" t="n">
        <v>0</v>
      </c>
      <c r="M294" t="n">
        <v>0</v>
      </c>
      <c r="N294" t="n">
        <v>0</v>
      </c>
      <c r="O294" t="n">
        <v>0</v>
      </c>
      <c r="P294" t="n">
        <v>0</v>
      </c>
      <c r="Q294" t="n">
        <v>0</v>
      </c>
      <c r="R294" s="2" t="inlineStr"/>
    </row>
    <row r="295" ht="15" customHeight="1">
      <c r="A295" t="inlineStr">
        <is>
          <t>A 43128-2025</t>
        </is>
      </c>
      <c r="B295" s="1" t="n">
        <v>45909</v>
      </c>
      <c r="C295" s="1" t="n">
        <v>46159</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43127-2025</t>
        </is>
      </c>
      <c r="B296" s="1" t="n">
        <v>45909</v>
      </c>
      <c r="C296" s="1" t="n">
        <v>46159</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60541-2024</t>
        </is>
      </c>
      <c r="B297" s="1" t="n">
        <v>45643</v>
      </c>
      <c r="C297" s="1" t="n">
        <v>46159</v>
      </c>
      <c r="D297" t="inlineStr">
        <is>
          <t>VÄSTMANLANDS LÄN</t>
        </is>
      </c>
      <c r="E297" t="inlineStr">
        <is>
          <t>SALA</t>
        </is>
      </c>
      <c r="G297" t="n">
        <v>10.6</v>
      </c>
      <c r="H297" t="n">
        <v>0</v>
      </c>
      <c r="I297" t="n">
        <v>0</v>
      </c>
      <c r="J297" t="n">
        <v>0</v>
      </c>
      <c r="K297" t="n">
        <v>0</v>
      </c>
      <c r="L297" t="n">
        <v>0</v>
      </c>
      <c r="M297" t="n">
        <v>0</v>
      </c>
      <c r="N297" t="n">
        <v>0</v>
      </c>
      <c r="O297" t="n">
        <v>0</v>
      </c>
      <c r="P297" t="n">
        <v>0</v>
      </c>
      <c r="Q297" t="n">
        <v>0</v>
      </c>
      <c r="R297" s="2" t="inlineStr"/>
    </row>
    <row r="298" ht="15" customHeight="1">
      <c r="A298" t="inlineStr">
        <is>
          <t>A 54118-2023</t>
        </is>
      </c>
      <c r="B298" s="1" t="n">
        <v>45232</v>
      </c>
      <c r="C298" s="1" t="n">
        <v>46159</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35462-2024</t>
        </is>
      </c>
      <c r="B299" s="1" t="n">
        <v>45531</v>
      </c>
      <c r="C299" s="1" t="n">
        <v>46159</v>
      </c>
      <c r="D299" t="inlineStr">
        <is>
          <t>VÄSTMANLANDS LÄN</t>
        </is>
      </c>
      <c r="E299" t="inlineStr">
        <is>
          <t>SALA</t>
        </is>
      </c>
      <c r="G299" t="n">
        <v>0.6</v>
      </c>
      <c r="H299" t="n">
        <v>0</v>
      </c>
      <c r="I299" t="n">
        <v>0</v>
      </c>
      <c r="J299" t="n">
        <v>0</v>
      </c>
      <c r="K299" t="n">
        <v>0</v>
      </c>
      <c r="L299" t="n">
        <v>0</v>
      </c>
      <c r="M299" t="n">
        <v>0</v>
      </c>
      <c r="N299" t="n">
        <v>0</v>
      </c>
      <c r="O299" t="n">
        <v>0</v>
      </c>
      <c r="P299" t="n">
        <v>0</v>
      </c>
      <c r="Q299" t="n">
        <v>0</v>
      </c>
      <c r="R299" s="2" t="inlineStr"/>
    </row>
    <row r="300" ht="15" customHeight="1">
      <c r="A300" t="inlineStr">
        <is>
          <t>A 29826-2025</t>
        </is>
      </c>
      <c r="B300" s="1" t="n">
        <v>45825.85761574074</v>
      </c>
      <c r="C300" s="1" t="n">
        <v>46159</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29691-2025</t>
        </is>
      </c>
      <c r="B301" s="1" t="n">
        <v>45825.53645833334</v>
      </c>
      <c r="C301" s="1" t="n">
        <v>46159</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44100-2025</t>
        </is>
      </c>
      <c r="B302" s="1" t="n">
        <v>45915.56707175926</v>
      </c>
      <c r="C302" s="1" t="n">
        <v>46159</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36393-2023</t>
        </is>
      </c>
      <c r="B303" s="1" t="n">
        <v>45152</v>
      </c>
      <c r="C303" s="1" t="n">
        <v>46159</v>
      </c>
      <c r="D303" t="inlineStr">
        <is>
          <t>VÄSTMANLANDS LÄN</t>
        </is>
      </c>
      <c r="E303" t="inlineStr">
        <is>
          <t>SALA</t>
        </is>
      </c>
      <c r="G303" t="n">
        <v>0.9</v>
      </c>
      <c r="H303" t="n">
        <v>0</v>
      </c>
      <c r="I303" t="n">
        <v>0</v>
      </c>
      <c r="J303" t="n">
        <v>0</v>
      </c>
      <c r="K303" t="n">
        <v>0</v>
      </c>
      <c r="L303" t="n">
        <v>0</v>
      </c>
      <c r="M303" t="n">
        <v>0</v>
      </c>
      <c r="N303" t="n">
        <v>0</v>
      </c>
      <c r="O303" t="n">
        <v>0</v>
      </c>
      <c r="P303" t="n">
        <v>0</v>
      </c>
      <c r="Q303" t="n">
        <v>0</v>
      </c>
      <c r="R303" s="2" t="inlineStr"/>
    </row>
    <row r="304" ht="15" customHeight="1">
      <c r="A304" t="inlineStr">
        <is>
          <t>A 45790-2023</t>
        </is>
      </c>
      <c r="B304" s="1" t="n">
        <v>45195.45958333334</v>
      </c>
      <c r="C304" s="1" t="n">
        <v>46159</v>
      </c>
      <c r="D304" t="inlineStr">
        <is>
          <t>VÄSTMANLANDS LÄN</t>
        </is>
      </c>
      <c r="E304" t="inlineStr">
        <is>
          <t>SALA</t>
        </is>
      </c>
      <c r="G304" t="n">
        <v>5.7</v>
      </c>
      <c r="H304" t="n">
        <v>0</v>
      </c>
      <c r="I304" t="n">
        <v>0</v>
      </c>
      <c r="J304" t="n">
        <v>0</v>
      </c>
      <c r="K304" t="n">
        <v>0</v>
      </c>
      <c r="L304" t="n">
        <v>0</v>
      </c>
      <c r="M304" t="n">
        <v>0</v>
      </c>
      <c r="N304" t="n">
        <v>0</v>
      </c>
      <c r="O304" t="n">
        <v>0</v>
      </c>
      <c r="P304" t="n">
        <v>0</v>
      </c>
      <c r="Q304" t="n">
        <v>0</v>
      </c>
      <c r="R304" s="2" t="inlineStr"/>
    </row>
    <row r="305" ht="15" customHeight="1">
      <c r="A305" t="inlineStr">
        <is>
          <t>A 56949-2023</t>
        </is>
      </c>
      <c r="B305" s="1" t="n">
        <v>45244.61589120371</v>
      </c>
      <c r="C305" s="1" t="n">
        <v>46159</v>
      </c>
      <c r="D305" t="inlineStr">
        <is>
          <t>VÄSTMANLANDS LÄN</t>
        </is>
      </c>
      <c r="E305" t="inlineStr">
        <is>
          <t>SALA</t>
        </is>
      </c>
      <c r="G305" t="n">
        <v>4.7</v>
      </c>
      <c r="H305" t="n">
        <v>0</v>
      </c>
      <c r="I305" t="n">
        <v>0</v>
      </c>
      <c r="J305" t="n">
        <v>0</v>
      </c>
      <c r="K305" t="n">
        <v>0</v>
      </c>
      <c r="L305" t="n">
        <v>0</v>
      </c>
      <c r="M305" t="n">
        <v>0</v>
      </c>
      <c r="N305" t="n">
        <v>0</v>
      </c>
      <c r="O305" t="n">
        <v>0</v>
      </c>
      <c r="P305" t="n">
        <v>0</v>
      </c>
      <c r="Q305" t="n">
        <v>0</v>
      </c>
      <c r="R305" s="2" t="inlineStr"/>
    </row>
    <row r="306" ht="15" customHeight="1">
      <c r="A306" t="inlineStr">
        <is>
          <t>A 44486-2025</t>
        </is>
      </c>
      <c r="B306" s="1" t="n">
        <v>45916.65517361111</v>
      </c>
      <c r="C306" s="1" t="n">
        <v>46159</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44524-2025</t>
        </is>
      </c>
      <c r="B307" s="1" t="n">
        <v>45916.72920138889</v>
      </c>
      <c r="C307" s="1" t="n">
        <v>46159</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40214-2023</t>
        </is>
      </c>
      <c r="B308" s="1" t="n">
        <v>45169.45173611111</v>
      </c>
      <c r="C308" s="1" t="n">
        <v>46159</v>
      </c>
      <c r="D308" t="inlineStr">
        <is>
          <t>VÄSTMANLANDS LÄN</t>
        </is>
      </c>
      <c r="E308" t="inlineStr">
        <is>
          <t>SALA</t>
        </is>
      </c>
      <c r="G308" t="n">
        <v>5.5</v>
      </c>
      <c r="H308" t="n">
        <v>0</v>
      </c>
      <c r="I308" t="n">
        <v>0</v>
      </c>
      <c r="J308" t="n">
        <v>0</v>
      </c>
      <c r="K308" t="n">
        <v>0</v>
      </c>
      <c r="L308" t="n">
        <v>0</v>
      </c>
      <c r="M308" t="n">
        <v>0</v>
      </c>
      <c r="N308" t="n">
        <v>0</v>
      </c>
      <c r="O308" t="n">
        <v>0</v>
      </c>
      <c r="P308" t="n">
        <v>0</v>
      </c>
      <c r="Q308" t="n">
        <v>0</v>
      </c>
      <c r="R308" s="2" t="inlineStr"/>
    </row>
    <row r="309" ht="15" customHeight="1">
      <c r="A309" t="inlineStr">
        <is>
          <t>A 43122-2025</t>
        </is>
      </c>
      <c r="B309" s="1" t="n">
        <v>45909</v>
      </c>
      <c r="C309" s="1" t="n">
        <v>46159</v>
      </c>
      <c r="D309" t="inlineStr">
        <is>
          <t>VÄSTMANLANDS LÄN</t>
        </is>
      </c>
      <c r="E309" t="inlineStr">
        <is>
          <t>SALA</t>
        </is>
      </c>
      <c r="G309" t="n">
        <v>3.2</v>
      </c>
      <c r="H309" t="n">
        <v>0</v>
      </c>
      <c r="I309" t="n">
        <v>0</v>
      </c>
      <c r="J309" t="n">
        <v>0</v>
      </c>
      <c r="K309" t="n">
        <v>0</v>
      </c>
      <c r="L309" t="n">
        <v>0</v>
      </c>
      <c r="M309" t="n">
        <v>0</v>
      </c>
      <c r="N309" t="n">
        <v>0</v>
      </c>
      <c r="O309" t="n">
        <v>0</v>
      </c>
      <c r="P309" t="n">
        <v>0</v>
      </c>
      <c r="Q309" t="n">
        <v>0</v>
      </c>
      <c r="R309" s="2" t="inlineStr"/>
    </row>
    <row r="310" ht="15" customHeight="1">
      <c r="A310" t="inlineStr">
        <is>
          <t>A 35016-2024</t>
        </is>
      </c>
      <c r="B310" s="1" t="n">
        <v>45527.59115740741</v>
      </c>
      <c r="C310" s="1" t="n">
        <v>46159</v>
      </c>
      <c r="D310" t="inlineStr">
        <is>
          <t>VÄSTMANLANDS LÄN</t>
        </is>
      </c>
      <c r="E310" t="inlineStr">
        <is>
          <t>SALA</t>
        </is>
      </c>
      <c r="G310" t="n">
        <v>0.4</v>
      </c>
      <c r="H310" t="n">
        <v>0</v>
      </c>
      <c r="I310" t="n">
        <v>0</v>
      </c>
      <c r="J310" t="n">
        <v>0</v>
      </c>
      <c r="K310" t="n">
        <v>0</v>
      </c>
      <c r="L310" t="n">
        <v>0</v>
      </c>
      <c r="M310" t="n">
        <v>0</v>
      </c>
      <c r="N310" t="n">
        <v>0</v>
      </c>
      <c r="O310" t="n">
        <v>0</v>
      </c>
      <c r="P310" t="n">
        <v>0</v>
      </c>
      <c r="Q310" t="n">
        <v>0</v>
      </c>
      <c r="R310" s="2" t="inlineStr"/>
    </row>
    <row r="311" ht="15" customHeight="1">
      <c r="A311" t="inlineStr">
        <is>
          <t>A 30874-2025</t>
        </is>
      </c>
      <c r="B311" s="1" t="n">
        <v>45832.34430555555</v>
      </c>
      <c r="C311" s="1" t="n">
        <v>46159</v>
      </c>
      <c r="D311" t="inlineStr">
        <is>
          <t>VÄSTMANLANDS LÄN</t>
        </is>
      </c>
      <c r="E311" t="inlineStr">
        <is>
          <t>SALA</t>
        </is>
      </c>
      <c r="G311" t="n">
        <v>8.4</v>
      </c>
      <c r="H311" t="n">
        <v>0</v>
      </c>
      <c r="I311" t="n">
        <v>0</v>
      </c>
      <c r="J311" t="n">
        <v>0</v>
      </c>
      <c r="K311" t="n">
        <v>0</v>
      </c>
      <c r="L311" t="n">
        <v>0</v>
      </c>
      <c r="M311" t="n">
        <v>0</v>
      </c>
      <c r="N311" t="n">
        <v>0</v>
      </c>
      <c r="O311" t="n">
        <v>0</v>
      </c>
      <c r="P311" t="n">
        <v>0</v>
      </c>
      <c r="Q311" t="n">
        <v>0</v>
      </c>
      <c r="R311" s="2" t="inlineStr"/>
    </row>
    <row r="312" ht="15" customHeight="1">
      <c r="A312" t="inlineStr">
        <is>
          <t>A 37612-2024</t>
        </is>
      </c>
      <c r="B312" s="1" t="n">
        <v>45541</v>
      </c>
      <c r="C312" s="1" t="n">
        <v>46159</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37615-2024</t>
        </is>
      </c>
      <c r="B313" s="1" t="n">
        <v>45541.50673611111</v>
      </c>
      <c r="C313" s="1" t="n">
        <v>46159</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5728-2022</t>
        </is>
      </c>
      <c r="B314" s="1" t="n">
        <v>44596.42082175926</v>
      </c>
      <c r="C314" s="1" t="n">
        <v>46159</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30899-2025</t>
        </is>
      </c>
      <c r="B315" s="1" t="n">
        <v>45832.35767361111</v>
      </c>
      <c r="C315" s="1" t="n">
        <v>46159</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30866-2025</t>
        </is>
      </c>
      <c r="B316" s="1" t="n">
        <v>45832.3246875</v>
      </c>
      <c r="C316" s="1" t="n">
        <v>46159</v>
      </c>
      <c r="D316" t="inlineStr">
        <is>
          <t>VÄSTMANLANDS LÄN</t>
        </is>
      </c>
      <c r="E316" t="inlineStr">
        <is>
          <t>SALA</t>
        </is>
      </c>
      <c r="G316" t="n">
        <v>14.3</v>
      </c>
      <c r="H316" t="n">
        <v>0</v>
      </c>
      <c r="I316" t="n">
        <v>0</v>
      </c>
      <c r="J316" t="n">
        <v>0</v>
      </c>
      <c r="K316" t="n">
        <v>0</v>
      </c>
      <c r="L316" t="n">
        <v>0</v>
      </c>
      <c r="M316" t="n">
        <v>0</v>
      </c>
      <c r="N316" t="n">
        <v>0</v>
      </c>
      <c r="O316" t="n">
        <v>0</v>
      </c>
      <c r="P316" t="n">
        <v>0</v>
      </c>
      <c r="Q316" t="n">
        <v>0</v>
      </c>
      <c r="R316" s="2" t="inlineStr"/>
    </row>
    <row r="317" ht="15" customHeight="1">
      <c r="A317" t="inlineStr">
        <is>
          <t>A 31065-2025</t>
        </is>
      </c>
      <c r="B317" s="1" t="n">
        <v>45832.57571759259</v>
      </c>
      <c r="C317" s="1" t="n">
        <v>46159</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19751-2022</t>
        </is>
      </c>
      <c r="B318" s="1" t="n">
        <v>44694</v>
      </c>
      <c r="C318" s="1" t="n">
        <v>46159</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31612-2025</t>
        </is>
      </c>
      <c r="B319" s="1" t="n">
        <v>45833.80056712963</v>
      </c>
      <c r="C319" s="1" t="n">
        <v>46159</v>
      </c>
      <c r="D319" t="inlineStr">
        <is>
          <t>VÄSTMANLANDS LÄN</t>
        </is>
      </c>
      <c r="E319" t="inlineStr">
        <is>
          <t>SALA</t>
        </is>
      </c>
      <c r="G319" t="n">
        <v>6.3</v>
      </c>
      <c r="H319" t="n">
        <v>0</v>
      </c>
      <c r="I319" t="n">
        <v>0</v>
      </c>
      <c r="J319" t="n">
        <v>0</v>
      </c>
      <c r="K319" t="n">
        <v>0</v>
      </c>
      <c r="L319" t="n">
        <v>0</v>
      </c>
      <c r="M319" t="n">
        <v>0</v>
      </c>
      <c r="N319" t="n">
        <v>0</v>
      </c>
      <c r="O319" t="n">
        <v>0</v>
      </c>
      <c r="P319" t="n">
        <v>0</v>
      </c>
      <c r="Q319" t="n">
        <v>0</v>
      </c>
      <c r="R319" s="2" t="inlineStr"/>
    </row>
    <row r="320" ht="15" customHeight="1">
      <c r="A320" t="inlineStr">
        <is>
          <t>A 45371-2025</t>
        </is>
      </c>
      <c r="B320" s="1" t="n">
        <v>45922.39001157408</v>
      </c>
      <c r="C320" s="1" t="n">
        <v>46159</v>
      </c>
      <c r="D320" t="inlineStr">
        <is>
          <t>VÄSTMANLANDS LÄN</t>
        </is>
      </c>
      <c r="E320" t="inlineStr">
        <is>
          <t>SALA</t>
        </is>
      </c>
      <c r="G320" t="n">
        <v>2.1</v>
      </c>
      <c r="H320" t="n">
        <v>0</v>
      </c>
      <c r="I320" t="n">
        <v>0</v>
      </c>
      <c r="J320" t="n">
        <v>0</v>
      </c>
      <c r="K320" t="n">
        <v>0</v>
      </c>
      <c r="L320" t="n">
        <v>0</v>
      </c>
      <c r="M320" t="n">
        <v>0</v>
      </c>
      <c r="N320" t="n">
        <v>0</v>
      </c>
      <c r="O320" t="n">
        <v>0</v>
      </c>
      <c r="P320" t="n">
        <v>0</v>
      </c>
      <c r="Q320" t="n">
        <v>0</v>
      </c>
      <c r="R320" s="2" t="inlineStr"/>
    </row>
    <row r="321" ht="15" customHeight="1">
      <c r="A321" t="inlineStr">
        <is>
          <t>A 31748-2025</t>
        </is>
      </c>
      <c r="B321" s="1" t="n">
        <v>45834</v>
      </c>
      <c r="C321" s="1" t="n">
        <v>46159</v>
      </c>
      <c r="D321" t="inlineStr">
        <is>
          <t>VÄSTMANLANDS LÄN</t>
        </is>
      </c>
      <c r="E321" t="inlineStr">
        <is>
          <t>SALA</t>
        </is>
      </c>
      <c r="G321" t="n">
        <v>2</v>
      </c>
      <c r="H321" t="n">
        <v>0</v>
      </c>
      <c r="I321" t="n">
        <v>0</v>
      </c>
      <c r="J321" t="n">
        <v>0</v>
      </c>
      <c r="K321" t="n">
        <v>0</v>
      </c>
      <c r="L321" t="n">
        <v>0</v>
      </c>
      <c r="M321" t="n">
        <v>0</v>
      </c>
      <c r="N321" t="n">
        <v>0</v>
      </c>
      <c r="O321" t="n">
        <v>0</v>
      </c>
      <c r="P321" t="n">
        <v>0</v>
      </c>
      <c r="Q321" t="n">
        <v>0</v>
      </c>
      <c r="R321" s="2" t="inlineStr"/>
    </row>
    <row r="322" ht="15" customHeight="1">
      <c r="A322" t="inlineStr">
        <is>
          <t>A 31288-2025</t>
        </is>
      </c>
      <c r="B322" s="1" t="n">
        <v>45833</v>
      </c>
      <c r="C322" s="1" t="n">
        <v>46159</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45177-2025</t>
        </is>
      </c>
      <c r="B323" s="1" t="n">
        <v>45919.52444444445</v>
      </c>
      <c r="C323" s="1" t="n">
        <v>46159</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31771-2025</t>
        </is>
      </c>
      <c r="B324" s="1" t="n">
        <v>45834.50910879629</v>
      </c>
      <c r="C324" s="1" t="n">
        <v>46159</v>
      </c>
      <c r="D324" t="inlineStr">
        <is>
          <t>VÄSTMANLANDS LÄN</t>
        </is>
      </c>
      <c r="E324" t="inlineStr">
        <is>
          <t>SALA</t>
        </is>
      </c>
      <c r="G324" t="n">
        <v>5.1</v>
      </c>
      <c r="H324" t="n">
        <v>0</v>
      </c>
      <c r="I324" t="n">
        <v>0</v>
      </c>
      <c r="J324" t="n">
        <v>0</v>
      </c>
      <c r="K324" t="n">
        <v>0</v>
      </c>
      <c r="L324" t="n">
        <v>0</v>
      </c>
      <c r="M324" t="n">
        <v>0</v>
      </c>
      <c r="N324" t="n">
        <v>0</v>
      </c>
      <c r="O324" t="n">
        <v>0</v>
      </c>
      <c r="P324" t="n">
        <v>0</v>
      </c>
      <c r="Q324" t="n">
        <v>0</v>
      </c>
      <c r="R324" s="2" t="inlineStr"/>
    </row>
    <row r="325" ht="15" customHeight="1">
      <c r="A325" t="inlineStr">
        <is>
          <t>A 31554-2025</t>
        </is>
      </c>
      <c r="B325" s="1" t="n">
        <v>45833</v>
      </c>
      <c r="C325" s="1" t="n">
        <v>46159</v>
      </c>
      <c r="D325" t="inlineStr">
        <is>
          <t>VÄSTMANLANDS LÄN</t>
        </is>
      </c>
      <c r="E325" t="inlineStr">
        <is>
          <t>SALA</t>
        </is>
      </c>
      <c r="G325" t="n">
        <v>1.5</v>
      </c>
      <c r="H325" t="n">
        <v>0</v>
      </c>
      <c r="I325" t="n">
        <v>0</v>
      </c>
      <c r="J325" t="n">
        <v>0</v>
      </c>
      <c r="K325" t="n">
        <v>0</v>
      </c>
      <c r="L325" t="n">
        <v>0</v>
      </c>
      <c r="M325" t="n">
        <v>0</v>
      </c>
      <c r="N325" t="n">
        <v>0</v>
      </c>
      <c r="O325" t="n">
        <v>0</v>
      </c>
      <c r="P325" t="n">
        <v>0</v>
      </c>
      <c r="Q325" t="n">
        <v>0</v>
      </c>
      <c r="R325" s="2" t="inlineStr"/>
    </row>
    <row r="326" ht="15" customHeight="1">
      <c r="A326" t="inlineStr">
        <is>
          <t>A 31762-2025</t>
        </is>
      </c>
      <c r="B326" s="1" t="n">
        <v>45834.49288194445</v>
      </c>
      <c r="C326" s="1" t="n">
        <v>46159</v>
      </c>
      <c r="D326" t="inlineStr">
        <is>
          <t>VÄSTMANLANDS LÄN</t>
        </is>
      </c>
      <c r="E326" t="inlineStr">
        <is>
          <t>SALA</t>
        </is>
      </c>
      <c r="G326" t="n">
        <v>5.9</v>
      </c>
      <c r="H326" t="n">
        <v>0</v>
      </c>
      <c r="I326" t="n">
        <v>0</v>
      </c>
      <c r="J326" t="n">
        <v>0</v>
      </c>
      <c r="K326" t="n">
        <v>0</v>
      </c>
      <c r="L326" t="n">
        <v>0</v>
      </c>
      <c r="M326" t="n">
        <v>0</v>
      </c>
      <c r="N326" t="n">
        <v>0</v>
      </c>
      <c r="O326" t="n">
        <v>0</v>
      </c>
      <c r="P326" t="n">
        <v>0</v>
      </c>
      <c r="Q326" t="n">
        <v>0</v>
      </c>
      <c r="R326" s="2" t="inlineStr"/>
    </row>
    <row r="327" ht="15" customHeight="1">
      <c r="A327" t="inlineStr">
        <is>
          <t>A 31608-2025</t>
        </is>
      </c>
      <c r="B327" s="1" t="n">
        <v>45833</v>
      </c>
      <c r="C327" s="1" t="n">
        <v>46159</v>
      </c>
      <c r="D327" t="inlineStr">
        <is>
          <t>VÄSTMANLANDS LÄN</t>
        </is>
      </c>
      <c r="E327" t="inlineStr">
        <is>
          <t>SALA</t>
        </is>
      </c>
      <c r="G327" t="n">
        <v>6.1</v>
      </c>
      <c r="H327" t="n">
        <v>0</v>
      </c>
      <c r="I327" t="n">
        <v>0</v>
      </c>
      <c r="J327" t="n">
        <v>0</v>
      </c>
      <c r="K327" t="n">
        <v>0</v>
      </c>
      <c r="L327" t="n">
        <v>0</v>
      </c>
      <c r="M327" t="n">
        <v>0</v>
      </c>
      <c r="N327" t="n">
        <v>0</v>
      </c>
      <c r="O327" t="n">
        <v>0</v>
      </c>
      <c r="P327" t="n">
        <v>0</v>
      </c>
      <c r="Q327" t="n">
        <v>0</v>
      </c>
      <c r="R327" s="2" t="inlineStr"/>
    </row>
    <row r="328" ht="15" customHeight="1">
      <c r="A328" t="inlineStr">
        <is>
          <t>A 31610-2025</t>
        </is>
      </c>
      <c r="B328" s="1" t="n">
        <v>45833.78650462963</v>
      </c>
      <c r="C328" s="1" t="n">
        <v>46159</v>
      </c>
      <c r="D328" t="inlineStr">
        <is>
          <t>VÄSTMANLANDS LÄN</t>
        </is>
      </c>
      <c r="E328" t="inlineStr">
        <is>
          <t>SALA</t>
        </is>
      </c>
      <c r="G328" t="n">
        <v>8</v>
      </c>
      <c r="H328" t="n">
        <v>0</v>
      </c>
      <c r="I328" t="n">
        <v>0</v>
      </c>
      <c r="J328" t="n">
        <v>0</v>
      </c>
      <c r="K328" t="n">
        <v>0</v>
      </c>
      <c r="L328" t="n">
        <v>0</v>
      </c>
      <c r="M328" t="n">
        <v>0</v>
      </c>
      <c r="N328" t="n">
        <v>0</v>
      </c>
      <c r="O328" t="n">
        <v>0</v>
      </c>
      <c r="P328" t="n">
        <v>0</v>
      </c>
      <c r="Q328" t="n">
        <v>0</v>
      </c>
      <c r="R328" s="2" t="inlineStr"/>
    </row>
    <row r="329" ht="15" customHeight="1">
      <c r="A329" t="inlineStr">
        <is>
          <t>A 31296-2025</t>
        </is>
      </c>
      <c r="B329" s="1" t="n">
        <v>45833.36765046296</v>
      </c>
      <c r="C329" s="1" t="n">
        <v>46159</v>
      </c>
      <c r="D329" t="inlineStr">
        <is>
          <t>VÄSTMANLANDS LÄN</t>
        </is>
      </c>
      <c r="E329" t="inlineStr">
        <is>
          <t>SALA</t>
        </is>
      </c>
      <c r="G329" t="n">
        <v>3.7</v>
      </c>
      <c r="H329" t="n">
        <v>0</v>
      </c>
      <c r="I329" t="n">
        <v>0</v>
      </c>
      <c r="J329" t="n">
        <v>0</v>
      </c>
      <c r="K329" t="n">
        <v>0</v>
      </c>
      <c r="L329" t="n">
        <v>0</v>
      </c>
      <c r="M329" t="n">
        <v>0</v>
      </c>
      <c r="N329" t="n">
        <v>0</v>
      </c>
      <c r="O329" t="n">
        <v>0</v>
      </c>
      <c r="P329" t="n">
        <v>0</v>
      </c>
      <c r="Q329" t="n">
        <v>0</v>
      </c>
      <c r="R329" s="2" t="inlineStr"/>
    </row>
    <row r="330" ht="15" customHeight="1">
      <c r="A330" t="inlineStr">
        <is>
          <t>A 31573-2025</t>
        </is>
      </c>
      <c r="B330" s="1" t="n">
        <v>45833</v>
      </c>
      <c r="C330" s="1" t="n">
        <v>46159</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32201-2025</t>
        </is>
      </c>
      <c r="B331" s="1" t="n">
        <v>45835</v>
      </c>
      <c r="C331" s="1" t="n">
        <v>46159</v>
      </c>
      <c r="D331" t="inlineStr">
        <is>
          <t>VÄSTMANLANDS LÄN</t>
        </is>
      </c>
      <c r="E331" t="inlineStr">
        <is>
          <t>SALA</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45914-2025</t>
        </is>
      </c>
      <c r="B332" s="1" t="n">
        <v>45923.82582175926</v>
      </c>
      <c r="C332" s="1" t="n">
        <v>46159</v>
      </c>
      <c r="D332" t="inlineStr">
        <is>
          <t>VÄSTMANLANDS LÄN</t>
        </is>
      </c>
      <c r="E332" t="inlineStr">
        <is>
          <t>SALA</t>
        </is>
      </c>
      <c r="F332" t="inlineStr">
        <is>
          <t>Kommuner</t>
        </is>
      </c>
      <c r="G332" t="n">
        <v>18.2</v>
      </c>
      <c r="H332" t="n">
        <v>0</v>
      </c>
      <c r="I332" t="n">
        <v>0</v>
      </c>
      <c r="J332" t="n">
        <v>0</v>
      </c>
      <c r="K332" t="n">
        <v>0</v>
      </c>
      <c r="L332" t="n">
        <v>0</v>
      </c>
      <c r="M332" t="n">
        <v>0</v>
      </c>
      <c r="N332" t="n">
        <v>0</v>
      </c>
      <c r="O332" t="n">
        <v>0</v>
      </c>
      <c r="P332" t="n">
        <v>0</v>
      </c>
      <c r="Q332" t="n">
        <v>0</v>
      </c>
      <c r="R332" s="2" t="inlineStr"/>
      <c r="U332">
        <f>HYPERLINK("https://klasma.github.io/Logging_1981/knärot/A 45914-2025 karta knärot.png", "A 45914-2025")</f>
        <v/>
      </c>
      <c r="V332">
        <f>HYPERLINK("https://klasma.github.io/Logging_1981/klagomål/A 45914-2025 FSC-klagomål.docx", "A 45914-2025")</f>
        <v/>
      </c>
      <c r="W332">
        <f>HYPERLINK("https://klasma.github.io/Logging_1981/klagomålsmail/A 45914-2025 FSC-klagomål mail.docx", "A 45914-2025")</f>
        <v/>
      </c>
      <c r="X332">
        <f>HYPERLINK("https://klasma.github.io/Logging_1981/tillsyn/A 45914-2025 tillsynsbegäran.docx", "A 45914-2025")</f>
        <v/>
      </c>
      <c r="Y332">
        <f>HYPERLINK("https://klasma.github.io/Logging_1981/tillsynsmail/A 45914-2025 tillsynsbegäran mail.docx", "A 45914-2025")</f>
        <v/>
      </c>
    </row>
    <row r="333" ht="15" customHeight="1">
      <c r="A333" t="inlineStr">
        <is>
          <t>A 45909-2025</t>
        </is>
      </c>
      <c r="B333" s="1" t="n">
        <v>45923.75078703704</v>
      </c>
      <c r="C333" s="1" t="n">
        <v>46159</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32205-2025</t>
        </is>
      </c>
      <c r="B334" s="1" t="n">
        <v>45835</v>
      </c>
      <c r="C334" s="1" t="n">
        <v>46159</v>
      </c>
      <c r="D334" t="inlineStr">
        <is>
          <t>VÄSTMANLANDS LÄN</t>
        </is>
      </c>
      <c r="E334" t="inlineStr">
        <is>
          <t>SALA</t>
        </is>
      </c>
      <c r="F334" t="inlineStr">
        <is>
          <t>Bergvik skog öst AB</t>
        </is>
      </c>
      <c r="G334" t="n">
        <v>1.1</v>
      </c>
      <c r="H334" t="n">
        <v>0</v>
      </c>
      <c r="I334" t="n">
        <v>0</v>
      </c>
      <c r="J334" t="n">
        <v>0</v>
      </c>
      <c r="K334" t="n">
        <v>0</v>
      </c>
      <c r="L334" t="n">
        <v>0</v>
      </c>
      <c r="M334" t="n">
        <v>0</v>
      </c>
      <c r="N334" t="n">
        <v>0</v>
      </c>
      <c r="O334" t="n">
        <v>0</v>
      </c>
      <c r="P334" t="n">
        <v>0</v>
      </c>
      <c r="Q334" t="n">
        <v>0</v>
      </c>
      <c r="R334" s="2" t="inlineStr"/>
    </row>
    <row r="335" ht="15" customHeight="1">
      <c r="A335" t="inlineStr">
        <is>
          <t>A 32210-2025</t>
        </is>
      </c>
      <c r="B335" s="1" t="n">
        <v>45835</v>
      </c>
      <c r="C335" s="1" t="n">
        <v>46159</v>
      </c>
      <c r="D335" t="inlineStr">
        <is>
          <t>VÄSTMANLANDS LÄN</t>
        </is>
      </c>
      <c r="E335" t="inlineStr">
        <is>
          <t>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46597-2025</t>
        </is>
      </c>
      <c r="B336" s="1" t="n">
        <v>45926.40113425926</v>
      </c>
      <c r="C336" s="1" t="n">
        <v>46159</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6312-2025</t>
        </is>
      </c>
      <c r="B337" s="1" t="n">
        <v>45698</v>
      </c>
      <c r="C337" s="1" t="n">
        <v>46159</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4681-2026</t>
        </is>
      </c>
      <c r="B338" s="1" t="n">
        <v>46048.43016203704</v>
      </c>
      <c r="C338" s="1" t="n">
        <v>46159</v>
      </c>
      <c r="D338" t="inlineStr">
        <is>
          <t>VÄSTMANLANDS LÄN</t>
        </is>
      </c>
      <c r="E338" t="inlineStr">
        <is>
          <t>SALA</t>
        </is>
      </c>
      <c r="G338" t="n">
        <v>2.5</v>
      </c>
      <c r="H338" t="n">
        <v>0</v>
      </c>
      <c r="I338" t="n">
        <v>0</v>
      </c>
      <c r="J338" t="n">
        <v>0</v>
      </c>
      <c r="K338" t="n">
        <v>0</v>
      </c>
      <c r="L338" t="n">
        <v>0</v>
      </c>
      <c r="M338" t="n">
        <v>0</v>
      </c>
      <c r="N338" t="n">
        <v>0</v>
      </c>
      <c r="O338" t="n">
        <v>0</v>
      </c>
      <c r="P338" t="n">
        <v>0</v>
      </c>
      <c r="Q338" t="n">
        <v>0</v>
      </c>
      <c r="R338" s="2" t="inlineStr"/>
    </row>
    <row r="339" ht="15" customHeight="1">
      <c r="A339" t="inlineStr">
        <is>
          <t>A 4664-2026</t>
        </is>
      </c>
      <c r="B339" s="1" t="n">
        <v>46048.41061342593</v>
      </c>
      <c r="C339" s="1" t="n">
        <v>46159</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4712-2026</t>
        </is>
      </c>
      <c r="B340" s="1" t="n">
        <v>46048.46082175926</v>
      </c>
      <c r="C340" s="1" t="n">
        <v>46159</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4624-2026</t>
        </is>
      </c>
      <c r="B341" s="1" t="n">
        <v>46048.38107638889</v>
      </c>
      <c r="C341" s="1" t="n">
        <v>46159</v>
      </c>
      <c r="D341" t="inlineStr">
        <is>
          <t>VÄSTMANLANDS LÄN</t>
        </is>
      </c>
      <c r="E341" t="inlineStr">
        <is>
          <t>SALA</t>
        </is>
      </c>
      <c r="G341" t="n">
        <v>12.3</v>
      </c>
      <c r="H341" t="n">
        <v>0</v>
      </c>
      <c r="I341" t="n">
        <v>0</v>
      </c>
      <c r="J341" t="n">
        <v>0</v>
      </c>
      <c r="K341" t="n">
        <v>0</v>
      </c>
      <c r="L341" t="n">
        <v>0</v>
      </c>
      <c r="M341" t="n">
        <v>0</v>
      </c>
      <c r="N341" t="n">
        <v>0</v>
      </c>
      <c r="O341" t="n">
        <v>0</v>
      </c>
      <c r="P341" t="n">
        <v>0</v>
      </c>
      <c r="Q341" t="n">
        <v>0</v>
      </c>
      <c r="R341" s="2" t="inlineStr"/>
    </row>
    <row r="342" ht="15" customHeight="1">
      <c r="A342" t="inlineStr">
        <is>
          <t>A 4214-2026</t>
        </is>
      </c>
      <c r="B342" s="1" t="n">
        <v>46044.76459490741</v>
      </c>
      <c r="C342" s="1" t="n">
        <v>46159</v>
      </c>
      <c r="D342" t="inlineStr">
        <is>
          <t>VÄSTMANLANDS LÄN</t>
        </is>
      </c>
      <c r="E342" t="inlineStr">
        <is>
          <t>SALA</t>
        </is>
      </c>
      <c r="G342" t="n">
        <v>1.7</v>
      </c>
      <c r="H342" t="n">
        <v>0</v>
      </c>
      <c r="I342" t="n">
        <v>0</v>
      </c>
      <c r="J342" t="n">
        <v>0</v>
      </c>
      <c r="K342" t="n">
        <v>0</v>
      </c>
      <c r="L342" t="n">
        <v>0</v>
      </c>
      <c r="M342" t="n">
        <v>0</v>
      </c>
      <c r="N342" t="n">
        <v>0</v>
      </c>
      <c r="O342" t="n">
        <v>0</v>
      </c>
      <c r="P342" t="n">
        <v>0</v>
      </c>
      <c r="Q342" t="n">
        <v>0</v>
      </c>
      <c r="R342" s="2" t="inlineStr"/>
    </row>
    <row r="343" ht="15" customHeight="1">
      <c r="A343" t="inlineStr">
        <is>
          <t>A 32286-2025</t>
        </is>
      </c>
      <c r="B343" s="1" t="n">
        <v>45835</v>
      </c>
      <c r="C343" s="1" t="n">
        <v>46159</v>
      </c>
      <c r="D343" t="inlineStr">
        <is>
          <t>VÄSTMANLANDS LÄN</t>
        </is>
      </c>
      <c r="E343" t="inlineStr">
        <is>
          <t>SALA</t>
        </is>
      </c>
      <c r="G343" t="n">
        <v>6.4</v>
      </c>
      <c r="H343" t="n">
        <v>0</v>
      </c>
      <c r="I343" t="n">
        <v>0</v>
      </c>
      <c r="J343" t="n">
        <v>0</v>
      </c>
      <c r="K343" t="n">
        <v>0</v>
      </c>
      <c r="L343" t="n">
        <v>0</v>
      </c>
      <c r="M343" t="n">
        <v>0</v>
      </c>
      <c r="N343" t="n">
        <v>0</v>
      </c>
      <c r="O343" t="n">
        <v>0</v>
      </c>
      <c r="P343" t="n">
        <v>0</v>
      </c>
      <c r="Q343" t="n">
        <v>0</v>
      </c>
      <c r="R343" s="2" t="inlineStr"/>
    </row>
    <row r="344" ht="15" customHeight="1">
      <c r="A344" t="inlineStr">
        <is>
          <t>A 4683-2026</t>
        </is>
      </c>
      <c r="B344" s="1" t="n">
        <v>46048.43489583334</v>
      </c>
      <c r="C344" s="1" t="n">
        <v>46159</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32207-2025</t>
        </is>
      </c>
      <c r="B345" s="1" t="n">
        <v>45835</v>
      </c>
      <c r="C345" s="1" t="n">
        <v>46159</v>
      </c>
      <c r="D345" t="inlineStr">
        <is>
          <t>VÄSTMANLANDS LÄN</t>
        </is>
      </c>
      <c r="E345" t="inlineStr">
        <is>
          <t>SALA</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5418-2026</t>
        </is>
      </c>
      <c r="B346" s="1" t="n">
        <v>46050.53740740741</v>
      </c>
      <c r="C346" s="1" t="n">
        <v>46159</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55035-2023</t>
        </is>
      </c>
      <c r="B347" s="1" t="n">
        <v>45229</v>
      </c>
      <c r="C347" s="1" t="n">
        <v>46159</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5525-2026</t>
        </is>
      </c>
      <c r="B348" s="1" t="n">
        <v>46050.65055555556</v>
      </c>
      <c r="C348" s="1" t="n">
        <v>46159</v>
      </c>
      <c r="D348" t="inlineStr">
        <is>
          <t>VÄSTMANLANDS LÄN</t>
        </is>
      </c>
      <c r="E348" t="inlineStr">
        <is>
          <t>SALA</t>
        </is>
      </c>
      <c r="G348" t="n">
        <v>13.1</v>
      </c>
      <c r="H348" t="n">
        <v>0</v>
      </c>
      <c r="I348" t="n">
        <v>0</v>
      </c>
      <c r="J348" t="n">
        <v>0</v>
      </c>
      <c r="K348" t="n">
        <v>0</v>
      </c>
      <c r="L348" t="n">
        <v>0</v>
      </c>
      <c r="M348" t="n">
        <v>0</v>
      </c>
      <c r="N348" t="n">
        <v>0</v>
      </c>
      <c r="O348" t="n">
        <v>0</v>
      </c>
      <c r="P348" t="n">
        <v>0</v>
      </c>
      <c r="Q348" t="n">
        <v>0</v>
      </c>
      <c r="R348" s="2" t="inlineStr"/>
    </row>
    <row r="349" ht="15" customHeight="1">
      <c r="A349" t="inlineStr">
        <is>
          <t>A 32902-2025</t>
        </is>
      </c>
      <c r="B349" s="1" t="n">
        <v>45839</v>
      </c>
      <c r="C349" s="1" t="n">
        <v>46159</v>
      </c>
      <c r="D349" t="inlineStr">
        <is>
          <t>VÄSTMANLANDS LÄN</t>
        </is>
      </c>
      <c r="E349" t="inlineStr">
        <is>
          <t>SALA</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5219-2026</t>
        </is>
      </c>
      <c r="B350" s="1" t="n">
        <v>46049.76225694444</v>
      </c>
      <c r="C350" s="1" t="n">
        <v>46159</v>
      </c>
      <c r="D350" t="inlineStr">
        <is>
          <t>VÄSTMANLANDS LÄN</t>
        </is>
      </c>
      <c r="E350" t="inlineStr">
        <is>
          <t>SALA</t>
        </is>
      </c>
      <c r="G350" t="n">
        <v>1.9</v>
      </c>
      <c r="H350" t="n">
        <v>0</v>
      </c>
      <c r="I350" t="n">
        <v>0</v>
      </c>
      <c r="J350" t="n">
        <v>0</v>
      </c>
      <c r="K350" t="n">
        <v>0</v>
      </c>
      <c r="L350" t="n">
        <v>0</v>
      </c>
      <c r="M350" t="n">
        <v>0</v>
      </c>
      <c r="N350" t="n">
        <v>0</v>
      </c>
      <c r="O350" t="n">
        <v>0</v>
      </c>
      <c r="P350" t="n">
        <v>0</v>
      </c>
      <c r="Q350" t="n">
        <v>0</v>
      </c>
      <c r="R350" s="2" t="inlineStr"/>
    </row>
    <row r="351" ht="15" customHeight="1">
      <c r="A351" t="inlineStr">
        <is>
          <t>A 46661-2025</t>
        </is>
      </c>
      <c r="B351" s="1" t="n">
        <v>45926</v>
      </c>
      <c r="C351" s="1" t="n">
        <v>46159</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52500-2024</t>
        </is>
      </c>
      <c r="B352" s="1" t="n">
        <v>45609</v>
      </c>
      <c r="C352" s="1" t="n">
        <v>46159</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5894-2026</t>
        </is>
      </c>
      <c r="B353" s="1" t="n">
        <v>46052.42412037037</v>
      </c>
      <c r="C353" s="1" t="n">
        <v>46159</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46915-2025</t>
        </is>
      </c>
      <c r="B354" s="1" t="n">
        <v>45929.42114583333</v>
      </c>
      <c r="C354" s="1" t="n">
        <v>46159</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7950-2025</t>
        </is>
      </c>
      <c r="B355" s="1" t="n">
        <v>45707.41799768519</v>
      </c>
      <c r="C355" s="1" t="n">
        <v>46159</v>
      </c>
      <c r="D355" t="inlineStr">
        <is>
          <t>VÄSTMANLANDS LÄN</t>
        </is>
      </c>
      <c r="E355" t="inlineStr">
        <is>
          <t>SALA</t>
        </is>
      </c>
      <c r="G355" t="n">
        <v>3.2</v>
      </c>
      <c r="H355" t="n">
        <v>0</v>
      </c>
      <c r="I355" t="n">
        <v>0</v>
      </c>
      <c r="J355" t="n">
        <v>0</v>
      </c>
      <c r="K355" t="n">
        <v>0</v>
      </c>
      <c r="L355" t="n">
        <v>0</v>
      </c>
      <c r="M355" t="n">
        <v>0</v>
      </c>
      <c r="N355" t="n">
        <v>0</v>
      </c>
      <c r="O355" t="n">
        <v>0</v>
      </c>
      <c r="P355" t="n">
        <v>0</v>
      </c>
      <c r="Q355" t="n">
        <v>0</v>
      </c>
      <c r="R355" s="2" t="inlineStr"/>
    </row>
    <row r="356" ht="15" customHeight="1">
      <c r="A356" t="inlineStr">
        <is>
          <t>A 48057-2025</t>
        </is>
      </c>
      <c r="B356" s="1" t="n">
        <v>45932.67947916667</v>
      </c>
      <c r="C356" s="1" t="n">
        <v>46159</v>
      </c>
      <c r="D356" t="inlineStr">
        <is>
          <t>VÄSTMANLANDS LÄN</t>
        </is>
      </c>
      <c r="E356" t="inlineStr">
        <is>
          <t>SALA</t>
        </is>
      </c>
      <c r="G356" t="n">
        <v>4.3</v>
      </c>
      <c r="H356" t="n">
        <v>0</v>
      </c>
      <c r="I356" t="n">
        <v>0</v>
      </c>
      <c r="J356" t="n">
        <v>0</v>
      </c>
      <c r="K356" t="n">
        <v>0</v>
      </c>
      <c r="L356" t="n">
        <v>0</v>
      </c>
      <c r="M356" t="n">
        <v>0</v>
      </c>
      <c r="N356" t="n">
        <v>0</v>
      </c>
      <c r="O356" t="n">
        <v>0</v>
      </c>
      <c r="P356" t="n">
        <v>0</v>
      </c>
      <c r="Q356" t="n">
        <v>0</v>
      </c>
      <c r="R356" s="2" t="inlineStr"/>
    </row>
    <row r="357" ht="15" customHeight="1">
      <c r="A357" t="inlineStr">
        <is>
          <t>A 34069-2025</t>
        </is>
      </c>
      <c r="B357" s="1" t="n">
        <v>45845.43560185185</v>
      </c>
      <c r="C357" s="1" t="n">
        <v>46159</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c r="U357">
        <f>HYPERLINK("https://klasma.github.io/Logging_1981/knärot/A 34069-2025 karta knärot.png", "A 34069-2025")</f>
        <v/>
      </c>
      <c r="V357">
        <f>HYPERLINK("https://klasma.github.io/Logging_1981/klagomål/A 34069-2025 FSC-klagomål.docx", "A 34069-2025")</f>
        <v/>
      </c>
      <c r="W357">
        <f>HYPERLINK("https://klasma.github.io/Logging_1981/klagomålsmail/A 34069-2025 FSC-klagomål mail.docx", "A 34069-2025")</f>
        <v/>
      </c>
      <c r="X357">
        <f>HYPERLINK("https://klasma.github.io/Logging_1981/tillsyn/A 34069-2025 tillsynsbegäran.docx", "A 34069-2025")</f>
        <v/>
      </c>
      <c r="Y357">
        <f>HYPERLINK("https://klasma.github.io/Logging_1981/tillsynsmail/A 34069-2025 tillsynsbegäran mail.docx", "A 34069-2025")</f>
        <v/>
      </c>
    </row>
    <row r="358" ht="15" customHeight="1">
      <c r="A358" t="inlineStr">
        <is>
          <t>A 47577-2025</t>
        </is>
      </c>
      <c r="B358" s="1" t="n">
        <v>45931.4047337963</v>
      </c>
      <c r="C358" s="1" t="n">
        <v>46159</v>
      </c>
      <c r="D358" t="inlineStr">
        <is>
          <t>VÄSTMANLANDS LÄN</t>
        </is>
      </c>
      <c r="E358" t="inlineStr">
        <is>
          <t>SALA</t>
        </is>
      </c>
      <c r="G358" t="n">
        <v>3.7</v>
      </c>
      <c r="H358" t="n">
        <v>0</v>
      </c>
      <c r="I358" t="n">
        <v>0</v>
      </c>
      <c r="J358" t="n">
        <v>0</v>
      </c>
      <c r="K358" t="n">
        <v>0</v>
      </c>
      <c r="L358" t="n">
        <v>0</v>
      </c>
      <c r="M358" t="n">
        <v>0</v>
      </c>
      <c r="N358" t="n">
        <v>0</v>
      </c>
      <c r="O358" t="n">
        <v>0</v>
      </c>
      <c r="P358" t="n">
        <v>0</v>
      </c>
      <c r="Q358" t="n">
        <v>0</v>
      </c>
      <c r="R358" s="2" t="inlineStr"/>
    </row>
    <row r="359" ht="15" customHeight="1">
      <c r="A359" t="inlineStr">
        <is>
          <t>A 16328-2025</t>
        </is>
      </c>
      <c r="B359" s="1" t="n">
        <v>45751</v>
      </c>
      <c r="C359" s="1" t="n">
        <v>46159</v>
      </c>
      <c r="D359" t="inlineStr">
        <is>
          <t>VÄSTMANLANDS LÄN</t>
        </is>
      </c>
      <c r="E359" t="inlineStr">
        <is>
          <t>SALA</t>
        </is>
      </c>
      <c r="G359" t="n">
        <v>2.9</v>
      </c>
      <c r="H359" t="n">
        <v>0</v>
      </c>
      <c r="I359" t="n">
        <v>0</v>
      </c>
      <c r="J359" t="n">
        <v>0</v>
      </c>
      <c r="K359" t="n">
        <v>0</v>
      </c>
      <c r="L359" t="n">
        <v>0</v>
      </c>
      <c r="M359" t="n">
        <v>0</v>
      </c>
      <c r="N359" t="n">
        <v>0</v>
      </c>
      <c r="O359" t="n">
        <v>0</v>
      </c>
      <c r="P359" t="n">
        <v>0</v>
      </c>
      <c r="Q359" t="n">
        <v>0</v>
      </c>
      <c r="R359" s="2" t="inlineStr"/>
    </row>
    <row r="360" ht="15" customHeight="1">
      <c r="A360" t="inlineStr">
        <is>
          <t>A 48710-2025</t>
        </is>
      </c>
      <c r="B360" s="1" t="n">
        <v>45936.63184027778</v>
      </c>
      <c r="C360" s="1" t="n">
        <v>46159</v>
      </c>
      <c r="D360" t="inlineStr">
        <is>
          <t>VÄSTMANLANDS LÄN</t>
        </is>
      </c>
      <c r="E360" t="inlineStr">
        <is>
          <t>SALA</t>
        </is>
      </c>
      <c r="G360" t="n">
        <v>2.7</v>
      </c>
      <c r="H360" t="n">
        <v>0</v>
      </c>
      <c r="I360" t="n">
        <v>0</v>
      </c>
      <c r="J360" t="n">
        <v>0</v>
      </c>
      <c r="K360" t="n">
        <v>0</v>
      </c>
      <c r="L360" t="n">
        <v>0</v>
      </c>
      <c r="M360" t="n">
        <v>0</v>
      </c>
      <c r="N360" t="n">
        <v>0</v>
      </c>
      <c r="O360" t="n">
        <v>0</v>
      </c>
      <c r="P360" t="n">
        <v>0</v>
      </c>
      <c r="Q360" t="n">
        <v>0</v>
      </c>
      <c r="R360" s="2" t="inlineStr"/>
    </row>
    <row r="361" ht="15" customHeight="1">
      <c r="A361" t="inlineStr">
        <is>
          <t>A 31609-2024</t>
        </is>
      </c>
      <c r="B361" s="1" t="n">
        <v>45506</v>
      </c>
      <c r="C361" s="1" t="n">
        <v>46159</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15744-2025</t>
        </is>
      </c>
      <c r="B362" s="1" t="n">
        <v>45748</v>
      </c>
      <c r="C362" s="1" t="n">
        <v>46159</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35410-2022</t>
        </is>
      </c>
      <c r="B363" s="1" t="n">
        <v>44798.62576388889</v>
      </c>
      <c r="C363" s="1" t="n">
        <v>46159</v>
      </c>
      <c r="D363" t="inlineStr">
        <is>
          <t>VÄSTMANLANDS LÄN</t>
        </is>
      </c>
      <c r="E363" t="inlineStr">
        <is>
          <t>SALA</t>
        </is>
      </c>
      <c r="G363" t="n">
        <v>1.6</v>
      </c>
      <c r="H363" t="n">
        <v>0</v>
      </c>
      <c r="I363" t="n">
        <v>0</v>
      </c>
      <c r="J363" t="n">
        <v>0</v>
      </c>
      <c r="K363" t="n">
        <v>0</v>
      </c>
      <c r="L363" t="n">
        <v>0</v>
      </c>
      <c r="M363" t="n">
        <v>0</v>
      </c>
      <c r="N363" t="n">
        <v>0</v>
      </c>
      <c r="O363" t="n">
        <v>0</v>
      </c>
      <c r="P363" t="n">
        <v>0</v>
      </c>
      <c r="Q363" t="n">
        <v>0</v>
      </c>
      <c r="R363" s="2" t="inlineStr"/>
    </row>
    <row r="364" ht="15" customHeight="1">
      <c r="A364" t="inlineStr">
        <is>
          <t>A 48910-2025</t>
        </is>
      </c>
      <c r="B364" s="1" t="n">
        <v>45937.48649305556</v>
      </c>
      <c r="C364" s="1" t="n">
        <v>46159</v>
      </c>
      <c r="D364" t="inlineStr">
        <is>
          <t>VÄSTMANLANDS LÄN</t>
        </is>
      </c>
      <c r="E364" t="inlineStr">
        <is>
          <t>SALA</t>
        </is>
      </c>
      <c r="G364" t="n">
        <v>7.8</v>
      </c>
      <c r="H364" t="n">
        <v>0</v>
      </c>
      <c r="I364" t="n">
        <v>0</v>
      </c>
      <c r="J364" t="n">
        <v>0</v>
      </c>
      <c r="K364" t="n">
        <v>0</v>
      </c>
      <c r="L364" t="n">
        <v>0</v>
      </c>
      <c r="M364" t="n">
        <v>0</v>
      </c>
      <c r="N364" t="n">
        <v>0</v>
      </c>
      <c r="O364" t="n">
        <v>0</v>
      </c>
      <c r="P364" t="n">
        <v>0</v>
      </c>
      <c r="Q364" t="n">
        <v>0</v>
      </c>
      <c r="R364" s="2" t="inlineStr"/>
    </row>
    <row r="365" ht="15" customHeight="1">
      <c r="A365" t="inlineStr">
        <is>
          <t>A 49640-2025</t>
        </is>
      </c>
      <c r="B365" s="1" t="n">
        <v>45939.61459490741</v>
      </c>
      <c r="C365" s="1" t="n">
        <v>46159</v>
      </c>
      <c r="D365" t="inlineStr">
        <is>
          <t>VÄSTMANLANDS LÄN</t>
        </is>
      </c>
      <c r="E365" t="inlineStr">
        <is>
          <t>SALA</t>
        </is>
      </c>
      <c r="F365" t="inlineStr">
        <is>
          <t>Kommuner</t>
        </is>
      </c>
      <c r="G365" t="n">
        <v>18.8</v>
      </c>
      <c r="H365" t="n">
        <v>0</v>
      </c>
      <c r="I365" t="n">
        <v>0</v>
      </c>
      <c r="J365" t="n">
        <v>0</v>
      </c>
      <c r="K365" t="n">
        <v>0</v>
      </c>
      <c r="L365" t="n">
        <v>0</v>
      </c>
      <c r="M365" t="n">
        <v>0</v>
      </c>
      <c r="N365" t="n">
        <v>0</v>
      </c>
      <c r="O365" t="n">
        <v>0</v>
      </c>
      <c r="P365" t="n">
        <v>0</v>
      </c>
      <c r="Q365" t="n">
        <v>0</v>
      </c>
      <c r="R365" s="2" t="inlineStr"/>
    </row>
    <row r="366" ht="15" customHeight="1">
      <c r="A366" t="inlineStr">
        <is>
          <t>A 21159-2022</t>
        </is>
      </c>
      <c r="B366" s="1" t="n">
        <v>44704</v>
      </c>
      <c r="C366" s="1" t="n">
        <v>46159</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49585-2025</t>
        </is>
      </c>
      <c r="B367" s="1" t="n">
        <v>45939.5043287037</v>
      </c>
      <c r="C367" s="1" t="n">
        <v>46159</v>
      </c>
      <c r="D367" t="inlineStr">
        <is>
          <t>VÄSTMANLANDS LÄN</t>
        </is>
      </c>
      <c r="E367" t="inlineStr">
        <is>
          <t>SALA</t>
        </is>
      </c>
      <c r="G367" t="n">
        <v>2.2</v>
      </c>
      <c r="H367" t="n">
        <v>0</v>
      </c>
      <c r="I367" t="n">
        <v>0</v>
      </c>
      <c r="J367" t="n">
        <v>0</v>
      </c>
      <c r="K367" t="n">
        <v>0</v>
      </c>
      <c r="L367" t="n">
        <v>0</v>
      </c>
      <c r="M367" t="n">
        <v>0</v>
      </c>
      <c r="N367" t="n">
        <v>0</v>
      </c>
      <c r="O367" t="n">
        <v>0</v>
      </c>
      <c r="P367" t="n">
        <v>0</v>
      </c>
      <c r="Q367" t="n">
        <v>0</v>
      </c>
      <c r="R367" s="2" t="inlineStr"/>
    </row>
    <row r="368" ht="15" customHeight="1">
      <c r="A368" t="inlineStr">
        <is>
          <t>A 35715-2025</t>
        </is>
      </c>
      <c r="B368" s="1" t="n">
        <v>45860.42148148148</v>
      </c>
      <c r="C368" s="1" t="n">
        <v>46159</v>
      </c>
      <c r="D368" t="inlineStr">
        <is>
          <t>VÄSTMANLANDS LÄN</t>
        </is>
      </c>
      <c r="E368" t="inlineStr">
        <is>
          <t>SALA</t>
        </is>
      </c>
      <c r="G368" t="n">
        <v>3.8</v>
      </c>
      <c r="H368" t="n">
        <v>0</v>
      </c>
      <c r="I368" t="n">
        <v>0</v>
      </c>
      <c r="J368" t="n">
        <v>0</v>
      </c>
      <c r="K368" t="n">
        <v>0</v>
      </c>
      <c r="L368" t="n">
        <v>0</v>
      </c>
      <c r="M368" t="n">
        <v>0</v>
      </c>
      <c r="N368" t="n">
        <v>0</v>
      </c>
      <c r="O368" t="n">
        <v>0</v>
      </c>
      <c r="P368" t="n">
        <v>0</v>
      </c>
      <c r="Q368" t="n">
        <v>0</v>
      </c>
      <c r="R368" s="2" t="inlineStr"/>
    </row>
    <row r="369" ht="15" customHeight="1">
      <c r="A369" t="inlineStr">
        <is>
          <t>A 35651-2025</t>
        </is>
      </c>
      <c r="B369" s="1" t="n">
        <v>45859.52435185185</v>
      </c>
      <c r="C369" s="1" t="n">
        <v>46159</v>
      </c>
      <c r="D369" t="inlineStr">
        <is>
          <t>VÄSTMANLANDS LÄN</t>
        </is>
      </c>
      <c r="E369" t="inlineStr">
        <is>
          <t>SALA</t>
        </is>
      </c>
      <c r="G369" t="n">
        <v>6.3</v>
      </c>
      <c r="H369" t="n">
        <v>0</v>
      </c>
      <c r="I369" t="n">
        <v>0</v>
      </c>
      <c r="J369" t="n">
        <v>0</v>
      </c>
      <c r="K369" t="n">
        <v>0</v>
      </c>
      <c r="L369" t="n">
        <v>0</v>
      </c>
      <c r="M369" t="n">
        <v>0</v>
      </c>
      <c r="N369" t="n">
        <v>0</v>
      </c>
      <c r="O369" t="n">
        <v>0</v>
      </c>
      <c r="P369" t="n">
        <v>0</v>
      </c>
      <c r="Q369" t="n">
        <v>0</v>
      </c>
      <c r="R369" s="2" t="inlineStr"/>
    </row>
    <row r="370" ht="15" customHeight="1">
      <c r="A370" t="inlineStr">
        <is>
          <t>A 41292-2021</t>
        </is>
      </c>
      <c r="B370" s="1" t="n">
        <v>44424</v>
      </c>
      <c r="C370" s="1" t="n">
        <v>46159</v>
      </c>
      <c r="D370" t="inlineStr">
        <is>
          <t>VÄSTMANLANDS LÄN</t>
        </is>
      </c>
      <c r="E370" t="inlineStr">
        <is>
          <t>SALA</t>
        </is>
      </c>
      <c r="G370" t="n">
        <v>0.3</v>
      </c>
      <c r="H370" t="n">
        <v>0</v>
      </c>
      <c r="I370" t="n">
        <v>0</v>
      </c>
      <c r="J370" t="n">
        <v>0</v>
      </c>
      <c r="K370" t="n">
        <v>0</v>
      </c>
      <c r="L370" t="n">
        <v>0</v>
      </c>
      <c r="M370" t="n">
        <v>0</v>
      </c>
      <c r="N370" t="n">
        <v>0</v>
      </c>
      <c r="O370" t="n">
        <v>0</v>
      </c>
      <c r="P370" t="n">
        <v>0</v>
      </c>
      <c r="Q370" t="n">
        <v>0</v>
      </c>
      <c r="R370" s="2" t="inlineStr"/>
    </row>
    <row r="371" ht="15" customHeight="1">
      <c r="A371" t="inlineStr">
        <is>
          <t>A 60328-2024</t>
        </is>
      </c>
      <c r="B371" s="1" t="n">
        <v>45643.38416666666</v>
      </c>
      <c r="C371" s="1" t="n">
        <v>46159</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35775-2025</t>
        </is>
      </c>
      <c r="B372" s="1" t="n">
        <v>45860</v>
      </c>
      <c r="C372" s="1" t="n">
        <v>46159</v>
      </c>
      <c r="D372" t="inlineStr">
        <is>
          <t>VÄSTMANLANDS LÄN</t>
        </is>
      </c>
      <c r="E372" t="inlineStr">
        <is>
          <t>SALA</t>
        </is>
      </c>
      <c r="G372" t="n">
        <v>2.6</v>
      </c>
      <c r="H372" t="n">
        <v>0</v>
      </c>
      <c r="I372" t="n">
        <v>0</v>
      </c>
      <c r="J372" t="n">
        <v>0</v>
      </c>
      <c r="K372" t="n">
        <v>0</v>
      </c>
      <c r="L372" t="n">
        <v>0</v>
      </c>
      <c r="M372" t="n">
        <v>0</v>
      </c>
      <c r="N372" t="n">
        <v>0</v>
      </c>
      <c r="O372" t="n">
        <v>0</v>
      </c>
      <c r="P372" t="n">
        <v>0</v>
      </c>
      <c r="Q372" t="n">
        <v>0</v>
      </c>
      <c r="R372" s="2" t="inlineStr"/>
    </row>
    <row r="373" ht="15" customHeight="1">
      <c r="A373" t="inlineStr">
        <is>
          <t>A 35774-2025</t>
        </is>
      </c>
      <c r="B373" s="1" t="n">
        <v>45860.68780092592</v>
      </c>
      <c r="C373" s="1" t="n">
        <v>46159</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50128-2025</t>
        </is>
      </c>
      <c r="B374" s="1" t="n">
        <v>45943.55318287037</v>
      </c>
      <c r="C374" s="1" t="n">
        <v>46159</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35776-2025</t>
        </is>
      </c>
      <c r="B375" s="1" t="n">
        <v>45860.69211805556</v>
      </c>
      <c r="C375" s="1" t="n">
        <v>46159</v>
      </c>
      <c r="D375" t="inlineStr">
        <is>
          <t>VÄSTMANLANDS LÄN</t>
        </is>
      </c>
      <c r="E375" t="inlineStr">
        <is>
          <t>SALA</t>
        </is>
      </c>
      <c r="G375" t="n">
        <v>14.2</v>
      </c>
      <c r="H375" t="n">
        <v>0</v>
      </c>
      <c r="I375" t="n">
        <v>0</v>
      </c>
      <c r="J375" t="n">
        <v>0</v>
      </c>
      <c r="K375" t="n">
        <v>0</v>
      </c>
      <c r="L375" t="n">
        <v>0</v>
      </c>
      <c r="M375" t="n">
        <v>0</v>
      </c>
      <c r="N375" t="n">
        <v>0</v>
      </c>
      <c r="O375" t="n">
        <v>0</v>
      </c>
      <c r="P375" t="n">
        <v>0</v>
      </c>
      <c r="Q375" t="n">
        <v>0</v>
      </c>
      <c r="R375" s="2" t="inlineStr"/>
    </row>
    <row r="376" ht="15" customHeight="1">
      <c r="A376" t="inlineStr">
        <is>
          <t>A 35779-2025</t>
        </is>
      </c>
      <c r="B376" s="1" t="n">
        <v>45860.69495370371</v>
      </c>
      <c r="C376" s="1" t="n">
        <v>46159</v>
      </c>
      <c r="D376" t="inlineStr">
        <is>
          <t>VÄSTMANLANDS LÄN</t>
        </is>
      </c>
      <c r="E376" t="inlineStr">
        <is>
          <t>SALA</t>
        </is>
      </c>
      <c r="G376" t="n">
        <v>2.4</v>
      </c>
      <c r="H376" t="n">
        <v>0</v>
      </c>
      <c r="I376" t="n">
        <v>0</v>
      </c>
      <c r="J376" t="n">
        <v>0</v>
      </c>
      <c r="K376" t="n">
        <v>0</v>
      </c>
      <c r="L376" t="n">
        <v>0</v>
      </c>
      <c r="M376" t="n">
        <v>0</v>
      </c>
      <c r="N376" t="n">
        <v>0</v>
      </c>
      <c r="O376" t="n">
        <v>0</v>
      </c>
      <c r="P376" t="n">
        <v>0</v>
      </c>
      <c r="Q376" t="n">
        <v>0</v>
      </c>
      <c r="R376" s="2" t="inlineStr"/>
    </row>
    <row r="377" ht="15" customHeight="1">
      <c r="A377" t="inlineStr">
        <is>
          <t>A 33273-2023</t>
        </is>
      </c>
      <c r="B377" s="1" t="n">
        <v>45127</v>
      </c>
      <c r="C377" s="1" t="n">
        <v>46159</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50249-2025</t>
        </is>
      </c>
      <c r="B378" s="1" t="n">
        <v>45944.31508101852</v>
      </c>
      <c r="C378" s="1" t="n">
        <v>46159</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6021-2026</t>
        </is>
      </c>
      <c r="B379" s="1" t="n">
        <v>46050</v>
      </c>
      <c r="C379" s="1" t="n">
        <v>46159</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50119-2025</t>
        </is>
      </c>
      <c r="B380" s="1" t="n">
        <v>45943.54883101852</v>
      </c>
      <c r="C380" s="1" t="n">
        <v>46159</v>
      </c>
      <c r="D380" t="inlineStr">
        <is>
          <t>VÄSTMANLANDS LÄN</t>
        </is>
      </c>
      <c r="E380" t="inlineStr">
        <is>
          <t>SALA</t>
        </is>
      </c>
      <c r="G380" t="n">
        <v>3.3</v>
      </c>
      <c r="H380" t="n">
        <v>0</v>
      </c>
      <c r="I380" t="n">
        <v>0</v>
      </c>
      <c r="J380" t="n">
        <v>0</v>
      </c>
      <c r="K380" t="n">
        <v>0</v>
      </c>
      <c r="L380" t="n">
        <v>0</v>
      </c>
      <c r="M380" t="n">
        <v>0</v>
      </c>
      <c r="N380" t="n">
        <v>0</v>
      </c>
      <c r="O380" t="n">
        <v>0</v>
      </c>
      <c r="P380" t="n">
        <v>0</v>
      </c>
      <c r="Q380" t="n">
        <v>0</v>
      </c>
      <c r="R380" s="2" t="inlineStr"/>
    </row>
    <row r="381" ht="15" customHeight="1">
      <c r="A381" t="inlineStr">
        <is>
          <t>A 50059-2025</t>
        </is>
      </c>
      <c r="B381" s="1" t="n">
        <v>45943.44125</v>
      </c>
      <c r="C381" s="1" t="n">
        <v>46159</v>
      </c>
      <c r="D381" t="inlineStr">
        <is>
          <t>VÄSTMANLANDS LÄN</t>
        </is>
      </c>
      <c r="E381" t="inlineStr">
        <is>
          <t>SALA</t>
        </is>
      </c>
      <c r="G381" t="n">
        <v>4.4</v>
      </c>
      <c r="H381" t="n">
        <v>0</v>
      </c>
      <c r="I381" t="n">
        <v>0</v>
      </c>
      <c r="J381" t="n">
        <v>0</v>
      </c>
      <c r="K381" t="n">
        <v>0</v>
      </c>
      <c r="L381" t="n">
        <v>0</v>
      </c>
      <c r="M381" t="n">
        <v>0</v>
      </c>
      <c r="N381" t="n">
        <v>0</v>
      </c>
      <c r="O381" t="n">
        <v>0</v>
      </c>
      <c r="P381" t="n">
        <v>0</v>
      </c>
      <c r="Q381" t="n">
        <v>0</v>
      </c>
      <c r="R381" s="2" t="inlineStr"/>
    </row>
    <row r="382" ht="15" customHeight="1">
      <c r="A382" t="inlineStr">
        <is>
          <t>A 36049-2025</t>
        </is>
      </c>
      <c r="B382" s="1" t="n">
        <v>45866.37065972222</v>
      </c>
      <c r="C382" s="1" t="n">
        <v>46159</v>
      </c>
      <c r="D382" t="inlineStr">
        <is>
          <t>VÄSTMANLANDS LÄN</t>
        </is>
      </c>
      <c r="E382" t="inlineStr">
        <is>
          <t>SALA</t>
        </is>
      </c>
      <c r="F382" t="inlineStr">
        <is>
          <t>Kommuner</t>
        </is>
      </c>
      <c r="G382" t="n">
        <v>1.9</v>
      </c>
      <c r="H382" t="n">
        <v>0</v>
      </c>
      <c r="I382" t="n">
        <v>0</v>
      </c>
      <c r="J382" t="n">
        <v>0</v>
      </c>
      <c r="K382" t="n">
        <v>0</v>
      </c>
      <c r="L382" t="n">
        <v>0</v>
      </c>
      <c r="M382" t="n">
        <v>0</v>
      </c>
      <c r="N382" t="n">
        <v>0</v>
      </c>
      <c r="O382" t="n">
        <v>0</v>
      </c>
      <c r="P382" t="n">
        <v>0</v>
      </c>
      <c r="Q382" t="n">
        <v>0</v>
      </c>
      <c r="R382" s="2" t="inlineStr"/>
    </row>
    <row r="383" ht="15" customHeight="1">
      <c r="A383" t="inlineStr">
        <is>
          <t>A 52827-2024</t>
        </is>
      </c>
      <c r="B383" s="1" t="n">
        <v>45610</v>
      </c>
      <c r="C383" s="1" t="n">
        <v>46159</v>
      </c>
      <c r="D383" t="inlineStr">
        <is>
          <t>VÄSTMANLANDS LÄN</t>
        </is>
      </c>
      <c r="E383" t="inlineStr">
        <is>
          <t>SALA</t>
        </is>
      </c>
      <c r="G383" t="n">
        <v>0.2</v>
      </c>
      <c r="H383" t="n">
        <v>0</v>
      </c>
      <c r="I383" t="n">
        <v>0</v>
      </c>
      <c r="J383" t="n">
        <v>0</v>
      </c>
      <c r="K383" t="n">
        <v>0</v>
      </c>
      <c r="L383" t="n">
        <v>0</v>
      </c>
      <c r="M383" t="n">
        <v>0</v>
      </c>
      <c r="N383" t="n">
        <v>0</v>
      </c>
      <c r="O383" t="n">
        <v>0</v>
      </c>
      <c r="P383" t="n">
        <v>0</v>
      </c>
      <c r="Q383" t="n">
        <v>0</v>
      </c>
      <c r="R383" s="2" t="inlineStr"/>
    </row>
    <row r="384" ht="15" customHeight="1">
      <c r="A384" t="inlineStr">
        <is>
          <t>A 53166-2024</t>
        </is>
      </c>
      <c r="B384" s="1" t="n">
        <v>45611</v>
      </c>
      <c r="C384" s="1" t="n">
        <v>46159</v>
      </c>
      <c r="D384" t="inlineStr">
        <is>
          <t>VÄSTMANLANDS LÄN</t>
        </is>
      </c>
      <c r="E384" t="inlineStr">
        <is>
          <t>SALA</t>
        </is>
      </c>
      <c r="G384" t="n">
        <v>1.5</v>
      </c>
      <c r="H384" t="n">
        <v>0</v>
      </c>
      <c r="I384" t="n">
        <v>0</v>
      </c>
      <c r="J384" t="n">
        <v>0</v>
      </c>
      <c r="K384" t="n">
        <v>0</v>
      </c>
      <c r="L384" t="n">
        <v>0</v>
      </c>
      <c r="M384" t="n">
        <v>0</v>
      </c>
      <c r="N384" t="n">
        <v>0</v>
      </c>
      <c r="O384" t="n">
        <v>0</v>
      </c>
      <c r="P384" t="n">
        <v>0</v>
      </c>
      <c r="Q384" t="n">
        <v>0</v>
      </c>
      <c r="R384" s="2" t="inlineStr"/>
    </row>
    <row r="385" ht="15" customHeight="1">
      <c r="A385" t="inlineStr">
        <is>
          <t>A 11244-2024</t>
        </is>
      </c>
      <c r="B385" s="1" t="n">
        <v>45371</v>
      </c>
      <c r="C385" s="1" t="n">
        <v>46159</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62654-2022</t>
        </is>
      </c>
      <c r="B386" s="1" t="n">
        <v>44917</v>
      </c>
      <c r="C386" s="1" t="n">
        <v>46159</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36031-2025</t>
        </is>
      </c>
      <c r="B387" s="1" t="n">
        <v>45865.46111111111</v>
      </c>
      <c r="C387" s="1" t="n">
        <v>46159</v>
      </c>
      <c r="D387" t="inlineStr">
        <is>
          <t>VÄSTMANLANDS LÄN</t>
        </is>
      </c>
      <c r="E387" t="inlineStr">
        <is>
          <t>SALA</t>
        </is>
      </c>
      <c r="G387" t="n">
        <v>7.2</v>
      </c>
      <c r="H387" t="n">
        <v>0</v>
      </c>
      <c r="I387" t="n">
        <v>0</v>
      </c>
      <c r="J387" t="n">
        <v>0</v>
      </c>
      <c r="K387" t="n">
        <v>0</v>
      </c>
      <c r="L387" t="n">
        <v>0</v>
      </c>
      <c r="M387" t="n">
        <v>0</v>
      </c>
      <c r="N387" t="n">
        <v>0</v>
      </c>
      <c r="O387" t="n">
        <v>0</v>
      </c>
      <c r="P387" t="n">
        <v>0</v>
      </c>
      <c r="Q387" t="n">
        <v>0</v>
      </c>
      <c r="R387" s="2" t="inlineStr"/>
    </row>
    <row r="388" ht="15" customHeight="1">
      <c r="A388" t="inlineStr">
        <is>
          <t>A 36060-2025</t>
        </is>
      </c>
      <c r="B388" s="1" t="n">
        <v>45866.39469907407</v>
      </c>
      <c r="C388" s="1" t="n">
        <v>46159</v>
      </c>
      <c r="D388" t="inlineStr">
        <is>
          <t>VÄSTMANLANDS LÄN</t>
        </is>
      </c>
      <c r="E388" t="inlineStr">
        <is>
          <t>SALA</t>
        </is>
      </c>
      <c r="F388" t="inlineStr">
        <is>
          <t>Kommuner</t>
        </is>
      </c>
      <c r="G388" t="n">
        <v>4.3</v>
      </c>
      <c r="H388" t="n">
        <v>0</v>
      </c>
      <c r="I388" t="n">
        <v>0</v>
      </c>
      <c r="J388" t="n">
        <v>0</v>
      </c>
      <c r="K388" t="n">
        <v>0</v>
      </c>
      <c r="L388" t="n">
        <v>0</v>
      </c>
      <c r="M388" t="n">
        <v>0</v>
      </c>
      <c r="N388" t="n">
        <v>0</v>
      </c>
      <c r="O388" t="n">
        <v>0</v>
      </c>
      <c r="P388" t="n">
        <v>0</v>
      </c>
      <c r="Q388" t="n">
        <v>0</v>
      </c>
      <c r="R388" s="2" t="inlineStr"/>
    </row>
    <row r="389" ht="15" customHeight="1">
      <c r="A389" t="inlineStr">
        <is>
          <t>A 6135-2023</t>
        </is>
      </c>
      <c r="B389" s="1" t="n">
        <v>44964.62628472222</v>
      </c>
      <c r="C389" s="1" t="n">
        <v>46159</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53864-2022</t>
        </is>
      </c>
      <c r="B390" s="1" t="n">
        <v>44880.64016203704</v>
      </c>
      <c r="C390" s="1" t="n">
        <v>46159</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36032-2025</t>
        </is>
      </c>
      <c r="B391" s="1" t="n">
        <v>45865.48740740741</v>
      </c>
      <c r="C391" s="1" t="n">
        <v>46159</v>
      </c>
      <c r="D391" t="inlineStr">
        <is>
          <t>VÄSTMANLANDS LÄN</t>
        </is>
      </c>
      <c r="E391" t="inlineStr">
        <is>
          <t>SALA</t>
        </is>
      </c>
      <c r="G391" t="n">
        <v>0.7</v>
      </c>
      <c r="H391" t="n">
        <v>0</v>
      </c>
      <c r="I391" t="n">
        <v>0</v>
      </c>
      <c r="J391" t="n">
        <v>0</v>
      </c>
      <c r="K391" t="n">
        <v>0</v>
      </c>
      <c r="L391" t="n">
        <v>0</v>
      </c>
      <c r="M391" t="n">
        <v>0</v>
      </c>
      <c r="N391" t="n">
        <v>0</v>
      </c>
      <c r="O391" t="n">
        <v>0</v>
      </c>
      <c r="P391" t="n">
        <v>0</v>
      </c>
      <c r="Q391" t="n">
        <v>0</v>
      </c>
      <c r="R391" s="2" t="inlineStr"/>
    </row>
    <row r="392" ht="15" customHeight="1">
      <c r="A392" t="inlineStr">
        <is>
          <t>A 36043-2025</t>
        </is>
      </c>
      <c r="B392" s="1" t="n">
        <v>45866.35333333333</v>
      </c>
      <c r="C392" s="1" t="n">
        <v>46159</v>
      </c>
      <c r="D392" t="inlineStr">
        <is>
          <t>VÄSTMANLANDS LÄN</t>
        </is>
      </c>
      <c r="E392" t="inlineStr">
        <is>
          <t>SALA</t>
        </is>
      </c>
      <c r="F392" t="inlineStr">
        <is>
          <t>Kommuner</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36045-2025</t>
        </is>
      </c>
      <c r="B393" s="1" t="n">
        <v>45866.36200231482</v>
      </c>
      <c r="C393" s="1" t="n">
        <v>46159</v>
      </c>
      <c r="D393" t="inlineStr">
        <is>
          <t>VÄSTMANLANDS LÄN</t>
        </is>
      </c>
      <c r="E393" t="inlineStr">
        <is>
          <t>SALA</t>
        </is>
      </c>
      <c r="F393" t="inlineStr">
        <is>
          <t>Kommuner</t>
        </is>
      </c>
      <c r="G393" t="n">
        <v>1.7</v>
      </c>
      <c r="H393" t="n">
        <v>0</v>
      </c>
      <c r="I393" t="n">
        <v>0</v>
      </c>
      <c r="J393" t="n">
        <v>0</v>
      </c>
      <c r="K393" t="n">
        <v>0</v>
      </c>
      <c r="L393" t="n">
        <v>0</v>
      </c>
      <c r="M393" t="n">
        <v>0</v>
      </c>
      <c r="N393" t="n">
        <v>0</v>
      </c>
      <c r="O393" t="n">
        <v>0</v>
      </c>
      <c r="P393" t="n">
        <v>0</v>
      </c>
      <c r="Q393" t="n">
        <v>0</v>
      </c>
      <c r="R393" s="2" t="inlineStr"/>
    </row>
    <row r="394" ht="15" customHeight="1">
      <c r="A394" t="inlineStr">
        <is>
          <t>A 7327-2026</t>
        </is>
      </c>
      <c r="B394" s="1" t="n">
        <v>46058.68371527778</v>
      </c>
      <c r="C394" s="1" t="n">
        <v>46159</v>
      </c>
      <c r="D394" t="inlineStr">
        <is>
          <t>VÄSTMANLANDS LÄN</t>
        </is>
      </c>
      <c r="E394" t="inlineStr">
        <is>
          <t>SALA</t>
        </is>
      </c>
      <c r="G394" t="n">
        <v>5.8</v>
      </c>
      <c r="H394" t="n">
        <v>0</v>
      </c>
      <c r="I394" t="n">
        <v>0</v>
      </c>
      <c r="J394" t="n">
        <v>0</v>
      </c>
      <c r="K394" t="n">
        <v>0</v>
      </c>
      <c r="L394" t="n">
        <v>0</v>
      </c>
      <c r="M394" t="n">
        <v>0</v>
      </c>
      <c r="N394" t="n">
        <v>0</v>
      </c>
      <c r="O394" t="n">
        <v>0</v>
      </c>
      <c r="P394" t="n">
        <v>0</v>
      </c>
      <c r="Q394" t="n">
        <v>0</v>
      </c>
      <c r="R394" s="2" t="inlineStr"/>
    </row>
    <row r="395" ht="15" customHeight="1">
      <c r="A395" t="inlineStr">
        <is>
          <t>A 7332-2026</t>
        </is>
      </c>
      <c r="B395" s="1" t="n">
        <v>46058.68884259259</v>
      </c>
      <c r="C395" s="1" t="n">
        <v>46159</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27255-2023</t>
        </is>
      </c>
      <c r="B396" s="1" t="n">
        <v>45096</v>
      </c>
      <c r="C396" s="1" t="n">
        <v>46159</v>
      </c>
      <c r="D396" t="inlineStr">
        <is>
          <t>VÄSTMANLANDS LÄN</t>
        </is>
      </c>
      <c r="E396" t="inlineStr">
        <is>
          <t>SALA</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60034-2024</t>
        </is>
      </c>
      <c r="B397" s="1" t="n">
        <v>45642.46261574074</v>
      </c>
      <c r="C397" s="1" t="n">
        <v>46159</v>
      </c>
      <c r="D397" t="inlineStr">
        <is>
          <t>VÄSTMANLANDS LÄN</t>
        </is>
      </c>
      <c r="E397" t="inlineStr">
        <is>
          <t>SALA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3810-2023</t>
        </is>
      </c>
      <c r="B398" s="1" t="n">
        <v>44951.60454861111</v>
      </c>
      <c r="C398" s="1" t="n">
        <v>46159</v>
      </c>
      <c r="D398" t="inlineStr">
        <is>
          <t>VÄSTMANLANDS LÄN</t>
        </is>
      </c>
      <c r="E398" t="inlineStr">
        <is>
          <t>SALA</t>
        </is>
      </c>
      <c r="G398" t="n">
        <v>4.2</v>
      </c>
      <c r="H398" t="n">
        <v>0</v>
      </c>
      <c r="I398" t="n">
        <v>0</v>
      </c>
      <c r="J398" t="n">
        <v>0</v>
      </c>
      <c r="K398" t="n">
        <v>0</v>
      </c>
      <c r="L398" t="n">
        <v>0</v>
      </c>
      <c r="M398" t="n">
        <v>0</v>
      </c>
      <c r="N398" t="n">
        <v>0</v>
      </c>
      <c r="O398" t="n">
        <v>0</v>
      </c>
      <c r="P398" t="n">
        <v>0</v>
      </c>
      <c r="Q398" t="n">
        <v>0</v>
      </c>
      <c r="R398" s="2" t="inlineStr"/>
    </row>
    <row r="399" ht="15" customHeight="1">
      <c r="A399" t="inlineStr">
        <is>
          <t>A 17985-2025</t>
        </is>
      </c>
      <c r="B399" s="1" t="n">
        <v>45761</v>
      </c>
      <c r="C399" s="1" t="n">
        <v>46159</v>
      </c>
      <c r="D399" t="inlineStr">
        <is>
          <t>VÄSTMANLANDS LÄN</t>
        </is>
      </c>
      <c r="E399" t="inlineStr">
        <is>
          <t>SALA</t>
        </is>
      </c>
      <c r="G399" t="n">
        <v>12.5</v>
      </c>
      <c r="H399" t="n">
        <v>0</v>
      </c>
      <c r="I399" t="n">
        <v>0</v>
      </c>
      <c r="J399" t="n">
        <v>0</v>
      </c>
      <c r="K399" t="n">
        <v>0</v>
      </c>
      <c r="L399" t="n">
        <v>0</v>
      </c>
      <c r="M399" t="n">
        <v>0</v>
      </c>
      <c r="N399" t="n">
        <v>0</v>
      </c>
      <c r="O399" t="n">
        <v>0</v>
      </c>
      <c r="P399" t="n">
        <v>0</v>
      </c>
      <c r="Q399" t="n">
        <v>0</v>
      </c>
      <c r="R399" s="2" t="inlineStr"/>
    </row>
    <row r="400" ht="15" customHeight="1">
      <c r="A400" t="inlineStr">
        <is>
          <t>A 31869-2025</t>
        </is>
      </c>
      <c r="B400" s="1" t="n">
        <v>45834.64555555556</v>
      </c>
      <c r="C400" s="1" t="n">
        <v>46159</v>
      </c>
      <c r="D400" t="inlineStr">
        <is>
          <t>VÄSTMANLANDS LÄN</t>
        </is>
      </c>
      <c r="E400" t="inlineStr">
        <is>
          <t>SALA</t>
        </is>
      </c>
      <c r="G400" t="n">
        <v>17.5</v>
      </c>
      <c r="H400" t="n">
        <v>0</v>
      </c>
      <c r="I400" t="n">
        <v>0</v>
      </c>
      <c r="J400" t="n">
        <v>0</v>
      </c>
      <c r="K400" t="n">
        <v>0</v>
      </c>
      <c r="L400" t="n">
        <v>0</v>
      </c>
      <c r="M400" t="n">
        <v>0</v>
      </c>
      <c r="N400" t="n">
        <v>0</v>
      </c>
      <c r="O400" t="n">
        <v>0</v>
      </c>
      <c r="P400" t="n">
        <v>0</v>
      </c>
      <c r="Q400" t="n">
        <v>0</v>
      </c>
      <c r="R400" s="2" t="inlineStr"/>
    </row>
    <row r="401" ht="15" customHeight="1">
      <c r="A401" t="inlineStr">
        <is>
          <t>A 31863-2025</t>
        </is>
      </c>
      <c r="B401" s="1" t="n">
        <v>45834.63303240741</v>
      </c>
      <c r="C401" s="1" t="n">
        <v>46159</v>
      </c>
      <c r="D401" t="inlineStr">
        <is>
          <t>VÄSTMANLANDS LÄN</t>
        </is>
      </c>
      <c r="E401" t="inlineStr">
        <is>
          <t>SALA</t>
        </is>
      </c>
      <c r="G401" t="n">
        <v>2.5</v>
      </c>
      <c r="H401" t="n">
        <v>0</v>
      </c>
      <c r="I401" t="n">
        <v>0</v>
      </c>
      <c r="J401" t="n">
        <v>0</v>
      </c>
      <c r="K401" t="n">
        <v>0</v>
      </c>
      <c r="L401" t="n">
        <v>0</v>
      </c>
      <c r="M401" t="n">
        <v>0</v>
      </c>
      <c r="N401" t="n">
        <v>0</v>
      </c>
      <c r="O401" t="n">
        <v>0</v>
      </c>
      <c r="P401" t="n">
        <v>0</v>
      </c>
      <c r="Q401" t="n">
        <v>0</v>
      </c>
      <c r="R401" s="2" t="inlineStr"/>
    </row>
    <row r="402" ht="15" customHeight="1">
      <c r="A402" t="inlineStr">
        <is>
          <t>A 7324-2026</t>
        </is>
      </c>
      <c r="B402" s="1" t="n">
        <v>46058.68023148148</v>
      </c>
      <c r="C402" s="1" t="n">
        <v>46159</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17766-2025</t>
        </is>
      </c>
      <c r="B403" s="1" t="n">
        <v>45758</v>
      </c>
      <c r="C403" s="1" t="n">
        <v>46159</v>
      </c>
      <c r="D403" t="inlineStr">
        <is>
          <t>VÄSTMANLANDS LÄN</t>
        </is>
      </c>
      <c r="E403" t="inlineStr">
        <is>
          <t>SALA</t>
        </is>
      </c>
      <c r="G403" t="n">
        <v>16.5</v>
      </c>
      <c r="H403" t="n">
        <v>0</v>
      </c>
      <c r="I403" t="n">
        <v>0</v>
      </c>
      <c r="J403" t="n">
        <v>0</v>
      </c>
      <c r="K403" t="n">
        <v>0</v>
      </c>
      <c r="L403" t="n">
        <v>0</v>
      </c>
      <c r="M403" t="n">
        <v>0</v>
      </c>
      <c r="N403" t="n">
        <v>0</v>
      </c>
      <c r="O403" t="n">
        <v>0</v>
      </c>
      <c r="P403" t="n">
        <v>0</v>
      </c>
      <c r="Q403" t="n">
        <v>0</v>
      </c>
      <c r="R403" s="2" t="inlineStr"/>
    </row>
    <row r="404" ht="15" customHeight="1">
      <c r="A404" t="inlineStr">
        <is>
          <t>A 7664-2023</t>
        </is>
      </c>
      <c r="B404" s="1" t="n">
        <v>44972</v>
      </c>
      <c r="C404" s="1" t="n">
        <v>46159</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3546-2025</t>
        </is>
      </c>
      <c r="B405" s="1" t="n">
        <v>45680</v>
      </c>
      <c r="C405" s="1" t="n">
        <v>46159</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51626-2025</t>
        </is>
      </c>
      <c r="B406" s="1" t="n">
        <v>45951.41769675926</v>
      </c>
      <c r="C406" s="1" t="n">
        <v>46159</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51690-2025</t>
        </is>
      </c>
      <c r="B407" s="1" t="n">
        <v>45951.53462962963</v>
      </c>
      <c r="C407" s="1" t="n">
        <v>46159</v>
      </c>
      <c r="D407" t="inlineStr">
        <is>
          <t>VÄSTMANLANDS LÄN</t>
        </is>
      </c>
      <c r="E407" t="inlineStr">
        <is>
          <t>SALA</t>
        </is>
      </c>
      <c r="G407" t="n">
        <v>0.8</v>
      </c>
      <c r="H407" t="n">
        <v>0</v>
      </c>
      <c r="I407" t="n">
        <v>0</v>
      </c>
      <c r="J407" t="n">
        <v>0</v>
      </c>
      <c r="K407" t="n">
        <v>0</v>
      </c>
      <c r="L407" t="n">
        <v>0</v>
      </c>
      <c r="M407" t="n">
        <v>0</v>
      </c>
      <c r="N407" t="n">
        <v>0</v>
      </c>
      <c r="O407" t="n">
        <v>0</v>
      </c>
      <c r="P407" t="n">
        <v>0</v>
      </c>
      <c r="Q407" t="n">
        <v>0</v>
      </c>
      <c r="R407" s="2" t="inlineStr"/>
    </row>
    <row r="408" ht="15" customHeight="1">
      <c r="A408" t="inlineStr">
        <is>
          <t>A 52503-2024</t>
        </is>
      </c>
      <c r="B408" s="1" t="n">
        <v>45609.58806712963</v>
      </c>
      <c r="C408" s="1" t="n">
        <v>46159</v>
      </c>
      <c r="D408" t="inlineStr">
        <is>
          <t>VÄSTMANLANDS LÄN</t>
        </is>
      </c>
      <c r="E408" t="inlineStr">
        <is>
          <t>SALA</t>
        </is>
      </c>
      <c r="G408" t="n">
        <v>0.8</v>
      </c>
      <c r="H408" t="n">
        <v>0</v>
      </c>
      <c r="I408" t="n">
        <v>0</v>
      </c>
      <c r="J408" t="n">
        <v>0</v>
      </c>
      <c r="K408" t="n">
        <v>0</v>
      </c>
      <c r="L408" t="n">
        <v>0</v>
      </c>
      <c r="M408" t="n">
        <v>0</v>
      </c>
      <c r="N408" t="n">
        <v>0</v>
      </c>
      <c r="O408" t="n">
        <v>0</v>
      </c>
      <c r="P408" t="n">
        <v>0</v>
      </c>
      <c r="Q408" t="n">
        <v>0</v>
      </c>
      <c r="R408" s="2" t="inlineStr"/>
    </row>
    <row r="409" ht="15" customHeight="1">
      <c r="A409" t="inlineStr">
        <is>
          <t>A 2521-2025</t>
        </is>
      </c>
      <c r="B409" s="1" t="n">
        <v>45674</v>
      </c>
      <c r="C409" s="1" t="n">
        <v>46159</v>
      </c>
      <c r="D409" t="inlineStr">
        <is>
          <t>VÄSTMANLANDS LÄN</t>
        </is>
      </c>
      <c r="E409" t="inlineStr">
        <is>
          <t>SALA</t>
        </is>
      </c>
      <c r="G409" t="n">
        <v>3.5</v>
      </c>
      <c r="H409" t="n">
        <v>0</v>
      </c>
      <c r="I409" t="n">
        <v>0</v>
      </c>
      <c r="J409" t="n">
        <v>0</v>
      </c>
      <c r="K409" t="n">
        <v>0</v>
      </c>
      <c r="L409" t="n">
        <v>0</v>
      </c>
      <c r="M409" t="n">
        <v>0</v>
      </c>
      <c r="N409" t="n">
        <v>0</v>
      </c>
      <c r="O409" t="n">
        <v>0</v>
      </c>
      <c r="P409" t="n">
        <v>0</v>
      </c>
      <c r="Q409" t="n">
        <v>0</v>
      </c>
      <c r="R409" s="2" t="inlineStr"/>
    </row>
    <row r="410" ht="15" customHeight="1">
      <c r="A410" t="inlineStr">
        <is>
          <t>A 51809-2025</t>
        </is>
      </c>
      <c r="B410" s="1" t="n">
        <v>45951.80116898148</v>
      </c>
      <c r="C410" s="1" t="n">
        <v>46159</v>
      </c>
      <c r="D410" t="inlineStr">
        <is>
          <t>VÄSTMANLANDS LÄN</t>
        </is>
      </c>
      <c r="E410" t="inlineStr">
        <is>
          <t>SALA</t>
        </is>
      </c>
      <c r="F410" t="inlineStr">
        <is>
          <t>Kommuner</t>
        </is>
      </c>
      <c r="G410" t="n">
        <v>3.5</v>
      </c>
      <c r="H410" t="n">
        <v>0</v>
      </c>
      <c r="I410" t="n">
        <v>0</v>
      </c>
      <c r="J410" t="n">
        <v>0</v>
      </c>
      <c r="K410" t="n">
        <v>0</v>
      </c>
      <c r="L410" t="n">
        <v>0</v>
      </c>
      <c r="M410" t="n">
        <v>0</v>
      </c>
      <c r="N410" t="n">
        <v>0</v>
      </c>
      <c r="O410" t="n">
        <v>0</v>
      </c>
      <c r="P410" t="n">
        <v>0</v>
      </c>
      <c r="Q410" t="n">
        <v>0</v>
      </c>
      <c r="R410" s="2" t="inlineStr"/>
    </row>
    <row r="411" ht="15" customHeight="1">
      <c r="A411" t="inlineStr">
        <is>
          <t>A 51803-2025</t>
        </is>
      </c>
      <c r="B411" s="1" t="n">
        <v>45951.76818287037</v>
      </c>
      <c r="C411" s="1" t="n">
        <v>46159</v>
      </c>
      <c r="D411" t="inlineStr">
        <is>
          <t>VÄSTMANLANDS LÄN</t>
        </is>
      </c>
      <c r="E411" t="inlineStr">
        <is>
          <t>SALA</t>
        </is>
      </c>
      <c r="F411" t="inlineStr">
        <is>
          <t>Kommuner</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51805-2025</t>
        </is>
      </c>
      <c r="B412" s="1" t="n">
        <v>45951.78359953704</v>
      </c>
      <c r="C412" s="1" t="n">
        <v>46159</v>
      </c>
      <c r="D412" t="inlineStr">
        <is>
          <t>VÄSTMANLANDS LÄN</t>
        </is>
      </c>
      <c r="E412" t="inlineStr">
        <is>
          <t>SALA</t>
        </is>
      </c>
      <c r="F412" t="inlineStr">
        <is>
          <t>Kommuner</t>
        </is>
      </c>
      <c r="G412" t="n">
        <v>1.3</v>
      </c>
      <c r="H412" t="n">
        <v>0</v>
      </c>
      <c r="I412" t="n">
        <v>0</v>
      </c>
      <c r="J412" t="n">
        <v>0</v>
      </c>
      <c r="K412" t="n">
        <v>0</v>
      </c>
      <c r="L412" t="n">
        <v>0</v>
      </c>
      <c r="M412" t="n">
        <v>0</v>
      </c>
      <c r="N412" t="n">
        <v>0</v>
      </c>
      <c r="O412" t="n">
        <v>0</v>
      </c>
      <c r="P412" t="n">
        <v>0</v>
      </c>
      <c r="Q412" t="n">
        <v>0</v>
      </c>
      <c r="R412" s="2" t="inlineStr"/>
    </row>
    <row r="413" ht="15" customHeight="1">
      <c r="A413" t="inlineStr">
        <is>
          <t>A 31000-2022</t>
        </is>
      </c>
      <c r="B413" s="1" t="n">
        <v>44768</v>
      </c>
      <c r="C413" s="1" t="n">
        <v>46159</v>
      </c>
      <c r="D413" t="inlineStr">
        <is>
          <t>VÄSTMANLANDS LÄN</t>
        </is>
      </c>
      <c r="E413" t="inlineStr">
        <is>
          <t>SALA</t>
        </is>
      </c>
      <c r="G413" t="n">
        <v>5.7</v>
      </c>
      <c r="H413" t="n">
        <v>0</v>
      </c>
      <c r="I413" t="n">
        <v>0</v>
      </c>
      <c r="J413" t="n">
        <v>0</v>
      </c>
      <c r="K413" t="n">
        <v>0</v>
      </c>
      <c r="L413" t="n">
        <v>0</v>
      </c>
      <c r="M413" t="n">
        <v>0</v>
      </c>
      <c r="N413" t="n">
        <v>0</v>
      </c>
      <c r="O413" t="n">
        <v>0</v>
      </c>
      <c r="P413" t="n">
        <v>0</v>
      </c>
      <c r="Q413" t="n">
        <v>0</v>
      </c>
      <c r="R413" s="2" t="inlineStr"/>
    </row>
    <row r="414" ht="15" customHeight="1">
      <c r="A414" t="inlineStr">
        <is>
          <t>A 51804-2025</t>
        </is>
      </c>
      <c r="B414" s="1" t="n">
        <v>45951.77697916667</v>
      </c>
      <c r="C414" s="1" t="n">
        <v>46159</v>
      </c>
      <c r="D414" t="inlineStr">
        <is>
          <t>VÄSTMANLANDS LÄN</t>
        </is>
      </c>
      <c r="E414" t="inlineStr">
        <is>
          <t>SALA</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51808-2025</t>
        </is>
      </c>
      <c r="B415" s="1" t="n">
        <v>45951.79302083333</v>
      </c>
      <c r="C415" s="1" t="n">
        <v>46159</v>
      </c>
      <c r="D415" t="inlineStr">
        <is>
          <t>VÄSTMANLANDS LÄN</t>
        </is>
      </c>
      <c r="E415" t="inlineStr">
        <is>
          <t>SALA</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51764-2025</t>
        </is>
      </c>
      <c r="B416" s="1" t="n">
        <v>45951.63636574074</v>
      </c>
      <c r="C416" s="1" t="n">
        <v>46159</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31950-2023</t>
        </is>
      </c>
      <c r="B417" s="1" t="n">
        <v>45107</v>
      </c>
      <c r="C417" s="1" t="n">
        <v>46159</v>
      </c>
      <c r="D417" t="inlineStr">
        <is>
          <t>VÄSTMANLANDS LÄN</t>
        </is>
      </c>
      <c r="E417" t="inlineStr">
        <is>
          <t>SALA</t>
        </is>
      </c>
      <c r="G417" t="n">
        <v>0.1</v>
      </c>
      <c r="H417" t="n">
        <v>0</v>
      </c>
      <c r="I417" t="n">
        <v>0</v>
      </c>
      <c r="J417" t="n">
        <v>0</v>
      </c>
      <c r="K417" t="n">
        <v>0</v>
      </c>
      <c r="L417" t="n">
        <v>0</v>
      </c>
      <c r="M417" t="n">
        <v>0</v>
      </c>
      <c r="N417" t="n">
        <v>0</v>
      </c>
      <c r="O417" t="n">
        <v>0</v>
      </c>
      <c r="P417" t="n">
        <v>0</v>
      </c>
      <c r="Q417" t="n">
        <v>0</v>
      </c>
      <c r="R417" s="2" t="inlineStr"/>
    </row>
    <row r="418" ht="15" customHeight="1">
      <c r="A418" t="inlineStr">
        <is>
          <t>A 37017-2025</t>
        </is>
      </c>
      <c r="B418" s="1" t="n">
        <v>45874</v>
      </c>
      <c r="C418" s="1" t="n">
        <v>46159</v>
      </c>
      <c r="D418" t="inlineStr">
        <is>
          <t>VÄSTMANLANDS LÄN</t>
        </is>
      </c>
      <c r="E418" t="inlineStr">
        <is>
          <t>SALA</t>
        </is>
      </c>
      <c r="G418" t="n">
        <v>11.1</v>
      </c>
      <c r="H418" t="n">
        <v>0</v>
      </c>
      <c r="I418" t="n">
        <v>0</v>
      </c>
      <c r="J418" t="n">
        <v>0</v>
      </c>
      <c r="K418" t="n">
        <v>0</v>
      </c>
      <c r="L418" t="n">
        <v>0</v>
      </c>
      <c r="M418" t="n">
        <v>0</v>
      </c>
      <c r="N418" t="n">
        <v>0</v>
      </c>
      <c r="O418" t="n">
        <v>0</v>
      </c>
      <c r="P418" t="n">
        <v>0</v>
      </c>
      <c r="Q418" t="n">
        <v>0</v>
      </c>
      <c r="R418" s="2" t="inlineStr"/>
    </row>
    <row r="419" ht="15" customHeight="1">
      <c r="A419" t="inlineStr">
        <is>
          <t>A 37103-2025</t>
        </is>
      </c>
      <c r="B419" s="1" t="n">
        <v>45875.47743055555</v>
      </c>
      <c r="C419" s="1" t="n">
        <v>46159</v>
      </c>
      <c r="D419" t="inlineStr">
        <is>
          <t>VÄSTMANLANDS LÄN</t>
        </is>
      </c>
      <c r="E419" t="inlineStr">
        <is>
          <t>SALA</t>
        </is>
      </c>
      <c r="G419" t="n">
        <v>1.9</v>
      </c>
      <c r="H419" t="n">
        <v>0</v>
      </c>
      <c r="I419" t="n">
        <v>0</v>
      </c>
      <c r="J419" t="n">
        <v>0</v>
      </c>
      <c r="K419" t="n">
        <v>0</v>
      </c>
      <c r="L419" t="n">
        <v>0</v>
      </c>
      <c r="M419" t="n">
        <v>0</v>
      </c>
      <c r="N419" t="n">
        <v>0</v>
      </c>
      <c r="O419" t="n">
        <v>0</v>
      </c>
      <c r="P419" t="n">
        <v>0</v>
      </c>
      <c r="Q419" t="n">
        <v>0</v>
      </c>
      <c r="R419" s="2" t="inlineStr"/>
    </row>
    <row r="420" ht="15" customHeight="1">
      <c r="A420" t="inlineStr">
        <is>
          <t>A 16693-2023</t>
        </is>
      </c>
      <c r="B420" s="1" t="n">
        <v>45028</v>
      </c>
      <c r="C420" s="1" t="n">
        <v>46159</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37246-2025</t>
        </is>
      </c>
      <c r="B421" s="1" t="n">
        <v>45876.39435185185</v>
      </c>
      <c r="C421" s="1" t="n">
        <v>46159</v>
      </c>
      <c r="D421" t="inlineStr">
        <is>
          <t>VÄSTMANLANDS LÄN</t>
        </is>
      </c>
      <c r="E421" t="inlineStr">
        <is>
          <t>SALA</t>
        </is>
      </c>
      <c r="G421" t="n">
        <v>2.3</v>
      </c>
      <c r="H421" t="n">
        <v>0</v>
      </c>
      <c r="I421" t="n">
        <v>0</v>
      </c>
      <c r="J421" t="n">
        <v>0</v>
      </c>
      <c r="K421" t="n">
        <v>0</v>
      </c>
      <c r="L421" t="n">
        <v>0</v>
      </c>
      <c r="M421" t="n">
        <v>0</v>
      </c>
      <c r="N421" t="n">
        <v>0</v>
      </c>
      <c r="O421" t="n">
        <v>0</v>
      </c>
      <c r="P421" t="n">
        <v>0</v>
      </c>
      <c r="Q421" t="n">
        <v>0</v>
      </c>
      <c r="R421" s="2" t="inlineStr"/>
    </row>
    <row r="422" ht="15" customHeight="1">
      <c r="A422" t="inlineStr">
        <is>
          <t>A 23182-2022</t>
        </is>
      </c>
      <c r="B422" s="1" t="n">
        <v>44719.79707175926</v>
      </c>
      <c r="C422" s="1" t="n">
        <v>46159</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7329-2026</t>
        </is>
      </c>
      <c r="B423" s="1" t="n">
        <v>46058.68678240741</v>
      </c>
      <c r="C423" s="1" t="n">
        <v>46159</v>
      </c>
      <c r="D423" t="inlineStr">
        <is>
          <t>VÄSTMANLANDS LÄN</t>
        </is>
      </c>
      <c r="E423" t="inlineStr">
        <is>
          <t>SALA</t>
        </is>
      </c>
      <c r="G423" t="n">
        <v>3.1</v>
      </c>
      <c r="H423" t="n">
        <v>0</v>
      </c>
      <c r="I423" t="n">
        <v>0</v>
      </c>
      <c r="J423" t="n">
        <v>0</v>
      </c>
      <c r="K423" t="n">
        <v>0</v>
      </c>
      <c r="L423" t="n">
        <v>0</v>
      </c>
      <c r="M423" t="n">
        <v>0</v>
      </c>
      <c r="N423" t="n">
        <v>0</v>
      </c>
      <c r="O423" t="n">
        <v>0</v>
      </c>
      <c r="P423" t="n">
        <v>0</v>
      </c>
      <c r="Q423" t="n">
        <v>0</v>
      </c>
      <c r="R423" s="2" t="inlineStr"/>
    </row>
    <row r="424" ht="15" customHeight="1">
      <c r="A424" t="inlineStr">
        <is>
          <t>A 57371-2022</t>
        </is>
      </c>
      <c r="B424" s="1" t="n">
        <v>44896.43832175926</v>
      </c>
      <c r="C424" s="1" t="n">
        <v>46159</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37590-2025</t>
        </is>
      </c>
      <c r="B425" s="1" t="n">
        <v>45880.41138888889</v>
      </c>
      <c r="C425" s="1" t="n">
        <v>46159</v>
      </c>
      <c r="D425" t="inlineStr">
        <is>
          <t>VÄSTMANLANDS LÄN</t>
        </is>
      </c>
      <c r="E425" t="inlineStr">
        <is>
          <t>SALA</t>
        </is>
      </c>
      <c r="G425" t="n">
        <v>2.2</v>
      </c>
      <c r="H425" t="n">
        <v>0</v>
      </c>
      <c r="I425" t="n">
        <v>0</v>
      </c>
      <c r="J425" t="n">
        <v>0</v>
      </c>
      <c r="K425" t="n">
        <v>0</v>
      </c>
      <c r="L425" t="n">
        <v>0</v>
      </c>
      <c r="M425" t="n">
        <v>0</v>
      </c>
      <c r="N425" t="n">
        <v>0</v>
      </c>
      <c r="O425" t="n">
        <v>0</v>
      </c>
      <c r="P425" t="n">
        <v>0</v>
      </c>
      <c r="Q425" t="n">
        <v>0</v>
      </c>
      <c r="R425" s="2" t="inlineStr"/>
    </row>
    <row r="426" ht="15" customHeight="1">
      <c r="A426" t="inlineStr">
        <is>
          <t>A 37593-2025</t>
        </is>
      </c>
      <c r="B426" s="1" t="n">
        <v>45880.41325231481</v>
      </c>
      <c r="C426" s="1" t="n">
        <v>46159</v>
      </c>
      <c r="D426" t="inlineStr">
        <is>
          <t>VÄSTMANLANDS LÄN</t>
        </is>
      </c>
      <c r="E426" t="inlineStr">
        <is>
          <t>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53744-2025</t>
        </is>
      </c>
      <c r="B427" s="1" t="n">
        <v>45960.64863425926</v>
      </c>
      <c r="C427" s="1" t="n">
        <v>46159</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53725-2025</t>
        </is>
      </c>
      <c r="B428" s="1" t="n">
        <v>45960.63394675926</v>
      </c>
      <c r="C428" s="1" t="n">
        <v>46159</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56548-2024</t>
        </is>
      </c>
      <c r="B429" s="1" t="n">
        <v>45625</v>
      </c>
      <c r="C429" s="1" t="n">
        <v>46159</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47086-2022</t>
        </is>
      </c>
      <c r="B430" s="1" t="n">
        <v>44852</v>
      </c>
      <c r="C430" s="1" t="n">
        <v>46159</v>
      </c>
      <c r="D430" t="inlineStr">
        <is>
          <t>VÄSTMANLANDS LÄN</t>
        </is>
      </c>
      <c r="E430" t="inlineStr">
        <is>
          <t>SALA</t>
        </is>
      </c>
      <c r="G430" t="n">
        <v>12.5</v>
      </c>
      <c r="H430" t="n">
        <v>0</v>
      </c>
      <c r="I430" t="n">
        <v>0</v>
      </c>
      <c r="J430" t="n">
        <v>0</v>
      </c>
      <c r="K430" t="n">
        <v>0</v>
      </c>
      <c r="L430" t="n">
        <v>0</v>
      </c>
      <c r="M430" t="n">
        <v>0</v>
      </c>
      <c r="N430" t="n">
        <v>0</v>
      </c>
      <c r="O430" t="n">
        <v>0</v>
      </c>
      <c r="P430" t="n">
        <v>0</v>
      </c>
      <c r="Q430" t="n">
        <v>0</v>
      </c>
      <c r="R430" s="2" t="inlineStr"/>
    </row>
    <row r="431" ht="15" customHeight="1">
      <c r="A431" t="inlineStr">
        <is>
          <t>A 7850-2026</t>
        </is>
      </c>
      <c r="B431" s="1" t="n">
        <v>46062.66236111111</v>
      </c>
      <c r="C431" s="1" t="n">
        <v>46159</v>
      </c>
      <c r="D431" t="inlineStr">
        <is>
          <t>VÄSTMANLANDS LÄN</t>
        </is>
      </c>
      <c r="E431" t="inlineStr">
        <is>
          <t>SALA</t>
        </is>
      </c>
      <c r="G431" t="n">
        <v>2.3</v>
      </c>
      <c r="H431" t="n">
        <v>0</v>
      </c>
      <c r="I431" t="n">
        <v>0</v>
      </c>
      <c r="J431" t="n">
        <v>0</v>
      </c>
      <c r="K431" t="n">
        <v>0</v>
      </c>
      <c r="L431" t="n">
        <v>0</v>
      </c>
      <c r="M431" t="n">
        <v>0</v>
      </c>
      <c r="N431" t="n">
        <v>0</v>
      </c>
      <c r="O431" t="n">
        <v>0</v>
      </c>
      <c r="P431" t="n">
        <v>0</v>
      </c>
      <c r="Q431" t="n">
        <v>0</v>
      </c>
      <c r="R431" s="2" t="inlineStr"/>
    </row>
    <row r="432" ht="15" customHeight="1">
      <c r="A432" t="inlineStr">
        <is>
          <t>A 53724-2025</t>
        </is>
      </c>
      <c r="B432" s="1" t="n">
        <v>45960.63174768518</v>
      </c>
      <c r="C432" s="1" t="n">
        <v>46159</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43359-2024</t>
        </is>
      </c>
      <c r="B433" s="1" t="n">
        <v>45568.57724537037</v>
      </c>
      <c r="C433" s="1" t="n">
        <v>46159</v>
      </c>
      <c r="D433" t="inlineStr">
        <is>
          <t>VÄSTMANLANDS LÄN</t>
        </is>
      </c>
      <c r="E433" t="inlineStr">
        <is>
          <t>SALA</t>
        </is>
      </c>
      <c r="G433" t="n">
        <v>1.6</v>
      </c>
      <c r="H433" t="n">
        <v>0</v>
      </c>
      <c r="I433" t="n">
        <v>0</v>
      </c>
      <c r="J433" t="n">
        <v>0</v>
      </c>
      <c r="K433" t="n">
        <v>0</v>
      </c>
      <c r="L433" t="n">
        <v>0</v>
      </c>
      <c r="M433" t="n">
        <v>0</v>
      </c>
      <c r="N433" t="n">
        <v>0</v>
      </c>
      <c r="O433" t="n">
        <v>0</v>
      </c>
      <c r="P433" t="n">
        <v>0</v>
      </c>
      <c r="Q433" t="n">
        <v>0</v>
      </c>
      <c r="R433" s="2" t="inlineStr"/>
    </row>
    <row r="434" ht="15" customHeight="1">
      <c r="A434" t="inlineStr">
        <is>
          <t>A 29972-2025</t>
        </is>
      </c>
      <c r="B434" s="1" t="n">
        <v>45826</v>
      </c>
      <c r="C434" s="1" t="n">
        <v>46159</v>
      </c>
      <c r="D434" t="inlineStr">
        <is>
          <t>VÄSTMANLANDS LÄN</t>
        </is>
      </c>
      <c r="E434" t="inlineStr">
        <is>
          <t>SALA</t>
        </is>
      </c>
      <c r="G434" t="n">
        <v>2.7</v>
      </c>
      <c r="H434" t="n">
        <v>0</v>
      </c>
      <c r="I434" t="n">
        <v>0</v>
      </c>
      <c r="J434" t="n">
        <v>0</v>
      </c>
      <c r="K434" t="n">
        <v>0</v>
      </c>
      <c r="L434" t="n">
        <v>0</v>
      </c>
      <c r="M434" t="n">
        <v>0</v>
      </c>
      <c r="N434" t="n">
        <v>0</v>
      </c>
      <c r="O434" t="n">
        <v>0</v>
      </c>
      <c r="P434" t="n">
        <v>0</v>
      </c>
      <c r="Q434" t="n">
        <v>0</v>
      </c>
      <c r="R434" s="2" t="inlineStr"/>
    </row>
    <row r="435" ht="15" customHeight="1">
      <c r="A435" t="inlineStr">
        <is>
          <t>A 7654-2026</t>
        </is>
      </c>
      <c r="B435" s="1" t="n">
        <v>46062.38828703704</v>
      </c>
      <c r="C435" s="1" t="n">
        <v>46159</v>
      </c>
      <c r="D435" t="inlineStr">
        <is>
          <t>VÄSTMANLANDS LÄN</t>
        </is>
      </c>
      <c r="E435" t="inlineStr">
        <is>
          <t>SALA</t>
        </is>
      </c>
      <c r="G435" t="n">
        <v>4.5</v>
      </c>
      <c r="H435" t="n">
        <v>0</v>
      </c>
      <c r="I435" t="n">
        <v>0</v>
      </c>
      <c r="J435" t="n">
        <v>0</v>
      </c>
      <c r="K435" t="n">
        <v>0</v>
      </c>
      <c r="L435" t="n">
        <v>0</v>
      </c>
      <c r="M435" t="n">
        <v>0</v>
      </c>
      <c r="N435" t="n">
        <v>0</v>
      </c>
      <c r="O435" t="n">
        <v>0</v>
      </c>
      <c r="P435" t="n">
        <v>0</v>
      </c>
      <c r="Q435" t="n">
        <v>0</v>
      </c>
      <c r="R435" s="2" t="inlineStr"/>
    </row>
    <row r="436" ht="15" customHeight="1">
      <c r="A436" t="inlineStr">
        <is>
          <t>A 7597-2026</t>
        </is>
      </c>
      <c r="B436" s="1" t="n">
        <v>46061.91765046296</v>
      </c>
      <c r="C436" s="1" t="n">
        <v>46159</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38636-2024</t>
        </is>
      </c>
      <c r="B437" s="1" t="n">
        <v>45546</v>
      </c>
      <c r="C437" s="1" t="n">
        <v>46159</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54201-2025</t>
        </is>
      </c>
      <c r="B438" s="1" t="n">
        <v>45964.58055555556</v>
      </c>
      <c r="C438" s="1" t="n">
        <v>46159</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7611-2026</t>
        </is>
      </c>
      <c r="B439" s="1" t="n">
        <v>46062.32387731481</v>
      </c>
      <c r="C439" s="1" t="n">
        <v>46159</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7676-2026</t>
        </is>
      </c>
      <c r="B440" s="1" t="n">
        <v>46062.42498842593</v>
      </c>
      <c r="C440" s="1" t="n">
        <v>46159</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7680-2026</t>
        </is>
      </c>
      <c r="B441" s="1" t="n">
        <v>46062.43087962963</v>
      </c>
      <c r="C441" s="1" t="n">
        <v>46159</v>
      </c>
      <c r="D441" t="inlineStr">
        <is>
          <t>VÄSTMANLANDS LÄN</t>
        </is>
      </c>
      <c r="E441" t="inlineStr">
        <is>
          <t>SALA</t>
        </is>
      </c>
      <c r="G441" t="n">
        <v>2.7</v>
      </c>
      <c r="H441" t="n">
        <v>0</v>
      </c>
      <c r="I441" t="n">
        <v>0</v>
      </c>
      <c r="J441" t="n">
        <v>0</v>
      </c>
      <c r="K441" t="n">
        <v>0</v>
      </c>
      <c r="L441" t="n">
        <v>0</v>
      </c>
      <c r="M441" t="n">
        <v>0</v>
      </c>
      <c r="N441" t="n">
        <v>0</v>
      </c>
      <c r="O441" t="n">
        <v>0</v>
      </c>
      <c r="P441" t="n">
        <v>0</v>
      </c>
      <c r="Q441" t="n">
        <v>0</v>
      </c>
      <c r="R441" s="2" t="inlineStr"/>
    </row>
    <row r="442" ht="15" customHeight="1">
      <c r="A442" t="inlineStr">
        <is>
          <t>A 7584-2026</t>
        </is>
      </c>
      <c r="B442" s="1" t="n">
        <v>46061.81653935185</v>
      </c>
      <c r="C442" s="1" t="n">
        <v>46159</v>
      </c>
      <c r="D442" t="inlineStr">
        <is>
          <t>VÄSTMANLANDS LÄN</t>
        </is>
      </c>
      <c r="E442" t="inlineStr">
        <is>
          <t>SALA</t>
        </is>
      </c>
      <c r="G442" t="n">
        <v>16.7</v>
      </c>
      <c r="H442" t="n">
        <v>0</v>
      </c>
      <c r="I442" t="n">
        <v>0</v>
      </c>
      <c r="J442" t="n">
        <v>0</v>
      </c>
      <c r="K442" t="n">
        <v>0</v>
      </c>
      <c r="L442" t="n">
        <v>0</v>
      </c>
      <c r="M442" t="n">
        <v>0</v>
      </c>
      <c r="N442" t="n">
        <v>0</v>
      </c>
      <c r="O442" t="n">
        <v>0</v>
      </c>
      <c r="P442" t="n">
        <v>0</v>
      </c>
      <c r="Q442" t="n">
        <v>0</v>
      </c>
      <c r="R442" s="2" t="inlineStr"/>
    </row>
    <row r="443" ht="15" customHeight="1">
      <c r="A443" t="inlineStr">
        <is>
          <t>A 7590-2026</t>
        </is>
      </c>
      <c r="B443" s="1" t="n">
        <v>46061.85252314815</v>
      </c>
      <c r="C443" s="1" t="n">
        <v>46159</v>
      </c>
      <c r="D443" t="inlineStr">
        <is>
          <t>VÄSTMANLANDS LÄN</t>
        </is>
      </c>
      <c r="E443" t="inlineStr">
        <is>
          <t>SALA</t>
        </is>
      </c>
      <c r="G443" t="n">
        <v>1.9</v>
      </c>
      <c r="H443" t="n">
        <v>0</v>
      </c>
      <c r="I443" t="n">
        <v>0</v>
      </c>
      <c r="J443" t="n">
        <v>0</v>
      </c>
      <c r="K443" t="n">
        <v>0</v>
      </c>
      <c r="L443" t="n">
        <v>0</v>
      </c>
      <c r="M443" t="n">
        <v>0</v>
      </c>
      <c r="N443" t="n">
        <v>0</v>
      </c>
      <c r="O443" t="n">
        <v>0</v>
      </c>
      <c r="P443" t="n">
        <v>0</v>
      </c>
      <c r="Q443" t="n">
        <v>0</v>
      </c>
      <c r="R443" s="2" t="inlineStr"/>
    </row>
    <row r="444" ht="15" customHeight="1">
      <c r="A444" t="inlineStr">
        <is>
          <t>A 7596-2026</t>
        </is>
      </c>
      <c r="B444" s="1" t="n">
        <v>46061.90922453703</v>
      </c>
      <c r="C444" s="1" t="n">
        <v>46159</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988-2025</t>
        </is>
      </c>
      <c r="B445" s="1" t="n">
        <v>45666.44038194444</v>
      </c>
      <c r="C445" s="1" t="n">
        <v>46159</v>
      </c>
      <c r="D445" t="inlineStr">
        <is>
          <t>VÄSTMANLANDS LÄN</t>
        </is>
      </c>
      <c r="E445" t="inlineStr">
        <is>
          <t>SALA</t>
        </is>
      </c>
      <c r="G445" t="n">
        <v>1.3</v>
      </c>
      <c r="H445" t="n">
        <v>0</v>
      </c>
      <c r="I445" t="n">
        <v>0</v>
      </c>
      <c r="J445" t="n">
        <v>0</v>
      </c>
      <c r="K445" t="n">
        <v>0</v>
      </c>
      <c r="L445" t="n">
        <v>0</v>
      </c>
      <c r="M445" t="n">
        <v>0</v>
      </c>
      <c r="N445" t="n">
        <v>0</v>
      </c>
      <c r="O445" t="n">
        <v>0</v>
      </c>
      <c r="P445" t="n">
        <v>0</v>
      </c>
      <c r="Q445" t="n">
        <v>0</v>
      </c>
      <c r="R445" s="2" t="inlineStr"/>
    </row>
    <row r="446" ht="15" customHeight="1">
      <c r="A446" t="inlineStr">
        <is>
          <t>A 7661-2026</t>
        </is>
      </c>
      <c r="B446" s="1" t="n">
        <v>46062.39614583334</v>
      </c>
      <c r="C446" s="1" t="n">
        <v>46159</v>
      </c>
      <c r="D446" t="inlineStr">
        <is>
          <t>VÄSTMANLANDS LÄN</t>
        </is>
      </c>
      <c r="E446" t="inlineStr">
        <is>
          <t>SALA</t>
        </is>
      </c>
      <c r="G446" t="n">
        <v>1.3</v>
      </c>
      <c r="H446" t="n">
        <v>0</v>
      </c>
      <c r="I446" t="n">
        <v>0</v>
      </c>
      <c r="J446" t="n">
        <v>0</v>
      </c>
      <c r="K446" t="n">
        <v>0</v>
      </c>
      <c r="L446" t="n">
        <v>0</v>
      </c>
      <c r="M446" t="n">
        <v>0</v>
      </c>
      <c r="N446" t="n">
        <v>0</v>
      </c>
      <c r="O446" t="n">
        <v>0</v>
      </c>
      <c r="P446" t="n">
        <v>0</v>
      </c>
      <c r="Q446" t="n">
        <v>0</v>
      </c>
      <c r="R446" s="2" t="inlineStr"/>
    </row>
    <row r="447" ht="15" customHeight="1">
      <c r="A447" t="inlineStr">
        <is>
          <t>A 7588-2026</t>
        </is>
      </c>
      <c r="B447" s="1" t="n">
        <v>46061.83528935185</v>
      </c>
      <c r="C447" s="1" t="n">
        <v>46159</v>
      </c>
      <c r="D447" t="inlineStr">
        <is>
          <t>VÄSTMANLANDS LÄN</t>
        </is>
      </c>
      <c r="E447" t="inlineStr">
        <is>
          <t>SALA</t>
        </is>
      </c>
      <c r="G447" t="n">
        <v>2.8</v>
      </c>
      <c r="H447" t="n">
        <v>0</v>
      </c>
      <c r="I447" t="n">
        <v>0</v>
      </c>
      <c r="J447" t="n">
        <v>0</v>
      </c>
      <c r="K447" t="n">
        <v>0</v>
      </c>
      <c r="L447" t="n">
        <v>0</v>
      </c>
      <c r="M447" t="n">
        <v>0</v>
      </c>
      <c r="N447" t="n">
        <v>0</v>
      </c>
      <c r="O447" t="n">
        <v>0</v>
      </c>
      <c r="P447" t="n">
        <v>0</v>
      </c>
      <c r="Q447" t="n">
        <v>0</v>
      </c>
      <c r="R447" s="2" t="inlineStr"/>
    </row>
    <row r="448" ht="15" customHeight="1">
      <c r="A448" t="inlineStr">
        <is>
          <t>A 5032-2025</t>
        </is>
      </c>
      <c r="B448" s="1" t="n">
        <v>45691</v>
      </c>
      <c r="C448" s="1" t="n">
        <v>46159</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7595-2026</t>
        </is>
      </c>
      <c r="B449" s="1" t="n">
        <v>46061.90009259259</v>
      </c>
      <c r="C449" s="1" t="n">
        <v>46159</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7593-2026</t>
        </is>
      </c>
      <c r="B450" s="1" t="n">
        <v>46061.88057870371</v>
      </c>
      <c r="C450" s="1" t="n">
        <v>46159</v>
      </c>
      <c r="D450" t="inlineStr">
        <is>
          <t>VÄSTMANLANDS LÄN</t>
        </is>
      </c>
      <c r="E450" t="inlineStr">
        <is>
          <t>SALA</t>
        </is>
      </c>
      <c r="G450" t="n">
        <v>7.5</v>
      </c>
      <c r="H450" t="n">
        <v>0</v>
      </c>
      <c r="I450" t="n">
        <v>0</v>
      </c>
      <c r="J450" t="n">
        <v>0</v>
      </c>
      <c r="K450" t="n">
        <v>0</v>
      </c>
      <c r="L450" t="n">
        <v>0</v>
      </c>
      <c r="M450" t="n">
        <v>0</v>
      </c>
      <c r="N450" t="n">
        <v>0</v>
      </c>
      <c r="O450" t="n">
        <v>0</v>
      </c>
      <c r="P450" t="n">
        <v>0</v>
      </c>
      <c r="Q450" t="n">
        <v>0</v>
      </c>
      <c r="R450" s="2" t="inlineStr"/>
    </row>
    <row r="451" ht="15" customHeight="1">
      <c r="A451" t="inlineStr">
        <is>
          <t>A 54344-2025</t>
        </is>
      </c>
      <c r="B451" s="1" t="n">
        <v>45965.36462962963</v>
      </c>
      <c r="C451" s="1" t="n">
        <v>46159</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66908-2021</t>
        </is>
      </c>
      <c r="B452" s="1" t="n">
        <v>44522</v>
      </c>
      <c r="C452" s="1" t="n">
        <v>46159</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54590-2025</t>
        </is>
      </c>
      <c r="B453" s="1" t="n">
        <v>45965.74199074074</v>
      </c>
      <c r="C453" s="1" t="n">
        <v>46159</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11696-2025</t>
        </is>
      </c>
      <c r="B454" s="1" t="n">
        <v>45727</v>
      </c>
      <c r="C454" s="1" t="n">
        <v>46159</v>
      </c>
      <c r="D454" t="inlineStr">
        <is>
          <t>VÄSTMANLANDS LÄN</t>
        </is>
      </c>
      <c r="E454" t="inlineStr">
        <is>
          <t>SALA</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54893-2025</t>
        </is>
      </c>
      <c r="B455" s="1" t="n">
        <v>45967.36383101852</v>
      </c>
      <c r="C455" s="1" t="n">
        <v>46159</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43509-2021</t>
        </is>
      </c>
      <c r="B456" s="1" t="n">
        <v>44433</v>
      </c>
      <c r="C456" s="1" t="n">
        <v>46159</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19033-2025</t>
        </is>
      </c>
      <c r="B457" s="1" t="n">
        <v>45764.65796296296</v>
      </c>
      <c r="C457" s="1" t="n">
        <v>46159</v>
      </c>
      <c r="D457" t="inlineStr">
        <is>
          <t>VÄSTMANLANDS LÄN</t>
        </is>
      </c>
      <c r="E457" t="inlineStr">
        <is>
          <t>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13746-2025</t>
        </is>
      </c>
      <c r="B458" s="1" t="n">
        <v>45737.40944444444</v>
      </c>
      <c r="C458" s="1" t="n">
        <v>46159</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25897-2024</t>
        </is>
      </c>
      <c r="B459" s="1" t="n">
        <v>45467.54435185185</v>
      </c>
      <c r="C459" s="1" t="n">
        <v>46159</v>
      </c>
      <c r="D459" t="inlineStr">
        <is>
          <t>VÄSTMANLANDS LÄN</t>
        </is>
      </c>
      <c r="E459" t="inlineStr">
        <is>
          <t>SALA</t>
        </is>
      </c>
      <c r="G459" t="n">
        <v>9.9</v>
      </c>
      <c r="H459" t="n">
        <v>0</v>
      </c>
      <c r="I459" t="n">
        <v>0</v>
      </c>
      <c r="J459" t="n">
        <v>0</v>
      </c>
      <c r="K459" t="n">
        <v>0</v>
      </c>
      <c r="L459" t="n">
        <v>0</v>
      </c>
      <c r="M459" t="n">
        <v>0</v>
      </c>
      <c r="N459" t="n">
        <v>0</v>
      </c>
      <c r="O459" t="n">
        <v>0</v>
      </c>
      <c r="P459" t="n">
        <v>0</v>
      </c>
      <c r="Q459" t="n">
        <v>0</v>
      </c>
      <c r="R459" s="2" t="inlineStr"/>
    </row>
    <row r="460" ht="15" customHeight="1">
      <c r="A460" t="inlineStr">
        <is>
          <t>A 23222-2023</t>
        </is>
      </c>
      <c r="B460" s="1" t="n">
        <v>45075</v>
      </c>
      <c r="C460" s="1" t="n">
        <v>46159</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23224-2023</t>
        </is>
      </c>
      <c r="B461" s="1" t="n">
        <v>45075.65040509259</v>
      </c>
      <c r="C461" s="1" t="n">
        <v>46159</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50479-2022</t>
        </is>
      </c>
      <c r="B462" s="1" t="n">
        <v>44861</v>
      </c>
      <c r="C462" s="1" t="n">
        <v>46159</v>
      </c>
      <c r="D462" t="inlineStr">
        <is>
          <t>VÄSTMANLANDS LÄN</t>
        </is>
      </c>
      <c r="E462" t="inlineStr">
        <is>
          <t>SALA</t>
        </is>
      </c>
      <c r="G462" t="n">
        <v>0.9</v>
      </c>
      <c r="H462" t="n">
        <v>0</v>
      </c>
      <c r="I462" t="n">
        <v>0</v>
      </c>
      <c r="J462" t="n">
        <v>0</v>
      </c>
      <c r="K462" t="n">
        <v>0</v>
      </c>
      <c r="L462" t="n">
        <v>0</v>
      </c>
      <c r="M462" t="n">
        <v>0</v>
      </c>
      <c r="N462" t="n">
        <v>0</v>
      </c>
      <c r="O462" t="n">
        <v>0</v>
      </c>
      <c r="P462" t="n">
        <v>0</v>
      </c>
      <c r="Q462" t="n">
        <v>0</v>
      </c>
      <c r="R462" s="2" t="inlineStr"/>
    </row>
    <row r="463" ht="15" customHeight="1">
      <c r="A463" t="inlineStr">
        <is>
          <t>A 55997-2025</t>
        </is>
      </c>
      <c r="B463" s="1" t="n">
        <v>45973.56833333334</v>
      </c>
      <c r="C463" s="1" t="n">
        <v>46159</v>
      </c>
      <c r="D463" t="inlineStr">
        <is>
          <t>VÄSTMANLANDS LÄN</t>
        </is>
      </c>
      <c r="E463" t="inlineStr">
        <is>
          <t>SALA</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14919-2025</t>
        </is>
      </c>
      <c r="B464" s="1" t="n">
        <v>45743.54256944444</v>
      </c>
      <c r="C464" s="1" t="n">
        <v>46159</v>
      </c>
      <c r="D464" t="inlineStr">
        <is>
          <t>VÄSTMANLANDS LÄN</t>
        </is>
      </c>
      <c r="E464" t="inlineStr">
        <is>
          <t>SALA</t>
        </is>
      </c>
      <c r="G464" t="n">
        <v>0.6</v>
      </c>
      <c r="H464" t="n">
        <v>0</v>
      </c>
      <c r="I464" t="n">
        <v>0</v>
      </c>
      <c r="J464" t="n">
        <v>0</v>
      </c>
      <c r="K464" t="n">
        <v>0</v>
      </c>
      <c r="L464" t="n">
        <v>0</v>
      </c>
      <c r="M464" t="n">
        <v>0</v>
      </c>
      <c r="N464" t="n">
        <v>0</v>
      </c>
      <c r="O464" t="n">
        <v>0</v>
      </c>
      <c r="P464" t="n">
        <v>0</v>
      </c>
      <c r="Q464" t="n">
        <v>0</v>
      </c>
      <c r="R464" s="2" t="inlineStr"/>
    </row>
    <row r="465" ht="15" customHeight="1">
      <c r="A465" t="inlineStr">
        <is>
          <t>A 14920-2025</t>
        </is>
      </c>
      <c r="B465" s="1" t="n">
        <v>45743</v>
      </c>
      <c r="C465" s="1" t="n">
        <v>46159</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55714-2025</t>
        </is>
      </c>
      <c r="B466" s="1" t="n">
        <v>45972.49131944445</v>
      </c>
      <c r="C466" s="1" t="n">
        <v>46159</v>
      </c>
      <c r="D466" t="inlineStr">
        <is>
          <t>VÄSTMANLANDS LÄN</t>
        </is>
      </c>
      <c r="E466" t="inlineStr">
        <is>
          <t>SALA</t>
        </is>
      </c>
      <c r="G466" t="n">
        <v>6.6</v>
      </c>
      <c r="H466" t="n">
        <v>0</v>
      </c>
      <c r="I466" t="n">
        <v>0</v>
      </c>
      <c r="J466" t="n">
        <v>0</v>
      </c>
      <c r="K466" t="n">
        <v>0</v>
      </c>
      <c r="L466" t="n">
        <v>0</v>
      </c>
      <c r="M466" t="n">
        <v>0</v>
      </c>
      <c r="N466" t="n">
        <v>0</v>
      </c>
      <c r="O466" t="n">
        <v>0</v>
      </c>
      <c r="P466" t="n">
        <v>0</v>
      </c>
      <c r="Q466" t="n">
        <v>0</v>
      </c>
      <c r="R466" s="2" t="inlineStr"/>
    </row>
    <row r="467" ht="15" customHeight="1">
      <c r="A467" t="inlineStr">
        <is>
          <t>A 56614-2025</t>
        </is>
      </c>
      <c r="B467" s="1" t="n">
        <v>45975.59288194445</v>
      </c>
      <c r="C467" s="1" t="n">
        <v>46159</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13855-2023</t>
        </is>
      </c>
      <c r="B468" s="1" t="n">
        <v>45007</v>
      </c>
      <c r="C468" s="1" t="n">
        <v>46159</v>
      </c>
      <c r="D468" t="inlineStr">
        <is>
          <t>VÄSTMANLANDS LÄN</t>
        </is>
      </c>
      <c r="E468" t="inlineStr">
        <is>
          <t>SALA</t>
        </is>
      </c>
      <c r="G468" t="n">
        <v>2.9</v>
      </c>
      <c r="H468" t="n">
        <v>0</v>
      </c>
      <c r="I468" t="n">
        <v>0</v>
      </c>
      <c r="J468" t="n">
        <v>0</v>
      </c>
      <c r="K468" t="n">
        <v>0</v>
      </c>
      <c r="L468" t="n">
        <v>0</v>
      </c>
      <c r="M468" t="n">
        <v>0</v>
      </c>
      <c r="N468" t="n">
        <v>0</v>
      </c>
      <c r="O468" t="n">
        <v>0</v>
      </c>
      <c r="P468" t="n">
        <v>0</v>
      </c>
      <c r="Q468" t="n">
        <v>0</v>
      </c>
      <c r="R468" s="2" t="inlineStr"/>
    </row>
    <row r="469" ht="15" customHeight="1">
      <c r="A469" t="inlineStr">
        <is>
          <t>A 56611-2025</t>
        </is>
      </c>
      <c r="B469" s="1" t="n">
        <v>45975</v>
      </c>
      <c r="C469" s="1" t="n">
        <v>46159</v>
      </c>
      <c r="D469" t="inlineStr">
        <is>
          <t>VÄSTMANLANDS LÄN</t>
        </is>
      </c>
      <c r="E469" t="inlineStr">
        <is>
          <t>SALA</t>
        </is>
      </c>
      <c r="G469" t="n">
        <v>2.8</v>
      </c>
      <c r="H469" t="n">
        <v>0</v>
      </c>
      <c r="I469" t="n">
        <v>0</v>
      </c>
      <c r="J469" t="n">
        <v>0</v>
      </c>
      <c r="K469" t="n">
        <v>0</v>
      </c>
      <c r="L469" t="n">
        <v>0</v>
      </c>
      <c r="M469" t="n">
        <v>0</v>
      </c>
      <c r="N469" t="n">
        <v>0</v>
      </c>
      <c r="O469" t="n">
        <v>0</v>
      </c>
      <c r="P469" t="n">
        <v>0</v>
      </c>
      <c r="Q469" t="n">
        <v>0</v>
      </c>
      <c r="R469" s="2" t="inlineStr"/>
    </row>
    <row r="470" ht="15" customHeight="1">
      <c r="A470" t="inlineStr">
        <is>
          <t>A 57014-2025</t>
        </is>
      </c>
      <c r="B470" s="1" t="n">
        <v>45978</v>
      </c>
      <c r="C470" s="1" t="n">
        <v>46159</v>
      </c>
      <c r="D470" t="inlineStr">
        <is>
          <t>VÄSTMANLANDS LÄN</t>
        </is>
      </c>
      <c r="E470" t="inlineStr">
        <is>
          <t>SALA</t>
        </is>
      </c>
      <c r="G470" t="n">
        <v>2.2</v>
      </c>
      <c r="H470" t="n">
        <v>0</v>
      </c>
      <c r="I470" t="n">
        <v>0</v>
      </c>
      <c r="J470" t="n">
        <v>0</v>
      </c>
      <c r="K470" t="n">
        <v>0</v>
      </c>
      <c r="L470" t="n">
        <v>0</v>
      </c>
      <c r="M470" t="n">
        <v>0</v>
      </c>
      <c r="N470" t="n">
        <v>0</v>
      </c>
      <c r="O470" t="n">
        <v>0</v>
      </c>
      <c r="P470" t="n">
        <v>0</v>
      </c>
      <c r="Q470" t="n">
        <v>0</v>
      </c>
      <c r="R470" s="2" t="inlineStr"/>
    </row>
    <row r="471" ht="15" customHeight="1">
      <c r="A471" t="inlineStr">
        <is>
          <t>A 56502-2025</t>
        </is>
      </c>
      <c r="B471" s="1" t="n">
        <v>45975</v>
      </c>
      <c r="C471" s="1" t="n">
        <v>46159</v>
      </c>
      <c r="D471" t="inlineStr">
        <is>
          <t>VÄSTMANLANDS LÄN</t>
        </is>
      </c>
      <c r="E471" t="inlineStr">
        <is>
          <t>SALA</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56593-2025</t>
        </is>
      </c>
      <c r="B472" s="1" t="n">
        <v>45975</v>
      </c>
      <c r="C472" s="1" t="n">
        <v>46159</v>
      </c>
      <c r="D472" t="inlineStr">
        <is>
          <t>VÄSTMANLANDS LÄN</t>
        </is>
      </c>
      <c r="E472" t="inlineStr">
        <is>
          <t>SALA</t>
        </is>
      </c>
      <c r="F472" t="inlineStr">
        <is>
          <t>Kyrkan</t>
        </is>
      </c>
      <c r="G472" t="n">
        <v>0.1</v>
      </c>
      <c r="H472" t="n">
        <v>0</v>
      </c>
      <c r="I472" t="n">
        <v>0</v>
      </c>
      <c r="J472" t="n">
        <v>0</v>
      </c>
      <c r="K472" t="n">
        <v>0</v>
      </c>
      <c r="L472" t="n">
        <v>0</v>
      </c>
      <c r="M472" t="n">
        <v>0</v>
      </c>
      <c r="N472" t="n">
        <v>0</v>
      </c>
      <c r="O472" t="n">
        <v>0</v>
      </c>
      <c r="P472" t="n">
        <v>0</v>
      </c>
      <c r="Q472" t="n">
        <v>0</v>
      </c>
      <c r="R472" s="2" t="inlineStr"/>
    </row>
    <row r="473" ht="15" customHeight="1">
      <c r="A473" t="inlineStr">
        <is>
          <t>A 56645-2025</t>
        </is>
      </c>
      <c r="B473" s="1" t="n">
        <v>45975.63063657407</v>
      </c>
      <c r="C473" s="1" t="n">
        <v>46159</v>
      </c>
      <c r="D473" t="inlineStr">
        <is>
          <t>VÄSTMANLANDS LÄN</t>
        </is>
      </c>
      <c r="E473" t="inlineStr">
        <is>
          <t>SALA</t>
        </is>
      </c>
      <c r="F473" t="inlineStr">
        <is>
          <t>Bergvik skog öst AB</t>
        </is>
      </c>
      <c r="G473" t="n">
        <v>5.3</v>
      </c>
      <c r="H473" t="n">
        <v>0</v>
      </c>
      <c r="I473" t="n">
        <v>0</v>
      </c>
      <c r="J473" t="n">
        <v>0</v>
      </c>
      <c r="K473" t="n">
        <v>0</v>
      </c>
      <c r="L473" t="n">
        <v>0</v>
      </c>
      <c r="M473" t="n">
        <v>0</v>
      </c>
      <c r="N473" t="n">
        <v>0</v>
      </c>
      <c r="O473" t="n">
        <v>0</v>
      </c>
      <c r="P473" t="n">
        <v>0</v>
      </c>
      <c r="Q473" t="n">
        <v>0</v>
      </c>
      <c r="R473" s="2" t="inlineStr"/>
    </row>
    <row r="474" ht="15" customHeight="1">
      <c r="A474" t="inlineStr">
        <is>
          <t>A 18877-2023</t>
        </is>
      </c>
      <c r="B474" s="1" t="n">
        <v>45044</v>
      </c>
      <c r="C474" s="1" t="n">
        <v>46159</v>
      </c>
      <c r="D474" t="inlineStr">
        <is>
          <t>VÄSTMANLANDS LÄN</t>
        </is>
      </c>
      <c r="E474" t="inlineStr">
        <is>
          <t>SALA</t>
        </is>
      </c>
      <c r="F474" t="inlineStr">
        <is>
          <t>Kommuner</t>
        </is>
      </c>
      <c r="G474" t="n">
        <v>4.4</v>
      </c>
      <c r="H474" t="n">
        <v>0</v>
      </c>
      <c r="I474" t="n">
        <v>0</v>
      </c>
      <c r="J474" t="n">
        <v>0</v>
      </c>
      <c r="K474" t="n">
        <v>0</v>
      </c>
      <c r="L474" t="n">
        <v>0</v>
      </c>
      <c r="M474" t="n">
        <v>0</v>
      </c>
      <c r="N474" t="n">
        <v>0</v>
      </c>
      <c r="O474" t="n">
        <v>0</v>
      </c>
      <c r="P474" t="n">
        <v>0</v>
      </c>
      <c r="Q474" t="n">
        <v>0</v>
      </c>
      <c r="R474" s="2" t="inlineStr"/>
    </row>
    <row r="475" ht="15" customHeight="1">
      <c r="A475" t="inlineStr">
        <is>
          <t>A 55556-2023</t>
        </is>
      </c>
      <c r="B475" s="1" t="n">
        <v>45232</v>
      </c>
      <c r="C475" s="1" t="n">
        <v>46159</v>
      </c>
      <c r="D475" t="inlineStr">
        <is>
          <t>VÄSTMANLANDS LÄN</t>
        </is>
      </c>
      <c r="E475" t="inlineStr">
        <is>
          <t>SALA</t>
        </is>
      </c>
      <c r="G475" t="n">
        <v>1.3</v>
      </c>
      <c r="H475" t="n">
        <v>0</v>
      </c>
      <c r="I475" t="n">
        <v>0</v>
      </c>
      <c r="J475" t="n">
        <v>0</v>
      </c>
      <c r="K475" t="n">
        <v>0</v>
      </c>
      <c r="L475" t="n">
        <v>0</v>
      </c>
      <c r="M475" t="n">
        <v>0</v>
      </c>
      <c r="N475" t="n">
        <v>0</v>
      </c>
      <c r="O475" t="n">
        <v>0</v>
      </c>
      <c r="P475" t="n">
        <v>0</v>
      </c>
      <c r="Q475" t="n">
        <v>0</v>
      </c>
      <c r="R475" s="2" t="inlineStr"/>
    </row>
    <row r="476" ht="15" customHeight="1">
      <c r="A476" t="inlineStr">
        <is>
          <t>A 34494-2023</t>
        </is>
      </c>
      <c r="B476" s="1" t="n">
        <v>45133</v>
      </c>
      <c r="C476" s="1" t="n">
        <v>46159</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13752-2025</t>
        </is>
      </c>
      <c r="B477" s="1" t="n">
        <v>45737.41416666667</v>
      </c>
      <c r="C477" s="1" t="n">
        <v>46159</v>
      </c>
      <c r="D477" t="inlineStr">
        <is>
          <t>VÄSTMANLANDS LÄN</t>
        </is>
      </c>
      <c r="E477" t="inlineStr">
        <is>
          <t>SALA</t>
        </is>
      </c>
      <c r="G477" t="n">
        <v>0.4</v>
      </c>
      <c r="H477" t="n">
        <v>0</v>
      </c>
      <c r="I477" t="n">
        <v>0</v>
      </c>
      <c r="J477" t="n">
        <v>0</v>
      </c>
      <c r="K477" t="n">
        <v>0</v>
      </c>
      <c r="L477" t="n">
        <v>0</v>
      </c>
      <c r="M477" t="n">
        <v>0</v>
      </c>
      <c r="N477" t="n">
        <v>0</v>
      </c>
      <c r="O477" t="n">
        <v>0</v>
      </c>
      <c r="P477" t="n">
        <v>0</v>
      </c>
      <c r="Q477" t="n">
        <v>0</v>
      </c>
      <c r="R477" s="2" t="inlineStr"/>
    </row>
    <row r="478" ht="15" customHeight="1">
      <c r="A478" t="inlineStr">
        <is>
          <t>A 57412-2025</t>
        </is>
      </c>
      <c r="B478" s="1" t="n">
        <v>45980.44883101852</v>
      </c>
      <c r="C478" s="1" t="n">
        <v>46159</v>
      </c>
      <c r="D478" t="inlineStr">
        <is>
          <t>VÄSTMANLANDS LÄN</t>
        </is>
      </c>
      <c r="E478" t="inlineStr">
        <is>
          <t>SALA</t>
        </is>
      </c>
      <c r="F478" t="inlineStr">
        <is>
          <t>Bergvik skog öst AB</t>
        </is>
      </c>
      <c r="G478" t="n">
        <v>4.5</v>
      </c>
      <c r="H478" t="n">
        <v>0</v>
      </c>
      <c r="I478" t="n">
        <v>0</v>
      </c>
      <c r="J478" t="n">
        <v>0</v>
      </c>
      <c r="K478" t="n">
        <v>0</v>
      </c>
      <c r="L478" t="n">
        <v>0</v>
      </c>
      <c r="M478" t="n">
        <v>0</v>
      </c>
      <c r="N478" t="n">
        <v>0</v>
      </c>
      <c r="O478" t="n">
        <v>0</v>
      </c>
      <c r="P478" t="n">
        <v>0</v>
      </c>
      <c r="Q478" t="n">
        <v>0</v>
      </c>
      <c r="R478" s="2" t="inlineStr"/>
    </row>
    <row r="479" ht="15" customHeight="1">
      <c r="A479" t="inlineStr">
        <is>
          <t>A 57414-2025</t>
        </is>
      </c>
      <c r="B479" s="1" t="n">
        <v>45980.45003472222</v>
      </c>
      <c r="C479" s="1" t="n">
        <v>46159</v>
      </c>
      <c r="D479" t="inlineStr">
        <is>
          <t>VÄSTMANLANDS LÄN</t>
        </is>
      </c>
      <c r="E479" t="inlineStr">
        <is>
          <t>SALA</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57415-2025</t>
        </is>
      </c>
      <c r="B480" s="1" t="n">
        <v>45980.45099537037</v>
      </c>
      <c r="C480" s="1" t="n">
        <v>46159</v>
      </c>
      <c r="D480" t="inlineStr">
        <is>
          <t>VÄSTMANLANDS LÄN</t>
        </is>
      </c>
      <c r="E480" t="inlineStr">
        <is>
          <t>SALA</t>
        </is>
      </c>
      <c r="F480" t="inlineStr">
        <is>
          <t>Bergvik skog öst AB</t>
        </is>
      </c>
      <c r="G480" t="n">
        <v>1.4</v>
      </c>
      <c r="H480" t="n">
        <v>0</v>
      </c>
      <c r="I480" t="n">
        <v>0</v>
      </c>
      <c r="J480" t="n">
        <v>0</v>
      </c>
      <c r="K480" t="n">
        <v>0</v>
      </c>
      <c r="L480" t="n">
        <v>0</v>
      </c>
      <c r="M480" t="n">
        <v>0</v>
      </c>
      <c r="N480" t="n">
        <v>0</v>
      </c>
      <c r="O480" t="n">
        <v>0</v>
      </c>
      <c r="P480" t="n">
        <v>0</v>
      </c>
      <c r="Q480" t="n">
        <v>0</v>
      </c>
      <c r="R480" s="2" t="inlineStr"/>
    </row>
    <row r="481" ht="15" customHeight="1">
      <c r="A481" t="inlineStr">
        <is>
          <t>A 19398-2025</t>
        </is>
      </c>
      <c r="B481" s="1" t="n">
        <v>45769</v>
      </c>
      <c r="C481" s="1" t="n">
        <v>46159</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22921-2023</t>
        </is>
      </c>
      <c r="B482" s="1" t="n">
        <v>45070</v>
      </c>
      <c r="C482" s="1" t="n">
        <v>46159</v>
      </c>
      <c r="D482" t="inlineStr">
        <is>
          <t>VÄSTMANLANDS LÄN</t>
        </is>
      </c>
      <c r="E482" t="inlineStr">
        <is>
          <t>SALA</t>
        </is>
      </c>
      <c r="G482" t="n">
        <v>1.3</v>
      </c>
      <c r="H482" t="n">
        <v>0</v>
      </c>
      <c r="I482" t="n">
        <v>0</v>
      </c>
      <c r="J482" t="n">
        <v>0</v>
      </c>
      <c r="K482" t="n">
        <v>0</v>
      </c>
      <c r="L482" t="n">
        <v>0</v>
      </c>
      <c r="M482" t="n">
        <v>0</v>
      </c>
      <c r="N482" t="n">
        <v>0</v>
      </c>
      <c r="O482" t="n">
        <v>0</v>
      </c>
      <c r="P482" t="n">
        <v>0</v>
      </c>
      <c r="Q482" t="n">
        <v>0</v>
      </c>
      <c r="R482" s="2" t="inlineStr"/>
    </row>
    <row r="483" ht="15" customHeight="1">
      <c r="A483" t="inlineStr">
        <is>
          <t>A 16133-2025</t>
        </is>
      </c>
      <c r="B483" s="1" t="n">
        <v>45750</v>
      </c>
      <c r="C483" s="1" t="n">
        <v>46159</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58357-2025</t>
        </is>
      </c>
      <c r="B484" s="1" t="n">
        <v>45985.51518518518</v>
      </c>
      <c r="C484" s="1" t="n">
        <v>46159</v>
      </c>
      <c r="D484" t="inlineStr">
        <is>
          <t>VÄSTMANLANDS LÄN</t>
        </is>
      </c>
      <c r="E484" t="inlineStr">
        <is>
          <t>SALA</t>
        </is>
      </c>
      <c r="G484" t="n">
        <v>3</v>
      </c>
      <c r="H484" t="n">
        <v>0</v>
      </c>
      <c r="I484" t="n">
        <v>0</v>
      </c>
      <c r="J484" t="n">
        <v>0</v>
      </c>
      <c r="K484" t="n">
        <v>0</v>
      </c>
      <c r="L484" t="n">
        <v>0</v>
      </c>
      <c r="M484" t="n">
        <v>0</v>
      </c>
      <c r="N484" t="n">
        <v>0</v>
      </c>
      <c r="O484" t="n">
        <v>0</v>
      </c>
      <c r="P484" t="n">
        <v>0</v>
      </c>
      <c r="Q484" t="n">
        <v>0</v>
      </c>
      <c r="R484" s="2" t="inlineStr"/>
    </row>
    <row r="485" ht="15" customHeight="1">
      <c r="A485" t="inlineStr">
        <is>
          <t>A 55760-2025</t>
        </is>
      </c>
      <c r="B485" s="1" t="n">
        <v>45972</v>
      </c>
      <c r="C485" s="1" t="n">
        <v>46159</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58365-2025</t>
        </is>
      </c>
      <c r="B486" s="1" t="n">
        <v>45985.52288194445</v>
      </c>
      <c r="C486" s="1" t="n">
        <v>46159</v>
      </c>
      <c r="D486" t="inlineStr">
        <is>
          <t>VÄSTMANLANDS LÄN</t>
        </is>
      </c>
      <c r="E486" t="inlineStr">
        <is>
          <t>SALA</t>
        </is>
      </c>
      <c r="G486" t="n">
        <v>3.9</v>
      </c>
      <c r="H486" t="n">
        <v>0</v>
      </c>
      <c r="I486" t="n">
        <v>0</v>
      </c>
      <c r="J486" t="n">
        <v>0</v>
      </c>
      <c r="K486" t="n">
        <v>0</v>
      </c>
      <c r="L486" t="n">
        <v>0</v>
      </c>
      <c r="M486" t="n">
        <v>0</v>
      </c>
      <c r="N486" t="n">
        <v>0</v>
      </c>
      <c r="O486" t="n">
        <v>0</v>
      </c>
      <c r="P486" t="n">
        <v>0</v>
      </c>
      <c r="Q486" t="n">
        <v>0</v>
      </c>
      <c r="R486" s="2" t="inlineStr"/>
    </row>
    <row r="487" ht="15" customHeight="1">
      <c r="A487" t="inlineStr">
        <is>
          <t>A 10245-2026</t>
        </is>
      </c>
      <c r="B487" s="1" t="n">
        <v>46076.55144675926</v>
      </c>
      <c r="C487" s="1" t="n">
        <v>46159</v>
      </c>
      <c r="D487" t="inlineStr">
        <is>
          <t>VÄSTMANLANDS LÄN</t>
        </is>
      </c>
      <c r="E487" t="inlineStr">
        <is>
          <t>SALA</t>
        </is>
      </c>
      <c r="G487" t="n">
        <v>1.4</v>
      </c>
      <c r="H487" t="n">
        <v>0</v>
      </c>
      <c r="I487" t="n">
        <v>0</v>
      </c>
      <c r="J487" t="n">
        <v>0</v>
      </c>
      <c r="K487" t="n">
        <v>0</v>
      </c>
      <c r="L487" t="n">
        <v>0</v>
      </c>
      <c r="M487" t="n">
        <v>0</v>
      </c>
      <c r="N487" t="n">
        <v>0</v>
      </c>
      <c r="O487" t="n">
        <v>0</v>
      </c>
      <c r="P487" t="n">
        <v>0</v>
      </c>
      <c r="Q487" t="n">
        <v>0</v>
      </c>
      <c r="R487" s="2" t="inlineStr"/>
    </row>
    <row r="488" ht="15" customHeight="1">
      <c r="A488" t="inlineStr">
        <is>
          <t>A 10252-2026</t>
        </is>
      </c>
      <c r="B488" s="1" t="n">
        <v>46076.55700231482</v>
      </c>
      <c r="C488" s="1" t="n">
        <v>46159</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58282-2025</t>
        </is>
      </c>
      <c r="B489" s="1" t="n">
        <v>45985.44309027777</v>
      </c>
      <c r="C489" s="1" t="n">
        <v>46159</v>
      </c>
      <c r="D489" t="inlineStr">
        <is>
          <t>VÄSTMANLANDS LÄN</t>
        </is>
      </c>
      <c r="E489" t="inlineStr">
        <is>
          <t>SALA</t>
        </is>
      </c>
      <c r="G489" t="n">
        <v>8.9</v>
      </c>
      <c r="H489" t="n">
        <v>0</v>
      </c>
      <c r="I489" t="n">
        <v>0</v>
      </c>
      <c r="J489" t="n">
        <v>0</v>
      </c>
      <c r="K489" t="n">
        <v>0</v>
      </c>
      <c r="L489" t="n">
        <v>0</v>
      </c>
      <c r="M489" t="n">
        <v>0</v>
      </c>
      <c r="N489" t="n">
        <v>0</v>
      </c>
      <c r="O489" t="n">
        <v>0</v>
      </c>
      <c r="P489" t="n">
        <v>0</v>
      </c>
      <c r="Q489" t="n">
        <v>0</v>
      </c>
      <c r="R489" s="2" t="inlineStr"/>
    </row>
    <row r="490" ht="15" customHeight="1">
      <c r="A490" t="inlineStr">
        <is>
          <t>A 58359-2025</t>
        </is>
      </c>
      <c r="B490" s="1" t="n">
        <v>45985.51594907408</v>
      </c>
      <c r="C490" s="1" t="n">
        <v>46159</v>
      </c>
      <c r="D490" t="inlineStr">
        <is>
          <t>VÄSTMANLANDS LÄN</t>
        </is>
      </c>
      <c r="E490" t="inlineStr">
        <is>
          <t>SALA</t>
        </is>
      </c>
      <c r="G490" t="n">
        <v>3.7</v>
      </c>
      <c r="H490" t="n">
        <v>0</v>
      </c>
      <c r="I490" t="n">
        <v>0</v>
      </c>
      <c r="J490" t="n">
        <v>0</v>
      </c>
      <c r="K490" t="n">
        <v>0</v>
      </c>
      <c r="L490" t="n">
        <v>0</v>
      </c>
      <c r="M490" t="n">
        <v>0</v>
      </c>
      <c r="N490" t="n">
        <v>0</v>
      </c>
      <c r="O490" t="n">
        <v>0</v>
      </c>
      <c r="P490" t="n">
        <v>0</v>
      </c>
      <c r="Q490" t="n">
        <v>0</v>
      </c>
      <c r="R490" s="2" t="inlineStr"/>
    </row>
    <row r="491" ht="15" customHeight="1">
      <c r="A491" t="inlineStr">
        <is>
          <t>A 58364-2025</t>
        </is>
      </c>
      <c r="B491" s="1" t="n">
        <v>45985.5228125</v>
      </c>
      <c r="C491" s="1" t="n">
        <v>46159</v>
      </c>
      <c r="D491" t="inlineStr">
        <is>
          <t>VÄSTMANLANDS LÄN</t>
        </is>
      </c>
      <c r="E491" t="inlineStr">
        <is>
          <t>SALA</t>
        </is>
      </c>
      <c r="G491" t="n">
        <v>2.1</v>
      </c>
      <c r="H491" t="n">
        <v>0</v>
      </c>
      <c r="I491" t="n">
        <v>0</v>
      </c>
      <c r="J491" t="n">
        <v>0</v>
      </c>
      <c r="K491" t="n">
        <v>0</v>
      </c>
      <c r="L491" t="n">
        <v>0</v>
      </c>
      <c r="M491" t="n">
        <v>0</v>
      </c>
      <c r="N491" t="n">
        <v>0</v>
      </c>
      <c r="O491" t="n">
        <v>0</v>
      </c>
      <c r="P491" t="n">
        <v>0</v>
      </c>
      <c r="Q491" t="n">
        <v>0</v>
      </c>
      <c r="R491" s="2" t="inlineStr"/>
    </row>
    <row r="492" ht="15" customHeight="1">
      <c r="A492" t="inlineStr">
        <is>
          <t>A 6127-2025</t>
        </is>
      </c>
      <c r="B492" s="1" t="n">
        <v>45698</v>
      </c>
      <c r="C492" s="1" t="n">
        <v>46159</v>
      </c>
      <c r="D492" t="inlineStr">
        <is>
          <t>VÄSTMANLANDS LÄN</t>
        </is>
      </c>
      <c r="E492" t="inlineStr">
        <is>
          <t>SALA</t>
        </is>
      </c>
      <c r="F492" t="inlineStr">
        <is>
          <t>Bergvik skog öst AB</t>
        </is>
      </c>
      <c r="G492" t="n">
        <v>4.3</v>
      </c>
      <c r="H492" t="n">
        <v>0</v>
      </c>
      <c r="I492" t="n">
        <v>0</v>
      </c>
      <c r="J492" t="n">
        <v>0</v>
      </c>
      <c r="K492" t="n">
        <v>0</v>
      </c>
      <c r="L492" t="n">
        <v>0</v>
      </c>
      <c r="M492" t="n">
        <v>0</v>
      </c>
      <c r="N492" t="n">
        <v>0</v>
      </c>
      <c r="O492" t="n">
        <v>0</v>
      </c>
      <c r="P492" t="n">
        <v>0</v>
      </c>
      <c r="Q492" t="n">
        <v>0</v>
      </c>
      <c r="R492" s="2" t="inlineStr"/>
    </row>
    <row r="493" ht="15" customHeight="1">
      <c r="A493" t="inlineStr">
        <is>
          <t>A 15272-2025</t>
        </is>
      </c>
      <c r="B493" s="1" t="n">
        <v>45744</v>
      </c>
      <c r="C493" s="1" t="n">
        <v>46159</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24248-2023</t>
        </is>
      </c>
      <c r="B494" s="1" t="n">
        <v>45079</v>
      </c>
      <c r="C494" s="1" t="n">
        <v>46159</v>
      </c>
      <c r="D494" t="inlineStr">
        <is>
          <t>VÄSTMANLANDS LÄN</t>
        </is>
      </c>
      <c r="E494" t="inlineStr">
        <is>
          <t>SALA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38195-2021</t>
        </is>
      </c>
      <c r="B495" s="1" t="n">
        <v>44405</v>
      </c>
      <c r="C495" s="1" t="n">
        <v>46159</v>
      </c>
      <c r="D495" t="inlineStr">
        <is>
          <t>VÄSTMANLANDS LÄN</t>
        </is>
      </c>
      <c r="E495" t="inlineStr">
        <is>
          <t>SALA</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27228-2023</t>
        </is>
      </c>
      <c r="B496" s="1" t="n">
        <v>45096.59189814814</v>
      </c>
      <c r="C496" s="1" t="n">
        <v>46159</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10239-2026</t>
        </is>
      </c>
      <c r="B497" s="1" t="n">
        <v>46076.54824074074</v>
      </c>
      <c r="C497" s="1" t="n">
        <v>46159</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51247-2025</t>
        </is>
      </c>
      <c r="B498" s="1" t="n">
        <v>45947.86487268518</v>
      </c>
      <c r="C498" s="1" t="n">
        <v>46159</v>
      </c>
      <c r="D498" t="inlineStr">
        <is>
          <t>VÄSTMANLANDS LÄN</t>
        </is>
      </c>
      <c r="E498" t="inlineStr">
        <is>
          <t>SALA</t>
        </is>
      </c>
      <c r="G498" t="n">
        <v>10.4</v>
      </c>
      <c r="H498" t="n">
        <v>0</v>
      </c>
      <c r="I498" t="n">
        <v>0</v>
      </c>
      <c r="J498" t="n">
        <v>0</v>
      </c>
      <c r="K498" t="n">
        <v>0</v>
      </c>
      <c r="L498" t="n">
        <v>0</v>
      </c>
      <c r="M498" t="n">
        <v>0</v>
      </c>
      <c r="N498" t="n">
        <v>0</v>
      </c>
      <c r="O498" t="n">
        <v>0</v>
      </c>
      <c r="P498" t="n">
        <v>0</v>
      </c>
      <c r="Q498" t="n">
        <v>0</v>
      </c>
      <c r="R498" s="2" t="inlineStr"/>
    </row>
    <row r="499" ht="15" customHeight="1">
      <c r="A499" t="inlineStr">
        <is>
          <t>A 53838-2022</t>
        </is>
      </c>
      <c r="B499" s="1" t="n">
        <v>44880.59363425926</v>
      </c>
      <c r="C499" s="1" t="n">
        <v>46159</v>
      </c>
      <c r="D499" t="inlineStr">
        <is>
          <t>VÄSTMANLANDS LÄN</t>
        </is>
      </c>
      <c r="E499" t="inlineStr">
        <is>
          <t>SALA</t>
        </is>
      </c>
      <c r="G499" t="n">
        <v>3.9</v>
      </c>
      <c r="H499" t="n">
        <v>0</v>
      </c>
      <c r="I499" t="n">
        <v>0</v>
      </c>
      <c r="J499" t="n">
        <v>0</v>
      </c>
      <c r="K499" t="n">
        <v>0</v>
      </c>
      <c r="L499" t="n">
        <v>0</v>
      </c>
      <c r="M499" t="n">
        <v>0</v>
      </c>
      <c r="N499" t="n">
        <v>0</v>
      </c>
      <c r="O499" t="n">
        <v>0</v>
      </c>
      <c r="P499" t="n">
        <v>0</v>
      </c>
      <c r="Q499" t="n">
        <v>0</v>
      </c>
      <c r="R499" s="2" t="inlineStr"/>
    </row>
    <row r="500" ht="15" customHeight="1">
      <c r="A500" t="inlineStr">
        <is>
          <t>A 25260-2023</t>
        </is>
      </c>
      <c r="B500" s="1" t="n">
        <v>45086</v>
      </c>
      <c r="C500" s="1" t="n">
        <v>46159</v>
      </c>
      <c r="D500" t="inlineStr">
        <is>
          <t>VÄSTMANLANDS LÄN</t>
        </is>
      </c>
      <c r="E500" t="inlineStr">
        <is>
          <t>SALA</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59817-2025</t>
        </is>
      </c>
      <c r="B501" s="1" t="n">
        <v>45992.63711805556</v>
      </c>
      <c r="C501" s="1" t="n">
        <v>46159</v>
      </c>
      <c r="D501" t="inlineStr">
        <is>
          <t>VÄSTMANLANDS LÄN</t>
        </is>
      </c>
      <c r="E501" t="inlineStr">
        <is>
          <t>SALA</t>
        </is>
      </c>
      <c r="G501" t="n">
        <v>6.9</v>
      </c>
      <c r="H501" t="n">
        <v>0</v>
      </c>
      <c r="I501" t="n">
        <v>0</v>
      </c>
      <c r="J501" t="n">
        <v>0</v>
      </c>
      <c r="K501" t="n">
        <v>0</v>
      </c>
      <c r="L501" t="n">
        <v>0</v>
      </c>
      <c r="M501" t="n">
        <v>0</v>
      </c>
      <c r="N501" t="n">
        <v>0</v>
      </c>
      <c r="O501" t="n">
        <v>0</v>
      </c>
      <c r="P501" t="n">
        <v>0</v>
      </c>
      <c r="Q501" t="n">
        <v>0</v>
      </c>
      <c r="R501" s="2" t="inlineStr"/>
    </row>
    <row r="502" ht="15" customHeight="1">
      <c r="A502" t="inlineStr">
        <is>
          <t>A 16769-2024</t>
        </is>
      </c>
      <c r="B502" s="1" t="n">
        <v>45411.38738425926</v>
      </c>
      <c r="C502" s="1" t="n">
        <v>46159</v>
      </c>
      <c r="D502" t="inlineStr">
        <is>
          <t>VÄSTMANLANDS LÄN</t>
        </is>
      </c>
      <c r="E502" t="inlineStr">
        <is>
          <t>SALA</t>
        </is>
      </c>
      <c r="G502" t="n">
        <v>12</v>
      </c>
      <c r="H502" t="n">
        <v>0</v>
      </c>
      <c r="I502" t="n">
        <v>0</v>
      </c>
      <c r="J502" t="n">
        <v>0</v>
      </c>
      <c r="K502" t="n">
        <v>0</v>
      </c>
      <c r="L502" t="n">
        <v>0</v>
      </c>
      <c r="M502" t="n">
        <v>0</v>
      </c>
      <c r="N502" t="n">
        <v>0</v>
      </c>
      <c r="O502" t="n">
        <v>0</v>
      </c>
      <c r="P502" t="n">
        <v>0</v>
      </c>
      <c r="Q502" t="n">
        <v>0</v>
      </c>
      <c r="R502" s="2" t="inlineStr"/>
    </row>
    <row r="503" ht="15" customHeight="1">
      <c r="A503" t="inlineStr">
        <is>
          <t>A 59390-2025</t>
        </is>
      </c>
      <c r="B503" s="1" t="n">
        <v>45989.4640162037</v>
      </c>
      <c r="C503" s="1" t="n">
        <v>46159</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59385-2025</t>
        </is>
      </c>
      <c r="B504" s="1" t="n">
        <v>45989.45746527778</v>
      </c>
      <c r="C504" s="1" t="n">
        <v>46159</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60249-2023</t>
        </is>
      </c>
      <c r="B505" s="1" t="n">
        <v>45258</v>
      </c>
      <c r="C505" s="1" t="n">
        <v>46159</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14271-2025</t>
        </is>
      </c>
      <c r="B506" s="1" t="n">
        <v>45740.64129629629</v>
      </c>
      <c r="C506" s="1" t="n">
        <v>46159</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60017-2025</t>
        </is>
      </c>
      <c r="B507" s="1" t="n">
        <v>45993.59998842593</v>
      </c>
      <c r="C507" s="1" t="n">
        <v>46159</v>
      </c>
      <c r="D507" t="inlineStr">
        <is>
          <t>VÄSTMANLANDS LÄN</t>
        </is>
      </c>
      <c r="E507" t="inlineStr">
        <is>
          <t>SALA</t>
        </is>
      </c>
      <c r="G507" t="n">
        <v>4.4</v>
      </c>
      <c r="H507" t="n">
        <v>0</v>
      </c>
      <c r="I507" t="n">
        <v>0</v>
      </c>
      <c r="J507" t="n">
        <v>0</v>
      </c>
      <c r="K507" t="n">
        <v>0</v>
      </c>
      <c r="L507" t="n">
        <v>0</v>
      </c>
      <c r="M507" t="n">
        <v>0</v>
      </c>
      <c r="N507" t="n">
        <v>0</v>
      </c>
      <c r="O507" t="n">
        <v>0</v>
      </c>
      <c r="P507" t="n">
        <v>0</v>
      </c>
      <c r="Q507" t="n">
        <v>0</v>
      </c>
      <c r="R507" s="2" t="inlineStr"/>
    </row>
    <row r="508" ht="15" customHeight="1">
      <c r="A508" t="inlineStr">
        <is>
          <t>A 69232-2021</t>
        </is>
      </c>
      <c r="B508" s="1" t="n">
        <v>44531.39696759259</v>
      </c>
      <c r="C508" s="1" t="n">
        <v>46159</v>
      </c>
      <c r="D508" t="inlineStr">
        <is>
          <t>VÄSTMANLANDS LÄN</t>
        </is>
      </c>
      <c r="E508" t="inlineStr">
        <is>
          <t>SALA</t>
        </is>
      </c>
      <c r="G508" t="n">
        <v>2.3</v>
      </c>
      <c r="H508" t="n">
        <v>0</v>
      </c>
      <c r="I508" t="n">
        <v>0</v>
      </c>
      <c r="J508" t="n">
        <v>0</v>
      </c>
      <c r="K508" t="n">
        <v>0</v>
      </c>
      <c r="L508" t="n">
        <v>0</v>
      </c>
      <c r="M508" t="n">
        <v>0</v>
      </c>
      <c r="N508" t="n">
        <v>0</v>
      </c>
      <c r="O508" t="n">
        <v>0</v>
      </c>
      <c r="P508" t="n">
        <v>0</v>
      </c>
      <c r="Q508" t="n">
        <v>0</v>
      </c>
      <c r="R508" s="2" t="inlineStr"/>
    </row>
    <row r="509" ht="15" customHeight="1">
      <c r="A509" t="inlineStr">
        <is>
          <t>A 60258-2025</t>
        </is>
      </c>
      <c r="B509" s="1" t="n">
        <v>45994.6064699074</v>
      </c>
      <c r="C509" s="1" t="n">
        <v>46159</v>
      </c>
      <c r="D509" t="inlineStr">
        <is>
          <t>VÄSTMANLANDS LÄN</t>
        </is>
      </c>
      <c r="E509" t="inlineStr">
        <is>
          <t>SALA</t>
        </is>
      </c>
      <c r="G509" t="n">
        <v>2.2</v>
      </c>
      <c r="H509" t="n">
        <v>0</v>
      </c>
      <c r="I509" t="n">
        <v>0</v>
      </c>
      <c r="J509" t="n">
        <v>0</v>
      </c>
      <c r="K509" t="n">
        <v>0</v>
      </c>
      <c r="L509" t="n">
        <v>0</v>
      </c>
      <c r="M509" t="n">
        <v>0</v>
      </c>
      <c r="N509" t="n">
        <v>0</v>
      </c>
      <c r="O509" t="n">
        <v>0</v>
      </c>
      <c r="P509" t="n">
        <v>0</v>
      </c>
      <c r="Q509" t="n">
        <v>0</v>
      </c>
      <c r="R509" s="2" t="inlineStr"/>
    </row>
    <row r="510" ht="15" customHeight="1">
      <c r="A510" t="inlineStr">
        <is>
          <t>A 60241-2025</t>
        </is>
      </c>
      <c r="B510" s="1" t="n">
        <v>45994.58454861111</v>
      </c>
      <c r="C510" s="1" t="n">
        <v>46159</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59870-2025</t>
        </is>
      </c>
      <c r="B511" s="1" t="n">
        <v>45992.92226851852</v>
      </c>
      <c r="C511" s="1" t="n">
        <v>46159</v>
      </c>
      <c r="D511" t="inlineStr">
        <is>
          <t>VÄSTMANLANDS LÄN</t>
        </is>
      </c>
      <c r="E511" t="inlineStr">
        <is>
          <t>SALA</t>
        </is>
      </c>
      <c r="G511" t="n">
        <v>3.4</v>
      </c>
      <c r="H511" t="n">
        <v>0</v>
      </c>
      <c r="I511" t="n">
        <v>0</v>
      </c>
      <c r="J511" t="n">
        <v>0</v>
      </c>
      <c r="K511" t="n">
        <v>0</v>
      </c>
      <c r="L511" t="n">
        <v>0</v>
      </c>
      <c r="M511" t="n">
        <v>0</v>
      </c>
      <c r="N511" t="n">
        <v>0</v>
      </c>
      <c r="O511" t="n">
        <v>0</v>
      </c>
      <c r="P511" t="n">
        <v>0</v>
      </c>
      <c r="Q511" t="n">
        <v>0</v>
      </c>
      <c r="R511" s="2" t="inlineStr"/>
    </row>
    <row r="512" ht="15" customHeight="1">
      <c r="A512" t="inlineStr">
        <is>
          <t>A 60259-2025</t>
        </is>
      </c>
      <c r="B512" s="1" t="n">
        <v>45994.60913194445</v>
      </c>
      <c r="C512" s="1" t="n">
        <v>46159</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60246-2025</t>
        </is>
      </c>
      <c r="B513" s="1" t="n">
        <v>45994.58931712963</v>
      </c>
      <c r="C513" s="1" t="n">
        <v>46159</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60254-2025</t>
        </is>
      </c>
      <c r="B514" s="1" t="n">
        <v>45994.60146990741</v>
      </c>
      <c r="C514" s="1" t="n">
        <v>46159</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28328-2023</t>
        </is>
      </c>
      <c r="B515" s="1" t="n">
        <v>45099.71063657408</v>
      </c>
      <c r="C515" s="1" t="n">
        <v>46159</v>
      </c>
      <c r="D515" t="inlineStr">
        <is>
          <t>VÄSTMANLANDS LÄN</t>
        </is>
      </c>
      <c r="E515" t="inlineStr">
        <is>
          <t>SALA</t>
        </is>
      </c>
      <c r="G515" t="n">
        <v>1.8</v>
      </c>
      <c r="H515" t="n">
        <v>0</v>
      </c>
      <c r="I515" t="n">
        <v>0</v>
      </c>
      <c r="J515" t="n">
        <v>0</v>
      </c>
      <c r="K515" t="n">
        <v>0</v>
      </c>
      <c r="L515" t="n">
        <v>0</v>
      </c>
      <c r="M515" t="n">
        <v>0</v>
      </c>
      <c r="N515" t="n">
        <v>0</v>
      </c>
      <c r="O515" t="n">
        <v>0</v>
      </c>
      <c r="P515" t="n">
        <v>0</v>
      </c>
      <c r="Q515" t="n">
        <v>0</v>
      </c>
      <c r="R515" s="2" t="inlineStr"/>
    </row>
    <row r="516" ht="15" customHeight="1">
      <c r="A516" t="inlineStr">
        <is>
          <t>A 59926-2025</t>
        </is>
      </c>
      <c r="B516" s="1" t="n">
        <v>45993.39221064815</v>
      </c>
      <c r="C516" s="1" t="n">
        <v>46159</v>
      </c>
      <c r="D516" t="inlineStr">
        <is>
          <t>VÄSTMANLANDS LÄN</t>
        </is>
      </c>
      <c r="E516" t="inlineStr">
        <is>
          <t>SALA</t>
        </is>
      </c>
      <c r="G516" t="n">
        <v>7.1</v>
      </c>
      <c r="H516" t="n">
        <v>0</v>
      </c>
      <c r="I516" t="n">
        <v>0</v>
      </c>
      <c r="J516" t="n">
        <v>0</v>
      </c>
      <c r="K516" t="n">
        <v>0</v>
      </c>
      <c r="L516" t="n">
        <v>0</v>
      </c>
      <c r="M516" t="n">
        <v>0</v>
      </c>
      <c r="N516" t="n">
        <v>0</v>
      </c>
      <c r="O516" t="n">
        <v>0</v>
      </c>
      <c r="P516" t="n">
        <v>0</v>
      </c>
      <c r="Q516" t="n">
        <v>0</v>
      </c>
      <c r="R516" s="2" t="inlineStr"/>
    </row>
    <row r="517" ht="15" customHeight="1">
      <c r="A517" t="inlineStr">
        <is>
          <t>A 40085-2024</t>
        </is>
      </c>
      <c r="B517" s="1" t="n">
        <v>45554</v>
      </c>
      <c r="C517" s="1" t="n">
        <v>46159</v>
      </c>
      <c r="D517" t="inlineStr">
        <is>
          <t>VÄSTMANLANDS LÄN</t>
        </is>
      </c>
      <c r="E517" t="inlineStr">
        <is>
          <t>SALA</t>
        </is>
      </c>
      <c r="G517" t="n">
        <v>2.8</v>
      </c>
      <c r="H517" t="n">
        <v>0</v>
      </c>
      <c r="I517" t="n">
        <v>0</v>
      </c>
      <c r="J517" t="n">
        <v>0</v>
      </c>
      <c r="K517" t="n">
        <v>0</v>
      </c>
      <c r="L517" t="n">
        <v>0</v>
      </c>
      <c r="M517" t="n">
        <v>0</v>
      </c>
      <c r="N517" t="n">
        <v>0</v>
      </c>
      <c r="O517" t="n">
        <v>0</v>
      </c>
      <c r="P517" t="n">
        <v>0</v>
      </c>
      <c r="Q517" t="n">
        <v>0</v>
      </c>
      <c r="R517" s="2" t="inlineStr"/>
    </row>
    <row r="518" ht="15" customHeight="1">
      <c r="A518" t="inlineStr">
        <is>
          <t>A 60629-2025</t>
        </is>
      </c>
      <c r="B518" s="1" t="n">
        <v>45996.41972222222</v>
      </c>
      <c r="C518" s="1" t="n">
        <v>46159</v>
      </c>
      <c r="D518" t="inlineStr">
        <is>
          <t>VÄSTMANLANDS LÄN</t>
        </is>
      </c>
      <c r="E518" t="inlineStr">
        <is>
          <t>SALA</t>
        </is>
      </c>
      <c r="G518" t="n">
        <v>4.3</v>
      </c>
      <c r="H518" t="n">
        <v>0</v>
      </c>
      <c r="I518" t="n">
        <v>0</v>
      </c>
      <c r="J518" t="n">
        <v>0</v>
      </c>
      <c r="K518" t="n">
        <v>0</v>
      </c>
      <c r="L518" t="n">
        <v>0</v>
      </c>
      <c r="M518" t="n">
        <v>0</v>
      </c>
      <c r="N518" t="n">
        <v>0</v>
      </c>
      <c r="O518" t="n">
        <v>0</v>
      </c>
      <c r="P518" t="n">
        <v>0</v>
      </c>
      <c r="Q518" t="n">
        <v>0</v>
      </c>
      <c r="R518" s="2" t="inlineStr"/>
    </row>
    <row r="519" ht="15" customHeight="1">
      <c r="A519" t="inlineStr">
        <is>
          <t>A 18158-2025</t>
        </is>
      </c>
      <c r="B519" s="1" t="n">
        <v>45761</v>
      </c>
      <c r="C519" s="1" t="n">
        <v>46159</v>
      </c>
      <c r="D519" t="inlineStr">
        <is>
          <t>VÄSTMANLANDS LÄN</t>
        </is>
      </c>
      <c r="E519" t="inlineStr">
        <is>
          <t>SALA</t>
        </is>
      </c>
      <c r="F519" t="inlineStr">
        <is>
          <t>Bergvik skog öst AB</t>
        </is>
      </c>
      <c r="G519" t="n">
        <v>1.6</v>
      </c>
      <c r="H519" t="n">
        <v>0</v>
      </c>
      <c r="I519" t="n">
        <v>0</v>
      </c>
      <c r="J519" t="n">
        <v>0</v>
      </c>
      <c r="K519" t="n">
        <v>0</v>
      </c>
      <c r="L519" t="n">
        <v>0</v>
      </c>
      <c r="M519" t="n">
        <v>0</v>
      </c>
      <c r="N519" t="n">
        <v>0</v>
      </c>
      <c r="O519" t="n">
        <v>0</v>
      </c>
      <c r="P519" t="n">
        <v>0</v>
      </c>
      <c r="Q519" t="n">
        <v>0</v>
      </c>
      <c r="R519" s="2" t="inlineStr"/>
    </row>
    <row r="520" ht="15" customHeight="1">
      <c r="A520" t="inlineStr">
        <is>
          <t>A 49661-2024</t>
        </is>
      </c>
      <c r="B520" s="1" t="n">
        <v>45596</v>
      </c>
      <c r="C520" s="1" t="n">
        <v>46159</v>
      </c>
      <c r="D520" t="inlineStr">
        <is>
          <t>VÄSTMANLANDS LÄN</t>
        </is>
      </c>
      <c r="E520" t="inlineStr">
        <is>
          <t>SALA</t>
        </is>
      </c>
      <c r="G520" t="n">
        <v>6.7</v>
      </c>
      <c r="H520" t="n">
        <v>0</v>
      </c>
      <c r="I520" t="n">
        <v>0</v>
      </c>
      <c r="J520" t="n">
        <v>0</v>
      </c>
      <c r="K520" t="n">
        <v>0</v>
      </c>
      <c r="L520" t="n">
        <v>0</v>
      </c>
      <c r="M520" t="n">
        <v>0</v>
      </c>
      <c r="N520" t="n">
        <v>0</v>
      </c>
      <c r="O520" t="n">
        <v>0</v>
      </c>
      <c r="P520" t="n">
        <v>0</v>
      </c>
      <c r="Q520" t="n">
        <v>0</v>
      </c>
      <c r="R520" s="2" t="inlineStr"/>
    </row>
    <row r="521" ht="15" customHeight="1">
      <c r="A521" t="inlineStr">
        <is>
          <t>A 35519-2024</t>
        </is>
      </c>
      <c r="B521" s="1" t="n">
        <v>45531</v>
      </c>
      <c r="C521" s="1" t="n">
        <v>46159</v>
      </c>
      <c r="D521" t="inlineStr">
        <is>
          <t>VÄSTMANLANDS LÄN</t>
        </is>
      </c>
      <c r="E521" t="inlineStr">
        <is>
          <t>SALA</t>
        </is>
      </c>
      <c r="G521" t="n">
        <v>1.8</v>
      </c>
      <c r="H521" t="n">
        <v>0</v>
      </c>
      <c r="I521" t="n">
        <v>0</v>
      </c>
      <c r="J521" t="n">
        <v>0</v>
      </c>
      <c r="K521" t="n">
        <v>0</v>
      </c>
      <c r="L521" t="n">
        <v>0</v>
      </c>
      <c r="M521" t="n">
        <v>0</v>
      </c>
      <c r="N521" t="n">
        <v>0</v>
      </c>
      <c r="O521" t="n">
        <v>0</v>
      </c>
      <c r="P521" t="n">
        <v>0</v>
      </c>
      <c r="Q521" t="n">
        <v>0</v>
      </c>
      <c r="R521" s="2" t="inlineStr"/>
    </row>
    <row r="522" ht="15" customHeight="1">
      <c r="A522" t="inlineStr">
        <is>
          <t>A 54347-2024</t>
        </is>
      </c>
      <c r="B522" s="1" t="n">
        <v>45617.39325231482</v>
      </c>
      <c r="C522" s="1" t="n">
        <v>46159</v>
      </c>
      <c r="D522" t="inlineStr">
        <is>
          <t>VÄSTMANLANDS LÄN</t>
        </is>
      </c>
      <c r="E522" t="inlineStr">
        <is>
          <t>SALA</t>
        </is>
      </c>
      <c r="G522" t="n">
        <v>2</v>
      </c>
      <c r="H522" t="n">
        <v>0</v>
      </c>
      <c r="I522" t="n">
        <v>0</v>
      </c>
      <c r="J522" t="n">
        <v>0</v>
      </c>
      <c r="K522" t="n">
        <v>0</v>
      </c>
      <c r="L522" t="n">
        <v>0</v>
      </c>
      <c r="M522" t="n">
        <v>0</v>
      </c>
      <c r="N522" t="n">
        <v>0</v>
      </c>
      <c r="O522" t="n">
        <v>0</v>
      </c>
      <c r="P522" t="n">
        <v>0</v>
      </c>
      <c r="Q522" t="n">
        <v>0</v>
      </c>
      <c r="R522" s="2" t="inlineStr"/>
    </row>
    <row r="523" ht="15" customHeight="1">
      <c r="A523" t="inlineStr">
        <is>
          <t>A 13022-2023</t>
        </is>
      </c>
      <c r="B523" s="1" t="n">
        <v>45002.33291666667</v>
      </c>
      <c r="C523" s="1" t="n">
        <v>46159</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35003-2024</t>
        </is>
      </c>
      <c r="B524" s="1" t="n">
        <v>45527.56790509259</v>
      </c>
      <c r="C524" s="1" t="n">
        <v>46159</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61522-2025</t>
        </is>
      </c>
      <c r="B525" s="1" t="n">
        <v>46001.68684027778</v>
      </c>
      <c r="C525" s="1" t="n">
        <v>46159</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66307-2021</t>
        </is>
      </c>
      <c r="B526" s="1" t="n">
        <v>44518.48670138889</v>
      </c>
      <c r="C526" s="1" t="n">
        <v>46159</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6030-2024</t>
        </is>
      </c>
      <c r="B527" s="1" t="n">
        <v>45336.62782407407</v>
      </c>
      <c r="C527" s="1" t="n">
        <v>46159</v>
      </c>
      <c r="D527" t="inlineStr">
        <is>
          <t>VÄSTMANLANDS LÄN</t>
        </is>
      </c>
      <c r="E527" t="inlineStr">
        <is>
          <t>SALA</t>
        </is>
      </c>
      <c r="G527" t="n">
        <v>3.9</v>
      </c>
      <c r="H527" t="n">
        <v>0</v>
      </c>
      <c r="I527" t="n">
        <v>0</v>
      </c>
      <c r="J527" t="n">
        <v>0</v>
      </c>
      <c r="K527" t="n">
        <v>0</v>
      </c>
      <c r="L527" t="n">
        <v>0</v>
      </c>
      <c r="M527" t="n">
        <v>0</v>
      </c>
      <c r="N527" t="n">
        <v>0</v>
      </c>
      <c r="O527" t="n">
        <v>0</v>
      </c>
      <c r="P527" t="n">
        <v>0</v>
      </c>
      <c r="Q527" t="n">
        <v>0</v>
      </c>
      <c r="R527" s="2" t="inlineStr"/>
    </row>
    <row r="528" ht="15" customHeight="1">
      <c r="A528" t="inlineStr">
        <is>
          <t>A 26761-2023</t>
        </is>
      </c>
      <c r="B528" s="1" t="n">
        <v>45093</v>
      </c>
      <c r="C528" s="1" t="n">
        <v>46159</v>
      </c>
      <c r="D528" t="inlineStr">
        <is>
          <t>VÄSTMANLANDS LÄN</t>
        </is>
      </c>
      <c r="E528" t="inlineStr">
        <is>
          <t>SALA</t>
        </is>
      </c>
      <c r="G528" t="n">
        <v>4.3</v>
      </c>
      <c r="H528" t="n">
        <v>0</v>
      </c>
      <c r="I528" t="n">
        <v>0</v>
      </c>
      <c r="J528" t="n">
        <v>0</v>
      </c>
      <c r="K528" t="n">
        <v>0</v>
      </c>
      <c r="L528" t="n">
        <v>0</v>
      </c>
      <c r="M528" t="n">
        <v>0</v>
      </c>
      <c r="N528" t="n">
        <v>0</v>
      </c>
      <c r="O528" t="n">
        <v>0</v>
      </c>
      <c r="P528" t="n">
        <v>0</v>
      </c>
      <c r="Q528" t="n">
        <v>0</v>
      </c>
      <c r="R528" s="2" t="inlineStr"/>
    </row>
    <row r="529" ht="15" customHeight="1">
      <c r="A529" t="inlineStr">
        <is>
          <t>A 61892-2021</t>
        </is>
      </c>
      <c r="B529" s="1" t="n">
        <v>44502</v>
      </c>
      <c r="C529" s="1" t="n">
        <v>46159</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62523-2025</t>
        </is>
      </c>
      <c r="B530" s="1" t="n">
        <v>46007.61512731481</v>
      </c>
      <c r="C530" s="1" t="n">
        <v>46159</v>
      </c>
      <c r="D530" t="inlineStr">
        <is>
          <t>VÄSTMANLANDS LÄN</t>
        </is>
      </c>
      <c r="E530" t="inlineStr">
        <is>
          <t>SALA</t>
        </is>
      </c>
      <c r="G530" t="n">
        <v>1.5</v>
      </c>
      <c r="H530" t="n">
        <v>0</v>
      </c>
      <c r="I530" t="n">
        <v>0</v>
      </c>
      <c r="J530" t="n">
        <v>0</v>
      </c>
      <c r="K530" t="n">
        <v>0</v>
      </c>
      <c r="L530" t="n">
        <v>0</v>
      </c>
      <c r="M530" t="n">
        <v>0</v>
      </c>
      <c r="N530" t="n">
        <v>0</v>
      </c>
      <c r="O530" t="n">
        <v>0</v>
      </c>
      <c r="P530" t="n">
        <v>0</v>
      </c>
      <c r="Q530" t="n">
        <v>0</v>
      </c>
      <c r="R530" s="2" t="inlineStr"/>
    </row>
    <row r="531" ht="15" customHeight="1">
      <c r="A531" t="inlineStr">
        <is>
          <t>A 7772-2023</t>
        </is>
      </c>
      <c r="B531" s="1" t="n">
        <v>44973.40076388889</v>
      </c>
      <c r="C531" s="1" t="n">
        <v>46159</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63055-2025</t>
        </is>
      </c>
      <c r="B532" s="1" t="n">
        <v>46009.63619212963</v>
      </c>
      <c r="C532" s="1" t="n">
        <v>46159</v>
      </c>
      <c r="D532" t="inlineStr">
        <is>
          <t>VÄSTMANLANDS LÄN</t>
        </is>
      </c>
      <c r="E532" t="inlineStr">
        <is>
          <t>SALA</t>
        </is>
      </c>
      <c r="G532" t="n">
        <v>0.4</v>
      </c>
      <c r="H532" t="n">
        <v>0</v>
      </c>
      <c r="I532" t="n">
        <v>0</v>
      </c>
      <c r="J532" t="n">
        <v>0</v>
      </c>
      <c r="K532" t="n">
        <v>0</v>
      </c>
      <c r="L532" t="n">
        <v>0</v>
      </c>
      <c r="M532" t="n">
        <v>0</v>
      </c>
      <c r="N532" t="n">
        <v>0</v>
      </c>
      <c r="O532" t="n">
        <v>0</v>
      </c>
      <c r="P532" t="n">
        <v>0</v>
      </c>
      <c r="Q532" t="n">
        <v>0</v>
      </c>
      <c r="R532" s="2" t="inlineStr"/>
    </row>
    <row r="533" ht="15" customHeight="1">
      <c r="A533" t="inlineStr">
        <is>
          <t>A 63353-2025</t>
        </is>
      </c>
      <c r="B533" s="1" t="n">
        <v>46010.66670138889</v>
      </c>
      <c r="C533" s="1" t="n">
        <v>46159</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42416-2022</t>
        </is>
      </c>
      <c r="B534" s="1" t="n">
        <v>44831</v>
      </c>
      <c r="C534" s="1" t="n">
        <v>46159</v>
      </c>
      <c r="D534" t="inlineStr">
        <is>
          <t>VÄSTMANLANDS LÄN</t>
        </is>
      </c>
      <c r="E534" t="inlineStr">
        <is>
          <t>SALA</t>
        </is>
      </c>
      <c r="G534" t="n">
        <v>2.2</v>
      </c>
      <c r="H534" t="n">
        <v>0</v>
      </c>
      <c r="I534" t="n">
        <v>0</v>
      </c>
      <c r="J534" t="n">
        <v>0</v>
      </c>
      <c r="K534" t="n">
        <v>0</v>
      </c>
      <c r="L534" t="n">
        <v>0</v>
      </c>
      <c r="M534" t="n">
        <v>0</v>
      </c>
      <c r="N534" t="n">
        <v>0</v>
      </c>
      <c r="O534" t="n">
        <v>0</v>
      </c>
      <c r="P534" t="n">
        <v>0</v>
      </c>
      <c r="Q534" t="n">
        <v>0</v>
      </c>
      <c r="R534" s="2" t="inlineStr"/>
    </row>
    <row r="535" ht="15" customHeight="1">
      <c r="A535" t="inlineStr">
        <is>
          <t>A 63051-2025</t>
        </is>
      </c>
      <c r="B535" s="1" t="n">
        <v>46009.63134259259</v>
      </c>
      <c r="C535" s="1" t="n">
        <v>46159</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19381-2025</t>
        </is>
      </c>
      <c r="B536" s="1" t="n">
        <v>45769</v>
      </c>
      <c r="C536" s="1" t="n">
        <v>46159</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63046-2025</t>
        </is>
      </c>
      <c r="B537" s="1" t="n">
        <v>46009.62373842593</v>
      </c>
      <c r="C537" s="1" t="n">
        <v>46159</v>
      </c>
      <c r="D537" t="inlineStr">
        <is>
          <t>VÄSTMANLANDS LÄN</t>
        </is>
      </c>
      <c r="E537" t="inlineStr">
        <is>
          <t>SALA</t>
        </is>
      </c>
      <c r="G537" t="n">
        <v>1.1</v>
      </c>
      <c r="H537" t="n">
        <v>0</v>
      </c>
      <c r="I537" t="n">
        <v>0</v>
      </c>
      <c r="J537" t="n">
        <v>0</v>
      </c>
      <c r="K537" t="n">
        <v>0</v>
      </c>
      <c r="L537" t="n">
        <v>0</v>
      </c>
      <c r="M537" t="n">
        <v>0</v>
      </c>
      <c r="N537" t="n">
        <v>0</v>
      </c>
      <c r="O537" t="n">
        <v>0</v>
      </c>
      <c r="P537" t="n">
        <v>0</v>
      </c>
      <c r="Q537" t="n">
        <v>0</v>
      </c>
      <c r="R537" s="2" t="inlineStr"/>
    </row>
    <row r="538" ht="15" customHeight="1">
      <c r="A538" t="inlineStr">
        <is>
          <t>A 63269-2025</t>
        </is>
      </c>
      <c r="B538" s="1" t="n">
        <v>46010</v>
      </c>
      <c r="C538" s="1" t="n">
        <v>46159</v>
      </c>
      <c r="D538" t="inlineStr">
        <is>
          <t>VÄSTMANLANDS LÄN</t>
        </is>
      </c>
      <c r="E538" t="inlineStr">
        <is>
          <t>SALA</t>
        </is>
      </c>
      <c r="G538" t="n">
        <v>6.4</v>
      </c>
      <c r="H538" t="n">
        <v>0</v>
      </c>
      <c r="I538" t="n">
        <v>0</v>
      </c>
      <c r="J538" t="n">
        <v>0</v>
      </c>
      <c r="K538" t="n">
        <v>0</v>
      </c>
      <c r="L538" t="n">
        <v>0</v>
      </c>
      <c r="M538" t="n">
        <v>0</v>
      </c>
      <c r="N538" t="n">
        <v>0</v>
      </c>
      <c r="O538" t="n">
        <v>0</v>
      </c>
      <c r="P538" t="n">
        <v>0</v>
      </c>
      <c r="Q538" t="n">
        <v>0</v>
      </c>
      <c r="R538" s="2" t="inlineStr"/>
    </row>
    <row r="539" ht="15" customHeight="1">
      <c r="A539" t="inlineStr">
        <is>
          <t>A 48688-2024</t>
        </is>
      </c>
      <c r="B539" s="1" t="n">
        <v>45593.50541666667</v>
      </c>
      <c r="C539" s="1" t="n">
        <v>46159</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18592-2026</t>
        </is>
      </c>
      <c r="B540" s="1" t="n">
        <v>46127.64232638889</v>
      </c>
      <c r="C540" s="1" t="n">
        <v>46159</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45187-2024</t>
        </is>
      </c>
      <c r="B541" s="1" t="n">
        <v>45575</v>
      </c>
      <c r="C541" s="1" t="n">
        <v>46159</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15968-2024</t>
        </is>
      </c>
      <c r="B542" s="1" t="n">
        <v>45405.56021990741</v>
      </c>
      <c r="C542" s="1" t="n">
        <v>46159</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18382-2026</t>
        </is>
      </c>
      <c r="B543" s="1" t="n">
        <v>46126.63601851852</v>
      </c>
      <c r="C543" s="1" t="n">
        <v>46159</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3733-2023</t>
        </is>
      </c>
      <c r="B544" s="1" t="n">
        <v>44951.42501157407</v>
      </c>
      <c r="C544" s="1" t="n">
        <v>46159</v>
      </c>
      <c r="D544" t="inlineStr">
        <is>
          <t>VÄSTMANLANDS LÄN</t>
        </is>
      </c>
      <c r="E544" t="inlineStr">
        <is>
          <t>SALA</t>
        </is>
      </c>
      <c r="G544" t="n">
        <v>3.1</v>
      </c>
      <c r="H544" t="n">
        <v>0</v>
      </c>
      <c r="I544" t="n">
        <v>0</v>
      </c>
      <c r="J544" t="n">
        <v>0</v>
      </c>
      <c r="K544" t="n">
        <v>0</v>
      </c>
      <c r="L544" t="n">
        <v>0</v>
      </c>
      <c r="M544" t="n">
        <v>0</v>
      </c>
      <c r="N544" t="n">
        <v>0</v>
      </c>
      <c r="O544" t="n">
        <v>0</v>
      </c>
      <c r="P544" t="n">
        <v>0</v>
      </c>
      <c r="Q544" t="n">
        <v>0</v>
      </c>
      <c r="R544" s="2" t="inlineStr"/>
    </row>
    <row r="545" ht="15" customHeight="1">
      <c r="A545" t="inlineStr">
        <is>
          <t>A 44544-2024</t>
        </is>
      </c>
      <c r="B545" s="1" t="n">
        <v>45574.46119212963</v>
      </c>
      <c r="C545" s="1" t="n">
        <v>46159</v>
      </c>
      <c r="D545" t="inlineStr">
        <is>
          <t>VÄSTMANLANDS LÄN</t>
        </is>
      </c>
      <c r="E545" t="inlineStr">
        <is>
          <t>SALA</t>
        </is>
      </c>
      <c r="G545" t="n">
        <v>3.3</v>
      </c>
      <c r="H545" t="n">
        <v>0</v>
      </c>
      <c r="I545" t="n">
        <v>0</v>
      </c>
      <c r="J545" t="n">
        <v>0</v>
      </c>
      <c r="K545" t="n">
        <v>0</v>
      </c>
      <c r="L545" t="n">
        <v>0</v>
      </c>
      <c r="M545" t="n">
        <v>0</v>
      </c>
      <c r="N545" t="n">
        <v>0</v>
      </c>
      <c r="O545" t="n">
        <v>0</v>
      </c>
      <c r="P545" t="n">
        <v>0</v>
      </c>
      <c r="Q545" t="n">
        <v>0</v>
      </c>
      <c r="R545" s="2" t="inlineStr"/>
    </row>
    <row r="546" ht="15" customHeight="1">
      <c r="A546" t="inlineStr">
        <is>
          <t>A 12144-2026</t>
        </is>
      </c>
      <c r="B546" s="1" t="n">
        <v>46086.58008101852</v>
      </c>
      <c r="C546" s="1" t="n">
        <v>46159</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64729-2023</t>
        </is>
      </c>
      <c r="B547" s="1" t="n">
        <v>45281</v>
      </c>
      <c r="C547" s="1" t="n">
        <v>46159</v>
      </c>
      <c r="D547" t="inlineStr">
        <is>
          <t>VÄSTMANLANDS LÄN</t>
        </is>
      </c>
      <c r="E547" t="inlineStr">
        <is>
          <t>SALA</t>
        </is>
      </c>
      <c r="G547" t="n">
        <v>1.8</v>
      </c>
      <c r="H547" t="n">
        <v>0</v>
      </c>
      <c r="I547" t="n">
        <v>0</v>
      </c>
      <c r="J547" t="n">
        <v>0</v>
      </c>
      <c r="K547" t="n">
        <v>0</v>
      </c>
      <c r="L547" t="n">
        <v>0</v>
      </c>
      <c r="M547" t="n">
        <v>0</v>
      </c>
      <c r="N547" t="n">
        <v>0</v>
      </c>
      <c r="O547" t="n">
        <v>0</v>
      </c>
      <c r="P547" t="n">
        <v>0</v>
      </c>
      <c r="Q547" t="n">
        <v>0</v>
      </c>
      <c r="R547" s="2" t="inlineStr"/>
    </row>
    <row r="548" ht="15" customHeight="1">
      <c r="A548" t="inlineStr">
        <is>
          <t>A 68864-2021</t>
        </is>
      </c>
      <c r="B548" s="1" t="n">
        <v>44530</v>
      </c>
      <c r="C548" s="1" t="n">
        <v>46159</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19044-2026</t>
        </is>
      </c>
      <c r="B549" s="1" t="n">
        <v>46132.33789351852</v>
      </c>
      <c r="C549" s="1" t="n">
        <v>46159</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64925-2023</t>
        </is>
      </c>
      <c r="B550" s="1" t="n">
        <v>45282</v>
      </c>
      <c r="C550" s="1" t="n">
        <v>46159</v>
      </c>
      <c r="D550" t="inlineStr">
        <is>
          <t>VÄSTMANLANDS LÄN</t>
        </is>
      </c>
      <c r="E550" t="inlineStr">
        <is>
          <t>SALA</t>
        </is>
      </c>
      <c r="G550" t="n">
        <v>2.5</v>
      </c>
      <c r="H550" t="n">
        <v>0</v>
      </c>
      <c r="I550" t="n">
        <v>0</v>
      </c>
      <c r="J550" t="n">
        <v>0</v>
      </c>
      <c r="K550" t="n">
        <v>0</v>
      </c>
      <c r="L550" t="n">
        <v>0</v>
      </c>
      <c r="M550" t="n">
        <v>0</v>
      </c>
      <c r="N550" t="n">
        <v>0</v>
      </c>
      <c r="O550" t="n">
        <v>0</v>
      </c>
      <c r="P550" t="n">
        <v>0</v>
      </c>
      <c r="Q550" t="n">
        <v>0</v>
      </c>
      <c r="R550" s="2" t="inlineStr"/>
    </row>
    <row r="551" ht="15" customHeight="1">
      <c r="A551" t="inlineStr">
        <is>
          <t>A 12497-2026</t>
        </is>
      </c>
      <c r="B551" s="1" t="n">
        <v>46090.57240740741</v>
      </c>
      <c r="C551" s="1" t="n">
        <v>46159</v>
      </c>
      <c r="D551" t="inlineStr">
        <is>
          <t>VÄSTMANLANDS LÄN</t>
        </is>
      </c>
      <c r="E551" t="inlineStr">
        <is>
          <t>SALA</t>
        </is>
      </c>
      <c r="G551" t="n">
        <v>1.3</v>
      </c>
      <c r="H551" t="n">
        <v>0</v>
      </c>
      <c r="I551" t="n">
        <v>0</v>
      </c>
      <c r="J551" t="n">
        <v>0</v>
      </c>
      <c r="K551" t="n">
        <v>0</v>
      </c>
      <c r="L551" t="n">
        <v>0</v>
      </c>
      <c r="M551" t="n">
        <v>0</v>
      </c>
      <c r="N551" t="n">
        <v>0</v>
      </c>
      <c r="O551" t="n">
        <v>0</v>
      </c>
      <c r="P551" t="n">
        <v>0</v>
      </c>
      <c r="Q551" t="n">
        <v>0</v>
      </c>
      <c r="R551" s="2" t="inlineStr"/>
    </row>
    <row r="552" ht="15" customHeight="1">
      <c r="A552" t="inlineStr">
        <is>
          <t>A 48570-2024</t>
        </is>
      </c>
      <c r="B552" s="1" t="n">
        <v>45591</v>
      </c>
      <c r="C552" s="1" t="n">
        <v>46159</v>
      </c>
      <c r="D552" t="inlineStr">
        <is>
          <t>VÄSTMANLANDS LÄN</t>
        </is>
      </c>
      <c r="E552" t="inlineStr">
        <is>
          <t>SALA</t>
        </is>
      </c>
      <c r="G552" t="n">
        <v>3</v>
      </c>
      <c r="H552" t="n">
        <v>0</v>
      </c>
      <c r="I552" t="n">
        <v>0</v>
      </c>
      <c r="J552" t="n">
        <v>0</v>
      </c>
      <c r="K552" t="n">
        <v>0</v>
      </c>
      <c r="L552" t="n">
        <v>0</v>
      </c>
      <c r="M552" t="n">
        <v>0</v>
      </c>
      <c r="N552" t="n">
        <v>0</v>
      </c>
      <c r="O552" t="n">
        <v>0</v>
      </c>
      <c r="P552" t="n">
        <v>0</v>
      </c>
      <c r="Q552" t="n">
        <v>0</v>
      </c>
      <c r="R552" s="2" t="inlineStr"/>
    </row>
    <row r="553" ht="15" customHeight="1">
      <c r="A553" t="inlineStr">
        <is>
          <t>A 19376-2026</t>
        </is>
      </c>
      <c r="B553" s="1" t="n">
        <v>46133.54998842593</v>
      </c>
      <c r="C553" s="1" t="n">
        <v>46159</v>
      </c>
      <c r="D553" t="inlineStr">
        <is>
          <t>VÄSTMANLANDS LÄN</t>
        </is>
      </c>
      <c r="E553" t="inlineStr">
        <is>
          <t>SALA</t>
        </is>
      </c>
      <c r="G553" t="n">
        <v>3.8</v>
      </c>
      <c r="H553" t="n">
        <v>0</v>
      </c>
      <c r="I553" t="n">
        <v>0</v>
      </c>
      <c r="J553" t="n">
        <v>0</v>
      </c>
      <c r="K553" t="n">
        <v>0</v>
      </c>
      <c r="L553" t="n">
        <v>0</v>
      </c>
      <c r="M553" t="n">
        <v>0</v>
      </c>
      <c r="N553" t="n">
        <v>0</v>
      </c>
      <c r="O553" t="n">
        <v>0</v>
      </c>
      <c r="P553" t="n">
        <v>0</v>
      </c>
      <c r="Q553" t="n">
        <v>0</v>
      </c>
      <c r="R553" s="2" t="inlineStr"/>
    </row>
    <row r="554" ht="15" customHeight="1">
      <c r="A554" t="inlineStr">
        <is>
          <t>A 61517-2024</t>
        </is>
      </c>
      <c r="B554" s="1" t="n">
        <v>45645</v>
      </c>
      <c r="C554" s="1" t="n">
        <v>46159</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16760-2024</t>
        </is>
      </c>
      <c r="B555" s="1" t="n">
        <v>45411</v>
      </c>
      <c r="C555" s="1" t="n">
        <v>46159</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54603-2024</t>
        </is>
      </c>
      <c r="B556" s="1" t="n">
        <v>45617.68224537037</v>
      </c>
      <c r="C556" s="1" t="n">
        <v>46159</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18762-2024</t>
        </is>
      </c>
      <c r="B557" s="1" t="n">
        <v>45426.55240740741</v>
      </c>
      <c r="C557" s="1" t="n">
        <v>46159</v>
      </c>
      <c r="D557" t="inlineStr">
        <is>
          <t>VÄSTMANLANDS LÄN</t>
        </is>
      </c>
      <c r="E557" t="inlineStr">
        <is>
          <t>SALA</t>
        </is>
      </c>
      <c r="G557" t="n">
        <v>6.2</v>
      </c>
      <c r="H557" t="n">
        <v>0</v>
      </c>
      <c r="I557" t="n">
        <v>0</v>
      </c>
      <c r="J557" t="n">
        <v>0</v>
      </c>
      <c r="K557" t="n">
        <v>0</v>
      </c>
      <c r="L557" t="n">
        <v>0</v>
      </c>
      <c r="M557" t="n">
        <v>0</v>
      </c>
      <c r="N557" t="n">
        <v>0</v>
      </c>
      <c r="O557" t="n">
        <v>0</v>
      </c>
      <c r="P557" t="n">
        <v>0</v>
      </c>
      <c r="Q557" t="n">
        <v>0</v>
      </c>
      <c r="R557" s="2" t="inlineStr"/>
    </row>
    <row r="558" ht="15" customHeight="1">
      <c r="A558" t="inlineStr">
        <is>
          <t>A 17120-2023</t>
        </is>
      </c>
      <c r="B558" s="1" t="n">
        <v>45034</v>
      </c>
      <c r="C558" s="1" t="n">
        <v>46159</v>
      </c>
      <c r="D558" t="inlineStr">
        <is>
          <t>VÄSTMANLANDS LÄN</t>
        </is>
      </c>
      <c r="E558" t="inlineStr">
        <is>
          <t>SALA</t>
        </is>
      </c>
      <c r="G558" t="n">
        <v>0.1</v>
      </c>
      <c r="H558" t="n">
        <v>0</v>
      </c>
      <c r="I558" t="n">
        <v>0</v>
      </c>
      <c r="J558" t="n">
        <v>0</v>
      </c>
      <c r="K558" t="n">
        <v>0</v>
      </c>
      <c r="L558" t="n">
        <v>0</v>
      </c>
      <c r="M558" t="n">
        <v>0</v>
      </c>
      <c r="N558" t="n">
        <v>0</v>
      </c>
      <c r="O558" t="n">
        <v>0</v>
      </c>
      <c r="P558" t="n">
        <v>0</v>
      </c>
      <c r="Q558" t="n">
        <v>0</v>
      </c>
      <c r="R558" s="2" t="inlineStr"/>
    </row>
    <row r="559" ht="15" customHeight="1">
      <c r="A559" t="inlineStr">
        <is>
          <t>A 13032-2026</t>
        </is>
      </c>
      <c r="B559" s="1" t="n">
        <v>46092.90436342593</v>
      </c>
      <c r="C559" s="1" t="n">
        <v>46159</v>
      </c>
      <c r="D559" t="inlineStr">
        <is>
          <t>VÄSTMANLANDS LÄN</t>
        </is>
      </c>
      <c r="E559" t="inlineStr">
        <is>
          <t>SALA</t>
        </is>
      </c>
      <c r="G559" t="n">
        <v>3.4</v>
      </c>
      <c r="H559" t="n">
        <v>0</v>
      </c>
      <c r="I559" t="n">
        <v>0</v>
      </c>
      <c r="J559" t="n">
        <v>0</v>
      </c>
      <c r="K559" t="n">
        <v>0</v>
      </c>
      <c r="L559" t="n">
        <v>0</v>
      </c>
      <c r="M559" t="n">
        <v>0</v>
      </c>
      <c r="N559" t="n">
        <v>0</v>
      </c>
      <c r="O559" t="n">
        <v>0</v>
      </c>
      <c r="P559" t="n">
        <v>0</v>
      </c>
      <c r="Q559" t="n">
        <v>0</v>
      </c>
      <c r="R559" s="2" t="inlineStr"/>
    </row>
    <row r="560" ht="15" customHeight="1">
      <c r="A560" t="inlineStr">
        <is>
          <t>A 42938-2023</t>
        </is>
      </c>
      <c r="B560" s="1" t="n">
        <v>45179</v>
      </c>
      <c r="C560" s="1" t="n">
        <v>46159</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42984-2023</t>
        </is>
      </c>
      <c r="B561" s="1" t="n">
        <v>45179</v>
      </c>
      <c r="C561" s="1" t="n">
        <v>46159</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15972-2024</t>
        </is>
      </c>
      <c r="B562" s="1" t="n">
        <v>45405.56498842593</v>
      </c>
      <c r="C562" s="1" t="n">
        <v>46159</v>
      </c>
      <c r="D562" t="inlineStr">
        <is>
          <t>VÄSTMANLANDS LÄN</t>
        </is>
      </c>
      <c r="E562" t="inlineStr">
        <is>
          <t>SALA</t>
        </is>
      </c>
      <c r="G562" t="n">
        <v>1.8</v>
      </c>
      <c r="H562" t="n">
        <v>0</v>
      </c>
      <c r="I562" t="n">
        <v>0</v>
      </c>
      <c r="J562" t="n">
        <v>0</v>
      </c>
      <c r="K562" t="n">
        <v>0</v>
      </c>
      <c r="L562" t="n">
        <v>0</v>
      </c>
      <c r="M562" t="n">
        <v>0</v>
      </c>
      <c r="N562" t="n">
        <v>0</v>
      </c>
      <c r="O562" t="n">
        <v>0</v>
      </c>
      <c r="P562" t="n">
        <v>0</v>
      </c>
      <c r="Q562" t="n">
        <v>0</v>
      </c>
      <c r="R562" s="2" t="inlineStr"/>
    </row>
    <row r="563" ht="15" customHeight="1">
      <c r="A563" t="inlineStr">
        <is>
          <t>A 39714-2023</t>
        </is>
      </c>
      <c r="B563" s="1" t="n">
        <v>45167.62133101852</v>
      </c>
      <c r="C563" s="1" t="n">
        <v>46159</v>
      </c>
      <c r="D563" t="inlineStr">
        <is>
          <t>VÄSTMANLANDS LÄN</t>
        </is>
      </c>
      <c r="E563" t="inlineStr">
        <is>
          <t>SALA</t>
        </is>
      </c>
      <c r="G563" t="n">
        <v>1.3</v>
      </c>
      <c r="H563" t="n">
        <v>0</v>
      </c>
      <c r="I563" t="n">
        <v>0</v>
      </c>
      <c r="J563" t="n">
        <v>0</v>
      </c>
      <c r="K563" t="n">
        <v>0</v>
      </c>
      <c r="L563" t="n">
        <v>0</v>
      </c>
      <c r="M563" t="n">
        <v>0</v>
      </c>
      <c r="N563" t="n">
        <v>0</v>
      </c>
      <c r="O563" t="n">
        <v>0</v>
      </c>
      <c r="P563" t="n">
        <v>0</v>
      </c>
      <c r="Q563" t="n">
        <v>0</v>
      </c>
      <c r="R563" s="2" t="inlineStr"/>
    </row>
    <row r="564" ht="15" customHeight="1">
      <c r="A564" t="inlineStr">
        <is>
          <t>A 33527-2023</t>
        </is>
      </c>
      <c r="B564" s="1" t="n">
        <v>45131</v>
      </c>
      <c r="C564" s="1" t="n">
        <v>46159</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10913-2025</t>
        </is>
      </c>
      <c r="B565" s="1" t="n">
        <v>45722.73423611111</v>
      </c>
      <c r="C565" s="1" t="n">
        <v>46159</v>
      </c>
      <c r="D565" t="inlineStr">
        <is>
          <t>VÄSTMANLANDS LÄN</t>
        </is>
      </c>
      <c r="E565" t="inlineStr">
        <is>
          <t>SALA</t>
        </is>
      </c>
      <c r="G565" t="n">
        <v>7.6</v>
      </c>
      <c r="H565" t="n">
        <v>0</v>
      </c>
      <c r="I565" t="n">
        <v>0</v>
      </c>
      <c r="J565" t="n">
        <v>0</v>
      </c>
      <c r="K565" t="n">
        <v>0</v>
      </c>
      <c r="L565" t="n">
        <v>0</v>
      </c>
      <c r="M565" t="n">
        <v>0</v>
      </c>
      <c r="N565" t="n">
        <v>0</v>
      </c>
      <c r="O565" t="n">
        <v>0</v>
      </c>
      <c r="P565" t="n">
        <v>0</v>
      </c>
      <c r="Q565" t="n">
        <v>0</v>
      </c>
      <c r="R565" s="2" t="inlineStr"/>
    </row>
    <row r="566" ht="15" customHeight="1">
      <c r="A566" t="inlineStr">
        <is>
          <t>A 58107-2021</t>
        </is>
      </c>
      <c r="B566" s="1" t="n">
        <v>44487</v>
      </c>
      <c r="C566" s="1" t="n">
        <v>46159</v>
      </c>
      <c r="D566" t="inlineStr">
        <is>
          <t>VÄSTMANLANDS LÄN</t>
        </is>
      </c>
      <c r="E566" t="inlineStr">
        <is>
          <t>SALA</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2927-2024</t>
        </is>
      </c>
      <c r="B567" s="1" t="n">
        <v>45315.58989583333</v>
      </c>
      <c r="C567" s="1" t="n">
        <v>46159</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37183-2024</t>
        </is>
      </c>
      <c r="B568" s="1" t="n">
        <v>45539</v>
      </c>
      <c r="C568" s="1" t="n">
        <v>46159</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54199-2024</t>
        </is>
      </c>
      <c r="B569" s="1" t="n">
        <v>45616.64703703704</v>
      </c>
      <c r="C569" s="1" t="n">
        <v>46159</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13639-2026</t>
        </is>
      </c>
      <c r="B570" s="1" t="n">
        <v>46097</v>
      </c>
      <c r="C570" s="1" t="n">
        <v>46159</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60548-2024</t>
        </is>
      </c>
      <c r="B571" s="1" t="n">
        <v>45643.80978009259</v>
      </c>
      <c r="C571" s="1" t="n">
        <v>46159</v>
      </c>
      <c r="D571" t="inlineStr">
        <is>
          <t>VÄSTMANLANDS LÄN</t>
        </is>
      </c>
      <c r="E571" t="inlineStr">
        <is>
          <t>SALA</t>
        </is>
      </c>
      <c r="G571" t="n">
        <v>1.6</v>
      </c>
      <c r="H571" t="n">
        <v>0</v>
      </c>
      <c r="I571" t="n">
        <v>0</v>
      </c>
      <c r="J571" t="n">
        <v>0</v>
      </c>
      <c r="K571" t="n">
        <v>0</v>
      </c>
      <c r="L571" t="n">
        <v>0</v>
      </c>
      <c r="M571" t="n">
        <v>0</v>
      </c>
      <c r="N571" t="n">
        <v>0</v>
      </c>
      <c r="O571" t="n">
        <v>0</v>
      </c>
      <c r="P571" t="n">
        <v>0</v>
      </c>
      <c r="Q571" t="n">
        <v>0</v>
      </c>
      <c r="R571" s="2" t="inlineStr"/>
    </row>
    <row r="572" ht="15" customHeight="1">
      <c r="A572" t="inlineStr">
        <is>
          <t>A 13996-2026</t>
        </is>
      </c>
      <c r="B572" s="1" t="n">
        <v>46098.63159722222</v>
      </c>
      <c r="C572" s="1" t="n">
        <v>46159</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14000-2026</t>
        </is>
      </c>
      <c r="B573" s="1" t="n">
        <v>46098.64246527778</v>
      </c>
      <c r="C573" s="1" t="n">
        <v>46159</v>
      </c>
      <c r="D573" t="inlineStr">
        <is>
          <t>VÄSTMANLANDS LÄN</t>
        </is>
      </c>
      <c r="E573" t="inlineStr">
        <is>
          <t>SALA</t>
        </is>
      </c>
      <c r="G573" t="n">
        <v>0.8</v>
      </c>
      <c r="H573" t="n">
        <v>0</v>
      </c>
      <c r="I573" t="n">
        <v>0</v>
      </c>
      <c r="J573" t="n">
        <v>0</v>
      </c>
      <c r="K573" t="n">
        <v>0</v>
      </c>
      <c r="L573" t="n">
        <v>0</v>
      </c>
      <c r="M573" t="n">
        <v>0</v>
      </c>
      <c r="N573" t="n">
        <v>0</v>
      </c>
      <c r="O573" t="n">
        <v>0</v>
      </c>
      <c r="P573" t="n">
        <v>0</v>
      </c>
      <c r="Q573" t="n">
        <v>0</v>
      </c>
      <c r="R573" s="2" t="inlineStr"/>
    </row>
    <row r="574" ht="15" customHeight="1">
      <c r="A574" t="inlineStr">
        <is>
          <t>A 57895-2024</t>
        </is>
      </c>
      <c r="B574" s="1" t="n">
        <v>45631</v>
      </c>
      <c r="C574" s="1" t="n">
        <v>46159</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31597-2024</t>
        </is>
      </c>
      <c r="B575" s="1" t="n">
        <v>45506</v>
      </c>
      <c r="C575" s="1" t="n">
        <v>46159</v>
      </c>
      <c r="D575" t="inlineStr">
        <is>
          <t>VÄSTMANLANDS LÄN</t>
        </is>
      </c>
      <c r="E575" t="inlineStr">
        <is>
          <t>SALA</t>
        </is>
      </c>
      <c r="G575" t="n">
        <v>2.4</v>
      </c>
      <c r="H575" t="n">
        <v>0</v>
      </c>
      <c r="I575" t="n">
        <v>0</v>
      </c>
      <c r="J575" t="n">
        <v>0</v>
      </c>
      <c r="K575" t="n">
        <v>0</v>
      </c>
      <c r="L575" t="n">
        <v>0</v>
      </c>
      <c r="M575" t="n">
        <v>0</v>
      </c>
      <c r="N575" t="n">
        <v>0</v>
      </c>
      <c r="O575" t="n">
        <v>0</v>
      </c>
      <c r="P575" t="n">
        <v>0</v>
      </c>
      <c r="Q575" t="n">
        <v>0</v>
      </c>
      <c r="R575" s="2" t="inlineStr"/>
    </row>
    <row r="576" ht="15" customHeight="1">
      <c r="A576" t="inlineStr">
        <is>
          <t>A 17458-2024</t>
        </is>
      </c>
      <c r="B576" s="1" t="n">
        <v>45415</v>
      </c>
      <c r="C576" s="1" t="n">
        <v>46159</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56543-2024</t>
        </is>
      </c>
      <c r="B577" s="1" t="n">
        <v>45625</v>
      </c>
      <c r="C577" s="1" t="n">
        <v>46159</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28661-2024</t>
        </is>
      </c>
      <c r="B578" s="1" t="n">
        <v>45478</v>
      </c>
      <c r="C578" s="1" t="n">
        <v>46159</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2529-2022</t>
        </is>
      </c>
      <c r="B579" s="1" t="n">
        <v>44579.86452546297</v>
      </c>
      <c r="C579" s="1" t="n">
        <v>46159</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56540-2024</t>
        </is>
      </c>
      <c r="B580" s="1" t="n">
        <v>45625</v>
      </c>
      <c r="C580" s="1" t="n">
        <v>46159</v>
      </c>
      <c r="D580" t="inlineStr">
        <is>
          <t>VÄSTMANLANDS LÄN</t>
        </is>
      </c>
      <c r="E580" t="inlineStr">
        <is>
          <t>SALA</t>
        </is>
      </c>
      <c r="G580" t="n">
        <v>1.8</v>
      </c>
      <c r="H580" t="n">
        <v>0</v>
      </c>
      <c r="I580" t="n">
        <v>0</v>
      </c>
      <c r="J580" t="n">
        <v>0</v>
      </c>
      <c r="K580" t="n">
        <v>0</v>
      </c>
      <c r="L580" t="n">
        <v>0</v>
      </c>
      <c r="M580" t="n">
        <v>0</v>
      </c>
      <c r="N580" t="n">
        <v>0</v>
      </c>
      <c r="O580" t="n">
        <v>0</v>
      </c>
      <c r="P580" t="n">
        <v>0</v>
      </c>
      <c r="Q580" t="n">
        <v>0</v>
      </c>
      <c r="R580" s="2" t="inlineStr"/>
    </row>
    <row r="581" ht="15" customHeight="1">
      <c r="A581" t="inlineStr">
        <is>
          <t>A 31599-2024</t>
        </is>
      </c>
      <c r="B581" s="1" t="n">
        <v>45506</v>
      </c>
      <c r="C581" s="1" t="n">
        <v>46159</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31601-2024</t>
        </is>
      </c>
      <c r="B582" s="1" t="n">
        <v>45506</v>
      </c>
      <c r="C582" s="1" t="n">
        <v>46159</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31608-2024</t>
        </is>
      </c>
      <c r="B583" s="1" t="n">
        <v>45506</v>
      </c>
      <c r="C583" s="1" t="n">
        <v>46159</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31612-2024</t>
        </is>
      </c>
      <c r="B584" s="1" t="n">
        <v>45506</v>
      </c>
      <c r="C584" s="1" t="n">
        <v>46159</v>
      </c>
      <c r="D584" t="inlineStr">
        <is>
          <t>VÄSTMANLANDS LÄN</t>
        </is>
      </c>
      <c r="E584" t="inlineStr">
        <is>
          <t>SALA</t>
        </is>
      </c>
      <c r="G584" t="n">
        <v>3.2</v>
      </c>
      <c r="H584" t="n">
        <v>0</v>
      </c>
      <c r="I584" t="n">
        <v>0</v>
      </c>
      <c r="J584" t="n">
        <v>0</v>
      </c>
      <c r="K584" t="n">
        <v>0</v>
      </c>
      <c r="L584" t="n">
        <v>0</v>
      </c>
      <c r="M584" t="n">
        <v>0</v>
      </c>
      <c r="N584" t="n">
        <v>0</v>
      </c>
      <c r="O584" t="n">
        <v>0</v>
      </c>
      <c r="P584" t="n">
        <v>0</v>
      </c>
      <c r="Q584" t="n">
        <v>0</v>
      </c>
      <c r="R584" s="2" t="inlineStr"/>
    </row>
    <row r="585" ht="15" customHeight="1">
      <c r="A585" t="inlineStr">
        <is>
          <t>A 10579-2022</t>
        </is>
      </c>
      <c r="B585" s="1" t="n">
        <v>44624</v>
      </c>
      <c r="C585" s="1" t="n">
        <v>46159</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14481-2026</t>
        </is>
      </c>
      <c r="B586" s="1" t="n">
        <v>46100.58707175926</v>
      </c>
      <c r="C586" s="1" t="n">
        <v>46159</v>
      </c>
      <c r="D586" t="inlineStr">
        <is>
          <t>VÄSTMANLANDS LÄN</t>
        </is>
      </c>
      <c r="E586" t="inlineStr">
        <is>
          <t>SALA</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14482-2026</t>
        </is>
      </c>
      <c r="B587" s="1" t="n">
        <v>46100.588125</v>
      </c>
      <c r="C587" s="1" t="n">
        <v>46159</v>
      </c>
      <c r="D587" t="inlineStr">
        <is>
          <t>VÄSTMANLANDS LÄN</t>
        </is>
      </c>
      <c r="E587" t="inlineStr">
        <is>
          <t>SALA</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14484-2026</t>
        </is>
      </c>
      <c r="B588" s="1" t="n">
        <v>46100.5887962963</v>
      </c>
      <c r="C588" s="1" t="n">
        <v>46159</v>
      </c>
      <c r="D588" t="inlineStr">
        <is>
          <t>VÄSTMANLANDS LÄN</t>
        </is>
      </c>
      <c r="E588" t="inlineStr">
        <is>
          <t>SALA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64693-2023</t>
        </is>
      </c>
      <c r="B589" s="1" t="n">
        <v>45281.63850694444</v>
      </c>
      <c r="C589" s="1" t="n">
        <v>46159</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64695-2023</t>
        </is>
      </c>
      <c r="B590" s="1" t="n">
        <v>45281.64099537037</v>
      </c>
      <c r="C590" s="1" t="n">
        <v>46159</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14490-2026</t>
        </is>
      </c>
      <c r="B591" s="1" t="n">
        <v>46100.59277777778</v>
      </c>
      <c r="C591" s="1" t="n">
        <v>46159</v>
      </c>
      <c r="D591" t="inlineStr">
        <is>
          <t>VÄSTMANLANDS LÄN</t>
        </is>
      </c>
      <c r="E591" t="inlineStr">
        <is>
          <t>SALA</t>
        </is>
      </c>
      <c r="F591" t="inlineStr">
        <is>
          <t>Sveaskog</t>
        </is>
      </c>
      <c r="G591" t="n">
        <v>2.6</v>
      </c>
      <c r="H591" t="n">
        <v>0</v>
      </c>
      <c r="I591" t="n">
        <v>0</v>
      </c>
      <c r="J591" t="n">
        <v>0</v>
      </c>
      <c r="K591" t="n">
        <v>0</v>
      </c>
      <c r="L591" t="n">
        <v>0</v>
      </c>
      <c r="M591" t="n">
        <v>0</v>
      </c>
      <c r="N591" t="n">
        <v>0</v>
      </c>
      <c r="O591" t="n">
        <v>0</v>
      </c>
      <c r="P591" t="n">
        <v>0</v>
      </c>
      <c r="Q591" t="n">
        <v>0</v>
      </c>
      <c r="R591" s="2" t="inlineStr"/>
    </row>
    <row r="592" ht="15" customHeight="1">
      <c r="A592" t="inlineStr">
        <is>
          <t>A 55784-2024</t>
        </is>
      </c>
      <c r="B592" s="1" t="n">
        <v>45623</v>
      </c>
      <c r="C592" s="1" t="n">
        <v>46159</v>
      </c>
      <c r="D592" t="inlineStr">
        <is>
          <t>VÄSTMANLANDS LÄN</t>
        </is>
      </c>
      <c r="E592" t="inlineStr">
        <is>
          <t>SALA</t>
        </is>
      </c>
      <c r="F592" t="inlineStr">
        <is>
          <t>Bergvik skog öst AB</t>
        </is>
      </c>
      <c r="G592" t="n">
        <v>28.4</v>
      </c>
      <c r="H592" t="n">
        <v>0</v>
      </c>
      <c r="I592" t="n">
        <v>0</v>
      </c>
      <c r="J592" t="n">
        <v>0</v>
      </c>
      <c r="K592" t="n">
        <v>0</v>
      </c>
      <c r="L592" t="n">
        <v>0</v>
      </c>
      <c r="M592" t="n">
        <v>0</v>
      </c>
      <c r="N592" t="n">
        <v>0</v>
      </c>
      <c r="O592" t="n">
        <v>0</v>
      </c>
      <c r="P592" t="n">
        <v>0</v>
      </c>
      <c r="Q592" t="n">
        <v>0</v>
      </c>
      <c r="R592" s="2" t="inlineStr"/>
    </row>
    <row r="593" ht="15" customHeight="1">
      <c r="A593" t="inlineStr">
        <is>
          <t>A 29542-2023</t>
        </is>
      </c>
      <c r="B593" s="1" t="n">
        <v>45098</v>
      </c>
      <c r="C593" s="1" t="n">
        <v>46159</v>
      </c>
      <c r="D593" t="inlineStr">
        <is>
          <t>VÄSTMANLANDS LÄN</t>
        </is>
      </c>
      <c r="E593" t="inlineStr">
        <is>
          <t>SALA</t>
        </is>
      </c>
      <c r="G593" t="n">
        <v>4.8</v>
      </c>
      <c r="H593" t="n">
        <v>0</v>
      </c>
      <c r="I593" t="n">
        <v>0</v>
      </c>
      <c r="J593" t="n">
        <v>0</v>
      </c>
      <c r="K593" t="n">
        <v>0</v>
      </c>
      <c r="L593" t="n">
        <v>0</v>
      </c>
      <c r="M593" t="n">
        <v>0</v>
      </c>
      <c r="N593" t="n">
        <v>0</v>
      </c>
      <c r="O593" t="n">
        <v>0</v>
      </c>
      <c r="P593" t="n">
        <v>0</v>
      </c>
      <c r="Q593" t="n">
        <v>0</v>
      </c>
      <c r="R593" s="2" t="inlineStr"/>
    </row>
    <row r="594" ht="15" customHeight="1">
      <c r="A594" t="inlineStr">
        <is>
          <t>A 27038-2023</t>
        </is>
      </c>
      <c r="B594" s="1" t="n">
        <v>45095</v>
      </c>
      <c r="C594" s="1" t="n">
        <v>46159</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17051-2025</t>
        </is>
      </c>
      <c r="B595" s="1" t="n">
        <v>45755</v>
      </c>
      <c r="C595" s="1" t="n">
        <v>46159</v>
      </c>
      <c r="D595" t="inlineStr">
        <is>
          <t>VÄSTMANLANDS LÄN</t>
        </is>
      </c>
      <c r="E595" t="inlineStr">
        <is>
          <t>SALA</t>
        </is>
      </c>
      <c r="G595" t="n">
        <v>2.9</v>
      </c>
      <c r="H595" t="n">
        <v>0</v>
      </c>
      <c r="I595" t="n">
        <v>0</v>
      </c>
      <c r="J595" t="n">
        <v>0</v>
      </c>
      <c r="K595" t="n">
        <v>0</v>
      </c>
      <c r="L595" t="n">
        <v>0</v>
      </c>
      <c r="M595" t="n">
        <v>0</v>
      </c>
      <c r="N595" t="n">
        <v>0</v>
      </c>
      <c r="O595" t="n">
        <v>0</v>
      </c>
      <c r="P595" t="n">
        <v>0</v>
      </c>
      <c r="Q595" t="n">
        <v>0</v>
      </c>
      <c r="R595" s="2" t="inlineStr"/>
    </row>
    <row r="596" ht="15" customHeight="1">
      <c r="A596" t="inlineStr">
        <is>
          <t>A 8285-2025</t>
        </is>
      </c>
      <c r="B596" s="1" t="n">
        <v>45708</v>
      </c>
      <c r="C596" s="1" t="n">
        <v>46159</v>
      </c>
      <c r="D596" t="inlineStr">
        <is>
          <t>VÄSTMANLANDS LÄN</t>
        </is>
      </c>
      <c r="E596" t="inlineStr">
        <is>
          <t>SALA</t>
        </is>
      </c>
      <c r="G596" t="n">
        <v>5.7</v>
      </c>
      <c r="H596" t="n">
        <v>0</v>
      </c>
      <c r="I596" t="n">
        <v>0</v>
      </c>
      <c r="J596" t="n">
        <v>0</v>
      </c>
      <c r="K596" t="n">
        <v>0</v>
      </c>
      <c r="L596" t="n">
        <v>0</v>
      </c>
      <c r="M596" t="n">
        <v>0</v>
      </c>
      <c r="N596" t="n">
        <v>0</v>
      </c>
      <c r="O596" t="n">
        <v>0</v>
      </c>
      <c r="P596" t="n">
        <v>0</v>
      </c>
      <c r="Q596" t="n">
        <v>0</v>
      </c>
      <c r="R596" s="2" t="inlineStr"/>
    </row>
    <row r="597" ht="15" customHeight="1">
      <c r="A597" t="inlineStr">
        <is>
          <t>A 15823-2026</t>
        </is>
      </c>
      <c r="B597" s="1" t="n">
        <v>46107.54096064815</v>
      </c>
      <c r="C597" s="1" t="n">
        <v>46159</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21435-2026</t>
        </is>
      </c>
      <c r="B598" s="1" t="n">
        <v>46148.40625</v>
      </c>
      <c r="C598" s="1" t="n">
        <v>46159</v>
      </c>
      <c r="D598" t="inlineStr">
        <is>
          <t>VÄSTMANLANDS LÄN</t>
        </is>
      </c>
      <c r="E598" t="inlineStr">
        <is>
          <t>SALA</t>
        </is>
      </c>
      <c r="G598" t="n">
        <v>2.3</v>
      </c>
      <c r="H598" t="n">
        <v>0</v>
      </c>
      <c r="I598" t="n">
        <v>0</v>
      </c>
      <c r="J598" t="n">
        <v>0</v>
      </c>
      <c r="K598" t="n">
        <v>0</v>
      </c>
      <c r="L598" t="n">
        <v>0</v>
      </c>
      <c r="M598" t="n">
        <v>0</v>
      </c>
      <c r="N598" t="n">
        <v>0</v>
      </c>
      <c r="O598" t="n">
        <v>0</v>
      </c>
      <c r="P598" t="n">
        <v>0</v>
      </c>
      <c r="Q598" t="n">
        <v>0</v>
      </c>
      <c r="R598" s="2" t="inlineStr"/>
    </row>
    <row r="599" ht="15" customHeight="1">
      <c r="A599" t="inlineStr">
        <is>
          <t>A 57404-2024</t>
        </is>
      </c>
      <c r="B599" s="1" t="n">
        <v>45629.71967592592</v>
      </c>
      <c r="C599" s="1" t="n">
        <v>46159</v>
      </c>
      <c r="D599" t="inlineStr">
        <is>
          <t>VÄSTMANLANDS LÄN</t>
        </is>
      </c>
      <c r="E599" t="inlineStr">
        <is>
          <t>SALA</t>
        </is>
      </c>
      <c r="G599" t="n">
        <v>0.3</v>
      </c>
      <c r="H599" t="n">
        <v>0</v>
      </c>
      <c r="I599" t="n">
        <v>0</v>
      </c>
      <c r="J599" t="n">
        <v>0</v>
      </c>
      <c r="K599" t="n">
        <v>0</v>
      </c>
      <c r="L599" t="n">
        <v>0</v>
      </c>
      <c r="M599" t="n">
        <v>0</v>
      </c>
      <c r="N599" t="n">
        <v>0</v>
      </c>
      <c r="O599" t="n">
        <v>0</v>
      </c>
      <c r="P599" t="n">
        <v>0</v>
      </c>
      <c r="Q599" t="n">
        <v>0</v>
      </c>
      <c r="R599" s="2" t="inlineStr"/>
    </row>
    <row r="600" ht="15" customHeight="1">
      <c r="A600" t="inlineStr">
        <is>
          <t>A 11617-2026</t>
        </is>
      </c>
      <c r="B600" s="1" t="n">
        <v>46084</v>
      </c>
      <c r="C600" s="1" t="n">
        <v>46159</v>
      </c>
      <c r="D600" t="inlineStr">
        <is>
          <t>VÄSTMANLANDS LÄN</t>
        </is>
      </c>
      <c r="E600" t="inlineStr">
        <is>
          <t>SALA</t>
        </is>
      </c>
      <c r="F600" t="inlineStr">
        <is>
          <t>Kyrkan</t>
        </is>
      </c>
      <c r="G600" t="n">
        <v>3.7</v>
      </c>
      <c r="H600" t="n">
        <v>0</v>
      </c>
      <c r="I600" t="n">
        <v>0</v>
      </c>
      <c r="J600" t="n">
        <v>0</v>
      </c>
      <c r="K600" t="n">
        <v>0</v>
      </c>
      <c r="L600" t="n">
        <v>0</v>
      </c>
      <c r="M600" t="n">
        <v>0</v>
      </c>
      <c r="N600" t="n">
        <v>0</v>
      </c>
      <c r="O600" t="n">
        <v>0</v>
      </c>
      <c r="P600" t="n">
        <v>0</v>
      </c>
      <c r="Q600" t="n">
        <v>0</v>
      </c>
      <c r="R600" s="2" t="inlineStr"/>
    </row>
    <row r="601" ht="15" customHeight="1">
      <c r="A601" t="inlineStr">
        <is>
          <t>A 15630-2026</t>
        </is>
      </c>
      <c r="B601" s="1" t="n">
        <v>46106.62283564815</v>
      </c>
      <c r="C601" s="1" t="n">
        <v>46159</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21777-2022</t>
        </is>
      </c>
      <c r="B602" s="1" t="n">
        <v>44708.48194444444</v>
      </c>
      <c r="C602" s="1" t="n">
        <v>46159</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17866-2025</t>
        </is>
      </c>
      <c r="B603" s="1" t="n">
        <v>45758</v>
      </c>
      <c r="C603" s="1" t="n">
        <v>46159</v>
      </c>
      <c r="D603" t="inlineStr">
        <is>
          <t>VÄSTMANLANDS LÄN</t>
        </is>
      </c>
      <c r="E603" t="inlineStr">
        <is>
          <t>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16354-2026</t>
        </is>
      </c>
      <c r="B604" s="1" t="n">
        <v>46111.5968287037</v>
      </c>
      <c r="C604" s="1" t="n">
        <v>46159</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16367-2026</t>
        </is>
      </c>
      <c r="B605" s="1" t="n">
        <v>46111.61380787037</v>
      </c>
      <c r="C605" s="1" t="n">
        <v>46159</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33732-2023</t>
        </is>
      </c>
      <c r="B606" s="1" t="n">
        <v>45133.32409722222</v>
      </c>
      <c r="C606" s="1" t="n">
        <v>46159</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7166-2025</t>
        </is>
      </c>
      <c r="B607" s="1" t="n">
        <v>45702</v>
      </c>
      <c r="C607" s="1" t="n">
        <v>46159</v>
      </c>
      <c r="D607" t="inlineStr">
        <is>
          <t>VÄSTMANLANDS LÄN</t>
        </is>
      </c>
      <c r="E607" t="inlineStr">
        <is>
          <t>SALA</t>
        </is>
      </c>
      <c r="G607" t="n">
        <v>6.1</v>
      </c>
      <c r="H607" t="n">
        <v>0</v>
      </c>
      <c r="I607" t="n">
        <v>0</v>
      </c>
      <c r="J607" t="n">
        <v>0</v>
      </c>
      <c r="K607" t="n">
        <v>0</v>
      </c>
      <c r="L607" t="n">
        <v>0</v>
      </c>
      <c r="M607" t="n">
        <v>0</v>
      </c>
      <c r="N607" t="n">
        <v>0</v>
      </c>
      <c r="O607" t="n">
        <v>0</v>
      </c>
      <c r="P607" t="n">
        <v>0</v>
      </c>
      <c r="Q607" t="n">
        <v>0</v>
      </c>
      <c r="R607" s="2" t="inlineStr"/>
    </row>
    <row r="608" ht="15" customHeight="1">
      <c r="A608" t="inlineStr">
        <is>
          <t>A 44857-2023</t>
        </is>
      </c>
      <c r="B608" s="1" t="n">
        <v>45190.58479166667</v>
      </c>
      <c r="C608" s="1" t="n">
        <v>46159</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46352-2023</t>
        </is>
      </c>
      <c r="B609" s="1" t="n">
        <v>45192</v>
      </c>
      <c r="C609" s="1" t="n">
        <v>46159</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16369-2026</t>
        </is>
      </c>
      <c r="B610" s="1" t="n">
        <v>46111</v>
      </c>
      <c r="C610" s="1" t="n">
        <v>46159</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22397-2022</t>
        </is>
      </c>
      <c r="B611" s="1" t="n">
        <v>44713</v>
      </c>
      <c r="C611" s="1" t="n">
        <v>46159</v>
      </c>
      <c r="D611" t="inlineStr">
        <is>
          <t>VÄSTMANLANDS LÄN</t>
        </is>
      </c>
      <c r="E611" t="inlineStr">
        <is>
          <t>SALA</t>
        </is>
      </c>
      <c r="G611" t="n">
        <v>2.1</v>
      </c>
      <c r="H611" t="n">
        <v>0</v>
      </c>
      <c r="I611" t="n">
        <v>0</v>
      </c>
      <c r="J611" t="n">
        <v>0</v>
      </c>
      <c r="K611" t="n">
        <v>0</v>
      </c>
      <c r="L611" t="n">
        <v>0</v>
      </c>
      <c r="M611" t="n">
        <v>0</v>
      </c>
      <c r="N611" t="n">
        <v>0</v>
      </c>
      <c r="O611" t="n">
        <v>0</v>
      </c>
      <c r="P611" t="n">
        <v>0</v>
      </c>
      <c r="Q611" t="n">
        <v>0</v>
      </c>
      <c r="R611" s="2" t="inlineStr"/>
    </row>
    <row r="612" ht="15" customHeight="1">
      <c r="A612" t="inlineStr">
        <is>
          <t>A 27424-2023</t>
        </is>
      </c>
      <c r="B612" s="1" t="n">
        <v>45097.37690972222</v>
      </c>
      <c r="C612" s="1" t="n">
        <v>46159</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16364-2026</t>
        </is>
      </c>
      <c r="B613" s="1" t="n">
        <v>46111.6115625</v>
      </c>
      <c r="C613" s="1" t="n">
        <v>46159</v>
      </c>
      <c r="D613" t="inlineStr">
        <is>
          <t>VÄSTMANLANDS LÄN</t>
        </is>
      </c>
      <c r="E613" t="inlineStr">
        <is>
          <t>SALA</t>
        </is>
      </c>
      <c r="G613" t="n">
        <v>4.7</v>
      </c>
      <c r="H613" t="n">
        <v>0</v>
      </c>
      <c r="I613" t="n">
        <v>0</v>
      </c>
      <c r="J613" t="n">
        <v>0</v>
      </c>
      <c r="K613" t="n">
        <v>0</v>
      </c>
      <c r="L613" t="n">
        <v>0</v>
      </c>
      <c r="M613" t="n">
        <v>0</v>
      </c>
      <c r="N613" t="n">
        <v>0</v>
      </c>
      <c r="O613" t="n">
        <v>0</v>
      </c>
      <c r="P613" t="n">
        <v>0</v>
      </c>
      <c r="Q613" t="n">
        <v>0</v>
      </c>
      <c r="R613" s="2" t="inlineStr"/>
    </row>
    <row r="614" ht="15" customHeight="1">
      <c r="A614" t="inlineStr">
        <is>
          <t>A 7469-2025</t>
        </is>
      </c>
      <c r="B614" s="1" t="n">
        <v>45705</v>
      </c>
      <c r="C614" s="1" t="n">
        <v>46159</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6691-2025</t>
        </is>
      </c>
      <c r="B615" s="1" t="n">
        <v>45700.50625</v>
      </c>
      <c r="C615" s="1" t="n">
        <v>46159</v>
      </c>
      <c r="D615" t="inlineStr">
        <is>
          <t>VÄSTMANLANDS LÄN</t>
        </is>
      </c>
      <c r="E615" t="inlineStr">
        <is>
          <t>SALA</t>
        </is>
      </c>
      <c r="G615" t="n">
        <v>2.1</v>
      </c>
      <c r="H615" t="n">
        <v>0</v>
      </c>
      <c r="I615" t="n">
        <v>0</v>
      </c>
      <c r="J615" t="n">
        <v>0</v>
      </c>
      <c r="K615" t="n">
        <v>0</v>
      </c>
      <c r="L615" t="n">
        <v>0</v>
      </c>
      <c r="M615" t="n">
        <v>0</v>
      </c>
      <c r="N615" t="n">
        <v>0</v>
      </c>
      <c r="O615" t="n">
        <v>0</v>
      </c>
      <c r="P615" t="n">
        <v>0</v>
      </c>
      <c r="Q615" t="n">
        <v>0</v>
      </c>
      <c r="R615" s="2" t="inlineStr"/>
    </row>
    <row r="616" ht="15" customHeight="1">
      <c r="A616" t="inlineStr">
        <is>
          <t>A 60036-2024</t>
        </is>
      </c>
      <c r="B616" s="1" t="n">
        <v>45642.46434027778</v>
      </c>
      <c r="C616" s="1" t="n">
        <v>46159</v>
      </c>
      <c r="D616" t="inlineStr">
        <is>
          <t>VÄSTMANLANDS LÄN</t>
        </is>
      </c>
      <c r="E616" t="inlineStr">
        <is>
          <t>SALA</t>
        </is>
      </c>
      <c r="G616" t="n">
        <v>2.5</v>
      </c>
      <c r="H616" t="n">
        <v>0</v>
      </c>
      <c r="I616" t="n">
        <v>0</v>
      </c>
      <c r="J616" t="n">
        <v>0</v>
      </c>
      <c r="K616" t="n">
        <v>0</v>
      </c>
      <c r="L616" t="n">
        <v>0</v>
      </c>
      <c r="M616" t="n">
        <v>0</v>
      </c>
      <c r="N616" t="n">
        <v>0</v>
      </c>
      <c r="O616" t="n">
        <v>0</v>
      </c>
      <c r="P616" t="n">
        <v>0</v>
      </c>
      <c r="Q616" t="n">
        <v>0</v>
      </c>
      <c r="R616" s="2" t="inlineStr"/>
    </row>
    <row r="617" ht="15" customHeight="1">
      <c r="A617" t="inlineStr">
        <is>
          <t>A 43188-2023</t>
        </is>
      </c>
      <c r="B617" s="1" t="n">
        <v>45183</v>
      </c>
      <c r="C617" s="1" t="n">
        <v>46159</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43205-2023</t>
        </is>
      </c>
      <c r="B618" s="1" t="n">
        <v>45183</v>
      </c>
      <c r="C618" s="1" t="n">
        <v>46159</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28827-2022</t>
        </is>
      </c>
      <c r="B619" s="1" t="n">
        <v>44749.45561342593</v>
      </c>
      <c r="C619" s="1" t="n">
        <v>46159</v>
      </c>
      <c r="D619" t="inlineStr">
        <is>
          <t>VÄSTMANLANDS LÄN</t>
        </is>
      </c>
      <c r="E619" t="inlineStr">
        <is>
          <t>SALA</t>
        </is>
      </c>
      <c r="F619" t="inlineStr">
        <is>
          <t>Kommuner</t>
        </is>
      </c>
      <c r="G619" t="n">
        <v>11.9</v>
      </c>
      <c r="H619" t="n">
        <v>0</v>
      </c>
      <c r="I619" t="n">
        <v>0</v>
      </c>
      <c r="J619" t="n">
        <v>0</v>
      </c>
      <c r="K619" t="n">
        <v>0</v>
      </c>
      <c r="L619" t="n">
        <v>0</v>
      </c>
      <c r="M619" t="n">
        <v>0</v>
      </c>
      <c r="N619" t="n">
        <v>0</v>
      </c>
      <c r="O619" t="n">
        <v>0</v>
      </c>
      <c r="P619" t="n">
        <v>0</v>
      </c>
      <c r="Q619" t="n">
        <v>0</v>
      </c>
      <c r="R619" s="2" t="inlineStr"/>
    </row>
    <row r="620" ht="15" customHeight="1">
      <c r="A620" t="inlineStr">
        <is>
          <t>A 15756-2025</t>
        </is>
      </c>
      <c r="B620" s="1" t="n">
        <v>45748.56810185185</v>
      </c>
      <c r="C620" s="1" t="n">
        <v>46159</v>
      </c>
      <c r="D620" t="inlineStr">
        <is>
          <t>VÄSTMANLANDS LÄN</t>
        </is>
      </c>
      <c r="E620" t="inlineStr">
        <is>
          <t>SALA</t>
        </is>
      </c>
      <c r="F620" t="inlineStr">
        <is>
          <t>Bergvik skog öst AB</t>
        </is>
      </c>
      <c r="G620" t="n">
        <v>0.8</v>
      </c>
      <c r="H620" t="n">
        <v>0</v>
      </c>
      <c r="I620" t="n">
        <v>0</v>
      </c>
      <c r="J620" t="n">
        <v>0</v>
      </c>
      <c r="K620" t="n">
        <v>0</v>
      </c>
      <c r="L620" t="n">
        <v>0</v>
      </c>
      <c r="M620" t="n">
        <v>0</v>
      </c>
      <c r="N620" t="n">
        <v>0</v>
      </c>
      <c r="O620" t="n">
        <v>0</v>
      </c>
      <c r="P620" t="n">
        <v>0</v>
      </c>
      <c r="Q620" t="n">
        <v>0</v>
      </c>
      <c r="R620" s="2" t="inlineStr"/>
    </row>
    <row r="621" ht="15" customHeight="1">
      <c r="A621" t="inlineStr">
        <is>
          <t>A 19243-2025</t>
        </is>
      </c>
      <c r="B621" s="1" t="n">
        <v>45769</v>
      </c>
      <c r="C621" s="1" t="n">
        <v>46159</v>
      </c>
      <c r="D621" t="inlineStr">
        <is>
          <t>VÄSTMANLANDS LÄN</t>
        </is>
      </c>
      <c r="E621" t="inlineStr">
        <is>
          <t>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59297-2023</t>
        </is>
      </c>
      <c r="B622" s="1" t="n">
        <v>45253</v>
      </c>
      <c r="C622" s="1" t="n">
        <v>46159</v>
      </c>
      <c r="D622" t="inlineStr">
        <is>
          <t>VÄSTMANLANDS LÄN</t>
        </is>
      </c>
      <c r="E622" t="inlineStr">
        <is>
          <t>SALA</t>
        </is>
      </c>
      <c r="G622" t="n">
        <v>2</v>
      </c>
      <c r="H622" t="n">
        <v>0</v>
      </c>
      <c r="I622" t="n">
        <v>0</v>
      </c>
      <c r="J622" t="n">
        <v>0</v>
      </c>
      <c r="K622" t="n">
        <v>0</v>
      </c>
      <c r="L622" t="n">
        <v>0</v>
      </c>
      <c r="M622" t="n">
        <v>0</v>
      </c>
      <c r="N622" t="n">
        <v>0</v>
      </c>
      <c r="O622" t="n">
        <v>0</v>
      </c>
      <c r="P622" t="n">
        <v>0</v>
      </c>
      <c r="Q622" t="n">
        <v>0</v>
      </c>
      <c r="R622" s="2" t="inlineStr"/>
    </row>
    <row r="623" ht="15" customHeight="1">
      <c r="A623" t="inlineStr">
        <is>
          <t>A 6136-2025</t>
        </is>
      </c>
      <c r="B623" s="1" t="n">
        <v>45698.37601851852</v>
      </c>
      <c r="C623" s="1" t="n">
        <v>46159</v>
      </c>
      <c r="D623" t="inlineStr">
        <is>
          <t>VÄSTMANLANDS LÄN</t>
        </is>
      </c>
      <c r="E623" t="inlineStr">
        <is>
          <t>SALA</t>
        </is>
      </c>
      <c r="F623" t="inlineStr">
        <is>
          <t>Bergvik skog öst AB</t>
        </is>
      </c>
      <c r="G623" t="n">
        <v>2.2</v>
      </c>
      <c r="H623" t="n">
        <v>0</v>
      </c>
      <c r="I623" t="n">
        <v>0</v>
      </c>
      <c r="J623" t="n">
        <v>0</v>
      </c>
      <c r="K623" t="n">
        <v>0</v>
      </c>
      <c r="L623" t="n">
        <v>0</v>
      </c>
      <c r="M623" t="n">
        <v>0</v>
      </c>
      <c r="N623" t="n">
        <v>0</v>
      </c>
      <c r="O623" t="n">
        <v>0</v>
      </c>
      <c r="P623" t="n">
        <v>0</v>
      </c>
      <c r="Q623" t="n">
        <v>0</v>
      </c>
      <c r="R623" s="2" t="inlineStr"/>
    </row>
    <row r="624" ht="15" customHeight="1">
      <c r="A624" t="inlineStr">
        <is>
          <t>A 6190-2025</t>
        </is>
      </c>
      <c r="B624" s="1" t="n">
        <v>45698</v>
      </c>
      <c r="C624" s="1" t="n">
        <v>46159</v>
      </c>
      <c r="D624" t="inlineStr">
        <is>
          <t>VÄSTMANLANDS LÄN</t>
        </is>
      </c>
      <c r="E624" t="inlineStr">
        <is>
          <t>SALA</t>
        </is>
      </c>
      <c r="F624" t="inlineStr">
        <is>
          <t>Bergvik skog öst AB</t>
        </is>
      </c>
      <c r="G624" t="n">
        <v>4.6</v>
      </c>
      <c r="H624" t="n">
        <v>0</v>
      </c>
      <c r="I624" t="n">
        <v>0</v>
      </c>
      <c r="J624" t="n">
        <v>0</v>
      </c>
      <c r="K624" t="n">
        <v>0</v>
      </c>
      <c r="L624" t="n">
        <v>0</v>
      </c>
      <c r="M624" t="n">
        <v>0</v>
      </c>
      <c r="N624" t="n">
        <v>0</v>
      </c>
      <c r="O624" t="n">
        <v>0</v>
      </c>
      <c r="P624" t="n">
        <v>0</v>
      </c>
      <c r="Q624" t="n">
        <v>0</v>
      </c>
      <c r="R624" s="2" t="inlineStr"/>
    </row>
    <row r="625" ht="15" customHeight="1">
      <c r="A625" t="inlineStr">
        <is>
          <t>A 28863-2022</t>
        </is>
      </c>
      <c r="B625" s="1" t="n">
        <v>44749.50649305555</v>
      </c>
      <c r="C625" s="1" t="n">
        <v>46159</v>
      </c>
      <c r="D625" t="inlineStr">
        <is>
          <t>VÄSTMANLANDS LÄN</t>
        </is>
      </c>
      <c r="E625" t="inlineStr">
        <is>
          <t>SALA</t>
        </is>
      </c>
      <c r="G625" t="n">
        <v>1.6</v>
      </c>
      <c r="H625" t="n">
        <v>0</v>
      </c>
      <c r="I625" t="n">
        <v>0</v>
      </c>
      <c r="J625" t="n">
        <v>0</v>
      </c>
      <c r="K625" t="n">
        <v>0</v>
      </c>
      <c r="L625" t="n">
        <v>0</v>
      </c>
      <c r="M625" t="n">
        <v>0</v>
      </c>
      <c r="N625" t="n">
        <v>0</v>
      </c>
      <c r="O625" t="n">
        <v>0</v>
      </c>
      <c r="P625" t="n">
        <v>0</v>
      </c>
      <c r="Q625" t="n">
        <v>0</v>
      </c>
      <c r="R625" s="2" t="inlineStr"/>
    </row>
    <row r="626" ht="15" customHeight="1">
      <c r="A626" t="inlineStr">
        <is>
          <t>A 25541-2024</t>
        </is>
      </c>
      <c r="B626" s="1" t="n">
        <v>45463.56337962963</v>
      </c>
      <c r="C626" s="1" t="n">
        <v>46159</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20838-2026</t>
        </is>
      </c>
      <c r="B627" s="1" t="n">
        <v>46142.34188657408</v>
      </c>
      <c r="C627" s="1" t="n">
        <v>46159</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29213-2022</t>
        </is>
      </c>
      <c r="B628" s="1" t="n">
        <v>44750.57474537037</v>
      </c>
      <c r="C628" s="1" t="n">
        <v>46159</v>
      </c>
      <c r="D628" t="inlineStr">
        <is>
          <t>VÄSTMANLANDS LÄN</t>
        </is>
      </c>
      <c r="E628" t="inlineStr">
        <is>
          <t>SALA</t>
        </is>
      </c>
      <c r="G628" t="n">
        <v>1</v>
      </c>
      <c r="H628" t="n">
        <v>0</v>
      </c>
      <c r="I628" t="n">
        <v>0</v>
      </c>
      <c r="J628" t="n">
        <v>0</v>
      </c>
      <c r="K628" t="n">
        <v>0</v>
      </c>
      <c r="L628" t="n">
        <v>0</v>
      </c>
      <c r="M628" t="n">
        <v>0</v>
      </c>
      <c r="N628" t="n">
        <v>0</v>
      </c>
      <c r="O628" t="n">
        <v>0</v>
      </c>
      <c r="P628" t="n">
        <v>0</v>
      </c>
      <c r="Q628" t="n">
        <v>0</v>
      </c>
      <c r="R628" s="2" t="inlineStr"/>
    </row>
    <row r="629" ht="15" customHeight="1">
      <c r="A629" t="inlineStr">
        <is>
          <t>A 56964-2023</t>
        </is>
      </c>
      <c r="B629" s="1" t="n">
        <v>45244.63140046296</v>
      </c>
      <c r="C629" s="1" t="n">
        <v>46159</v>
      </c>
      <c r="D629" t="inlineStr">
        <is>
          <t>VÄSTMANLANDS LÄN</t>
        </is>
      </c>
      <c r="E629" t="inlineStr">
        <is>
          <t>SALA</t>
        </is>
      </c>
      <c r="G629" t="n">
        <v>4.6</v>
      </c>
      <c r="H629" t="n">
        <v>0</v>
      </c>
      <c r="I629" t="n">
        <v>0</v>
      </c>
      <c r="J629" t="n">
        <v>0</v>
      </c>
      <c r="K629" t="n">
        <v>0</v>
      </c>
      <c r="L629" t="n">
        <v>0</v>
      </c>
      <c r="M629" t="n">
        <v>0</v>
      </c>
      <c r="N629" t="n">
        <v>0</v>
      </c>
      <c r="O629" t="n">
        <v>0</v>
      </c>
      <c r="P629" t="n">
        <v>0</v>
      </c>
      <c r="Q629" t="n">
        <v>0</v>
      </c>
      <c r="R629" s="2" t="inlineStr"/>
    </row>
    <row r="630" ht="15" customHeight="1">
      <c r="A630" t="inlineStr">
        <is>
          <t>A 16598-2026</t>
        </is>
      </c>
      <c r="B630" s="1" t="n">
        <v>46112.59598379629</v>
      </c>
      <c r="C630" s="1" t="n">
        <v>46159</v>
      </c>
      <c r="D630" t="inlineStr">
        <is>
          <t>VÄSTMANLANDS LÄN</t>
        </is>
      </c>
      <c r="E630" t="inlineStr">
        <is>
          <t>SALA</t>
        </is>
      </c>
      <c r="G630" t="n">
        <v>1.5</v>
      </c>
      <c r="H630" t="n">
        <v>0</v>
      </c>
      <c r="I630" t="n">
        <v>0</v>
      </c>
      <c r="J630" t="n">
        <v>0</v>
      </c>
      <c r="K630" t="n">
        <v>0</v>
      </c>
      <c r="L630" t="n">
        <v>0</v>
      </c>
      <c r="M630" t="n">
        <v>0</v>
      </c>
      <c r="N630" t="n">
        <v>0</v>
      </c>
      <c r="O630" t="n">
        <v>0</v>
      </c>
      <c r="P630" t="n">
        <v>0</v>
      </c>
      <c r="Q630" t="n">
        <v>0</v>
      </c>
      <c r="R630" s="2" t="inlineStr"/>
    </row>
    <row r="631" ht="15" customHeight="1">
      <c r="A631" t="inlineStr">
        <is>
          <t>A 1555-2024</t>
        </is>
      </c>
      <c r="B631" s="1" t="n">
        <v>45306</v>
      </c>
      <c r="C631" s="1" t="n">
        <v>46159</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13188-2025</t>
        </is>
      </c>
      <c r="B632" s="1" t="n">
        <v>45735.39246527778</v>
      </c>
      <c r="C632" s="1" t="n">
        <v>46159</v>
      </c>
      <c r="D632" t="inlineStr">
        <is>
          <t>VÄSTMANLANDS LÄN</t>
        </is>
      </c>
      <c r="E632" t="inlineStr">
        <is>
          <t>SALA</t>
        </is>
      </c>
      <c r="F632" t="inlineStr">
        <is>
          <t>Naturvårdsverket</t>
        </is>
      </c>
      <c r="G632" t="n">
        <v>18.4</v>
      </c>
      <c r="H632" t="n">
        <v>0</v>
      </c>
      <c r="I632" t="n">
        <v>0</v>
      </c>
      <c r="J632" t="n">
        <v>0</v>
      </c>
      <c r="K632" t="n">
        <v>0</v>
      </c>
      <c r="L632" t="n">
        <v>0</v>
      </c>
      <c r="M632" t="n">
        <v>0</v>
      </c>
      <c r="N632" t="n">
        <v>0</v>
      </c>
      <c r="O632" t="n">
        <v>0</v>
      </c>
      <c r="P632" t="n">
        <v>0</v>
      </c>
      <c r="Q632" t="n">
        <v>0</v>
      </c>
      <c r="R632" s="2" t="inlineStr"/>
    </row>
    <row r="633" ht="15" customHeight="1">
      <c r="A633" t="inlineStr">
        <is>
          <t>A 7197-2025</t>
        </is>
      </c>
      <c r="B633" s="1" t="n">
        <v>45702</v>
      </c>
      <c r="C633" s="1" t="n">
        <v>46159</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15099-2025</t>
        </is>
      </c>
      <c r="B634" s="1" t="n">
        <v>45744.3434837963</v>
      </c>
      <c r="C634" s="1" t="n">
        <v>46159</v>
      </c>
      <c r="D634" t="inlineStr">
        <is>
          <t>VÄSTMANLANDS LÄN</t>
        </is>
      </c>
      <c r="E634" t="inlineStr">
        <is>
          <t>SALA</t>
        </is>
      </c>
      <c r="F634" t="inlineStr">
        <is>
          <t>Sveaskog</t>
        </is>
      </c>
      <c r="G634" t="n">
        <v>14.4</v>
      </c>
      <c r="H634" t="n">
        <v>0</v>
      </c>
      <c r="I634" t="n">
        <v>0</v>
      </c>
      <c r="J634" t="n">
        <v>0</v>
      </c>
      <c r="K634" t="n">
        <v>0</v>
      </c>
      <c r="L634" t="n">
        <v>0</v>
      </c>
      <c r="M634" t="n">
        <v>0</v>
      </c>
      <c r="N634" t="n">
        <v>0</v>
      </c>
      <c r="O634" t="n">
        <v>0</v>
      </c>
      <c r="P634" t="n">
        <v>0</v>
      </c>
      <c r="Q634" t="n">
        <v>0</v>
      </c>
      <c r="R634" s="2" t="inlineStr"/>
    </row>
    <row r="635" ht="15" customHeight="1">
      <c r="A635" t="inlineStr">
        <is>
          <t>A 2928-2024</t>
        </is>
      </c>
      <c r="B635" s="1" t="n">
        <v>45315.59041666667</v>
      </c>
      <c r="C635" s="1" t="n">
        <v>46159</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9962-2025</t>
        </is>
      </c>
      <c r="B636" s="1" t="n">
        <v>45719.37072916667</v>
      </c>
      <c r="C636" s="1" t="n">
        <v>46159</v>
      </c>
      <c r="D636" t="inlineStr">
        <is>
          <t>VÄSTMANLANDS LÄN</t>
        </is>
      </c>
      <c r="E636" t="inlineStr">
        <is>
          <t>SALA</t>
        </is>
      </c>
      <c r="G636" t="n">
        <v>4.5</v>
      </c>
      <c r="H636" t="n">
        <v>0</v>
      </c>
      <c r="I636" t="n">
        <v>0</v>
      </c>
      <c r="J636" t="n">
        <v>0</v>
      </c>
      <c r="K636" t="n">
        <v>0</v>
      </c>
      <c r="L636" t="n">
        <v>0</v>
      </c>
      <c r="M636" t="n">
        <v>0</v>
      </c>
      <c r="N636" t="n">
        <v>0</v>
      </c>
      <c r="O636" t="n">
        <v>0</v>
      </c>
      <c r="P636" t="n">
        <v>0</v>
      </c>
      <c r="Q636" t="n">
        <v>0</v>
      </c>
      <c r="R636" s="2" t="inlineStr"/>
    </row>
    <row r="637" ht="15" customHeight="1">
      <c r="A637" t="inlineStr">
        <is>
          <t>A 14024-2025</t>
        </is>
      </c>
      <c r="B637" s="1" t="n">
        <v>45740.34650462963</v>
      </c>
      <c r="C637" s="1" t="n">
        <v>46159</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3551-2024</t>
        </is>
      </c>
      <c r="B638" s="1" t="n">
        <v>45320.61099537037</v>
      </c>
      <c r="C638" s="1" t="n">
        <v>46159</v>
      </c>
      <c r="D638" t="inlineStr">
        <is>
          <t>VÄSTMANLANDS LÄN</t>
        </is>
      </c>
      <c r="E638" t="inlineStr">
        <is>
          <t>SALA</t>
        </is>
      </c>
      <c r="F638" t="inlineStr">
        <is>
          <t>Kommuner</t>
        </is>
      </c>
      <c r="G638" t="n">
        <v>6</v>
      </c>
      <c r="H638" t="n">
        <v>0</v>
      </c>
      <c r="I638" t="n">
        <v>0</v>
      </c>
      <c r="J638" t="n">
        <v>0</v>
      </c>
      <c r="K638" t="n">
        <v>0</v>
      </c>
      <c r="L638" t="n">
        <v>0</v>
      </c>
      <c r="M638" t="n">
        <v>0</v>
      </c>
      <c r="N638" t="n">
        <v>0</v>
      </c>
      <c r="O638" t="n">
        <v>0</v>
      </c>
      <c r="P638" t="n">
        <v>0</v>
      </c>
      <c r="Q638" t="n">
        <v>0</v>
      </c>
      <c r="R638" s="2" t="inlineStr"/>
    </row>
    <row r="639" ht="15" customHeight="1">
      <c r="A639" t="inlineStr">
        <is>
          <t>A 62635-2022</t>
        </is>
      </c>
      <c r="B639" s="1" t="n">
        <v>44917</v>
      </c>
      <c r="C639" s="1" t="n">
        <v>46159</v>
      </c>
      <c r="D639" t="inlineStr">
        <is>
          <t>VÄSTMANLANDS LÄN</t>
        </is>
      </c>
      <c r="E639" t="inlineStr">
        <is>
          <t>SALA</t>
        </is>
      </c>
      <c r="G639" t="n">
        <v>0.4</v>
      </c>
      <c r="H639" t="n">
        <v>0</v>
      </c>
      <c r="I639" t="n">
        <v>0</v>
      </c>
      <c r="J639" t="n">
        <v>0</v>
      </c>
      <c r="K639" t="n">
        <v>0</v>
      </c>
      <c r="L639" t="n">
        <v>0</v>
      </c>
      <c r="M639" t="n">
        <v>0</v>
      </c>
      <c r="N639" t="n">
        <v>0</v>
      </c>
      <c r="O639" t="n">
        <v>0</v>
      </c>
      <c r="P639" t="n">
        <v>0</v>
      </c>
      <c r="Q639" t="n">
        <v>0</v>
      </c>
      <c r="R639" s="2" t="inlineStr"/>
    </row>
    <row r="640" ht="15" customHeight="1">
      <c r="A640" t="inlineStr">
        <is>
          <t>A 19304-2025</t>
        </is>
      </c>
      <c r="B640" s="1" t="n">
        <v>45769</v>
      </c>
      <c r="C640" s="1" t="n">
        <v>46159</v>
      </c>
      <c r="D640" t="inlineStr">
        <is>
          <t>VÄSTMANLANDS LÄN</t>
        </is>
      </c>
      <c r="E640" t="inlineStr">
        <is>
          <t>SALA</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56057-2023</t>
        </is>
      </c>
      <c r="B641" s="1" t="n">
        <v>45233</v>
      </c>
      <c r="C641" s="1" t="n">
        <v>46159</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55024-2023</t>
        </is>
      </c>
      <c r="B642" s="1" t="n">
        <v>45229</v>
      </c>
      <c r="C642" s="1" t="n">
        <v>46159</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55032-2023</t>
        </is>
      </c>
      <c r="B643" s="1" t="n">
        <v>45229</v>
      </c>
      <c r="C643" s="1" t="n">
        <v>46159</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29248-2022</t>
        </is>
      </c>
      <c r="B644" s="1" t="n">
        <v>44750</v>
      </c>
      <c r="C644" s="1" t="n">
        <v>46159</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59175-2022</t>
        </is>
      </c>
      <c r="B645" s="1" t="n">
        <v>44904.48502314815</v>
      </c>
      <c r="C645" s="1" t="n">
        <v>46159</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39451-2022</t>
        </is>
      </c>
      <c r="B646" s="1" t="n">
        <v>44818.36606481481</v>
      </c>
      <c r="C646" s="1" t="n">
        <v>46159</v>
      </c>
      <c r="D646" t="inlineStr">
        <is>
          <t>VÄSTMANLANDS LÄN</t>
        </is>
      </c>
      <c r="E646" t="inlineStr">
        <is>
          <t>SALA</t>
        </is>
      </c>
      <c r="G646" t="n">
        <v>9.4</v>
      </c>
      <c r="H646" t="n">
        <v>0</v>
      </c>
      <c r="I646" t="n">
        <v>0</v>
      </c>
      <c r="J646" t="n">
        <v>0</v>
      </c>
      <c r="K646" t="n">
        <v>0</v>
      </c>
      <c r="L646" t="n">
        <v>0</v>
      </c>
      <c r="M646" t="n">
        <v>0</v>
      </c>
      <c r="N646" t="n">
        <v>0</v>
      </c>
      <c r="O646" t="n">
        <v>0</v>
      </c>
      <c r="P646" t="n">
        <v>0</v>
      </c>
      <c r="Q646" t="n">
        <v>0</v>
      </c>
      <c r="R646" s="2" t="inlineStr"/>
    </row>
    <row r="647" ht="15" customHeight="1">
      <c r="A647" t="inlineStr">
        <is>
          <t>A 11631-2023</t>
        </is>
      </c>
      <c r="B647" s="1" t="n">
        <v>44994.44001157407</v>
      </c>
      <c r="C647" s="1" t="n">
        <v>46159</v>
      </c>
      <c r="D647" t="inlineStr">
        <is>
          <t>VÄSTMANLANDS LÄN</t>
        </is>
      </c>
      <c r="E647" t="inlineStr">
        <is>
          <t>SALA</t>
        </is>
      </c>
      <c r="F647" t="inlineStr">
        <is>
          <t>Kommuner</t>
        </is>
      </c>
      <c r="G647" t="n">
        <v>1.9</v>
      </c>
      <c r="H647" t="n">
        <v>0</v>
      </c>
      <c r="I647" t="n">
        <v>0</v>
      </c>
      <c r="J647" t="n">
        <v>0</v>
      </c>
      <c r="K647" t="n">
        <v>0</v>
      </c>
      <c r="L647" t="n">
        <v>0</v>
      </c>
      <c r="M647" t="n">
        <v>0</v>
      </c>
      <c r="N647" t="n">
        <v>0</v>
      </c>
      <c r="O647" t="n">
        <v>0</v>
      </c>
      <c r="P647" t="n">
        <v>0</v>
      </c>
      <c r="Q647" t="n">
        <v>0</v>
      </c>
      <c r="R647" s="2" t="inlineStr"/>
    </row>
    <row r="648" ht="15" customHeight="1">
      <c r="A648" t="inlineStr">
        <is>
          <t>A 62648-2022</t>
        </is>
      </c>
      <c r="B648" s="1" t="n">
        <v>44917</v>
      </c>
      <c r="C648" s="1" t="n">
        <v>46159</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1934-2023</t>
        </is>
      </c>
      <c r="B649" s="1" t="n">
        <v>44939.43024305555</v>
      </c>
      <c r="C649" s="1" t="n">
        <v>46159</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11927-2025</t>
        </is>
      </c>
      <c r="B650" s="1" t="n">
        <v>45728.5137962963</v>
      </c>
      <c r="C650" s="1" t="n">
        <v>46159</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60823-2024</t>
        </is>
      </c>
      <c r="B651" s="1" t="n">
        <v>45644</v>
      </c>
      <c r="C651" s="1" t="n">
        <v>46159</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96-2024</t>
        </is>
      </c>
      <c r="B652" s="1" t="n">
        <v>45293.85872685185</v>
      </c>
      <c r="C652" s="1" t="n">
        <v>46159</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23374-2023</t>
        </is>
      </c>
      <c r="B653" s="1" t="n">
        <v>45076.4399537037</v>
      </c>
      <c r="C653" s="1" t="n">
        <v>46159</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61874-2021</t>
        </is>
      </c>
      <c r="B654" s="1" t="n">
        <v>44502</v>
      </c>
      <c r="C654" s="1" t="n">
        <v>46159</v>
      </c>
      <c r="D654" t="inlineStr">
        <is>
          <t>VÄSTMANLANDS LÄN</t>
        </is>
      </c>
      <c r="E654" t="inlineStr">
        <is>
          <t>SALA</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9856-2022</t>
        </is>
      </c>
      <c r="B655" s="1" t="n">
        <v>44620</v>
      </c>
      <c r="C655" s="1" t="n">
        <v>46159</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16159-2024</t>
        </is>
      </c>
      <c r="B656" s="1" t="n">
        <v>45406</v>
      </c>
      <c r="C656" s="1" t="n">
        <v>46159</v>
      </c>
      <c r="D656" t="inlineStr">
        <is>
          <t>VÄSTMANLANDS LÄN</t>
        </is>
      </c>
      <c r="E656" t="inlineStr">
        <is>
          <t>SALA</t>
        </is>
      </c>
      <c r="G656" t="n">
        <v>0.4</v>
      </c>
      <c r="H656" t="n">
        <v>0</v>
      </c>
      <c r="I656" t="n">
        <v>0</v>
      </c>
      <c r="J656" t="n">
        <v>0</v>
      </c>
      <c r="K656" t="n">
        <v>0</v>
      </c>
      <c r="L656" t="n">
        <v>0</v>
      </c>
      <c r="M656" t="n">
        <v>0</v>
      </c>
      <c r="N656" t="n">
        <v>0</v>
      </c>
      <c r="O656" t="n">
        <v>0</v>
      </c>
      <c r="P656" t="n">
        <v>0</v>
      </c>
      <c r="Q656" t="n">
        <v>0</v>
      </c>
      <c r="R656" s="2" t="inlineStr"/>
    </row>
    <row r="657" ht="15" customHeight="1">
      <c r="A657" t="inlineStr">
        <is>
          <t>A 50241-2023</t>
        </is>
      </c>
      <c r="B657" s="1" t="n">
        <v>45216</v>
      </c>
      <c r="C657" s="1" t="n">
        <v>46159</v>
      </c>
      <c r="D657" t="inlineStr">
        <is>
          <t>VÄSTMANLANDS LÄN</t>
        </is>
      </c>
      <c r="E657" t="inlineStr">
        <is>
          <t>SALA</t>
        </is>
      </c>
      <c r="G657" t="n">
        <v>1.9</v>
      </c>
      <c r="H657" t="n">
        <v>0</v>
      </c>
      <c r="I657" t="n">
        <v>0</v>
      </c>
      <c r="J657" t="n">
        <v>0</v>
      </c>
      <c r="K657" t="n">
        <v>0</v>
      </c>
      <c r="L657" t="n">
        <v>0</v>
      </c>
      <c r="M657" t="n">
        <v>0</v>
      </c>
      <c r="N657" t="n">
        <v>0</v>
      </c>
      <c r="O657" t="n">
        <v>0</v>
      </c>
      <c r="P657" t="n">
        <v>0</v>
      </c>
      <c r="Q657" t="n">
        <v>0</v>
      </c>
      <c r="R657" s="2" t="inlineStr"/>
    </row>
    <row r="658" ht="15" customHeight="1">
      <c r="A658" t="inlineStr">
        <is>
          <t>A 3332-2024</t>
        </is>
      </c>
      <c r="B658" s="1" t="n">
        <v>45317</v>
      </c>
      <c r="C658" s="1" t="n">
        <v>46159</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35637-2022</t>
        </is>
      </c>
      <c r="B659" s="1" t="n">
        <v>44799.55194444444</v>
      </c>
      <c r="C659" s="1" t="n">
        <v>46159</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57883-2024</t>
        </is>
      </c>
      <c r="B660" s="1" t="n">
        <v>45630</v>
      </c>
      <c r="C660" s="1" t="n">
        <v>46159</v>
      </c>
      <c r="D660" t="inlineStr">
        <is>
          <t>VÄSTMANLANDS LÄN</t>
        </is>
      </c>
      <c r="E660" t="inlineStr">
        <is>
          <t>SALA</t>
        </is>
      </c>
      <c r="G660" t="n">
        <v>5.4</v>
      </c>
      <c r="H660" t="n">
        <v>0</v>
      </c>
      <c r="I660" t="n">
        <v>0</v>
      </c>
      <c r="J660" t="n">
        <v>0</v>
      </c>
      <c r="K660" t="n">
        <v>0</v>
      </c>
      <c r="L660" t="n">
        <v>0</v>
      </c>
      <c r="M660" t="n">
        <v>0</v>
      </c>
      <c r="N660" t="n">
        <v>0</v>
      </c>
      <c r="O660" t="n">
        <v>0</v>
      </c>
      <c r="P660" t="n">
        <v>0</v>
      </c>
      <c r="Q660" t="n">
        <v>0</v>
      </c>
      <c r="R660" s="2" t="inlineStr"/>
    </row>
    <row r="661" ht="15" customHeight="1">
      <c r="A661" t="inlineStr">
        <is>
          <t>A 50876-2023</t>
        </is>
      </c>
      <c r="B661" s="1" t="n">
        <v>45211</v>
      </c>
      <c r="C661" s="1" t="n">
        <v>46159</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37624-2024</t>
        </is>
      </c>
      <c r="B662" s="1" t="n">
        <v>45541</v>
      </c>
      <c r="C662" s="1" t="n">
        <v>46159</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40398-2021</t>
        </is>
      </c>
      <c r="B663" s="1" t="n">
        <v>44419</v>
      </c>
      <c r="C663" s="1" t="n">
        <v>46159</v>
      </c>
      <c r="D663" t="inlineStr">
        <is>
          <t>VÄSTMANLANDS LÄN</t>
        </is>
      </c>
      <c r="E663" t="inlineStr">
        <is>
          <t>SALA</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46159</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27262-2024</t>
        </is>
      </c>
      <c r="B665" s="1" t="n">
        <v>45471</v>
      </c>
      <c r="C665" s="1" t="n">
        <v>46159</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23119-2022</t>
        </is>
      </c>
      <c r="B666" s="1" t="n">
        <v>44719.56697916667</v>
      </c>
      <c r="C666" s="1" t="n">
        <v>46159</v>
      </c>
      <c r="D666" t="inlineStr">
        <is>
          <t>VÄSTMANLANDS LÄN</t>
        </is>
      </c>
      <c r="E666" t="inlineStr">
        <is>
          <t>SALA</t>
        </is>
      </c>
      <c r="G666" t="n">
        <v>7</v>
      </c>
      <c r="H666" t="n">
        <v>0</v>
      </c>
      <c r="I666" t="n">
        <v>0</v>
      </c>
      <c r="J666" t="n">
        <v>0</v>
      </c>
      <c r="K666" t="n">
        <v>0</v>
      </c>
      <c r="L666" t="n">
        <v>0</v>
      </c>
      <c r="M666" t="n">
        <v>0</v>
      </c>
      <c r="N666" t="n">
        <v>0</v>
      </c>
      <c r="O666" t="n">
        <v>0</v>
      </c>
      <c r="P666" t="n">
        <v>0</v>
      </c>
      <c r="Q666" t="n">
        <v>0</v>
      </c>
      <c r="R666" s="2" t="inlineStr"/>
    </row>
    <row r="667" ht="15" customHeight="1">
      <c r="A667" t="inlineStr">
        <is>
          <t>A 43751-2021</t>
        </is>
      </c>
      <c r="B667" s="1" t="n">
        <v>44433</v>
      </c>
      <c r="C667" s="1" t="n">
        <v>46159</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59483-2022</t>
        </is>
      </c>
      <c r="B668" s="1" t="n">
        <v>44907.45679398148</v>
      </c>
      <c r="C668" s="1" t="n">
        <v>46159</v>
      </c>
      <c r="D668" t="inlineStr">
        <is>
          <t>VÄSTMANLANDS LÄN</t>
        </is>
      </c>
      <c r="E668" t="inlineStr">
        <is>
          <t>SALA</t>
        </is>
      </c>
      <c r="G668" t="n">
        <v>5.2</v>
      </c>
      <c r="H668" t="n">
        <v>0</v>
      </c>
      <c r="I668" t="n">
        <v>0</v>
      </c>
      <c r="J668" t="n">
        <v>0</v>
      </c>
      <c r="K668" t="n">
        <v>0</v>
      </c>
      <c r="L668" t="n">
        <v>0</v>
      </c>
      <c r="M668" t="n">
        <v>0</v>
      </c>
      <c r="N668" t="n">
        <v>0</v>
      </c>
      <c r="O668" t="n">
        <v>0</v>
      </c>
      <c r="P668" t="n">
        <v>0</v>
      </c>
      <c r="Q668" t="n">
        <v>0</v>
      </c>
      <c r="R668" s="2" t="inlineStr"/>
    </row>
    <row r="669" ht="15" customHeight="1">
      <c r="A669" t="inlineStr">
        <is>
          <t>A 73673-2021</t>
        </is>
      </c>
      <c r="B669" s="1" t="n">
        <v>44552.46501157407</v>
      </c>
      <c r="C669" s="1" t="n">
        <v>46159</v>
      </c>
      <c r="D669" t="inlineStr">
        <is>
          <t>VÄSTMANLANDS LÄN</t>
        </is>
      </c>
      <c r="E669" t="inlineStr">
        <is>
          <t>SALA</t>
        </is>
      </c>
      <c r="G669" t="n">
        <v>11.4</v>
      </c>
      <c r="H669" t="n">
        <v>0</v>
      </c>
      <c r="I669" t="n">
        <v>0</v>
      </c>
      <c r="J669" t="n">
        <v>0</v>
      </c>
      <c r="K669" t="n">
        <v>0</v>
      </c>
      <c r="L669" t="n">
        <v>0</v>
      </c>
      <c r="M669" t="n">
        <v>0</v>
      </c>
      <c r="N669" t="n">
        <v>0</v>
      </c>
      <c r="O669" t="n">
        <v>0</v>
      </c>
      <c r="P669" t="n">
        <v>0</v>
      </c>
      <c r="Q669" t="n">
        <v>0</v>
      </c>
      <c r="R669" s="2" t="inlineStr"/>
    </row>
    <row r="670" ht="15" customHeight="1">
      <c r="A670" t="inlineStr">
        <is>
          <t>A 4853-2023</t>
        </is>
      </c>
      <c r="B670" s="1" t="n">
        <v>44957.73234953704</v>
      </c>
      <c r="C670" s="1" t="n">
        <v>46159</v>
      </c>
      <c r="D670" t="inlineStr">
        <is>
          <t>VÄSTMANLANDS LÄN</t>
        </is>
      </c>
      <c r="E670" t="inlineStr">
        <is>
          <t>SALA</t>
        </is>
      </c>
      <c r="G670" t="n">
        <v>2.7</v>
      </c>
      <c r="H670" t="n">
        <v>0</v>
      </c>
      <c r="I670" t="n">
        <v>0</v>
      </c>
      <c r="J670" t="n">
        <v>0</v>
      </c>
      <c r="K670" t="n">
        <v>0</v>
      </c>
      <c r="L670" t="n">
        <v>0</v>
      </c>
      <c r="M670" t="n">
        <v>0</v>
      </c>
      <c r="N670" t="n">
        <v>0</v>
      </c>
      <c r="O670" t="n">
        <v>0</v>
      </c>
      <c r="P670" t="n">
        <v>0</v>
      </c>
      <c r="Q670" t="n">
        <v>0</v>
      </c>
      <c r="R670" s="2" t="inlineStr"/>
    </row>
    <row r="671" ht="15" customHeight="1">
      <c r="A671" t="inlineStr">
        <is>
          <t>A 1993-2022</t>
        </is>
      </c>
      <c r="B671" s="1" t="n">
        <v>44575</v>
      </c>
      <c r="C671" s="1" t="n">
        <v>46159</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1793-2023</t>
        </is>
      </c>
      <c r="B672" s="1" t="n">
        <v>44937</v>
      </c>
      <c r="C672" s="1" t="n">
        <v>46159</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42447-2022</t>
        </is>
      </c>
      <c r="B673" s="1" t="n">
        <v>44831</v>
      </c>
      <c r="C673" s="1" t="n">
        <v>46159</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11183-2023</t>
        </is>
      </c>
      <c r="B674" s="1" t="n">
        <v>44992.57782407408</v>
      </c>
      <c r="C674" s="1" t="n">
        <v>46159</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11190-2023</t>
        </is>
      </c>
      <c r="B675" s="1" t="n">
        <v>44992</v>
      </c>
      <c r="C675" s="1" t="n">
        <v>46159</v>
      </c>
      <c r="D675" t="inlineStr">
        <is>
          <t>VÄSTMANLANDS LÄN</t>
        </is>
      </c>
      <c r="E675" t="inlineStr">
        <is>
          <t>SALA</t>
        </is>
      </c>
      <c r="G675" t="n">
        <v>1</v>
      </c>
      <c r="H675" t="n">
        <v>0</v>
      </c>
      <c r="I675" t="n">
        <v>0</v>
      </c>
      <c r="J675" t="n">
        <v>0</v>
      </c>
      <c r="K675" t="n">
        <v>0</v>
      </c>
      <c r="L675" t="n">
        <v>0</v>
      </c>
      <c r="M675" t="n">
        <v>0</v>
      </c>
      <c r="N675" t="n">
        <v>0</v>
      </c>
      <c r="O675" t="n">
        <v>0</v>
      </c>
      <c r="P675" t="n">
        <v>0</v>
      </c>
      <c r="Q675" t="n">
        <v>0</v>
      </c>
      <c r="R675" s="2" t="inlineStr"/>
    </row>
    <row r="676" ht="15" customHeight="1">
      <c r="A676" t="inlineStr">
        <is>
          <t>A 31950-2023</t>
        </is>
      </c>
      <c r="B676" s="1" t="n">
        <v>45107</v>
      </c>
      <c r="C676" s="1" t="n">
        <v>46159</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48710-2024</t>
        </is>
      </c>
      <c r="B677" s="1" t="n">
        <v>45593.53636574074</v>
      </c>
      <c r="C677" s="1" t="n">
        <v>46159</v>
      </c>
      <c r="D677" t="inlineStr">
        <is>
          <t>VÄSTMANLANDS LÄN</t>
        </is>
      </c>
      <c r="E677" t="inlineStr">
        <is>
          <t>SALA</t>
        </is>
      </c>
      <c r="G677" t="n">
        <v>6.5</v>
      </c>
      <c r="H677" t="n">
        <v>0</v>
      </c>
      <c r="I677" t="n">
        <v>0</v>
      </c>
      <c r="J677" t="n">
        <v>0</v>
      </c>
      <c r="K677" t="n">
        <v>0</v>
      </c>
      <c r="L677" t="n">
        <v>0</v>
      </c>
      <c r="M677" t="n">
        <v>0</v>
      </c>
      <c r="N677" t="n">
        <v>0</v>
      </c>
      <c r="O677" t="n">
        <v>0</v>
      </c>
      <c r="P677" t="n">
        <v>0</v>
      </c>
      <c r="Q677" t="n">
        <v>0</v>
      </c>
      <c r="R677" s="2" t="inlineStr"/>
    </row>
    <row r="678" ht="15" customHeight="1">
      <c r="A678" t="inlineStr">
        <is>
          <t>A 23406-2024</t>
        </is>
      </c>
      <c r="B678" s="1" t="n">
        <v>45453.58296296297</v>
      </c>
      <c r="C678" s="1" t="n">
        <v>46159</v>
      </c>
      <c r="D678" t="inlineStr">
        <is>
          <t>VÄSTMANLANDS LÄN</t>
        </is>
      </c>
      <c r="E678" t="inlineStr">
        <is>
          <t>SALA</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12246-2023</t>
        </is>
      </c>
      <c r="B679" s="1" t="n">
        <v>44995</v>
      </c>
      <c r="C679" s="1" t="n">
        <v>46159</v>
      </c>
      <c r="D679" t="inlineStr">
        <is>
          <t>VÄSTMANLANDS LÄN</t>
        </is>
      </c>
      <c r="E679" t="inlineStr">
        <is>
          <t>SALA</t>
        </is>
      </c>
      <c r="G679" t="n">
        <v>2.4</v>
      </c>
      <c r="H679" t="n">
        <v>0</v>
      </c>
      <c r="I679" t="n">
        <v>0</v>
      </c>
      <c r="J679" t="n">
        <v>0</v>
      </c>
      <c r="K679" t="n">
        <v>0</v>
      </c>
      <c r="L679" t="n">
        <v>0</v>
      </c>
      <c r="M679" t="n">
        <v>0</v>
      </c>
      <c r="N679" t="n">
        <v>0</v>
      </c>
      <c r="O679" t="n">
        <v>0</v>
      </c>
      <c r="P679" t="n">
        <v>0</v>
      </c>
      <c r="Q679" t="n">
        <v>0</v>
      </c>
      <c r="R679" s="2" t="inlineStr"/>
    </row>
    <row r="680" ht="15" customHeight="1">
      <c r="A680" t="inlineStr">
        <is>
          <t>A 48571-2024</t>
        </is>
      </c>
      <c r="B680" s="1" t="n">
        <v>45591</v>
      </c>
      <c r="C680" s="1" t="n">
        <v>46159</v>
      </c>
      <c r="D680" t="inlineStr">
        <is>
          <t>VÄSTMANLANDS LÄN</t>
        </is>
      </c>
      <c r="E680" t="inlineStr">
        <is>
          <t>SALA</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43362-2023</t>
        </is>
      </c>
      <c r="B681" s="1" t="n">
        <v>45183</v>
      </c>
      <c r="C681" s="1" t="n">
        <v>46159</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16767-2024</t>
        </is>
      </c>
      <c r="B682" s="1" t="n">
        <v>45411.38171296296</v>
      </c>
      <c r="C682" s="1" t="n">
        <v>46159</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31470-2021</t>
        </is>
      </c>
      <c r="B683" s="1" t="n">
        <v>44369</v>
      </c>
      <c r="C683" s="1" t="n">
        <v>46159</v>
      </c>
      <c r="D683" t="inlineStr">
        <is>
          <t>VÄSTMANLANDS LÄN</t>
        </is>
      </c>
      <c r="E683" t="inlineStr">
        <is>
          <t>SALA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18461-2024</t>
        </is>
      </c>
      <c r="B684" s="1" t="n">
        <v>45425.47435185185</v>
      </c>
      <c r="C684" s="1" t="n">
        <v>46159</v>
      </c>
      <c r="D684" t="inlineStr">
        <is>
          <t>VÄSTMANLANDS LÄN</t>
        </is>
      </c>
      <c r="E684" t="inlineStr">
        <is>
          <t>SALA</t>
        </is>
      </c>
      <c r="G684" t="n">
        <v>1.7</v>
      </c>
      <c r="H684" t="n">
        <v>0</v>
      </c>
      <c r="I684" t="n">
        <v>0</v>
      </c>
      <c r="J684" t="n">
        <v>0</v>
      </c>
      <c r="K684" t="n">
        <v>0</v>
      </c>
      <c r="L684" t="n">
        <v>0</v>
      </c>
      <c r="M684" t="n">
        <v>0</v>
      </c>
      <c r="N684" t="n">
        <v>0</v>
      </c>
      <c r="O684" t="n">
        <v>0</v>
      </c>
      <c r="P684" t="n">
        <v>0</v>
      </c>
      <c r="Q684" t="n">
        <v>0</v>
      </c>
      <c r="R684" s="2" t="inlineStr"/>
    </row>
    <row r="685" ht="15" customHeight="1">
      <c r="A685" t="inlineStr">
        <is>
          <t>A 29230-2022</t>
        </is>
      </c>
      <c r="B685" s="1" t="n">
        <v>44750</v>
      </c>
      <c r="C685" s="1" t="n">
        <v>46159</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9335-2022</t>
        </is>
      </c>
      <c r="B686" s="1" t="n">
        <v>44616.56579861111</v>
      </c>
      <c r="C686" s="1" t="n">
        <v>46159</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47479-2024</t>
        </is>
      </c>
      <c r="B687" s="1" t="n">
        <v>45587</v>
      </c>
      <c r="C687" s="1" t="n">
        <v>46159</v>
      </c>
      <c r="D687" t="inlineStr">
        <is>
          <t>VÄSTMANLANDS LÄN</t>
        </is>
      </c>
      <c r="E687" t="inlineStr">
        <is>
          <t>SALA</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19065-2022</t>
        </is>
      </c>
      <c r="B688" s="1" t="n">
        <v>44691.44309027777</v>
      </c>
      <c r="C688" s="1" t="n">
        <v>46159</v>
      </c>
      <c r="D688" t="inlineStr">
        <is>
          <t>VÄSTMANLANDS LÄN</t>
        </is>
      </c>
      <c r="E688" t="inlineStr">
        <is>
          <t>SALA</t>
        </is>
      </c>
      <c r="G688" t="n">
        <v>3.4</v>
      </c>
      <c r="H688" t="n">
        <v>0</v>
      </c>
      <c r="I688" t="n">
        <v>0</v>
      </c>
      <c r="J688" t="n">
        <v>0</v>
      </c>
      <c r="K688" t="n">
        <v>0</v>
      </c>
      <c r="L688" t="n">
        <v>0</v>
      </c>
      <c r="M688" t="n">
        <v>0</v>
      </c>
      <c r="N688" t="n">
        <v>0</v>
      </c>
      <c r="O688" t="n">
        <v>0</v>
      </c>
      <c r="P688" t="n">
        <v>0</v>
      </c>
      <c r="Q688" t="n">
        <v>0</v>
      </c>
      <c r="R688" s="2" t="inlineStr"/>
    </row>
    <row r="689" ht="15" customHeight="1">
      <c r="A689" t="inlineStr">
        <is>
          <t>A 22961-2023</t>
        </is>
      </c>
      <c r="B689" s="1" t="n">
        <v>45072</v>
      </c>
      <c r="C689" s="1" t="n">
        <v>46159</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22963-2023</t>
        </is>
      </c>
      <c r="B690" s="1" t="n">
        <v>45072</v>
      </c>
      <c r="C690" s="1" t="n">
        <v>46159</v>
      </c>
      <c r="D690" t="inlineStr">
        <is>
          <t>VÄSTMANLANDS LÄN</t>
        </is>
      </c>
      <c r="E690" t="inlineStr">
        <is>
          <t>SALA</t>
        </is>
      </c>
      <c r="G690" t="n">
        <v>1.2</v>
      </c>
      <c r="H690" t="n">
        <v>0</v>
      </c>
      <c r="I690" t="n">
        <v>0</v>
      </c>
      <c r="J690" t="n">
        <v>0</v>
      </c>
      <c r="K690" t="n">
        <v>0</v>
      </c>
      <c r="L690" t="n">
        <v>0</v>
      </c>
      <c r="M690" t="n">
        <v>0</v>
      </c>
      <c r="N690" t="n">
        <v>0</v>
      </c>
      <c r="O690" t="n">
        <v>0</v>
      </c>
      <c r="P690" t="n">
        <v>0</v>
      </c>
      <c r="Q690" t="n">
        <v>0</v>
      </c>
      <c r="R690" s="2" t="inlineStr"/>
    </row>
    <row r="691" ht="15" customHeight="1">
      <c r="A691" t="inlineStr">
        <is>
          <t>A 10585-2022</t>
        </is>
      </c>
      <c r="B691" s="1" t="n">
        <v>44624</v>
      </c>
      <c r="C691" s="1" t="n">
        <v>46159</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69236-2021</t>
        </is>
      </c>
      <c r="B692" s="1" t="n">
        <v>44531.4047337963</v>
      </c>
      <c r="C692" s="1" t="n">
        <v>46159</v>
      </c>
      <c r="D692" t="inlineStr">
        <is>
          <t>VÄSTMANLANDS LÄN</t>
        </is>
      </c>
      <c r="E692" t="inlineStr">
        <is>
          <t>SALA</t>
        </is>
      </c>
      <c r="G692" t="n">
        <v>2.8</v>
      </c>
      <c r="H692" t="n">
        <v>0</v>
      </c>
      <c r="I692" t="n">
        <v>0</v>
      </c>
      <c r="J692" t="n">
        <v>0</v>
      </c>
      <c r="K692" t="n">
        <v>0</v>
      </c>
      <c r="L692" t="n">
        <v>0</v>
      </c>
      <c r="M692" t="n">
        <v>0</v>
      </c>
      <c r="N692" t="n">
        <v>0</v>
      </c>
      <c r="O692" t="n">
        <v>0</v>
      </c>
      <c r="P692" t="n">
        <v>0</v>
      </c>
      <c r="Q692" t="n">
        <v>0</v>
      </c>
      <c r="R692" s="2" t="inlineStr"/>
    </row>
    <row r="693" ht="15" customHeight="1">
      <c r="A693" t="inlineStr">
        <is>
          <t>A 48117-2024</t>
        </is>
      </c>
      <c r="B693" s="1" t="n">
        <v>45589</v>
      </c>
      <c r="C693" s="1" t="n">
        <v>46159</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12225-2023</t>
        </is>
      </c>
      <c r="B694" s="1" t="n">
        <v>44995</v>
      </c>
      <c r="C694" s="1" t="n">
        <v>46159</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12252-2023</t>
        </is>
      </c>
      <c r="B695" s="1" t="n">
        <v>44995</v>
      </c>
      <c r="C695" s="1" t="n">
        <v>46159</v>
      </c>
      <c r="D695" t="inlineStr">
        <is>
          <t>VÄSTMANLANDS LÄN</t>
        </is>
      </c>
      <c r="E695" t="inlineStr">
        <is>
          <t>SALA</t>
        </is>
      </c>
      <c r="G695" t="n">
        <v>2.6</v>
      </c>
      <c r="H695" t="n">
        <v>0</v>
      </c>
      <c r="I695" t="n">
        <v>0</v>
      </c>
      <c r="J695" t="n">
        <v>0</v>
      </c>
      <c r="K695" t="n">
        <v>0</v>
      </c>
      <c r="L695" t="n">
        <v>0</v>
      </c>
      <c r="M695" t="n">
        <v>0</v>
      </c>
      <c r="N695" t="n">
        <v>0</v>
      </c>
      <c r="O695" t="n">
        <v>0</v>
      </c>
      <c r="P695" t="n">
        <v>0</v>
      </c>
      <c r="Q695" t="n">
        <v>0</v>
      </c>
      <c r="R695" s="2" t="inlineStr"/>
    </row>
    <row r="696" ht="15" customHeight="1">
      <c r="A696" t="inlineStr">
        <is>
          <t>A 6116-2023</t>
        </is>
      </c>
      <c r="B696" s="1" t="n">
        <v>44964</v>
      </c>
      <c r="C696" s="1" t="n">
        <v>46159</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46159</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13471-2025</t>
        </is>
      </c>
      <c r="B698" s="1" t="n">
        <v>45736.40579861111</v>
      </c>
      <c r="C698" s="1" t="n">
        <v>46159</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26854-2024</t>
        </is>
      </c>
      <c r="B699" s="1" t="n">
        <v>45470</v>
      </c>
      <c r="C699" s="1" t="n">
        <v>46159</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37602-2024</t>
        </is>
      </c>
      <c r="B700" s="1" t="n">
        <v>45541</v>
      </c>
      <c r="C700" s="1" t="n">
        <v>46159</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1985-2022</t>
        </is>
      </c>
      <c r="B701" s="1" t="n">
        <v>44575</v>
      </c>
      <c r="C701" s="1" t="n">
        <v>46159</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46159</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4797-2023</t>
        </is>
      </c>
      <c r="B703" s="1" t="n">
        <v>44957</v>
      </c>
      <c r="C703" s="1" t="n">
        <v>46159</v>
      </c>
      <c r="D703" t="inlineStr">
        <is>
          <t>VÄSTMANLANDS LÄN</t>
        </is>
      </c>
      <c r="E703" t="inlineStr">
        <is>
          <t>SALA</t>
        </is>
      </c>
      <c r="G703" t="n">
        <v>5.7</v>
      </c>
      <c r="H703" t="n">
        <v>0</v>
      </c>
      <c r="I703" t="n">
        <v>0</v>
      </c>
      <c r="J703" t="n">
        <v>0</v>
      </c>
      <c r="K703" t="n">
        <v>0</v>
      </c>
      <c r="L703" t="n">
        <v>0</v>
      </c>
      <c r="M703" t="n">
        <v>0</v>
      </c>
      <c r="N703" t="n">
        <v>0</v>
      </c>
      <c r="O703" t="n">
        <v>0</v>
      </c>
      <c r="P703" t="n">
        <v>0</v>
      </c>
      <c r="Q703" t="n">
        <v>0</v>
      </c>
      <c r="R703" s="2" t="inlineStr"/>
    </row>
    <row r="704" ht="15" customHeight="1">
      <c r="A704" t="inlineStr">
        <is>
          <t>A 4852-2023</t>
        </is>
      </c>
      <c r="B704" s="1" t="n">
        <v>44957.72496527778</v>
      </c>
      <c r="C704" s="1" t="n">
        <v>46159</v>
      </c>
      <c r="D704" t="inlineStr">
        <is>
          <t>VÄSTMANLANDS LÄN</t>
        </is>
      </c>
      <c r="E704" t="inlineStr">
        <is>
          <t>SALA</t>
        </is>
      </c>
      <c r="G704" t="n">
        <v>2</v>
      </c>
      <c r="H704" t="n">
        <v>0</v>
      </c>
      <c r="I704" t="n">
        <v>0</v>
      </c>
      <c r="J704" t="n">
        <v>0</v>
      </c>
      <c r="K704" t="n">
        <v>0</v>
      </c>
      <c r="L704" t="n">
        <v>0</v>
      </c>
      <c r="M704" t="n">
        <v>0</v>
      </c>
      <c r="N704" t="n">
        <v>0</v>
      </c>
      <c r="O704" t="n">
        <v>0</v>
      </c>
      <c r="P704" t="n">
        <v>0</v>
      </c>
      <c r="Q704" t="n">
        <v>0</v>
      </c>
      <c r="R704" s="2" t="inlineStr"/>
    </row>
    <row r="705" ht="15" customHeight="1">
      <c r="A705" t="inlineStr">
        <is>
          <t>A 36858-2023</t>
        </is>
      </c>
      <c r="B705" s="1" t="n">
        <v>45154.55184027777</v>
      </c>
      <c r="C705" s="1" t="n">
        <v>46159</v>
      </c>
      <c r="D705" t="inlineStr">
        <is>
          <t>VÄSTMANLANDS LÄN</t>
        </is>
      </c>
      <c r="E705" t="inlineStr">
        <is>
          <t>SALA</t>
        </is>
      </c>
      <c r="G705" t="n">
        <v>2.1</v>
      </c>
      <c r="H705" t="n">
        <v>0</v>
      </c>
      <c r="I705" t="n">
        <v>0</v>
      </c>
      <c r="J705" t="n">
        <v>0</v>
      </c>
      <c r="K705" t="n">
        <v>0</v>
      </c>
      <c r="L705" t="n">
        <v>0</v>
      </c>
      <c r="M705" t="n">
        <v>0</v>
      </c>
      <c r="N705" t="n">
        <v>0</v>
      </c>
      <c r="O705" t="n">
        <v>0</v>
      </c>
      <c r="P705" t="n">
        <v>0</v>
      </c>
      <c r="Q705" t="n">
        <v>0</v>
      </c>
      <c r="R705" s="2" t="inlineStr"/>
    </row>
    <row r="706" ht="15" customHeight="1">
      <c r="A706" t="inlineStr">
        <is>
          <t>A 58701-2021</t>
        </is>
      </c>
      <c r="B706" s="1" t="n">
        <v>44489.46454861111</v>
      </c>
      <c r="C706" s="1" t="n">
        <v>46159</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37337-2024</t>
        </is>
      </c>
      <c r="B707" s="1" t="n">
        <v>45540</v>
      </c>
      <c r="C707" s="1" t="n">
        <v>46159</v>
      </c>
      <c r="D707" t="inlineStr">
        <is>
          <t>VÄSTMANLANDS LÄN</t>
        </is>
      </c>
      <c r="E707" t="inlineStr">
        <is>
          <t>SALA</t>
        </is>
      </c>
      <c r="G707" t="n">
        <v>6.5</v>
      </c>
      <c r="H707" t="n">
        <v>0</v>
      </c>
      <c r="I707" t="n">
        <v>0</v>
      </c>
      <c r="J707" t="n">
        <v>0</v>
      </c>
      <c r="K707" t="n">
        <v>0</v>
      </c>
      <c r="L707" t="n">
        <v>0</v>
      </c>
      <c r="M707" t="n">
        <v>0</v>
      </c>
      <c r="N707" t="n">
        <v>0</v>
      </c>
      <c r="O707" t="n">
        <v>0</v>
      </c>
      <c r="P707" t="n">
        <v>0</v>
      </c>
      <c r="Q707" t="n">
        <v>0</v>
      </c>
      <c r="R707" s="2" t="inlineStr"/>
    </row>
    <row r="708" ht="15" customHeight="1">
      <c r="A708" t="inlineStr">
        <is>
          <t>A 10250-2025</t>
        </is>
      </c>
      <c r="B708" s="1" t="n">
        <v>45720.36165509259</v>
      </c>
      <c r="C708" s="1" t="n">
        <v>46159</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23180-2022</t>
        </is>
      </c>
      <c r="B709" s="1" t="n">
        <v>44719.79344907407</v>
      </c>
      <c r="C709" s="1" t="n">
        <v>46159</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21053-2022</t>
        </is>
      </c>
      <c r="B710" s="1" t="n">
        <v>44704</v>
      </c>
      <c r="C710" s="1" t="n">
        <v>46159</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18340-2025</t>
        </is>
      </c>
      <c r="B711" s="1" t="n">
        <v>45762</v>
      </c>
      <c r="C711" s="1" t="n">
        <v>46159</v>
      </c>
      <c r="D711" t="inlineStr">
        <is>
          <t>VÄSTMANLANDS LÄN</t>
        </is>
      </c>
      <c r="E711" t="inlineStr">
        <is>
          <t>SALA</t>
        </is>
      </c>
      <c r="G711" t="n">
        <v>2.1</v>
      </c>
      <c r="H711" t="n">
        <v>0</v>
      </c>
      <c r="I711" t="n">
        <v>0</v>
      </c>
      <c r="J711" t="n">
        <v>0</v>
      </c>
      <c r="K711" t="n">
        <v>0</v>
      </c>
      <c r="L711" t="n">
        <v>0</v>
      </c>
      <c r="M711" t="n">
        <v>0</v>
      </c>
      <c r="N711" t="n">
        <v>0</v>
      </c>
      <c r="O711" t="n">
        <v>0</v>
      </c>
      <c r="P711" t="n">
        <v>0</v>
      </c>
      <c r="Q711" t="n">
        <v>0</v>
      </c>
      <c r="R711" s="2" t="inlineStr"/>
    </row>
    <row r="712" ht="15" customHeight="1">
      <c r="A712" t="inlineStr">
        <is>
          <t>A 16638-2023</t>
        </is>
      </c>
      <c r="B712" s="1" t="n">
        <v>45027</v>
      </c>
      <c r="C712" s="1" t="n">
        <v>46159</v>
      </c>
      <c r="D712" t="inlineStr">
        <is>
          <t>VÄSTMANLANDS LÄN</t>
        </is>
      </c>
      <c r="E712" t="inlineStr">
        <is>
          <t>SALA</t>
        </is>
      </c>
      <c r="G712" t="n">
        <v>14.8</v>
      </c>
      <c r="H712" t="n">
        <v>0</v>
      </c>
      <c r="I712" t="n">
        <v>0</v>
      </c>
      <c r="J712" t="n">
        <v>0</v>
      </c>
      <c r="K712" t="n">
        <v>0</v>
      </c>
      <c r="L712" t="n">
        <v>0</v>
      </c>
      <c r="M712" t="n">
        <v>0</v>
      </c>
      <c r="N712" t="n">
        <v>0</v>
      </c>
      <c r="O712" t="n">
        <v>0</v>
      </c>
      <c r="P712" t="n">
        <v>0</v>
      </c>
      <c r="Q712" t="n">
        <v>0</v>
      </c>
      <c r="R712" s="2" t="inlineStr"/>
    </row>
    <row r="713" ht="15" customHeight="1">
      <c r="A713" t="inlineStr">
        <is>
          <t>A 17117-2023</t>
        </is>
      </c>
      <c r="B713" s="1" t="n">
        <v>45034</v>
      </c>
      <c r="C713" s="1" t="n">
        <v>46159</v>
      </c>
      <c r="D713" t="inlineStr">
        <is>
          <t>VÄSTMANLANDS LÄN</t>
        </is>
      </c>
      <c r="E713" t="inlineStr">
        <is>
          <t>SALA</t>
        </is>
      </c>
      <c r="G713" t="n">
        <v>0.4</v>
      </c>
      <c r="H713" t="n">
        <v>0</v>
      </c>
      <c r="I713" t="n">
        <v>0</v>
      </c>
      <c r="J713" t="n">
        <v>0</v>
      </c>
      <c r="K713" t="n">
        <v>0</v>
      </c>
      <c r="L713" t="n">
        <v>0</v>
      </c>
      <c r="M713" t="n">
        <v>0</v>
      </c>
      <c r="N713" t="n">
        <v>0</v>
      </c>
      <c r="O713" t="n">
        <v>0</v>
      </c>
      <c r="P713" t="n">
        <v>0</v>
      </c>
      <c r="Q713" t="n">
        <v>0</v>
      </c>
      <c r="R713" s="2" t="inlineStr"/>
    </row>
    <row r="714" ht="15" customHeight="1">
      <c r="A714" t="inlineStr">
        <is>
          <t>A 59909-2024</t>
        </is>
      </c>
      <c r="B714" s="1" t="n">
        <v>45641</v>
      </c>
      <c r="C714" s="1" t="n">
        <v>46159</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30028-2024</t>
        </is>
      </c>
      <c r="B715" s="1" t="n">
        <v>45485</v>
      </c>
      <c r="C715" s="1" t="n">
        <v>46159</v>
      </c>
      <c r="D715" t="inlineStr">
        <is>
          <t>VÄSTMANLANDS LÄN</t>
        </is>
      </c>
      <c r="E715" t="inlineStr">
        <is>
          <t>SALA</t>
        </is>
      </c>
      <c r="G715" t="n">
        <v>2.6</v>
      </c>
      <c r="H715" t="n">
        <v>0</v>
      </c>
      <c r="I715" t="n">
        <v>0</v>
      </c>
      <c r="J715" t="n">
        <v>0</v>
      </c>
      <c r="K715" t="n">
        <v>0</v>
      </c>
      <c r="L715" t="n">
        <v>0</v>
      </c>
      <c r="M715" t="n">
        <v>0</v>
      </c>
      <c r="N715" t="n">
        <v>0</v>
      </c>
      <c r="O715" t="n">
        <v>0</v>
      </c>
      <c r="P715" t="n">
        <v>0</v>
      </c>
      <c r="Q715" t="n">
        <v>0</v>
      </c>
      <c r="R715" s="2" t="inlineStr"/>
    </row>
    <row r="716" ht="15" customHeight="1">
      <c r="A716" t="inlineStr">
        <is>
          <t>A 33309-2022</t>
        </is>
      </c>
      <c r="B716" s="1" t="n">
        <v>44788.40986111111</v>
      </c>
      <c r="C716" s="1" t="n">
        <v>46159</v>
      </c>
      <c r="D716" t="inlineStr">
        <is>
          <t>VÄSTMANLANDS LÄN</t>
        </is>
      </c>
      <c r="E716" t="inlineStr">
        <is>
          <t>SALA</t>
        </is>
      </c>
      <c r="G716" t="n">
        <v>2.6</v>
      </c>
      <c r="H716" t="n">
        <v>0</v>
      </c>
      <c r="I716" t="n">
        <v>0</v>
      </c>
      <c r="J716" t="n">
        <v>0</v>
      </c>
      <c r="K716" t="n">
        <v>0</v>
      </c>
      <c r="L716" t="n">
        <v>0</v>
      </c>
      <c r="M716" t="n">
        <v>0</v>
      </c>
      <c r="N716" t="n">
        <v>0</v>
      </c>
      <c r="O716" t="n">
        <v>0</v>
      </c>
      <c r="P716" t="n">
        <v>0</v>
      </c>
      <c r="Q716" t="n">
        <v>0</v>
      </c>
      <c r="R716" s="2" t="inlineStr"/>
    </row>
    <row r="717" ht="15" customHeight="1">
      <c r="A717" t="inlineStr">
        <is>
          <t>A 7377-2023</t>
        </is>
      </c>
      <c r="B717" s="1" t="n">
        <v>44971</v>
      </c>
      <c r="C717" s="1" t="n">
        <v>46159</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27229-2022</t>
        </is>
      </c>
      <c r="B718" s="1" t="n">
        <v>44741</v>
      </c>
      <c r="C718" s="1" t="n">
        <v>46159</v>
      </c>
      <c r="D718" t="inlineStr">
        <is>
          <t>VÄSTMANLANDS LÄN</t>
        </is>
      </c>
      <c r="E718" t="inlineStr">
        <is>
          <t>SALA</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24755-2021</t>
        </is>
      </c>
      <c r="B719" s="1" t="n">
        <v>44340</v>
      </c>
      <c r="C719" s="1" t="n">
        <v>46159</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34867-2023</t>
        </is>
      </c>
      <c r="B720" s="1" t="n">
        <v>45142.33481481481</v>
      </c>
      <c r="C720" s="1" t="n">
        <v>46159</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25748-2022</t>
        </is>
      </c>
      <c r="B721" s="1" t="n">
        <v>44732</v>
      </c>
      <c r="C721" s="1" t="n">
        <v>46159</v>
      </c>
      <c r="D721" t="inlineStr">
        <is>
          <t>VÄSTMANLANDS LÄN</t>
        </is>
      </c>
      <c r="E721" t="inlineStr">
        <is>
          <t>SALA</t>
        </is>
      </c>
      <c r="G721" t="n">
        <v>7.7</v>
      </c>
      <c r="H721" t="n">
        <v>0</v>
      </c>
      <c r="I721" t="n">
        <v>0</v>
      </c>
      <c r="J721" t="n">
        <v>0</v>
      </c>
      <c r="K721" t="n">
        <v>0</v>
      </c>
      <c r="L721" t="n">
        <v>0</v>
      </c>
      <c r="M721" t="n">
        <v>0</v>
      </c>
      <c r="N721" t="n">
        <v>0</v>
      </c>
      <c r="O721" t="n">
        <v>0</v>
      </c>
      <c r="P721" t="n">
        <v>0</v>
      </c>
      <c r="Q721" t="n">
        <v>0</v>
      </c>
      <c r="R721" s="2" t="inlineStr"/>
    </row>
    <row r="722" ht="15" customHeight="1">
      <c r="A722" t="inlineStr">
        <is>
          <t>A 49512-2024</t>
        </is>
      </c>
      <c r="B722" s="1" t="n">
        <v>45591</v>
      </c>
      <c r="C722" s="1" t="n">
        <v>46159</v>
      </c>
      <c r="D722" t="inlineStr">
        <is>
          <t>VÄSTMANLANDS LÄN</t>
        </is>
      </c>
      <c r="E722" t="inlineStr">
        <is>
          <t>SALA</t>
        </is>
      </c>
      <c r="G722" t="n">
        <v>8.1</v>
      </c>
      <c r="H722" t="n">
        <v>0</v>
      </c>
      <c r="I722" t="n">
        <v>0</v>
      </c>
      <c r="J722" t="n">
        <v>0</v>
      </c>
      <c r="K722" t="n">
        <v>0</v>
      </c>
      <c r="L722" t="n">
        <v>0</v>
      </c>
      <c r="M722" t="n">
        <v>0</v>
      </c>
      <c r="N722" t="n">
        <v>0</v>
      </c>
      <c r="O722" t="n">
        <v>0</v>
      </c>
      <c r="P722" t="n">
        <v>0</v>
      </c>
      <c r="Q722" t="n">
        <v>0</v>
      </c>
      <c r="R722" s="2" t="inlineStr"/>
    </row>
    <row r="723" ht="15" customHeight="1">
      <c r="A723" t="inlineStr">
        <is>
          <t>A 13128-2023</t>
        </is>
      </c>
      <c r="B723" s="1" t="n">
        <v>45002</v>
      </c>
      <c r="C723" s="1" t="n">
        <v>46159</v>
      </c>
      <c r="D723" t="inlineStr">
        <is>
          <t>VÄSTMANLANDS LÄN</t>
        </is>
      </c>
      <c r="E723" t="inlineStr">
        <is>
          <t>SALA</t>
        </is>
      </c>
      <c r="G723" t="n">
        <v>7.9</v>
      </c>
      <c r="H723" t="n">
        <v>0</v>
      </c>
      <c r="I723" t="n">
        <v>0</v>
      </c>
      <c r="J723" t="n">
        <v>0</v>
      </c>
      <c r="K723" t="n">
        <v>0</v>
      </c>
      <c r="L723" t="n">
        <v>0</v>
      </c>
      <c r="M723" t="n">
        <v>0</v>
      </c>
      <c r="N723" t="n">
        <v>0</v>
      </c>
      <c r="O723" t="n">
        <v>0</v>
      </c>
      <c r="P723" t="n">
        <v>0</v>
      </c>
      <c r="Q723" t="n">
        <v>0</v>
      </c>
      <c r="R723" s="2" t="inlineStr"/>
    </row>
    <row r="724" ht="15" customHeight="1">
      <c r="A724" t="inlineStr">
        <is>
          <t>A 37958-2024</t>
        </is>
      </c>
      <c r="B724" s="1" t="n">
        <v>45544</v>
      </c>
      <c r="C724" s="1" t="n">
        <v>46159</v>
      </c>
      <c r="D724" t="inlineStr">
        <is>
          <t>VÄSTMANLANDS LÄN</t>
        </is>
      </c>
      <c r="E724" t="inlineStr">
        <is>
          <t>SALA</t>
        </is>
      </c>
      <c r="G724" t="n">
        <v>5.6</v>
      </c>
      <c r="H724" t="n">
        <v>0</v>
      </c>
      <c r="I724" t="n">
        <v>0</v>
      </c>
      <c r="J724" t="n">
        <v>0</v>
      </c>
      <c r="K724" t="n">
        <v>0</v>
      </c>
      <c r="L724" t="n">
        <v>0</v>
      </c>
      <c r="M724" t="n">
        <v>0</v>
      </c>
      <c r="N724" t="n">
        <v>0</v>
      </c>
      <c r="O724" t="n">
        <v>0</v>
      </c>
      <c r="P724" t="n">
        <v>0</v>
      </c>
      <c r="Q724" t="n">
        <v>0</v>
      </c>
      <c r="R724" s="2" t="inlineStr"/>
    </row>
    <row r="725" ht="15" customHeight="1">
      <c r="A725" t="inlineStr">
        <is>
          <t>A 18431-2023</t>
        </is>
      </c>
      <c r="B725" s="1" t="n">
        <v>45042</v>
      </c>
      <c r="C725" s="1" t="n">
        <v>46159</v>
      </c>
      <c r="D725" t="inlineStr">
        <is>
          <t>VÄSTMANLANDS LÄN</t>
        </is>
      </c>
      <c r="E725" t="inlineStr">
        <is>
          <t>SALA</t>
        </is>
      </c>
      <c r="G725" t="n">
        <v>1.9</v>
      </c>
      <c r="H725" t="n">
        <v>0</v>
      </c>
      <c r="I725" t="n">
        <v>0</v>
      </c>
      <c r="J725" t="n">
        <v>0</v>
      </c>
      <c r="K725" t="n">
        <v>0</v>
      </c>
      <c r="L725" t="n">
        <v>0</v>
      </c>
      <c r="M725" t="n">
        <v>0</v>
      </c>
      <c r="N725" t="n">
        <v>0</v>
      </c>
      <c r="O725" t="n">
        <v>0</v>
      </c>
      <c r="P725" t="n">
        <v>0</v>
      </c>
      <c r="Q725" t="n">
        <v>0</v>
      </c>
      <c r="R725" s="2" t="inlineStr"/>
    </row>
    <row r="726" ht="15" customHeight="1">
      <c r="A726" t="inlineStr">
        <is>
          <t>A 57650-2024</t>
        </is>
      </c>
      <c r="B726" s="1" t="n">
        <v>45630</v>
      </c>
      <c r="C726" s="1" t="n">
        <v>46159</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10255-2024</t>
        </is>
      </c>
      <c r="B727" s="1" t="n">
        <v>45365</v>
      </c>
      <c r="C727" s="1" t="n">
        <v>46159</v>
      </c>
      <c r="D727" t="inlineStr">
        <is>
          <t>VÄSTMANLANDS LÄN</t>
        </is>
      </c>
      <c r="E727" t="inlineStr">
        <is>
          <t>SALA</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28696-2023</t>
        </is>
      </c>
      <c r="B728" s="1" t="n">
        <v>45103.71759259259</v>
      </c>
      <c r="C728" s="1" t="n">
        <v>46159</v>
      </c>
      <c r="D728" t="inlineStr">
        <is>
          <t>VÄSTMANLANDS LÄN</t>
        </is>
      </c>
      <c r="E728" t="inlineStr">
        <is>
          <t>SALA</t>
        </is>
      </c>
      <c r="F728" t="inlineStr">
        <is>
          <t>Kommuner</t>
        </is>
      </c>
      <c r="G728" t="n">
        <v>5.9</v>
      </c>
      <c r="H728" t="n">
        <v>0</v>
      </c>
      <c r="I728" t="n">
        <v>0</v>
      </c>
      <c r="J728" t="n">
        <v>0</v>
      </c>
      <c r="K728" t="n">
        <v>0</v>
      </c>
      <c r="L728" t="n">
        <v>0</v>
      </c>
      <c r="M728" t="n">
        <v>0</v>
      </c>
      <c r="N728" t="n">
        <v>0</v>
      </c>
      <c r="O728" t="n">
        <v>0</v>
      </c>
      <c r="P728" t="n">
        <v>0</v>
      </c>
      <c r="Q728" t="n">
        <v>0</v>
      </c>
      <c r="R728" s="2" t="inlineStr"/>
    </row>
    <row r="729" ht="15" customHeight="1">
      <c r="A729" t="inlineStr">
        <is>
          <t>A 31072-2021</t>
        </is>
      </c>
      <c r="B729" s="1" t="n">
        <v>44368</v>
      </c>
      <c r="C729" s="1" t="n">
        <v>46159</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16543-2023</t>
        </is>
      </c>
      <c r="B730" s="1" t="n">
        <v>45029</v>
      </c>
      <c r="C730" s="1" t="n">
        <v>46159</v>
      </c>
      <c r="D730" t="inlineStr">
        <is>
          <t>VÄSTMANLANDS LÄN</t>
        </is>
      </c>
      <c r="E730" t="inlineStr">
        <is>
          <t>SALA</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46159</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4663-2022</t>
        </is>
      </c>
      <c r="B732" s="1" t="n">
        <v>44592.45429398148</v>
      </c>
      <c r="C732" s="1" t="n">
        <v>46159</v>
      </c>
      <c r="D732" t="inlineStr">
        <is>
          <t>VÄSTMANLANDS LÄN</t>
        </is>
      </c>
      <c r="E732" t="inlineStr">
        <is>
          <t>SALA</t>
        </is>
      </c>
      <c r="G732" t="n">
        <v>2.5</v>
      </c>
      <c r="H732" t="n">
        <v>0</v>
      </c>
      <c r="I732" t="n">
        <v>0</v>
      </c>
      <c r="J732" t="n">
        <v>0</v>
      </c>
      <c r="K732" t="n">
        <v>0</v>
      </c>
      <c r="L732" t="n">
        <v>0</v>
      </c>
      <c r="M732" t="n">
        <v>0</v>
      </c>
      <c r="N732" t="n">
        <v>0</v>
      </c>
      <c r="O732" t="n">
        <v>0</v>
      </c>
      <c r="P732" t="n">
        <v>0</v>
      </c>
      <c r="Q732" t="n">
        <v>0</v>
      </c>
      <c r="R732" s="2" t="inlineStr"/>
    </row>
    <row r="733" ht="15" customHeight="1">
      <c r="A733" t="inlineStr">
        <is>
          <t>A 6132-2025</t>
        </is>
      </c>
      <c r="B733" s="1" t="n">
        <v>45698</v>
      </c>
      <c r="C733" s="1" t="n">
        <v>46159</v>
      </c>
      <c r="D733" t="inlineStr">
        <is>
          <t>VÄSTMANLANDS LÄN</t>
        </is>
      </c>
      <c r="E733" t="inlineStr">
        <is>
          <t>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31859-2023</t>
        </is>
      </c>
      <c r="B734" s="1" t="n">
        <v>45118</v>
      </c>
      <c r="C734" s="1" t="n">
        <v>46159</v>
      </c>
      <c r="D734" t="inlineStr">
        <is>
          <t>VÄSTMANLANDS LÄN</t>
        </is>
      </c>
      <c r="E734" t="inlineStr">
        <is>
          <t>SALA</t>
        </is>
      </c>
      <c r="G734" t="n">
        <v>0.5</v>
      </c>
      <c r="H734" t="n">
        <v>0</v>
      </c>
      <c r="I734" t="n">
        <v>0</v>
      </c>
      <c r="J734" t="n">
        <v>0</v>
      </c>
      <c r="K734" t="n">
        <v>0</v>
      </c>
      <c r="L734" t="n">
        <v>0</v>
      </c>
      <c r="M734" t="n">
        <v>0</v>
      </c>
      <c r="N734" t="n">
        <v>0</v>
      </c>
      <c r="O734" t="n">
        <v>0</v>
      </c>
      <c r="P734" t="n">
        <v>0</v>
      </c>
      <c r="Q734" t="n">
        <v>0</v>
      </c>
      <c r="R734" s="2" t="inlineStr"/>
      <c r="U734">
        <f>HYPERLINK("https://klasma.github.io/Logging_1981/knärot/A 31859-2023 karta knärot.png", "A 31859-2023")</f>
        <v/>
      </c>
      <c r="V734">
        <f>HYPERLINK("https://klasma.github.io/Logging_1981/klagomål/A 31859-2023 FSC-klagomål.docx", "A 31859-2023")</f>
        <v/>
      </c>
      <c r="W734">
        <f>HYPERLINK("https://klasma.github.io/Logging_1981/klagomålsmail/A 31859-2023 FSC-klagomål mail.docx", "A 31859-2023")</f>
        <v/>
      </c>
      <c r="X734">
        <f>HYPERLINK("https://klasma.github.io/Logging_1981/tillsyn/A 31859-2023 tillsynsbegäran.docx", "A 31859-2023")</f>
        <v/>
      </c>
      <c r="Y734">
        <f>HYPERLINK("https://klasma.github.io/Logging_1981/tillsynsmail/A 31859-2023 tillsynsbegäran mail.docx", "A 31859-2023")</f>
        <v/>
      </c>
    </row>
    <row r="735" ht="15" customHeight="1">
      <c r="A735" t="inlineStr">
        <is>
          <t>A 61681-2024</t>
        </is>
      </c>
      <c r="B735" s="1" t="n">
        <v>45647</v>
      </c>
      <c r="C735" s="1" t="n">
        <v>46159</v>
      </c>
      <c r="D735" t="inlineStr">
        <is>
          <t>VÄSTMANLANDS LÄN</t>
        </is>
      </c>
      <c r="E735" t="inlineStr">
        <is>
          <t>SALA</t>
        </is>
      </c>
      <c r="F735" t="inlineStr">
        <is>
          <t>Kommuner</t>
        </is>
      </c>
      <c r="G735" t="n">
        <v>1</v>
      </c>
      <c r="H735" t="n">
        <v>0</v>
      </c>
      <c r="I735" t="n">
        <v>0</v>
      </c>
      <c r="J735" t="n">
        <v>0</v>
      </c>
      <c r="K735" t="n">
        <v>0</v>
      </c>
      <c r="L735" t="n">
        <v>0</v>
      </c>
      <c r="M735" t="n">
        <v>0</v>
      </c>
      <c r="N735" t="n">
        <v>0</v>
      </c>
      <c r="O735" t="n">
        <v>0</v>
      </c>
      <c r="P735" t="n">
        <v>0</v>
      </c>
      <c r="Q735" t="n">
        <v>0</v>
      </c>
      <c r="R735" s="2" t="inlineStr"/>
    </row>
    <row r="736" ht="15" customHeight="1">
      <c r="A736" t="inlineStr">
        <is>
          <t>A 54960-2024</t>
        </is>
      </c>
      <c r="B736" s="1" t="n">
        <v>45619.85208333333</v>
      </c>
      <c r="C736" s="1" t="n">
        <v>46159</v>
      </c>
      <c r="D736" t="inlineStr">
        <is>
          <t>VÄSTMANLANDS LÄN</t>
        </is>
      </c>
      <c r="E736" t="inlineStr">
        <is>
          <t>SALA</t>
        </is>
      </c>
      <c r="G736" t="n">
        <v>2.6</v>
      </c>
      <c r="H736" t="n">
        <v>0</v>
      </c>
      <c r="I736" t="n">
        <v>0</v>
      </c>
      <c r="J736" t="n">
        <v>0</v>
      </c>
      <c r="K736" t="n">
        <v>0</v>
      </c>
      <c r="L736" t="n">
        <v>0</v>
      </c>
      <c r="M736" t="n">
        <v>0</v>
      </c>
      <c r="N736" t="n">
        <v>0</v>
      </c>
      <c r="O736" t="n">
        <v>0</v>
      </c>
      <c r="P736" t="n">
        <v>0</v>
      </c>
      <c r="Q736" t="n">
        <v>0</v>
      </c>
      <c r="R736" s="2" t="inlineStr"/>
    </row>
    <row r="737" ht="15" customHeight="1">
      <c r="A737" t="inlineStr">
        <is>
          <t>A 31082-2021</t>
        </is>
      </c>
      <c r="B737" s="1" t="n">
        <v>44368</v>
      </c>
      <c r="C737" s="1" t="n">
        <v>46159</v>
      </c>
      <c r="D737" t="inlineStr">
        <is>
          <t>VÄSTMANLANDS LÄN</t>
        </is>
      </c>
      <c r="E737" t="inlineStr">
        <is>
          <t>SALA</t>
        </is>
      </c>
      <c r="G737" t="n">
        <v>2</v>
      </c>
      <c r="H737" t="n">
        <v>0</v>
      </c>
      <c r="I737" t="n">
        <v>0</v>
      </c>
      <c r="J737" t="n">
        <v>0</v>
      </c>
      <c r="K737" t="n">
        <v>0</v>
      </c>
      <c r="L737" t="n">
        <v>0</v>
      </c>
      <c r="M737" t="n">
        <v>0</v>
      </c>
      <c r="N737" t="n">
        <v>0</v>
      </c>
      <c r="O737" t="n">
        <v>0</v>
      </c>
      <c r="P737" t="n">
        <v>0</v>
      </c>
      <c r="Q737" t="n">
        <v>0</v>
      </c>
      <c r="R737" s="2" t="inlineStr"/>
    </row>
    <row r="738" ht="15" customHeight="1">
      <c r="A738" t="inlineStr">
        <is>
          <t>A 20352-2022</t>
        </is>
      </c>
      <c r="B738" s="1" t="n">
        <v>44699.37318287037</v>
      </c>
      <c r="C738" s="1" t="n">
        <v>46159</v>
      </c>
      <c r="D738" t="inlineStr">
        <is>
          <t>VÄSTMANLANDS LÄN</t>
        </is>
      </c>
      <c r="E738" t="inlineStr">
        <is>
          <t>SALA</t>
        </is>
      </c>
      <c r="G738" t="n">
        <v>1.3</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45097.76631944445</v>
      </c>
      <c r="C739" s="1" t="n">
        <v>46159</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2766-2024</t>
        </is>
      </c>
      <c r="B740" s="1" t="n">
        <v>45314.60950231482</v>
      </c>
      <c r="C740" s="1" t="n">
        <v>46159</v>
      </c>
      <c r="D740" t="inlineStr">
        <is>
          <t>VÄSTMANLANDS LÄN</t>
        </is>
      </c>
      <c r="E740" t="inlineStr">
        <is>
          <t>SALA</t>
        </is>
      </c>
      <c r="G740" t="n">
        <v>2.8</v>
      </c>
      <c r="H740" t="n">
        <v>0</v>
      </c>
      <c r="I740" t="n">
        <v>0</v>
      </c>
      <c r="J740" t="n">
        <v>0</v>
      </c>
      <c r="K740" t="n">
        <v>0</v>
      </c>
      <c r="L740" t="n">
        <v>0</v>
      </c>
      <c r="M740" t="n">
        <v>0</v>
      </c>
      <c r="N740" t="n">
        <v>0</v>
      </c>
      <c r="O740" t="n">
        <v>0</v>
      </c>
      <c r="P740" t="n">
        <v>0</v>
      </c>
      <c r="Q740" t="n">
        <v>0</v>
      </c>
      <c r="R740" s="2" t="inlineStr"/>
    </row>
    <row r="741" ht="15" customHeight="1">
      <c r="A741" t="inlineStr">
        <is>
          <t>A 60550-2024</t>
        </is>
      </c>
      <c r="B741" s="1" t="n">
        <v>45643</v>
      </c>
      <c r="C741" s="1" t="n">
        <v>46159</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14690-2025</t>
        </is>
      </c>
      <c r="B742" s="1" t="n">
        <v>45742.58212962963</v>
      </c>
      <c r="C742" s="1" t="n">
        <v>46159</v>
      </c>
      <c r="D742" t="inlineStr">
        <is>
          <t>VÄSTMANLANDS LÄN</t>
        </is>
      </c>
      <c r="E742" t="inlineStr">
        <is>
          <t>SALA</t>
        </is>
      </c>
      <c r="G742" t="n">
        <v>3.4</v>
      </c>
      <c r="H742" t="n">
        <v>0</v>
      </c>
      <c r="I742" t="n">
        <v>0</v>
      </c>
      <c r="J742" t="n">
        <v>0</v>
      </c>
      <c r="K742" t="n">
        <v>0</v>
      </c>
      <c r="L742" t="n">
        <v>0</v>
      </c>
      <c r="M742" t="n">
        <v>0</v>
      </c>
      <c r="N742" t="n">
        <v>0</v>
      </c>
      <c r="O742" t="n">
        <v>0</v>
      </c>
      <c r="P742" t="n">
        <v>0</v>
      </c>
      <c r="Q742" t="n">
        <v>0</v>
      </c>
      <c r="R742" s="2" t="inlineStr"/>
    </row>
    <row r="743" ht="15" customHeight="1">
      <c r="A743" t="inlineStr">
        <is>
          <t>A 24175-2024</t>
        </is>
      </c>
      <c r="B743" s="1" t="n">
        <v>45456</v>
      </c>
      <c r="C743" s="1" t="n">
        <v>46159</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62449-2023</t>
        </is>
      </c>
      <c r="B744" s="1" t="n">
        <v>45268.49008101852</v>
      </c>
      <c r="C744" s="1" t="n">
        <v>46159</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54910-2023</t>
        </is>
      </c>
      <c r="B745" s="1" t="n">
        <v>45229</v>
      </c>
      <c r="C745" s="1" t="n">
        <v>46159</v>
      </c>
      <c r="D745" t="inlineStr">
        <is>
          <t>VÄSTMANLANDS LÄN</t>
        </is>
      </c>
      <c r="E745" t="inlineStr">
        <is>
          <t>SALA</t>
        </is>
      </c>
      <c r="G745" t="n">
        <v>2.4</v>
      </c>
      <c r="H745" t="n">
        <v>0</v>
      </c>
      <c r="I745" t="n">
        <v>0</v>
      </c>
      <c r="J745" t="n">
        <v>0</v>
      </c>
      <c r="K745" t="n">
        <v>0</v>
      </c>
      <c r="L745" t="n">
        <v>0</v>
      </c>
      <c r="M745" t="n">
        <v>0</v>
      </c>
      <c r="N745" t="n">
        <v>0</v>
      </c>
      <c r="O745" t="n">
        <v>0</v>
      </c>
      <c r="P745" t="n">
        <v>0</v>
      </c>
      <c r="Q745" t="n">
        <v>0</v>
      </c>
      <c r="R745" s="2" t="inlineStr"/>
    </row>
    <row r="746" ht="15" customHeight="1">
      <c r="A746" t="inlineStr">
        <is>
          <t>A 19222-2025</t>
        </is>
      </c>
      <c r="B746" s="1" t="n">
        <v>45769</v>
      </c>
      <c r="C746" s="1" t="n">
        <v>46159</v>
      </c>
      <c r="D746" t="inlineStr">
        <is>
          <t>VÄSTMANLANDS LÄN</t>
        </is>
      </c>
      <c r="E746" t="inlineStr">
        <is>
          <t>SALA</t>
        </is>
      </c>
      <c r="G746" t="n">
        <v>1.8</v>
      </c>
      <c r="H746" t="n">
        <v>0</v>
      </c>
      <c r="I746" t="n">
        <v>0</v>
      </c>
      <c r="J746" t="n">
        <v>0</v>
      </c>
      <c r="K746" t="n">
        <v>0</v>
      </c>
      <c r="L746" t="n">
        <v>0</v>
      </c>
      <c r="M746" t="n">
        <v>0</v>
      </c>
      <c r="N746" t="n">
        <v>0</v>
      </c>
      <c r="O746" t="n">
        <v>0</v>
      </c>
      <c r="P746" t="n">
        <v>0</v>
      </c>
      <c r="Q746" t="n">
        <v>0</v>
      </c>
      <c r="R746" s="2" t="inlineStr"/>
    </row>
    <row r="747" ht="15" customHeight="1">
      <c r="A747" t="inlineStr">
        <is>
          <t>A 19241-2025</t>
        </is>
      </c>
      <c r="B747" s="1" t="n">
        <v>45769</v>
      </c>
      <c r="C747" s="1" t="n">
        <v>46159</v>
      </c>
      <c r="D747" t="inlineStr">
        <is>
          <t>VÄSTMANLANDS LÄN</t>
        </is>
      </c>
      <c r="E747" t="inlineStr">
        <is>
          <t>SALA</t>
        </is>
      </c>
      <c r="G747" t="n">
        <v>3.6</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45092.38087962963</v>
      </c>
      <c r="C748" s="1" t="n">
        <v>46159</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26692-2023</t>
        </is>
      </c>
      <c r="B749" s="1" t="n">
        <v>45093.360625</v>
      </c>
      <c r="C749" s="1" t="n">
        <v>46159</v>
      </c>
      <c r="D749" t="inlineStr">
        <is>
          <t>VÄSTMANLANDS LÄN</t>
        </is>
      </c>
      <c r="E749" t="inlineStr">
        <is>
          <t>SALA</t>
        </is>
      </c>
      <c r="G749" t="n">
        <v>1.8</v>
      </c>
      <c r="H749" t="n">
        <v>0</v>
      </c>
      <c r="I749" t="n">
        <v>0</v>
      </c>
      <c r="J749" t="n">
        <v>0</v>
      </c>
      <c r="K749" t="n">
        <v>0</v>
      </c>
      <c r="L749" t="n">
        <v>0</v>
      </c>
      <c r="M749" t="n">
        <v>0</v>
      </c>
      <c r="N749" t="n">
        <v>0</v>
      </c>
      <c r="O749" t="n">
        <v>0</v>
      </c>
      <c r="P749" t="n">
        <v>0</v>
      </c>
      <c r="Q749" t="n">
        <v>0</v>
      </c>
      <c r="R749" s="2" t="inlineStr"/>
    </row>
    <row r="750" ht="15" customHeight="1">
      <c r="A750" t="inlineStr">
        <is>
          <t>A 15681-2025</t>
        </is>
      </c>
      <c r="B750" s="1" t="n">
        <v>45748.45454861111</v>
      </c>
      <c r="C750" s="1" t="n">
        <v>46159</v>
      </c>
      <c r="D750" t="inlineStr">
        <is>
          <t>VÄSTMANLANDS LÄN</t>
        </is>
      </c>
      <c r="E750" t="inlineStr">
        <is>
          <t>SALA</t>
        </is>
      </c>
      <c r="F750" t="inlineStr">
        <is>
          <t>Bergvik skog öst AB</t>
        </is>
      </c>
      <c r="G750" t="n">
        <v>4.3</v>
      </c>
      <c r="H750" t="n">
        <v>0</v>
      </c>
      <c r="I750" t="n">
        <v>0</v>
      </c>
      <c r="J750" t="n">
        <v>0</v>
      </c>
      <c r="K750" t="n">
        <v>0</v>
      </c>
      <c r="L750" t="n">
        <v>0</v>
      </c>
      <c r="M750" t="n">
        <v>0</v>
      </c>
      <c r="N750" t="n">
        <v>0</v>
      </c>
      <c r="O750" t="n">
        <v>0</v>
      </c>
      <c r="P750" t="n">
        <v>0</v>
      </c>
      <c r="Q750" t="n">
        <v>0</v>
      </c>
      <c r="R750" s="2" t="inlineStr"/>
    </row>
    <row r="751" ht="15" customHeight="1">
      <c r="A751" t="inlineStr">
        <is>
          <t>A 2925-2024</t>
        </is>
      </c>
      <c r="B751" s="1" t="n">
        <v>45315.58909722222</v>
      </c>
      <c r="C751" s="1" t="n">
        <v>46159</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44746-2024</t>
        </is>
      </c>
      <c r="B752" s="1" t="n">
        <v>45574.59813657407</v>
      </c>
      <c r="C752" s="1" t="n">
        <v>46159</v>
      </c>
      <c r="D752" t="inlineStr">
        <is>
          <t>VÄSTMANLANDS LÄN</t>
        </is>
      </c>
      <c r="E752" t="inlineStr">
        <is>
          <t>SALA</t>
        </is>
      </c>
      <c r="G752" t="n">
        <v>6.7</v>
      </c>
      <c r="H752" t="n">
        <v>0</v>
      </c>
      <c r="I752" t="n">
        <v>0</v>
      </c>
      <c r="J752" t="n">
        <v>0</v>
      </c>
      <c r="K752" t="n">
        <v>0</v>
      </c>
      <c r="L752" t="n">
        <v>0</v>
      </c>
      <c r="M752" t="n">
        <v>0</v>
      </c>
      <c r="N752" t="n">
        <v>0</v>
      </c>
      <c r="O752" t="n">
        <v>0</v>
      </c>
      <c r="P752" t="n">
        <v>0</v>
      </c>
      <c r="Q752" t="n">
        <v>0</v>
      </c>
      <c r="R752" s="2" t="inlineStr"/>
    </row>
    <row r="753" ht="15" customHeight="1">
      <c r="A753" t="inlineStr">
        <is>
          <t>A 44713-2023</t>
        </is>
      </c>
      <c r="B753" s="1" t="n">
        <v>45184</v>
      </c>
      <c r="C753" s="1" t="n">
        <v>46159</v>
      </c>
      <c r="D753" t="inlineStr">
        <is>
          <t>VÄSTMANLANDS LÄN</t>
        </is>
      </c>
      <c r="E753" t="inlineStr">
        <is>
          <t>SALA</t>
        </is>
      </c>
      <c r="F753" t="inlineStr">
        <is>
          <t>Kyrkan</t>
        </is>
      </c>
      <c r="G753" t="n">
        <v>7.6</v>
      </c>
      <c r="H753" t="n">
        <v>0</v>
      </c>
      <c r="I753" t="n">
        <v>0</v>
      </c>
      <c r="J753" t="n">
        <v>0</v>
      </c>
      <c r="K753" t="n">
        <v>0</v>
      </c>
      <c r="L753" t="n">
        <v>0</v>
      </c>
      <c r="M753" t="n">
        <v>0</v>
      </c>
      <c r="N753" t="n">
        <v>0</v>
      </c>
      <c r="O753" t="n">
        <v>0</v>
      </c>
      <c r="P753" t="n">
        <v>0</v>
      </c>
      <c r="Q753" t="n">
        <v>0</v>
      </c>
      <c r="R753" s="2" t="inlineStr"/>
    </row>
    <row r="754" ht="15" customHeight="1">
      <c r="A754" t="inlineStr">
        <is>
          <t>A 23431-2024</t>
        </is>
      </c>
      <c r="B754" s="1" t="n">
        <v>45453</v>
      </c>
      <c r="C754" s="1" t="n">
        <v>46159</v>
      </c>
      <c r="D754" t="inlineStr">
        <is>
          <t>VÄSTMANLANDS LÄN</t>
        </is>
      </c>
      <c r="E754" t="inlineStr">
        <is>
          <t>SALA</t>
        </is>
      </c>
      <c r="G754" t="n">
        <v>1.6</v>
      </c>
      <c r="H754" t="n">
        <v>0</v>
      </c>
      <c r="I754" t="n">
        <v>0</v>
      </c>
      <c r="J754" t="n">
        <v>0</v>
      </c>
      <c r="K754" t="n">
        <v>0</v>
      </c>
      <c r="L754" t="n">
        <v>0</v>
      </c>
      <c r="M754" t="n">
        <v>0</v>
      </c>
      <c r="N754" t="n">
        <v>0</v>
      </c>
      <c r="O754" t="n">
        <v>0</v>
      </c>
      <c r="P754" t="n">
        <v>0</v>
      </c>
      <c r="Q754" t="n">
        <v>0</v>
      </c>
      <c r="R754" s="2" t="inlineStr"/>
    </row>
    <row r="755" ht="15" customHeight="1">
      <c r="A755" t="inlineStr">
        <is>
          <t>A 21168-2025</t>
        </is>
      </c>
      <c r="B755" s="1" t="n">
        <v>45777</v>
      </c>
      <c r="C755" s="1" t="n">
        <v>46159</v>
      </c>
      <c r="D755" t="inlineStr">
        <is>
          <t>VÄSTMANLANDS LÄN</t>
        </is>
      </c>
      <c r="E755" t="inlineStr">
        <is>
          <t>SALA</t>
        </is>
      </c>
      <c r="G755" t="n">
        <v>4.5</v>
      </c>
      <c r="H755" t="n">
        <v>0</v>
      </c>
      <c r="I755" t="n">
        <v>0</v>
      </c>
      <c r="J755" t="n">
        <v>0</v>
      </c>
      <c r="K755" t="n">
        <v>0</v>
      </c>
      <c r="L755" t="n">
        <v>0</v>
      </c>
      <c r="M755" t="n">
        <v>0</v>
      </c>
      <c r="N755" t="n">
        <v>0</v>
      </c>
      <c r="O755" t="n">
        <v>0</v>
      </c>
      <c r="P755" t="n">
        <v>0</v>
      </c>
      <c r="Q755" t="n">
        <v>0</v>
      </c>
      <c r="R755" s="2" t="inlineStr"/>
    </row>
    <row r="756" ht="15" customHeight="1">
      <c r="A756" t="inlineStr">
        <is>
          <t>A 21751-2025</t>
        </is>
      </c>
      <c r="B756" s="1" t="n">
        <v>45783.61372685185</v>
      </c>
      <c r="C756" s="1" t="n">
        <v>46159</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21754-2025</t>
        </is>
      </c>
      <c r="B757" s="1" t="n">
        <v>45783.61837962963</v>
      </c>
      <c r="C757" s="1" t="n">
        <v>46159</v>
      </c>
      <c r="D757" t="inlineStr">
        <is>
          <t>VÄSTMANLANDS LÄN</t>
        </is>
      </c>
      <c r="E757" t="inlineStr">
        <is>
          <t>SALA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37587-2024</t>
        </is>
      </c>
      <c r="B758" s="1" t="n">
        <v>45541</v>
      </c>
      <c r="C758" s="1" t="n">
        <v>46159</v>
      </c>
      <c r="D758" t="inlineStr">
        <is>
          <t>VÄSTMANLANDS LÄN</t>
        </is>
      </c>
      <c r="E758" t="inlineStr">
        <is>
          <t>SALA</t>
        </is>
      </c>
      <c r="G758" t="n">
        <v>1.2</v>
      </c>
      <c r="H758" t="n">
        <v>0</v>
      </c>
      <c r="I758" t="n">
        <v>0</v>
      </c>
      <c r="J758" t="n">
        <v>0</v>
      </c>
      <c r="K758" t="n">
        <v>0</v>
      </c>
      <c r="L758" t="n">
        <v>0</v>
      </c>
      <c r="M758" t="n">
        <v>0</v>
      </c>
      <c r="N758" t="n">
        <v>0</v>
      </c>
      <c r="O758" t="n">
        <v>0</v>
      </c>
      <c r="P758" t="n">
        <v>0</v>
      </c>
      <c r="Q758" t="n">
        <v>0</v>
      </c>
      <c r="R758" s="2" t="inlineStr"/>
    </row>
    <row r="759" ht="15" customHeight="1">
      <c r="A759" t="inlineStr">
        <is>
          <t>A 22353-2025</t>
        </is>
      </c>
      <c r="B759" s="1" t="n">
        <v>45786</v>
      </c>
      <c r="C759" s="1" t="n">
        <v>46159</v>
      </c>
      <c r="D759" t="inlineStr">
        <is>
          <t>VÄSTMANLANDS LÄN</t>
        </is>
      </c>
      <c r="E759" t="inlineStr">
        <is>
          <t>SALA</t>
        </is>
      </c>
      <c r="G759" t="n">
        <v>2.5</v>
      </c>
      <c r="H759" t="n">
        <v>0</v>
      </c>
      <c r="I759" t="n">
        <v>0</v>
      </c>
      <c r="J759" t="n">
        <v>0</v>
      </c>
      <c r="K759" t="n">
        <v>0</v>
      </c>
      <c r="L759" t="n">
        <v>0</v>
      </c>
      <c r="M759" t="n">
        <v>0</v>
      </c>
      <c r="N759" t="n">
        <v>0</v>
      </c>
      <c r="O759" t="n">
        <v>0</v>
      </c>
      <c r="P759" t="n">
        <v>0</v>
      </c>
      <c r="Q759" t="n">
        <v>0</v>
      </c>
      <c r="R759" s="2" t="inlineStr"/>
    </row>
    <row r="760" ht="15" customHeight="1">
      <c r="A760" t="inlineStr">
        <is>
          <t>A 64724-2023</t>
        </is>
      </c>
      <c r="B760" s="1" t="n">
        <v>45281.7602662037</v>
      </c>
      <c r="C760" s="1" t="n">
        <v>46159</v>
      </c>
      <c r="D760" t="inlineStr">
        <is>
          <t>VÄSTMANLANDS LÄN</t>
        </is>
      </c>
      <c r="E760" t="inlineStr">
        <is>
          <t>SALA</t>
        </is>
      </c>
      <c r="G760" t="n">
        <v>2.3</v>
      </c>
      <c r="H760" t="n">
        <v>0</v>
      </c>
      <c r="I760" t="n">
        <v>0</v>
      </c>
      <c r="J760" t="n">
        <v>0</v>
      </c>
      <c r="K760" t="n">
        <v>0</v>
      </c>
      <c r="L760" t="n">
        <v>0</v>
      </c>
      <c r="M760" t="n">
        <v>0</v>
      </c>
      <c r="N760" t="n">
        <v>0</v>
      </c>
      <c r="O760" t="n">
        <v>0</v>
      </c>
      <c r="P760" t="n">
        <v>0</v>
      </c>
      <c r="Q760" t="n">
        <v>0</v>
      </c>
      <c r="R760" s="2" t="inlineStr"/>
    </row>
    <row r="761" ht="15" customHeight="1">
      <c r="A761" t="inlineStr">
        <is>
          <t>A 22370-2025</t>
        </is>
      </c>
      <c r="B761" s="1" t="n">
        <v>45786</v>
      </c>
      <c r="C761" s="1" t="n">
        <v>46159</v>
      </c>
      <c r="D761" t="inlineStr">
        <is>
          <t>VÄSTMANLANDS LÄN</t>
        </is>
      </c>
      <c r="E761" t="inlineStr">
        <is>
          <t>SALA</t>
        </is>
      </c>
      <c r="G761" t="n">
        <v>3.2</v>
      </c>
      <c r="H761" t="n">
        <v>0</v>
      </c>
      <c r="I761" t="n">
        <v>0</v>
      </c>
      <c r="J761" t="n">
        <v>0</v>
      </c>
      <c r="K761" t="n">
        <v>0</v>
      </c>
      <c r="L761" t="n">
        <v>0</v>
      </c>
      <c r="M761" t="n">
        <v>0</v>
      </c>
      <c r="N761" t="n">
        <v>0</v>
      </c>
      <c r="O761" t="n">
        <v>0</v>
      </c>
      <c r="P761" t="n">
        <v>0</v>
      </c>
      <c r="Q761" t="n">
        <v>0</v>
      </c>
      <c r="R761" s="2" t="inlineStr"/>
    </row>
    <row r="762" ht="15" customHeight="1">
      <c r="A762" t="inlineStr">
        <is>
          <t>A 22383-2025</t>
        </is>
      </c>
      <c r="B762" s="1" t="n">
        <v>45786</v>
      </c>
      <c r="C762" s="1" t="n">
        <v>46159</v>
      </c>
      <c r="D762" t="inlineStr">
        <is>
          <t>VÄSTMANLANDS LÄN</t>
        </is>
      </c>
      <c r="E762" t="inlineStr">
        <is>
          <t>SALA</t>
        </is>
      </c>
      <c r="G762" t="n">
        <v>2.2</v>
      </c>
      <c r="H762" t="n">
        <v>0</v>
      </c>
      <c r="I762" t="n">
        <v>0</v>
      </c>
      <c r="J762" t="n">
        <v>0</v>
      </c>
      <c r="K762" t="n">
        <v>0</v>
      </c>
      <c r="L762" t="n">
        <v>0</v>
      </c>
      <c r="M762" t="n">
        <v>0</v>
      </c>
      <c r="N762" t="n">
        <v>0</v>
      </c>
      <c r="O762" t="n">
        <v>0</v>
      </c>
      <c r="P762" t="n">
        <v>0</v>
      </c>
      <c r="Q762" t="n">
        <v>0</v>
      </c>
      <c r="R762" s="2" t="inlineStr"/>
    </row>
    <row r="763" ht="15" customHeight="1">
      <c r="A763" t="inlineStr">
        <is>
          <t>A 7176-2023</t>
        </is>
      </c>
      <c r="B763" s="1" t="n">
        <v>44970</v>
      </c>
      <c r="C763" s="1" t="n">
        <v>46159</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22624-2025</t>
        </is>
      </c>
      <c r="B764" s="1" t="n">
        <v>45789.43327546296</v>
      </c>
      <c r="C764" s="1" t="n">
        <v>46159</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31405-2024</t>
        </is>
      </c>
      <c r="B765" s="1" t="n">
        <v>45505.5490625</v>
      </c>
      <c r="C765" s="1" t="n">
        <v>46159</v>
      </c>
      <c r="D765" t="inlineStr">
        <is>
          <t>VÄSTMANLANDS LÄN</t>
        </is>
      </c>
      <c r="E765" t="inlineStr">
        <is>
          <t>SALA</t>
        </is>
      </c>
      <c r="G765" t="n">
        <v>5.2</v>
      </c>
      <c r="H765" t="n">
        <v>0</v>
      </c>
      <c r="I765" t="n">
        <v>0</v>
      </c>
      <c r="J765" t="n">
        <v>0</v>
      </c>
      <c r="K765" t="n">
        <v>0</v>
      </c>
      <c r="L765" t="n">
        <v>0</v>
      </c>
      <c r="M765" t="n">
        <v>0</v>
      </c>
      <c r="N765" t="n">
        <v>0</v>
      </c>
      <c r="O765" t="n">
        <v>0</v>
      </c>
      <c r="P765" t="n">
        <v>0</v>
      </c>
      <c r="Q765" t="n">
        <v>0</v>
      </c>
      <c r="R765" s="2" t="inlineStr"/>
    </row>
    <row r="766" ht="15" customHeight="1">
      <c r="A766" t="inlineStr">
        <is>
          <t>A 22616-2025</t>
        </is>
      </c>
      <c r="B766" s="1" t="n">
        <v>45789.42752314815</v>
      </c>
      <c r="C766" s="1" t="n">
        <v>46159</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43600-2024</t>
        </is>
      </c>
      <c r="B767" s="1" t="n">
        <v>45569</v>
      </c>
      <c r="C767" s="1" t="n">
        <v>46159</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c r="A768" t="inlineStr">
        <is>
          <t>A 13130-2025</t>
        </is>
      </c>
      <c r="B768" s="1" t="n">
        <v>45734</v>
      </c>
      <c r="C768" s="1" t="n">
        <v>46159</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2026-05-17T14:04:11Z</dcterms:created>
  <dcterms:modified xmlns:dcterms="http://purl.org/dc/terms/" xmlns:xsi="http://www.w3.org/2001/XMLSchema-instance" xsi:type="dcterms:W3CDTF">2026-05-17T14:04:11Z</dcterms:modified>
</cp:coreProperties>
</file>