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45937</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45937</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3566-2024</t>
        </is>
      </c>
      <c r="B10" s="1" t="n">
        <v>45320.63596064815</v>
      </c>
      <c r="C10" s="1" t="n">
        <v>45937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1182-2022</t>
        </is>
      </c>
      <c r="B11" s="1" t="n">
        <v>44572</v>
      </c>
      <c r="C11" s="1" t="n">
        <v>45937</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54934-2020</t>
        </is>
      </c>
      <c r="B12" s="1" t="n">
        <v>44127</v>
      </c>
      <c r="C12" s="1" t="n">
        <v>45937</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34752-2023</t>
        </is>
      </c>
      <c r="B13" s="1" t="n">
        <v>45141</v>
      </c>
      <c r="C13" s="1" t="n">
        <v>45937</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53009-2024</t>
        </is>
      </c>
      <c r="B14" s="1" t="n">
        <v>45610</v>
      </c>
      <c r="C14" s="1" t="n">
        <v>45937</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45937</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27488-2023</t>
        </is>
      </c>
      <c r="B16" s="1" t="n">
        <v>45097</v>
      </c>
      <c r="C16" s="1" t="n">
        <v>45937</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26571-2021</t>
        </is>
      </c>
      <c r="B17" s="1" t="n">
        <v>44348</v>
      </c>
      <c r="C17" s="1" t="n">
        <v>45937</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45937</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45937</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45937</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45937</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45937</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35461-2024</t>
        </is>
      </c>
      <c r="B23" s="1" t="n">
        <v>45531</v>
      </c>
      <c r="C23" s="1" t="n">
        <v>45937</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45937</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45937</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45937</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45937</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45937</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45937</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45937</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1500-2022</t>
        </is>
      </c>
      <c r="B31" s="1" t="n">
        <v>44573.54357638889</v>
      </c>
      <c r="C31" s="1" t="n">
        <v>45937</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12444-2024</t>
        </is>
      </c>
      <c r="B32" s="1" t="n">
        <v>45379.46285879629</v>
      </c>
      <c r="C32" s="1" t="n">
        <v>45937</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24872-2025</t>
        </is>
      </c>
      <c r="B33" s="1" t="n">
        <v>45799.49038194444</v>
      </c>
      <c r="C33" s="1" t="n">
        <v>45937</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13029-2023</t>
        </is>
      </c>
      <c r="B34" s="1" t="n">
        <v>45001</v>
      </c>
      <c r="C34" s="1" t="n">
        <v>45937</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61454-2024</t>
        </is>
      </c>
      <c r="B35" s="1" t="n">
        <v>45646</v>
      </c>
      <c r="C35" s="1" t="n">
        <v>45937</v>
      </c>
      <c r="D35" t="inlineStr">
        <is>
          <t>VÄSTMANLANDS LÄN</t>
        </is>
      </c>
      <c r="E35" t="inlineStr">
        <is>
          <t>SALA</t>
        </is>
      </c>
      <c r="G35" t="n">
        <v>15</v>
      </c>
      <c r="H35" t="n">
        <v>2</v>
      </c>
      <c r="I35" t="n">
        <v>0</v>
      </c>
      <c r="J35" t="n">
        <v>0</v>
      </c>
      <c r="K35" t="n">
        <v>1</v>
      </c>
      <c r="L35" t="n">
        <v>0</v>
      </c>
      <c r="M35" t="n">
        <v>0</v>
      </c>
      <c r="N35" t="n">
        <v>0</v>
      </c>
      <c r="O35" t="n">
        <v>1</v>
      </c>
      <c r="P35" t="n">
        <v>1</v>
      </c>
      <c r="Q35" t="n">
        <v>2</v>
      </c>
      <c r="R35" s="2" t="inlineStr">
        <is>
          <t>Knärot
Mindre vattensalamander</t>
        </is>
      </c>
      <c r="S35">
        <f>HYPERLINK("https://klasma.github.io/Logging_1981/artfynd/A 61454-2024 artfynd.xlsx", "A 61454-2024")</f>
        <v/>
      </c>
      <c r="T35">
        <f>HYPERLINK("https://klasma.github.io/Logging_1981/kartor/A 61454-2024 karta.png", "A 61454-2024")</f>
        <v/>
      </c>
      <c r="U35">
        <f>HYPERLINK("https://klasma.github.io/Logging_1981/knärot/A 61454-2024 karta knärot.png", "A 61454-2024")</f>
        <v/>
      </c>
      <c r="V35">
        <f>HYPERLINK("https://klasma.github.io/Logging_1981/klagomål/A 61454-2024 FSC-klagomål.docx", "A 61454-2024")</f>
        <v/>
      </c>
      <c r="W35">
        <f>HYPERLINK("https://klasma.github.io/Logging_1981/klagomålsmail/A 61454-2024 FSC-klagomål mail.docx", "A 61454-2024")</f>
        <v/>
      </c>
      <c r="X35">
        <f>HYPERLINK("https://klasma.github.io/Logging_1981/tillsyn/A 61454-2024 tillsynsbegäran.docx", "A 61454-2024")</f>
        <v/>
      </c>
      <c r="Y35">
        <f>HYPERLINK("https://klasma.github.io/Logging_1981/tillsynsmail/A 61454-2024 tillsynsbegäran mail.docx", "A 61454-2024")</f>
        <v/>
      </c>
    </row>
    <row r="36" ht="15" customHeight="1">
      <c r="A36" t="inlineStr">
        <is>
          <t>A 15102-2025</t>
        </is>
      </c>
      <c r="B36" s="1" t="n">
        <v>45744.34585648148</v>
      </c>
      <c r="C36" s="1" t="n">
        <v>45937</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45937</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13973-2021</t>
        </is>
      </c>
      <c r="B38" s="1" t="n">
        <v>44277</v>
      </c>
      <c r="C38" s="1" t="n">
        <v>45937</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43705-2022</t>
        </is>
      </c>
      <c r="B39" s="1" t="n">
        <v>44837</v>
      </c>
      <c r="C39" s="1" t="n">
        <v>45937</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69362-2020</t>
        </is>
      </c>
      <c r="B40" s="1" t="n">
        <v>44193</v>
      </c>
      <c r="C40" s="1" t="n">
        <v>45937</v>
      </c>
      <c r="D40" t="inlineStr">
        <is>
          <t>VÄSTMANLANDS LÄN</t>
        </is>
      </c>
      <c r="E40" t="inlineStr">
        <is>
          <t>SALA</t>
        </is>
      </c>
      <c r="G40" t="n">
        <v>13.7</v>
      </c>
      <c r="H40" t="n">
        <v>1</v>
      </c>
      <c r="I40" t="n">
        <v>0</v>
      </c>
      <c r="J40" t="n">
        <v>1</v>
      </c>
      <c r="K40" t="n">
        <v>0</v>
      </c>
      <c r="L40" t="n">
        <v>0</v>
      </c>
      <c r="M40" t="n">
        <v>0</v>
      </c>
      <c r="N40" t="n">
        <v>0</v>
      </c>
      <c r="O40" t="n">
        <v>1</v>
      </c>
      <c r="P40" t="n">
        <v>0</v>
      </c>
      <c r="Q40" t="n">
        <v>1</v>
      </c>
      <c r="R40" s="2" t="inlineStr">
        <is>
          <t>Havsörn</t>
        </is>
      </c>
      <c r="S40">
        <f>HYPERLINK("https://klasma.github.io/Logging_1981/artfynd/A 69362-2020 artfynd.xlsx", "A 69362-2020")</f>
        <v/>
      </c>
      <c r="T40">
        <f>HYPERLINK("https://klasma.github.io/Logging_1981/kartor/A 69362-2020 karta.png", "A 69362-2020")</f>
        <v/>
      </c>
      <c r="V40">
        <f>HYPERLINK("https://klasma.github.io/Logging_1981/klagomål/A 69362-2020 FSC-klagomål.docx", "A 69362-2020")</f>
        <v/>
      </c>
      <c r="W40">
        <f>HYPERLINK("https://klasma.github.io/Logging_1981/klagomålsmail/A 69362-2020 FSC-klagomål mail.docx", "A 69362-2020")</f>
        <v/>
      </c>
      <c r="X40">
        <f>HYPERLINK("https://klasma.github.io/Logging_1981/tillsyn/A 69362-2020 tillsynsbegäran.docx", "A 69362-2020")</f>
        <v/>
      </c>
      <c r="Y40">
        <f>HYPERLINK("https://klasma.github.io/Logging_1981/tillsynsmail/A 69362-2020 tillsynsbegäran mail.docx", "A 69362-2020")</f>
        <v/>
      </c>
      <c r="Z40">
        <f>HYPERLINK("https://klasma.github.io/Logging_1981/fåglar/A 69362-2020 prioriterade fågelarter.docx", "A 69362-2020")</f>
        <v/>
      </c>
    </row>
    <row r="41" ht="15" customHeight="1">
      <c r="A41" t="inlineStr">
        <is>
          <t>A 55550-2023</t>
        </is>
      </c>
      <c r="B41" s="1" t="n">
        <v>45232</v>
      </c>
      <c r="C41" s="1" t="n">
        <v>45937</v>
      </c>
      <c r="D41" t="inlineStr">
        <is>
          <t>VÄSTMANLANDS LÄN</t>
        </is>
      </c>
      <c r="E41" t="inlineStr">
        <is>
          <t>SALA</t>
        </is>
      </c>
      <c r="G41" t="n">
        <v>9.9</v>
      </c>
      <c r="H41" t="n">
        <v>1</v>
      </c>
      <c r="I41" t="n">
        <v>0</v>
      </c>
      <c r="J41" t="n">
        <v>0</v>
      </c>
      <c r="K41" t="n">
        <v>1</v>
      </c>
      <c r="L41" t="n">
        <v>0</v>
      </c>
      <c r="M41" t="n">
        <v>0</v>
      </c>
      <c r="N41" t="n">
        <v>0</v>
      </c>
      <c r="O41" t="n">
        <v>1</v>
      </c>
      <c r="P41" t="n">
        <v>1</v>
      </c>
      <c r="Q41" t="n">
        <v>1</v>
      </c>
      <c r="R41" s="2" t="inlineStr">
        <is>
          <t>Knärot</t>
        </is>
      </c>
      <c r="S41">
        <f>HYPERLINK("https://klasma.github.io/Logging_1981/artfynd/A 55550-2023 artfynd.xlsx", "A 55550-2023")</f>
        <v/>
      </c>
      <c r="T41">
        <f>HYPERLINK("https://klasma.github.io/Logging_1981/kartor/A 55550-2023 karta.png", "A 55550-2023")</f>
        <v/>
      </c>
      <c r="U41">
        <f>HYPERLINK("https://klasma.github.io/Logging_1981/knärot/A 55550-2023 karta knärot.png", "A 55550-2023")</f>
        <v/>
      </c>
      <c r="V41">
        <f>HYPERLINK("https://klasma.github.io/Logging_1981/klagomål/A 55550-2023 FSC-klagomål.docx", "A 55550-2023")</f>
        <v/>
      </c>
      <c r="W41">
        <f>HYPERLINK("https://klasma.github.io/Logging_1981/klagomålsmail/A 55550-2023 FSC-klagomål mail.docx", "A 55550-2023")</f>
        <v/>
      </c>
      <c r="X41">
        <f>HYPERLINK("https://klasma.github.io/Logging_1981/tillsyn/A 55550-2023 tillsynsbegäran.docx", "A 55550-2023")</f>
        <v/>
      </c>
      <c r="Y41">
        <f>HYPERLINK("https://klasma.github.io/Logging_1981/tillsynsmail/A 55550-2023 tillsynsbegäran mail.docx", "A 55550-2023")</f>
        <v/>
      </c>
    </row>
    <row r="42" ht="15" customHeight="1">
      <c r="A42" t="inlineStr">
        <is>
          <t>A 21738-2025</t>
        </is>
      </c>
      <c r="B42" s="1" t="n">
        <v>45783.59173611111</v>
      </c>
      <c r="C42" s="1" t="n">
        <v>45937</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43175-2023</t>
        </is>
      </c>
      <c r="B43" s="1" t="n">
        <v>45183</v>
      </c>
      <c r="C43" s="1" t="n">
        <v>45937</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22950-2025</t>
        </is>
      </c>
      <c r="B44" s="1" t="n">
        <v>45790.50728009259</v>
      </c>
      <c r="C44" s="1" t="n">
        <v>45937</v>
      </c>
      <c r="D44" t="inlineStr">
        <is>
          <t>VÄSTMANLANDS LÄN</t>
        </is>
      </c>
      <c r="E44" t="inlineStr">
        <is>
          <t>SALA</t>
        </is>
      </c>
      <c r="G44" t="n">
        <v>6.2</v>
      </c>
      <c r="H44" t="n">
        <v>1</v>
      </c>
      <c r="I44" t="n">
        <v>0</v>
      </c>
      <c r="J44" t="n">
        <v>1</v>
      </c>
      <c r="K44" t="n">
        <v>0</v>
      </c>
      <c r="L44" t="n">
        <v>0</v>
      </c>
      <c r="M44" t="n">
        <v>0</v>
      </c>
      <c r="N44" t="n">
        <v>0</v>
      </c>
      <c r="O44" t="n">
        <v>1</v>
      </c>
      <c r="P44" t="n">
        <v>0</v>
      </c>
      <c r="Q44" t="n">
        <v>1</v>
      </c>
      <c r="R44" s="2" t="inlineStr">
        <is>
          <t>Svartvit flugsnappare</t>
        </is>
      </c>
      <c r="S44">
        <f>HYPERLINK("https://klasma.github.io/Logging_1981/artfynd/A 22950-2025 artfynd.xlsx", "A 22950-2025")</f>
        <v/>
      </c>
      <c r="T44">
        <f>HYPERLINK("https://klasma.github.io/Logging_1981/kartor/A 22950-2025 karta.png", "A 22950-2025")</f>
        <v/>
      </c>
      <c r="V44">
        <f>HYPERLINK("https://klasma.github.io/Logging_1981/klagomål/A 22950-2025 FSC-klagomål.docx", "A 22950-2025")</f>
        <v/>
      </c>
      <c r="W44">
        <f>HYPERLINK("https://klasma.github.io/Logging_1981/klagomålsmail/A 22950-2025 FSC-klagomål mail.docx", "A 22950-2025")</f>
        <v/>
      </c>
      <c r="X44">
        <f>HYPERLINK("https://klasma.github.io/Logging_1981/tillsyn/A 22950-2025 tillsynsbegäran.docx", "A 22950-2025")</f>
        <v/>
      </c>
      <c r="Y44">
        <f>HYPERLINK("https://klasma.github.io/Logging_1981/tillsynsmail/A 22950-2025 tillsynsbegäran mail.docx", "A 22950-2025")</f>
        <v/>
      </c>
      <c r="Z44">
        <f>HYPERLINK("https://klasma.github.io/Logging_1981/fåglar/A 22950-2025 prioriterade fågelarter.docx", "A 22950-2025")</f>
        <v/>
      </c>
    </row>
    <row r="45" ht="15" customHeight="1">
      <c r="A45" t="inlineStr">
        <is>
          <t>A 56704-2022</t>
        </is>
      </c>
      <c r="B45" s="1" t="n">
        <v>44893.78075231481</v>
      </c>
      <c r="C45" s="1" t="n">
        <v>45937</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41270-2024</t>
        </is>
      </c>
      <c r="B46" s="1" t="n">
        <v>45559</v>
      </c>
      <c r="C46" s="1" t="n">
        <v>45937</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38255-2025</t>
        </is>
      </c>
      <c r="B47" s="1" t="n">
        <v>45883.38020833334</v>
      </c>
      <c r="C47" s="1" t="n">
        <v>45937</v>
      </c>
      <c r="D47" t="inlineStr">
        <is>
          <t>VÄSTMANLANDS LÄN</t>
        </is>
      </c>
      <c r="E47" t="inlineStr">
        <is>
          <t>SALA</t>
        </is>
      </c>
      <c r="G47" t="n">
        <v>0.9</v>
      </c>
      <c r="H47" t="n">
        <v>1</v>
      </c>
      <c r="I47" t="n">
        <v>0</v>
      </c>
      <c r="J47" t="n">
        <v>0</v>
      </c>
      <c r="K47" t="n">
        <v>1</v>
      </c>
      <c r="L47" t="n">
        <v>0</v>
      </c>
      <c r="M47" t="n">
        <v>0</v>
      </c>
      <c r="N47" t="n">
        <v>0</v>
      </c>
      <c r="O47" t="n">
        <v>1</v>
      </c>
      <c r="P47" t="n">
        <v>1</v>
      </c>
      <c r="Q47" t="n">
        <v>1</v>
      </c>
      <c r="R47" s="2" t="inlineStr">
        <is>
          <t>Knärot</t>
        </is>
      </c>
      <c r="S47">
        <f>HYPERLINK("https://klasma.github.io/Logging_1981/artfynd/A 38255-2025 artfynd.xlsx", "A 38255-2025")</f>
        <v/>
      </c>
      <c r="T47">
        <f>HYPERLINK("https://klasma.github.io/Logging_1981/kartor/A 38255-2025 karta.png", "A 38255-2025")</f>
        <v/>
      </c>
      <c r="U47">
        <f>HYPERLINK("https://klasma.github.io/Logging_1981/knärot/A 38255-2025 karta knärot.png", "A 38255-2025")</f>
        <v/>
      </c>
      <c r="V47">
        <f>HYPERLINK("https://klasma.github.io/Logging_1981/klagomål/A 38255-2025 FSC-klagomål.docx", "A 38255-2025")</f>
        <v/>
      </c>
      <c r="W47">
        <f>HYPERLINK("https://klasma.github.io/Logging_1981/klagomålsmail/A 38255-2025 FSC-klagomål mail.docx", "A 38255-2025")</f>
        <v/>
      </c>
      <c r="X47">
        <f>HYPERLINK("https://klasma.github.io/Logging_1981/tillsyn/A 38255-2025 tillsynsbegäran.docx", "A 38255-2025")</f>
        <v/>
      </c>
      <c r="Y47">
        <f>HYPERLINK("https://klasma.github.io/Logging_1981/tillsynsmail/A 38255-2025 tillsynsbegäran mail.docx", "A 38255-2025")</f>
        <v/>
      </c>
    </row>
    <row r="48" ht="15" customHeight="1">
      <c r="A48" t="inlineStr">
        <is>
          <t>A 43068-2024</t>
        </is>
      </c>
      <c r="B48" s="1" t="n">
        <v>45567</v>
      </c>
      <c r="C48" s="1" t="n">
        <v>45937</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60852-2024</t>
        </is>
      </c>
      <c r="B49" s="1" t="n">
        <v>45644</v>
      </c>
      <c r="C49" s="1" t="n">
        <v>45937</v>
      </c>
      <c r="D49" t="inlineStr">
        <is>
          <t>VÄSTMANLANDS LÄN</t>
        </is>
      </c>
      <c r="E49" t="inlineStr">
        <is>
          <t>SALA</t>
        </is>
      </c>
      <c r="G49" t="n">
        <v>7.6</v>
      </c>
      <c r="H49" t="n">
        <v>1</v>
      </c>
      <c r="I49" t="n">
        <v>0</v>
      </c>
      <c r="J49" t="n">
        <v>0</v>
      </c>
      <c r="K49" t="n">
        <v>0</v>
      </c>
      <c r="L49" t="n">
        <v>0</v>
      </c>
      <c r="M49" t="n">
        <v>0</v>
      </c>
      <c r="N49" t="n">
        <v>0</v>
      </c>
      <c r="O49" t="n">
        <v>0</v>
      </c>
      <c r="P49" t="n">
        <v>0</v>
      </c>
      <c r="Q49" t="n">
        <v>1</v>
      </c>
      <c r="R49" s="2" t="inlineStr">
        <is>
          <t>Blåsippa</t>
        </is>
      </c>
      <c r="S49">
        <f>HYPERLINK("https://klasma.github.io/Logging_1981/artfynd/A 60852-2024 artfynd.xlsx", "A 60852-2024")</f>
        <v/>
      </c>
      <c r="T49">
        <f>HYPERLINK("https://klasma.github.io/Logging_1981/kartor/A 60852-2024 karta.png", "A 60852-2024")</f>
        <v/>
      </c>
      <c r="V49">
        <f>HYPERLINK("https://klasma.github.io/Logging_1981/klagomål/A 60852-2024 FSC-klagomål.docx", "A 60852-2024")</f>
        <v/>
      </c>
      <c r="W49">
        <f>HYPERLINK("https://klasma.github.io/Logging_1981/klagomålsmail/A 60852-2024 FSC-klagomål mail.docx", "A 60852-2024")</f>
        <v/>
      </c>
      <c r="X49">
        <f>HYPERLINK("https://klasma.github.io/Logging_1981/tillsyn/A 60852-2024 tillsynsbegäran.docx", "A 60852-2024")</f>
        <v/>
      </c>
      <c r="Y49">
        <f>HYPERLINK("https://klasma.github.io/Logging_1981/tillsynsmail/A 60852-2024 tillsynsbegäran mail.docx", "A 60852-2024")</f>
        <v/>
      </c>
    </row>
    <row r="50" ht="15" customHeight="1">
      <c r="A50" t="inlineStr">
        <is>
          <t>A 7731-2023</t>
        </is>
      </c>
      <c r="B50" s="1" t="n">
        <v>44973</v>
      </c>
      <c r="C50" s="1" t="n">
        <v>45937</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32594-2025</t>
        </is>
      </c>
      <c r="B51" s="1" t="n">
        <v>45838</v>
      </c>
      <c r="C51" s="1" t="n">
        <v>45937</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48705-2025</t>
        </is>
      </c>
      <c r="B52" s="1" t="n">
        <v>45936.62290509259</v>
      </c>
      <c r="C52" s="1" t="n">
        <v>45937</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29985-2022</t>
        </is>
      </c>
      <c r="B53" s="1" t="n">
        <v>44756</v>
      </c>
      <c r="C53" s="1" t="n">
        <v>45937</v>
      </c>
      <c r="D53" t="inlineStr">
        <is>
          <t>VÄSTMANLANDS LÄN</t>
        </is>
      </c>
      <c r="E53" t="inlineStr">
        <is>
          <t>SALA</t>
        </is>
      </c>
      <c r="F53" t="inlineStr">
        <is>
          <t>Kommuner</t>
        </is>
      </c>
      <c r="G53" t="n">
        <v>1</v>
      </c>
      <c r="H53" t="n">
        <v>1</v>
      </c>
      <c r="I53" t="n">
        <v>1</v>
      </c>
      <c r="J53" t="n">
        <v>0</v>
      </c>
      <c r="K53" t="n">
        <v>0</v>
      </c>
      <c r="L53" t="n">
        <v>0</v>
      </c>
      <c r="M53" t="n">
        <v>0</v>
      </c>
      <c r="N53" t="n">
        <v>0</v>
      </c>
      <c r="O53" t="n">
        <v>0</v>
      </c>
      <c r="P53" t="n">
        <v>0</v>
      </c>
      <c r="Q53" t="n">
        <v>1</v>
      </c>
      <c r="R53" s="2" t="inlineStr">
        <is>
          <t>Skogsknipprot</t>
        </is>
      </c>
      <c r="S53">
        <f>HYPERLINK("https://klasma.github.io/Logging_1981/artfynd/A 29985-2022 artfynd.xlsx", "A 29985-2022")</f>
        <v/>
      </c>
      <c r="T53">
        <f>HYPERLINK("https://klasma.github.io/Logging_1981/kartor/A 29985-2022 karta.png", "A 29985-2022")</f>
        <v/>
      </c>
      <c r="V53">
        <f>HYPERLINK("https://klasma.github.io/Logging_1981/klagomål/A 29985-2022 FSC-klagomål.docx", "A 29985-2022")</f>
        <v/>
      </c>
      <c r="W53">
        <f>HYPERLINK("https://klasma.github.io/Logging_1981/klagomålsmail/A 29985-2022 FSC-klagomål mail.docx", "A 29985-2022")</f>
        <v/>
      </c>
      <c r="X53">
        <f>HYPERLINK("https://klasma.github.io/Logging_1981/tillsyn/A 29985-2022 tillsynsbegäran.docx", "A 29985-2022")</f>
        <v/>
      </c>
      <c r="Y53">
        <f>HYPERLINK("https://klasma.github.io/Logging_1981/tillsynsmail/A 29985-2022 tillsynsbegäran mail.docx", "A 29985-2022")</f>
        <v/>
      </c>
    </row>
    <row r="54" ht="15" customHeight="1">
      <c r="A54" t="inlineStr">
        <is>
          <t>A 12509-2023</t>
        </is>
      </c>
      <c r="B54" s="1" t="n">
        <v>44999.95988425926</v>
      </c>
      <c r="C54" s="1" t="n">
        <v>45937</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22350-2024</t>
        </is>
      </c>
      <c r="B55" s="1" t="n">
        <v>45446</v>
      </c>
      <c r="C55" s="1" t="n">
        <v>45937</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7919-2022</t>
        </is>
      </c>
      <c r="B56" s="1" t="n">
        <v>44608</v>
      </c>
      <c r="C56" s="1" t="n">
        <v>45937</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14775-2023</t>
        </is>
      </c>
      <c r="B57" s="1" t="n">
        <v>45014</v>
      </c>
      <c r="C57" s="1" t="n">
        <v>45937</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14775-2023 artfynd.xlsx", "A 14775-2023")</f>
        <v/>
      </c>
      <c r="T57">
        <f>HYPERLINK("https://klasma.github.io/Logging_1981/kartor/A 14775-2023 karta.png", "A 14775-2023")</f>
        <v/>
      </c>
      <c r="U57">
        <f>HYPERLINK("https://klasma.github.io/Logging_1981/knärot/A 14775-2023 karta knärot.png", "A 14775-2023")</f>
        <v/>
      </c>
      <c r="V57">
        <f>HYPERLINK("https://klasma.github.io/Logging_1981/klagomål/A 14775-2023 FSC-klagomål.docx", "A 14775-2023")</f>
        <v/>
      </c>
      <c r="W57">
        <f>HYPERLINK("https://klasma.github.io/Logging_1981/klagomålsmail/A 14775-2023 FSC-klagomål mail.docx", "A 14775-2023")</f>
        <v/>
      </c>
      <c r="X57">
        <f>HYPERLINK("https://klasma.github.io/Logging_1981/tillsyn/A 14775-2023 tillsynsbegäran.docx", "A 14775-2023")</f>
        <v/>
      </c>
      <c r="Y57">
        <f>HYPERLINK("https://klasma.github.io/Logging_1981/tillsynsmail/A 14775-2023 tillsynsbegäran mail.docx", "A 14775-2023")</f>
        <v/>
      </c>
    </row>
    <row r="58" ht="15" customHeight="1">
      <c r="A58" t="inlineStr">
        <is>
          <t>A 19361-2025</t>
        </is>
      </c>
      <c r="B58" s="1" t="n">
        <v>45769.63357638889</v>
      </c>
      <c r="C58" s="1" t="n">
        <v>45937</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45937</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56014-2020</t>
        </is>
      </c>
      <c r="B60" s="1" t="n">
        <v>44132</v>
      </c>
      <c r="C60" s="1" t="n">
        <v>45937</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29727-2023</t>
        </is>
      </c>
      <c r="B61" s="1" t="n">
        <v>45107</v>
      </c>
      <c r="C61" s="1" t="n">
        <v>45937</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37166-2024</t>
        </is>
      </c>
      <c r="B62" s="1" t="n">
        <v>45539</v>
      </c>
      <c r="C62" s="1" t="n">
        <v>45937</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37166-2024 artfynd.xlsx", "A 37166-2024")</f>
        <v/>
      </c>
      <c r="T62">
        <f>HYPERLINK("https://klasma.github.io/Logging_1981/kartor/A 37166-2024 karta.png", "A 37166-2024")</f>
        <v/>
      </c>
      <c r="U62">
        <f>HYPERLINK("https://klasma.github.io/Logging_1981/knärot/A 37166-2024 karta knärot.png", "A 37166-2024")</f>
        <v/>
      </c>
      <c r="V62">
        <f>HYPERLINK("https://klasma.github.io/Logging_1981/klagomål/A 37166-2024 FSC-klagomål.docx", "A 37166-2024")</f>
        <v/>
      </c>
      <c r="W62">
        <f>HYPERLINK("https://klasma.github.io/Logging_1981/klagomålsmail/A 37166-2024 FSC-klagomål mail.docx", "A 37166-2024")</f>
        <v/>
      </c>
      <c r="X62">
        <f>HYPERLINK("https://klasma.github.io/Logging_1981/tillsyn/A 37166-2024 tillsynsbegäran.docx", "A 37166-2024")</f>
        <v/>
      </c>
      <c r="Y62">
        <f>HYPERLINK("https://klasma.github.io/Logging_1981/tillsynsmail/A 37166-2024 tillsynsbegäran mail.docx", "A 37166-2024")</f>
        <v/>
      </c>
    </row>
    <row r="63" ht="15" customHeight="1">
      <c r="A63" t="inlineStr">
        <is>
          <t>A 58314-2020</t>
        </is>
      </c>
      <c r="B63" s="1" t="n">
        <v>44145</v>
      </c>
      <c r="C63" s="1" t="n">
        <v>45937</v>
      </c>
      <c r="D63" t="inlineStr">
        <is>
          <t>VÄSTMANLANDS LÄN</t>
        </is>
      </c>
      <c r="E63" t="inlineStr">
        <is>
          <t>SALA</t>
        </is>
      </c>
      <c r="G63" t="n">
        <v>0.9</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45937</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45937</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45937</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45937</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45937</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45937</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45937</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45937</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45937</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45937</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45937</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33762-2021</t>
        </is>
      </c>
      <c r="B75" s="1" t="n">
        <v>44378</v>
      </c>
      <c r="C75" s="1" t="n">
        <v>45937</v>
      </c>
      <c r="D75" t="inlineStr">
        <is>
          <t>VÄSTMANLANDS LÄN</t>
        </is>
      </c>
      <c r="E75" t="inlineStr">
        <is>
          <t>SALA</t>
        </is>
      </c>
      <c r="G75" t="n">
        <v>3.4</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45937</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45937</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45937</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45937</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45937</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45937</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45937</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45937</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45937</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45937</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45937</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45937</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45937</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45937</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45937</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3050-2022</t>
        </is>
      </c>
      <c r="B91" s="1" t="n">
        <v>44582</v>
      </c>
      <c r="C91" s="1" t="n">
        <v>45937</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45937</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45937</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45937</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45937</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45937</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45937</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45937</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45937</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45937</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45937</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45937</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45937</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45937</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45937</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45937</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45937</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45937</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45937</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45937</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45937</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45937</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45937</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45937</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45937</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45937</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45937</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45937</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45937</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45937</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45937</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45937</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44224-2022</t>
        </is>
      </c>
      <c r="B126" s="1" t="n">
        <v>44839.506875</v>
      </c>
      <c r="C126" s="1" t="n">
        <v>45937</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67962-2021</t>
        </is>
      </c>
      <c r="B127" s="1" t="n">
        <v>44525</v>
      </c>
      <c r="C127" s="1" t="n">
        <v>45937</v>
      </c>
      <c r="D127" t="inlineStr">
        <is>
          <t>VÄSTMANLANDS LÄN</t>
        </is>
      </c>
      <c r="E127" t="inlineStr">
        <is>
          <t>SALA</t>
        </is>
      </c>
      <c r="G127" t="n">
        <v>1.4</v>
      </c>
      <c r="H127" t="n">
        <v>0</v>
      </c>
      <c r="I127" t="n">
        <v>0</v>
      </c>
      <c r="J127" t="n">
        <v>0</v>
      </c>
      <c r="K127" t="n">
        <v>0</v>
      </c>
      <c r="L127" t="n">
        <v>0</v>
      </c>
      <c r="M127" t="n">
        <v>0</v>
      </c>
      <c r="N127" t="n">
        <v>0</v>
      </c>
      <c r="O127" t="n">
        <v>0</v>
      </c>
      <c r="P127" t="n">
        <v>0</v>
      </c>
      <c r="Q127" t="n">
        <v>0</v>
      </c>
      <c r="R127" s="2" t="inlineStr"/>
    </row>
    <row r="128" ht="15" customHeight="1">
      <c r="A128" t="inlineStr">
        <is>
          <t>A 72405-2021</t>
        </is>
      </c>
      <c r="B128" s="1" t="n">
        <v>44545</v>
      </c>
      <c r="C128" s="1" t="n">
        <v>45937</v>
      </c>
      <c r="D128" t="inlineStr">
        <is>
          <t>VÄSTMANLANDS LÄN</t>
        </is>
      </c>
      <c r="E128" t="inlineStr">
        <is>
          <t>SALA</t>
        </is>
      </c>
      <c r="G128" t="n">
        <v>1</v>
      </c>
      <c r="H128" t="n">
        <v>0</v>
      </c>
      <c r="I128" t="n">
        <v>0</v>
      </c>
      <c r="J128" t="n">
        <v>0</v>
      </c>
      <c r="K128" t="n">
        <v>0</v>
      </c>
      <c r="L128" t="n">
        <v>0</v>
      </c>
      <c r="M128" t="n">
        <v>0</v>
      </c>
      <c r="N128" t="n">
        <v>0</v>
      </c>
      <c r="O128" t="n">
        <v>0</v>
      </c>
      <c r="P128" t="n">
        <v>0</v>
      </c>
      <c r="Q128" t="n">
        <v>0</v>
      </c>
      <c r="R128" s="2" t="inlineStr"/>
    </row>
    <row r="129" ht="15" customHeight="1">
      <c r="A129" t="inlineStr">
        <is>
          <t>A 63290-2021</t>
        </is>
      </c>
      <c r="B129" s="1" t="n">
        <v>44505</v>
      </c>
      <c r="C129" s="1" t="n">
        <v>45937</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61415-2020</t>
        </is>
      </c>
      <c r="B130" s="1" t="n">
        <v>44156</v>
      </c>
      <c r="C130" s="1" t="n">
        <v>45937</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26575-2021</t>
        </is>
      </c>
      <c r="B131" s="1" t="n">
        <v>44348</v>
      </c>
      <c r="C131" s="1" t="n">
        <v>45937</v>
      </c>
      <c r="D131" t="inlineStr">
        <is>
          <t>VÄSTMANLANDS LÄN</t>
        </is>
      </c>
      <c r="E131" t="inlineStr">
        <is>
          <t>SALA</t>
        </is>
      </c>
      <c r="G131" t="n">
        <v>2.7</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45937</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58781-2020</t>
        </is>
      </c>
      <c r="B133" s="1" t="n">
        <v>44146</v>
      </c>
      <c r="C133" s="1" t="n">
        <v>45937</v>
      </c>
      <c r="D133" t="inlineStr">
        <is>
          <t>VÄSTMANLANDS LÄN</t>
        </is>
      </c>
      <c r="E133" t="inlineStr">
        <is>
          <t>SALA</t>
        </is>
      </c>
      <c r="G133" t="n">
        <v>1.2</v>
      </c>
      <c r="H133" t="n">
        <v>0</v>
      </c>
      <c r="I133" t="n">
        <v>0</v>
      </c>
      <c r="J133" t="n">
        <v>0</v>
      </c>
      <c r="K133" t="n">
        <v>0</v>
      </c>
      <c r="L133" t="n">
        <v>0</v>
      </c>
      <c r="M133" t="n">
        <v>0</v>
      </c>
      <c r="N133" t="n">
        <v>0</v>
      </c>
      <c r="O133" t="n">
        <v>0</v>
      </c>
      <c r="P133" t="n">
        <v>0</v>
      </c>
      <c r="Q133" t="n">
        <v>0</v>
      </c>
      <c r="R133" s="2" t="inlineStr"/>
    </row>
    <row r="134" ht="15" customHeight="1">
      <c r="A134" t="inlineStr">
        <is>
          <t>A 25603-2022</t>
        </is>
      </c>
      <c r="B134" s="1" t="n">
        <v>44732</v>
      </c>
      <c r="C134" s="1" t="n">
        <v>45937</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24882-2022</t>
        </is>
      </c>
      <c r="B135" s="1" t="n">
        <v>44728.56488425926</v>
      </c>
      <c r="C135" s="1" t="n">
        <v>45937</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73519-2021</t>
        </is>
      </c>
      <c r="B136" s="1" t="n">
        <v>44551</v>
      </c>
      <c r="C136" s="1" t="n">
        <v>45937</v>
      </c>
      <c r="D136" t="inlineStr">
        <is>
          <t>VÄSTMANLANDS LÄN</t>
        </is>
      </c>
      <c r="E136" t="inlineStr">
        <is>
          <t>SALA</t>
        </is>
      </c>
      <c r="G136" t="n">
        <v>0.3</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45937</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37881-2021</t>
        </is>
      </c>
      <c r="B138" s="1" t="n">
        <v>44403</v>
      </c>
      <c r="C138" s="1" t="n">
        <v>45937</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53628-2022</t>
        </is>
      </c>
      <c r="B139" s="1" t="n">
        <v>44879.87171296297</v>
      </c>
      <c r="C139" s="1" t="n">
        <v>45937</v>
      </c>
      <c r="D139" t="inlineStr">
        <is>
          <t>VÄSTMANLANDS LÄN</t>
        </is>
      </c>
      <c r="E139" t="inlineStr">
        <is>
          <t>SALA</t>
        </is>
      </c>
      <c r="G139" t="n">
        <v>2.7</v>
      </c>
      <c r="H139" t="n">
        <v>0</v>
      </c>
      <c r="I139" t="n">
        <v>0</v>
      </c>
      <c r="J139" t="n">
        <v>0</v>
      </c>
      <c r="K139" t="n">
        <v>0</v>
      </c>
      <c r="L139" t="n">
        <v>0</v>
      </c>
      <c r="M139" t="n">
        <v>0</v>
      </c>
      <c r="N139" t="n">
        <v>0</v>
      </c>
      <c r="O139" t="n">
        <v>0</v>
      </c>
      <c r="P139" t="n">
        <v>0</v>
      </c>
      <c r="Q139" t="n">
        <v>0</v>
      </c>
      <c r="R139" s="2" t="inlineStr"/>
    </row>
    <row r="140" ht="15" customHeight="1">
      <c r="A140" t="inlineStr">
        <is>
          <t>A 72805-2021</t>
        </is>
      </c>
      <c r="B140" s="1" t="n">
        <v>44546</v>
      </c>
      <c r="C140" s="1" t="n">
        <v>45937</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72808-2021</t>
        </is>
      </c>
      <c r="B141" s="1" t="n">
        <v>44546</v>
      </c>
      <c r="C141" s="1" t="n">
        <v>45937</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45937</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45937</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23847-2022</t>
        </is>
      </c>
      <c r="B144" s="1" t="n">
        <v>44722</v>
      </c>
      <c r="C144" s="1" t="n">
        <v>45937</v>
      </c>
      <c r="D144" t="inlineStr">
        <is>
          <t>VÄSTMANLANDS LÄN</t>
        </is>
      </c>
      <c r="E144" t="inlineStr">
        <is>
          <t>SALA</t>
        </is>
      </c>
      <c r="G144" t="n">
        <v>1</v>
      </c>
      <c r="H144" t="n">
        <v>0</v>
      </c>
      <c r="I144" t="n">
        <v>0</v>
      </c>
      <c r="J144" t="n">
        <v>0</v>
      </c>
      <c r="K144" t="n">
        <v>0</v>
      </c>
      <c r="L144" t="n">
        <v>0</v>
      </c>
      <c r="M144" t="n">
        <v>0</v>
      </c>
      <c r="N144" t="n">
        <v>0</v>
      </c>
      <c r="O144" t="n">
        <v>0</v>
      </c>
      <c r="P144" t="n">
        <v>0</v>
      </c>
      <c r="Q144" t="n">
        <v>0</v>
      </c>
      <c r="R144" s="2" t="inlineStr"/>
    </row>
    <row r="145" ht="15" customHeight="1">
      <c r="A145" t="inlineStr">
        <is>
          <t>A 23757-2022</t>
        </is>
      </c>
      <c r="B145" s="1" t="n">
        <v>44722.37339120371</v>
      </c>
      <c r="C145" s="1" t="n">
        <v>45937</v>
      </c>
      <c r="D145" t="inlineStr">
        <is>
          <t>VÄSTMANLANDS LÄN</t>
        </is>
      </c>
      <c r="E145" t="inlineStr">
        <is>
          <t>SALA</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40113-2022</t>
        </is>
      </c>
      <c r="B146" s="1" t="n">
        <v>44819</v>
      </c>
      <c r="C146" s="1" t="n">
        <v>45937</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44615.47800925926</v>
      </c>
      <c r="C147" s="1" t="n">
        <v>45937</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30915-2021</t>
        </is>
      </c>
      <c r="B148" s="1" t="n">
        <v>44365</v>
      </c>
      <c r="C148" s="1" t="n">
        <v>45937</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30918-2021</t>
        </is>
      </c>
      <c r="B149" s="1" t="n">
        <v>44365.60569444444</v>
      </c>
      <c r="C149" s="1" t="n">
        <v>45937</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22562-2022</t>
        </is>
      </c>
      <c r="B150" s="1" t="n">
        <v>44713</v>
      </c>
      <c r="C150" s="1" t="n">
        <v>45937</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30904-2021</t>
        </is>
      </c>
      <c r="B151" s="1" t="n">
        <v>44365.5983449074</v>
      </c>
      <c r="C151" s="1" t="n">
        <v>45937</v>
      </c>
      <c r="D151" t="inlineStr">
        <is>
          <t>VÄSTMANLANDS LÄN</t>
        </is>
      </c>
      <c r="E151" t="inlineStr">
        <is>
          <t>SALA</t>
        </is>
      </c>
      <c r="G151" t="n">
        <v>1.9</v>
      </c>
      <c r="H151" t="n">
        <v>0</v>
      </c>
      <c r="I151" t="n">
        <v>0</v>
      </c>
      <c r="J151" t="n">
        <v>0</v>
      </c>
      <c r="K151" t="n">
        <v>0</v>
      </c>
      <c r="L151" t="n">
        <v>0</v>
      </c>
      <c r="M151" t="n">
        <v>0</v>
      </c>
      <c r="N151" t="n">
        <v>0</v>
      </c>
      <c r="O151" t="n">
        <v>0</v>
      </c>
      <c r="P151" t="n">
        <v>0</v>
      </c>
      <c r="Q151" t="n">
        <v>0</v>
      </c>
      <c r="R151" s="2" t="inlineStr"/>
    </row>
    <row r="152" ht="15" customHeight="1">
      <c r="A152" t="inlineStr">
        <is>
          <t>A 29002-2022</t>
        </is>
      </c>
      <c r="B152" s="1" t="n">
        <v>44749</v>
      </c>
      <c r="C152" s="1" t="n">
        <v>45937</v>
      </c>
      <c r="D152" t="inlineStr">
        <is>
          <t>VÄSTMANLANDS LÄN</t>
        </is>
      </c>
      <c r="E152" t="inlineStr">
        <is>
          <t>SALA</t>
        </is>
      </c>
      <c r="G152" t="n">
        <v>5.4</v>
      </c>
      <c r="H152" t="n">
        <v>0</v>
      </c>
      <c r="I152" t="n">
        <v>0</v>
      </c>
      <c r="J152" t="n">
        <v>0</v>
      </c>
      <c r="K152" t="n">
        <v>0</v>
      </c>
      <c r="L152" t="n">
        <v>0</v>
      </c>
      <c r="M152" t="n">
        <v>0</v>
      </c>
      <c r="N152" t="n">
        <v>0</v>
      </c>
      <c r="O152" t="n">
        <v>0</v>
      </c>
      <c r="P152" t="n">
        <v>0</v>
      </c>
      <c r="Q152" t="n">
        <v>0</v>
      </c>
      <c r="R152" s="2" t="inlineStr"/>
    </row>
    <row r="153" ht="15" customHeight="1">
      <c r="A153" t="inlineStr">
        <is>
          <t>A 29233-2022</t>
        </is>
      </c>
      <c r="B153" s="1" t="n">
        <v>44750</v>
      </c>
      <c r="C153" s="1" t="n">
        <v>45937</v>
      </c>
      <c r="D153" t="inlineStr">
        <is>
          <t>VÄSTMANLANDS LÄN</t>
        </is>
      </c>
      <c r="E153" t="inlineStr">
        <is>
          <t>SALA</t>
        </is>
      </c>
      <c r="G153" t="n">
        <v>2.4</v>
      </c>
      <c r="H153" t="n">
        <v>0</v>
      </c>
      <c r="I153" t="n">
        <v>0</v>
      </c>
      <c r="J153" t="n">
        <v>0</v>
      </c>
      <c r="K153" t="n">
        <v>0</v>
      </c>
      <c r="L153" t="n">
        <v>0</v>
      </c>
      <c r="M153" t="n">
        <v>0</v>
      </c>
      <c r="N153" t="n">
        <v>0</v>
      </c>
      <c r="O153" t="n">
        <v>0</v>
      </c>
      <c r="P153" t="n">
        <v>0</v>
      </c>
      <c r="Q153" t="n">
        <v>0</v>
      </c>
      <c r="R153" s="2" t="inlineStr"/>
    </row>
    <row r="154" ht="15" customHeight="1">
      <c r="A154" t="inlineStr">
        <is>
          <t>A 51596-2022</t>
        </is>
      </c>
      <c r="B154" s="1" t="n">
        <v>44871</v>
      </c>
      <c r="C154" s="1" t="n">
        <v>45937</v>
      </c>
      <c r="D154" t="inlineStr">
        <is>
          <t>VÄSTMANLANDS LÄN</t>
        </is>
      </c>
      <c r="E154" t="inlineStr">
        <is>
          <t>SALA</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66508-2021</t>
        </is>
      </c>
      <c r="B155" s="1" t="n">
        <v>44519.33401620371</v>
      </c>
      <c r="C155" s="1" t="n">
        <v>45937</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31452-2021</t>
        </is>
      </c>
      <c r="B156" s="1" t="n">
        <v>44369</v>
      </c>
      <c r="C156" s="1" t="n">
        <v>45937</v>
      </c>
      <c r="D156" t="inlineStr">
        <is>
          <t>VÄSTMANLANDS LÄN</t>
        </is>
      </c>
      <c r="E156" t="inlineStr">
        <is>
          <t>SALA</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66830-2021</t>
        </is>
      </c>
      <c r="B157" s="1" t="n">
        <v>44522.40886574074</v>
      </c>
      <c r="C157" s="1" t="n">
        <v>45937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58912-2020</t>
        </is>
      </c>
      <c r="B158" s="1" t="n">
        <v>44146</v>
      </c>
      <c r="C158" s="1" t="n">
        <v>45937</v>
      </c>
      <c r="D158" t="inlineStr">
        <is>
          <t>VÄSTMANLANDS LÄN</t>
        </is>
      </c>
      <c r="E158" t="inlineStr">
        <is>
          <t>SALA</t>
        </is>
      </c>
      <c r="G158" t="n">
        <v>1.1</v>
      </c>
      <c r="H158" t="n">
        <v>0</v>
      </c>
      <c r="I158" t="n">
        <v>0</v>
      </c>
      <c r="J158" t="n">
        <v>0</v>
      </c>
      <c r="K158" t="n">
        <v>0</v>
      </c>
      <c r="L158" t="n">
        <v>0</v>
      </c>
      <c r="M158" t="n">
        <v>0</v>
      </c>
      <c r="N158" t="n">
        <v>0</v>
      </c>
      <c r="O158" t="n">
        <v>0</v>
      </c>
      <c r="P158" t="n">
        <v>0</v>
      </c>
      <c r="Q158" t="n">
        <v>0</v>
      </c>
      <c r="R158" s="2" t="inlineStr"/>
    </row>
    <row r="159" ht="15" customHeight="1">
      <c r="A159" t="inlineStr">
        <is>
          <t>A 28402-2022</t>
        </is>
      </c>
      <c r="B159" s="1" t="n">
        <v>44747</v>
      </c>
      <c r="C159" s="1" t="n">
        <v>45937</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22811-2022</t>
        </is>
      </c>
      <c r="B160" s="1" t="n">
        <v>44715</v>
      </c>
      <c r="C160" s="1" t="n">
        <v>45937</v>
      </c>
      <c r="D160" t="inlineStr">
        <is>
          <t>VÄSTMANLANDS LÄN</t>
        </is>
      </c>
      <c r="E160" t="inlineStr">
        <is>
          <t>SALA</t>
        </is>
      </c>
      <c r="G160" t="n">
        <v>5</v>
      </c>
      <c r="H160" t="n">
        <v>0</v>
      </c>
      <c r="I160" t="n">
        <v>0</v>
      </c>
      <c r="J160" t="n">
        <v>0</v>
      </c>
      <c r="K160" t="n">
        <v>0</v>
      </c>
      <c r="L160" t="n">
        <v>0</v>
      </c>
      <c r="M160" t="n">
        <v>0</v>
      </c>
      <c r="N160" t="n">
        <v>0</v>
      </c>
      <c r="O160" t="n">
        <v>0</v>
      </c>
      <c r="P160" t="n">
        <v>0</v>
      </c>
      <c r="Q160" t="n">
        <v>0</v>
      </c>
      <c r="R160" s="2" t="inlineStr"/>
    </row>
    <row r="161" ht="15" customHeight="1">
      <c r="A161" t="inlineStr">
        <is>
          <t>A 73606-2021</t>
        </is>
      </c>
      <c r="B161" s="1" t="n">
        <v>44552</v>
      </c>
      <c r="C161" s="1" t="n">
        <v>45937</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65213-2021</t>
        </is>
      </c>
      <c r="B162" s="1" t="n">
        <v>44515</v>
      </c>
      <c r="C162" s="1" t="n">
        <v>45937</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65353-2021</t>
        </is>
      </c>
      <c r="B163" s="1" t="n">
        <v>44515</v>
      </c>
      <c r="C163" s="1" t="n">
        <v>45937</v>
      </c>
      <c r="D163" t="inlineStr">
        <is>
          <t>VÄSTMANLANDS LÄN</t>
        </is>
      </c>
      <c r="E163" t="inlineStr">
        <is>
          <t>SALA</t>
        </is>
      </c>
      <c r="G163" t="n">
        <v>1.5</v>
      </c>
      <c r="H163" t="n">
        <v>0</v>
      </c>
      <c r="I163" t="n">
        <v>0</v>
      </c>
      <c r="J163" t="n">
        <v>0</v>
      </c>
      <c r="K163" t="n">
        <v>0</v>
      </c>
      <c r="L163" t="n">
        <v>0</v>
      </c>
      <c r="M163" t="n">
        <v>0</v>
      </c>
      <c r="N163" t="n">
        <v>0</v>
      </c>
      <c r="O163" t="n">
        <v>0</v>
      </c>
      <c r="P163" t="n">
        <v>0</v>
      </c>
      <c r="Q163" t="n">
        <v>0</v>
      </c>
      <c r="R163" s="2" t="inlineStr"/>
    </row>
    <row r="164" ht="15" customHeight="1">
      <c r="A164" t="inlineStr">
        <is>
          <t>A 23181-2022</t>
        </is>
      </c>
      <c r="B164" s="1" t="n">
        <v>44719.79537037037</v>
      </c>
      <c r="C164" s="1" t="n">
        <v>45937</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65860-2021</t>
        </is>
      </c>
      <c r="B165" s="1" t="n">
        <v>44517.38163194444</v>
      </c>
      <c r="C165" s="1" t="n">
        <v>45937</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22575-2022</t>
        </is>
      </c>
      <c r="B166" s="1" t="n">
        <v>44713</v>
      </c>
      <c r="C166" s="1" t="n">
        <v>45937</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40094-2022</t>
        </is>
      </c>
      <c r="B167" s="1" t="n">
        <v>44819</v>
      </c>
      <c r="C167" s="1" t="n">
        <v>45937</v>
      </c>
      <c r="D167" t="inlineStr">
        <is>
          <t>VÄSTMANLANDS LÄN</t>
        </is>
      </c>
      <c r="E167" t="inlineStr">
        <is>
          <t>SALA</t>
        </is>
      </c>
      <c r="G167" t="n">
        <v>1.7</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45937</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45937</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45937</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8130-2022</t>
        </is>
      </c>
      <c r="B171" s="1" t="n">
        <v>44609.5984837963</v>
      </c>
      <c r="C171" s="1" t="n">
        <v>45937</v>
      </c>
      <c r="D171" t="inlineStr">
        <is>
          <t>VÄSTMANLANDS LÄN</t>
        </is>
      </c>
      <c r="E171" t="inlineStr">
        <is>
          <t>SALA</t>
        </is>
      </c>
      <c r="G171" t="n">
        <v>3.5</v>
      </c>
      <c r="H171" t="n">
        <v>0</v>
      </c>
      <c r="I171" t="n">
        <v>0</v>
      </c>
      <c r="J171" t="n">
        <v>0</v>
      </c>
      <c r="K171" t="n">
        <v>0</v>
      </c>
      <c r="L171" t="n">
        <v>0</v>
      </c>
      <c r="M171" t="n">
        <v>0</v>
      </c>
      <c r="N171" t="n">
        <v>0</v>
      </c>
      <c r="O171" t="n">
        <v>0</v>
      </c>
      <c r="P171" t="n">
        <v>0</v>
      </c>
      <c r="Q171" t="n">
        <v>0</v>
      </c>
      <c r="R171" s="2" t="inlineStr"/>
    </row>
    <row r="172" ht="15" customHeight="1">
      <c r="A172" t="inlineStr">
        <is>
          <t>A 14047-2021</t>
        </is>
      </c>
      <c r="B172" s="1" t="n">
        <v>44277</v>
      </c>
      <c r="C172" s="1" t="n">
        <v>45937</v>
      </c>
      <c r="D172" t="inlineStr">
        <is>
          <t>VÄSTMANLANDS LÄN</t>
        </is>
      </c>
      <c r="E172" t="inlineStr">
        <is>
          <t>SALA</t>
        </is>
      </c>
      <c r="F172" t="inlineStr">
        <is>
          <t>Kyrkan</t>
        </is>
      </c>
      <c r="G172" t="n">
        <v>0.7</v>
      </c>
      <c r="H172" t="n">
        <v>0</v>
      </c>
      <c r="I172" t="n">
        <v>0</v>
      </c>
      <c r="J172" t="n">
        <v>0</v>
      </c>
      <c r="K172" t="n">
        <v>0</v>
      </c>
      <c r="L172" t="n">
        <v>0</v>
      </c>
      <c r="M172" t="n">
        <v>0</v>
      </c>
      <c r="N172" t="n">
        <v>0</v>
      </c>
      <c r="O172" t="n">
        <v>0</v>
      </c>
      <c r="P172" t="n">
        <v>0</v>
      </c>
      <c r="Q172" t="n">
        <v>0</v>
      </c>
      <c r="R172" s="2" t="inlineStr"/>
    </row>
    <row r="173" ht="15" customHeight="1">
      <c r="A173" t="inlineStr">
        <is>
          <t>A 65818-2021</t>
        </is>
      </c>
      <c r="B173" s="1" t="n">
        <v>44517</v>
      </c>
      <c r="C173" s="1" t="n">
        <v>45937</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45937</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55881-2020</t>
        </is>
      </c>
      <c r="B175" s="1" t="n">
        <v>44132</v>
      </c>
      <c r="C175" s="1" t="n">
        <v>45937</v>
      </c>
      <c r="D175" t="inlineStr">
        <is>
          <t>VÄSTMANLANDS LÄN</t>
        </is>
      </c>
      <c r="E175" t="inlineStr">
        <is>
          <t>SALA</t>
        </is>
      </c>
      <c r="G175" t="n">
        <v>3</v>
      </c>
      <c r="H175" t="n">
        <v>0</v>
      </c>
      <c r="I175" t="n">
        <v>0</v>
      </c>
      <c r="J175" t="n">
        <v>0</v>
      </c>
      <c r="K175" t="n">
        <v>0</v>
      </c>
      <c r="L175" t="n">
        <v>0</v>
      </c>
      <c r="M175" t="n">
        <v>0</v>
      </c>
      <c r="N175" t="n">
        <v>0</v>
      </c>
      <c r="O175" t="n">
        <v>0</v>
      </c>
      <c r="P175" t="n">
        <v>0</v>
      </c>
      <c r="Q175" t="n">
        <v>0</v>
      </c>
      <c r="R175" s="2" t="inlineStr"/>
    </row>
    <row r="176" ht="15" customHeight="1">
      <c r="A176" t="inlineStr">
        <is>
          <t>A 53630-2022</t>
        </is>
      </c>
      <c r="B176" s="1" t="n">
        <v>44879.87533564815</v>
      </c>
      <c r="C176" s="1" t="n">
        <v>45937</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45937</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9050-2022</t>
        </is>
      </c>
      <c r="B178" s="1" t="n">
        <v>44615.45451388889</v>
      </c>
      <c r="C178" s="1" t="n">
        <v>45937</v>
      </c>
      <c r="D178" t="inlineStr">
        <is>
          <t>VÄSTMANLANDS LÄN</t>
        </is>
      </c>
      <c r="E178" t="inlineStr">
        <is>
          <t>SALA</t>
        </is>
      </c>
      <c r="G178" t="n">
        <v>3.1</v>
      </c>
      <c r="H178" t="n">
        <v>0</v>
      </c>
      <c r="I178" t="n">
        <v>0</v>
      </c>
      <c r="J178" t="n">
        <v>0</v>
      </c>
      <c r="K178" t="n">
        <v>0</v>
      </c>
      <c r="L178" t="n">
        <v>0</v>
      </c>
      <c r="M178" t="n">
        <v>0</v>
      </c>
      <c r="N178" t="n">
        <v>0</v>
      </c>
      <c r="O178" t="n">
        <v>0</v>
      </c>
      <c r="P178" t="n">
        <v>0</v>
      </c>
      <c r="Q178" t="n">
        <v>0</v>
      </c>
      <c r="R178" s="2" t="inlineStr"/>
    </row>
    <row r="179" ht="15" customHeight="1">
      <c r="A179" t="inlineStr">
        <is>
          <t>A 56098-2020</t>
        </is>
      </c>
      <c r="B179" s="1" t="n">
        <v>44132</v>
      </c>
      <c r="C179" s="1" t="n">
        <v>45937</v>
      </c>
      <c r="D179" t="inlineStr">
        <is>
          <t>VÄSTMANLANDS LÄN</t>
        </is>
      </c>
      <c r="E179" t="inlineStr">
        <is>
          <t>SALA</t>
        </is>
      </c>
      <c r="G179" t="n">
        <v>1.9</v>
      </c>
      <c r="H179" t="n">
        <v>0</v>
      </c>
      <c r="I179" t="n">
        <v>0</v>
      </c>
      <c r="J179" t="n">
        <v>0</v>
      </c>
      <c r="K179" t="n">
        <v>0</v>
      </c>
      <c r="L179" t="n">
        <v>0</v>
      </c>
      <c r="M179" t="n">
        <v>0</v>
      </c>
      <c r="N179" t="n">
        <v>0</v>
      </c>
      <c r="O179" t="n">
        <v>0</v>
      </c>
      <c r="P179" t="n">
        <v>0</v>
      </c>
      <c r="Q179" t="n">
        <v>0</v>
      </c>
      <c r="R179" s="2" t="inlineStr"/>
    </row>
    <row r="180" ht="15" customHeight="1">
      <c r="A180" t="inlineStr">
        <is>
          <t>A 49254-2022</t>
        </is>
      </c>
      <c r="B180" s="1" t="n">
        <v>44861</v>
      </c>
      <c r="C180" s="1" t="n">
        <v>45937</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69192-2020</t>
        </is>
      </c>
      <c r="B181" s="1" t="n">
        <v>44191</v>
      </c>
      <c r="C181" s="1" t="n">
        <v>45937</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11370-2022</t>
        </is>
      </c>
      <c r="B182" s="1" t="n">
        <v>44630</v>
      </c>
      <c r="C182" s="1" t="n">
        <v>45937</v>
      </c>
      <c r="D182" t="inlineStr">
        <is>
          <t>VÄSTMANLANDS LÄN</t>
        </is>
      </c>
      <c r="E182" t="inlineStr">
        <is>
          <t>SALA</t>
        </is>
      </c>
      <c r="G182" t="n">
        <v>4.3</v>
      </c>
      <c r="H182" t="n">
        <v>0</v>
      </c>
      <c r="I182" t="n">
        <v>0</v>
      </c>
      <c r="J182" t="n">
        <v>0</v>
      </c>
      <c r="K182" t="n">
        <v>0</v>
      </c>
      <c r="L182" t="n">
        <v>0</v>
      </c>
      <c r="M182" t="n">
        <v>0</v>
      </c>
      <c r="N182" t="n">
        <v>0</v>
      </c>
      <c r="O182" t="n">
        <v>0</v>
      </c>
      <c r="P182" t="n">
        <v>0</v>
      </c>
      <c r="Q182" t="n">
        <v>0</v>
      </c>
      <c r="R182" s="2" t="inlineStr"/>
    </row>
    <row r="183" ht="15" customHeight="1">
      <c r="A183" t="inlineStr">
        <is>
          <t>A 35976-2024</t>
        </is>
      </c>
      <c r="B183" s="1" t="n">
        <v>45533.49555555556</v>
      </c>
      <c r="C183" s="1" t="n">
        <v>45937</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53735-2022</t>
        </is>
      </c>
      <c r="B184" s="1" t="n">
        <v>44880.42752314815</v>
      </c>
      <c r="C184" s="1" t="n">
        <v>45937</v>
      </c>
      <c r="D184" t="inlineStr">
        <is>
          <t>VÄSTMANLANDS LÄN</t>
        </is>
      </c>
      <c r="E184" t="inlineStr">
        <is>
          <t>SALA</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38636-2024</t>
        </is>
      </c>
      <c r="B185" s="1" t="n">
        <v>45546</v>
      </c>
      <c r="C185" s="1" t="n">
        <v>45937</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65856-2021</t>
        </is>
      </c>
      <c r="B186" s="1" t="n">
        <v>44517</v>
      </c>
      <c r="C186" s="1" t="n">
        <v>45937</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44544-2024</t>
        </is>
      </c>
      <c r="B187" s="1" t="n">
        <v>45574.46119212963</v>
      </c>
      <c r="C187" s="1" t="n">
        <v>45937</v>
      </c>
      <c r="D187" t="inlineStr">
        <is>
          <t>VÄSTMANLANDS LÄN</t>
        </is>
      </c>
      <c r="E187" t="inlineStr">
        <is>
          <t>SALA</t>
        </is>
      </c>
      <c r="G187" t="n">
        <v>3.3</v>
      </c>
      <c r="H187" t="n">
        <v>0</v>
      </c>
      <c r="I187" t="n">
        <v>0</v>
      </c>
      <c r="J187" t="n">
        <v>0</v>
      </c>
      <c r="K187" t="n">
        <v>0</v>
      </c>
      <c r="L187" t="n">
        <v>0</v>
      </c>
      <c r="M187" t="n">
        <v>0</v>
      </c>
      <c r="N187" t="n">
        <v>0</v>
      </c>
      <c r="O187" t="n">
        <v>0</v>
      </c>
      <c r="P187" t="n">
        <v>0</v>
      </c>
      <c r="Q187" t="n">
        <v>0</v>
      </c>
      <c r="R187" s="2" t="inlineStr"/>
    </row>
    <row r="188" ht="15" customHeight="1">
      <c r="A188" t="inlineStr">
        <is>
          <t>A 57000-2021</t>
        </is>
      </c>
      <c r="B188" s="1" t="n">
        <v>44482.46760416667</v>
      </c>
      <c r="C188" s="1" t="n">
        <v>45937</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64729-2023</t>
        </is>
      </c>
      <c r="B189" s="1" t="n">
        <v>45281</v>
      </c>
      <c r="C189" s="1" t="n">
        <v>45937</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71471-2021</t>
        </is>
      </c>
      <c r="B190" s="1" t="n">
        <v>44540.53421296296</v>
      </c>
      <c r="C190" s="1" t="n">
        <v>45937</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8775-2024</t>
        </is>
      </c>
      <c r="B191" s="1" t="n">
        <v>45356</v>
      </c>
      <c r="C191" s="1" t="n">
        <v>45937</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68864-2021</t>
        </is>
      </c>
      <c r="B192" s="1" t="n">
        <v>44530</v>
      </c>
      <c r="C192" s="1" t="n">
        <v>45937</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17495-2024</t>
        </is>
      </c>
      <c r="B193" s="1" t="n">
        <v>45415</v>
      </c>
      <c r="C193" s="1" t="n">
        <v>45937</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26579-2021</t>
        </is>
      </c>
      <c r="B194" s="1" t="n">
        <v>44348</v>
      </c>
      <c r="C194" s="1" t="n">
        <v>45937</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39011-2023</t>
        </is>
      </c>
      <c r="B195" s="1" t="n">
        <v>45162</v>
      </c>
      <c r="C195" s="1" t="n">
        <v>45937</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2925-2024</t>
        </is>
      </c>
      <c r="B196" s="1" t="n">
        <v>45315.58909722222</v>
      </c>
      <c r="C196" s="1" t="n">
        <v>45937</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56547-2022</t>
        </is>
      </c>
      <c r="B197" s="1" t="n">
        <v>44893.48284722222</v>
      </c>
      <c r="C197" s="1" t="n">
        <v>45937</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44746-2024</t>
        </is>
      </c>
      <c r="B198" s="1" t="n">
        <v>45574.59813657407</v>
      </c>
      <c r="C198" s="1" t="n">
        <v>45937</v>
      </c>
      <c r="D198" t="inlineStr">
        <is>
          <t>VÄSTMANLANDS LÄN</t>
        </is>
      </c>
      <c r="E198" t="inlineStr">
        <is>
          <t>SALA</t>
        </is>
      </c>
      <c r="G198" t="n">
        <v>6.7</v>
      </c>
      <c r="H198" t="n">
        <v>0</v>
      </c>
      <c r="I198" t="n">
        <v>0</v>
      </c>
      <c r="J198" t="n">
        <v>0</v>
      </c>
      <c r="K198" t="n">
        <v>0</v>
      </c>
      <c r="L198" t="n">
        <v>0</v>
      </c>
      <c r="M198" t="n">
        <v>0</v>
      </c>
      <c r="N198" t="n">
        <v>0</v>
      </c>
      <c r="O198" t="n">
        <v>0</v>
      </c>
      <c r="P198" t="n">
        <v>0</v>
      </c>
      <c r="Q198" t="n">
        <v>0</v>
      </c>
      <c r="R198" s="2" t="inlineStr"/>
    </row>
    <row r="199" ht="15" customHeight="1">
      <c r="A199" t="inlineStr">
        <is>
          <t>A 64925-2023</t>
        </is>
      </c>
      <c r="B199" s="1" t="n">
        <v>45282</v>
      </c>
      <c r="C199" s="1" t="n">
        <v>45937</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44713-2023</t>
        </is>
      </c>
      <c r="B200" s="1" t="n">
        <v>45184</v>
      </c>
      <c r="C200" s="1" t="n">
        <v>45937</v>
      </c>
      <c r="D200" t="inlineStr">
        <is>
          <t>VÄSTMANLANDS LÄN</t>
        </is>
      </c>
      <c r="E200" t="inlineStr">
        <is>
          <t>SALA</t>
        </is>
      </c>
      <c r="F200" t="inlineStr">
        <is>
          <t>Kyrkan</t>
        </is>
      </c>
      <c r="G200" t="n">
        <v>7.6</v>
      </c>
      <c r="H200" t="n">
        <v>0</v>
      </c>
      <c r="I200" t="n">
        <v>0</v>
      </c>
      <c r="J200" t="n">
        <v>0</v>
      </c>
      <c r="K200" t="n">
        <v>0</v>
      </c>
      <c r="L200" t="n">
        <v>0</v>
      </c>
      <c r="M200" t="n">
        <v>0</v>
      </c>
      <c r="N200" t="n">
        <v>0</v>
      </c>
      <c r="O200" t="n">
        <v>0</v>
      </c>
      <c r="P200" t="n">
        <v>0</v>
      </c>
      <c r="Q200" t="n">
        <v>0</v>
      </c>
      <c r="R200" s="2" t="inlineStr"/>
    </row>
    <row r="201" ht="15" customHeight="1">
      <c r="A201" t="inlineStr">
        <is>
          <t>A 48570-2024</t>
        </is>
      </c>
      <c r="B201" s="1" t="n">
        <v>45591</v>
      </c>
      <c r="C201" s="1" t="n">
        <v>45937</v>
      </c>
      <c r="D201" t="inlineStr">
        <is>
          <t>VÄSTMANLANDS LÄN</t>
        </is>
      </c>
      <c r="E201" t="inlineStr">
        <is>
          <t>SALA</t>
        </is>
      </c>
      <c r="G201" t="n">
        <v>3</v>
      </c>
      <c r="H201" t="n">
        <v>0</v>
      </c>
      <c r="I201" t="n">
        <v>0</v>
      </c>
      <c r="J201" t="n">
        <v>0</v>
      </c>
      <c r="K201" t="n">
        <v>0</v>
      </c>
      <c r="L201" t="n">
        <v>0</v>
      </c>
      <c r="M201" t="n">
        <v>0</v>
      </c>
      <c r="N201" t="n">
        <v>0</v>
      </c>
      <c r="O201" t="n">
        <v>0</v>
      </c>
      <c r="P201" t="n">
        <v>0</v>
      </c>
      <c r="Q201" t="n">
        <v>0</v>
      </c>
      <c r="R201" s="2" t="inlineStr"/>
    </row>
    <row r="202" ht="15" customHeight="1">
      <c r="A202" t="inlineStr">
        <is>
          <t>A 56916-2022</t>
        </is>
      </c>
      <c r="B202" s="1" t="n">
        <v>44888</v>
      </c>
      <c r="C202" s="1" t="n">
        <v>45937</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23431-2024</t>
        </is>
      </c>
      <c r="B203" s="1" t="n">
        <v>45453</v>
      </c>
      <c r="C203" s="1" t="n">
        <v>45937</v>
      </c>
      <c r="D203" t="inlineStr">
        <is>
          <t>VÄSTMANLANDS LÄN</t>
        </is>
      </c>
      <c r="E203" t="inlineStr">
        <is>
          <t>SALA</t>
        </is>
      </c>
      <c r="G203" t="n">
        <v>1.6</v>
      </c>
      <c r="H203" t="n">
        <v>0</v>
      </c>
      <c r="I203" t="n">
        <v>0</v>
      </c>
      <c r="J203" t="n">
        <v>0</v>
      </c>
      <c r="K203" t="n">
        <v>0</v>
      </c>
      <c r="L203" t="n">
        <v>0</v>
      </c>
      <c r="M203" t="n">
        <v>0</v>
      </c>
      <c r="N203" t="n">
        <v>0</v>
      </c>
      <c r="O203" t="n">
        <v>0</v>
      </c>
      <c r="P203" t="n">
        <v>0</v>
      </c>
      <c r="Q203" t="n">
        <v>0</v>
      </c>
      <c r="R203" s="2" t="inlineStr"/>
    </row>
    <row r="204" ht="15" customHeight="1">
      <c r="A204" t="inlineStr">
        <is>
          <t>A 64932-2021</t>
        </is>
      </c>
      <c r="B204" s="1" t="n">
        <v>44512</v>
      </c>
      <c r="C204" s="1" t="n">
        <v>45937</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61517-2024</t>
        </is>
      </c>
      <c r="B205" s="1" t="n">
        <v>45645</v>
      </c>
      <c r="C205" s="1" t="n">
        <v>45937</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16760-2024</t>
        </is>
      </c>
      <c r="B206" s="1" t="n">
        <v>45411</v>
      </c>
      <c r="C206" s="1" t="n">
        <v>45937</v>
      </c>
      <c r="D206" t="inlineStr">
        <is>
          <t>VÄSTMANLANDS LÄN</t>
        </is>
      </c>
      <c r="E206" t="inlineStr">
        <is>
          <t>SALA</t>
        </is>
      </c>
      <c r="G206" t="n">
        <v>2.6</v>
      </c>
      <c r="H206" t="n">
        <v>0</v>
      </c>
      <c r="I206" t="n">
        <v>0</v>
      </c>
      <c r="J206" t="n">
        <v>0</v>
      </c>
      <c r="K206" t="n">
        <v>0</v>
      </c>
      <c r="L206" t="n">
        <v>0</v>
      </c>
      <c r="M206" t="n">
        <v>0</v>
      </c>
      <c r="N206" t="n">
        <v>0</v>
      </c>
      <c r="O206" t="n">
        <v>0</v>
      </c>
      <c r="P206" t="n">
        <v>0</v>
      </c>
      <c r="Q206" t="n">
        <v>0</v>
      </c>
      <c r="R206" s="2" t="inlineStr"/>
    </row>
    <row r="207" ht="15" customHeight="1">
      <c r="A207" t="inlineStr">
        <is>
          <t>A 53164-2024</t>
        </is>
      </c>
      <c r="B207" s="1" t="n">
        <v>45611.64887731482</v>
      </c>
      <c r="C207" s="1" t="n">
        <v>45937</v>
      </c>
      <c r="D207" t="inlineStr">
        <is>
          <t>VÄSTMANLANDS LÄN</t>
        </is>
      </c>
      <c r="E207" t="inlineStr">
        <is>
          <t>SALA</t>
        </is>
      </c>
      <c r="G207" t="n">
        <v>2.6</v>
      </c>
      <c r="H207" t="n">
        <v>0</v>
      </c>
      <c r="I207" t="n">
        <v>0</v>
      </c>
      <c r="J207" t="n">
        <v>0</v>
      </c>
      <c r="K207" t="n">
        <v>0</v>
      </c>
      <c r="L207" t="n">
        <v>0</v>
      </c>
      <c r="M207" t="n">
        <v>0</v>
      </c>
      <c r="N207" t="n">
        <v>0</v>
      </c>
      <c r="O207" t="n">
        <v>0</v>
      </c>
      <c r="P207" t="n">
        <v>0</v>
      </c>
      <c r="Q207" t="n">
        <v>0</v>
      </c>
      <c r="R207" s="2" t="inlineStr"/>
    </row>
    <row r="208" ht="15" customHeight="1">
      <c r="A208" t="inlineStr">
        <is>
          <t>A 21168-2025</t>
        </is>
      </c>
      <c r="B208" s="1" t="n">
        <v>45777</v>
      </c>
      <c r="C208" s="1" t="n">
        <v>45937</v>
      </c>
      <c r="D208" t="inlineStr">
        <is>
          <t>VÄSTMANLANDS LÄN</t>
        </is>
      </c>
      <c r="E208" t="inlineStr">
        <is>
          <t>SALA</t>
        </is>
      </c>
      <c r="G208" t="n">
        <v>4.5</v>
      </c>
      <c r="H208" t="n">
        <v>0</v>
      </c>
      <c r="I208" t="n">
        <v>0</v>
      </c>
      <c r="J208" t="n">
        <v>0</v>
      </c>
      <c r="K208" t="n">
        <v>0</v>
      </c>
      <c r="L208" t="n">
        <v>0</v>
      </c>
      <c r="M208" t="n">
        <v>0</v>
      </c>
      <c r="N208" t="n">
        <v>0</v>
      </c>
      <c r="O208" t="n">
        <v>0</v>
      </c>
      <c r="P208" t="n">
        <v>0</v>
      </c>
      <c r="Q208" t="n">
        <v>0</v>
      </c>
      <c r="R208" s="2" t="inlineStr"/>
    </row>
    <row r="209" ht="15" customHeight="1">
      <c r="A209" t="inlineStr">
        <is>
          <t>A 54603-2024</t>
        </is>
      </c>
      <c r="B209" s="1" t="n">
        <v>45617.68224537037</v>
      </c>
      <c r="C209" s="1" t="n">
        <v>45937</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56688-2024</t>
        </is>
      </c>
      <c r="B210" s="1" t="n">
        <v>45627.66478009259</v>
      </c>
      <c r="C210" s="1" t="n">
        <v>45937</v>
      </c>
      <c r="D210" t="inlineStr">
        <is>
          <t>VÄSTMANLANDS LÄN</t>
        </is>
      </c>
      <c r="E210" t="inlineStr">
        <is>
          <t>SALA</t>
        </is>
      </c>
      <c r="G210" t="n">
        <v>0.9</v>
      </c>
      <c r="H210" t="n">
        <v>0</v>
      </c>
      <c r="I210" t="n">
        <v>0</v>
      </c>
      <c r="J210" t="n">
        <v>0</v>
      </c>
      <c r="K210" t="n">
        <v>0</v>
      </c>
      <c r="L210" t="n">
        <v>0</v>
      </c>
      <c r="M210" t="n">
        <v>0</v>
      </c>
      <c r="N210" t="n">
        <v>0</v>
      </c>
      <c r="O210" t="n">
        <v>0</v>
      </c>
      <c r="P210" t="n">
        <v>0</v>
      </c>
      <c r="Q210" t="n">
        <v>0</v>
      </c>
      <c r="R210" s="2" t="inlineStr"/>
    </row>
    <row r="211" ht="15" customHeight="1">
      <c r="A211" t="inlineStr">
        <is>
          <t>A 45313-2024</t>
        </is>
      </c>
      <c r="B211" s="1" t="n">
        <v>45576</v>
      </c>
      <c r="C211" s="1" t="n">
        <v>45937</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56535-2022</t>
        </is>
      </c>
      <c r="B212" s="1" t="n">
        <v>44893.47173611111</v>
      </c>
      <c r="C212" s="1" t="n">
        <v>45937</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47909-2022</t>
        </is>
      </c>
      <c r="B213" s="1" t="n">
        <v>44855</v>
      </c>
      <c r="C213" s="1" t="n">
        <v>45937</v>
      </c>
      <c r="D213" t="inlineStr">
        <is>
          <t>VÄSTMANLANDS LÄN</t>
        </is>
      </c>
      <c r="E213" t="inlineStr">
        <is>
          <t>SALA</t>
        </is>
      </c>
      <c r="F213" t="inlineStr">
        <is>
          <t>Bergvik skog öst AB</t>
        </is>
      </c>
      <c r="G213" t="n">
        <v>2</v>
      </c>
      <c r="H213" t="n">
        <v>0</v>
      </c>
      <c r="I213" t="n">
        <v>0</v>
      </c>
      <c r="J213" t="n">
        <v>0</v>
      </c>
      <c r="K213" t="n">
        <v>0</v>
      </c>
      <c r="L213" t="n">
        <v>0</v>
      </c>
      <c r="M213" t="n">
        <v>0</v>
      </c>
      <c r="N213" t="n">
        <v>0</v>
      </c>
      <c r="O213" t="n">
        <v>0</v>
      </c>
      <c r="P213" t="n">
        <v>0</v>
      </c>
      <c r="Q213" t="n">
        <v>0</v>
      </c>
      <c r="R213" s="2" t="inlineStr"/>
    </row>
    <row r="214" ht="15" customHeight="1">
      <c r="A214" t="inlineStr">
        <is>
          <t>A 21751-2025</t>
        </is>
      </c>
      <c r="B214" s="1" t="n">
        <v>45783.61372685185</v>
      </c>
      <c r="C214" s="1" t="n">
        <v>45937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21721-2025</t>
        </is>
      </c>
      <c r="B215" s="1" t="n">
        <v>45783</v>
      </c>
      <c r="C215" s="1" t="n">
        <v>45937</v>
      </c>
      <c r="D215" t="inlineStr">
        <is>
          <t>VÄSTMANLANDS LÄN</t>
        </is>
      </c>
      <c r="E215" t="inlineStr">
        <is>
          <t>SALA</t>
        </is>
      </c>
      <c r="G215" t="n">
        <v>6.1</v>
      </c>
      <c r="H215" t="n">
        <v>0</v>
      </c>
      <c r="I215" t="n">
        <v>0</v>
      </c>
      <c r="J215" t="n">
        <v>0</v>
      </c>
      <c r="K215" t="n">
        <v>0</v>
      </c>
      <c r="L215" t="n">
        <v>0</v>
      </c>
      <c r="M215" t="n">
        <v>0</v>
      </c>
      <c r="N215" t="n">
        <v>0</v>
      </c>
      <c r="O215" t="n">
        <v>0</v>
      </c>
      <c r="P215" t="n">
        <v>0</v>
      </c>
      <c r="Q215" t="n">
        <v>0</v>
      </c>
      <c r="R215" s="2" t="inlineStr"/>
    </row>
    <row r="216" ht="15" customHeight="1">
      <c r="A216" t="inlineStr">
        <is>
          <t>A 52630-2022</t>
        </is>
      </c>
      <c r="B216" s="1" t="n">
        <v>44874</v>
      </c>
      <c r="C216" s="1" t="n">
        <v>45937</v>
      </c>
      <c r="D216" t="inlineStr">
        <is>
          <t>VÄSTMANLANDS LÄN</t>
        </is>
      </c>
      <c r="E216" t="inlineStr">
        <is>
          <t>SALA</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27261-2024</t>
        </is>
      </c>
      <c r="B217" s="1" t="n">
        <v>45471</v>
      </c>
      <c r="C217" s="1" t="n">
        <v>45937</v>
      </c>
      <c r="D217" t="inlineStr">
        <is>
          <t>VÄSTMANLANDS LÄN</t>
        </is>
      </c>
      <c r="E217" t="inlineStr">
        <is>
          <t>SALA</t>
        </is>
      </c>
      <c r="G217" t="n">
        <v>6.1</v>
      </c>
      <c r="H217" t="n">
        <v>0</v>
      </c>
      <c r="I217" t="n">
        <v>0</v>
      </c>
      <c r="J217" t="n">
        <v>0</v>
      </c>
      <c r="K217" t="n">
        <v>0</v>
      </c>
      <c r="L217" t="n">
        <v>0</v>
      </c>
      <c r="M217" t="n">
        <v>0</v>
      </c>
      <c r="N217" t="n">
        <v>0</v>
      </c>
      <c r="O217" t="n">
        <v>0</v>
      </c>
      <c r="P217" t="n">
        <v>0</v>
      </c>
      <c r="Q217" t="n">
        <v>0</v>
      </c>
      <c r="R217" s="2" t="inlineStr"/>
    </row>
    <row r="218" ht="15" customHeight="1">
      <c r="A218" t="inlineStr">
        <is>
          <t>A 18762-2024</t>
        </is>
      </c>
      <c r="B218" s="1" t="n">
        <v>45426.55240740741</v>
      </c>
      <c r="C218" s="1" t="n">
        <v>45937</v>
      </c>
      <c r="D218" t="inlineStr">
        <is>
          <t>VÄSTMANLANDS LÄN</t>
        </is>
      </c>
      <c r="E218" t="inlineStr">
        <is>
          <t>SALA</t>
        </is>
      </c>
      <c r="G218" t="n">
        <v>6.2</v>
      </c>
      <c r="H218" t="n">
        <v>0</v>
      </c>
      <c r="I218" t="n">
        <v>0</v>
      </c>
      <c r="J218" t="n">
        <v>0</v>
      </c>
      <c r="K218" t="n">
        <v>0</v>
      </c>
      <c r="L218" t="n">
        <v>0</v>
      </c>
      <c r="M218" t="n">
        <v>0</v>
      </c>
      <c r="N218" t="n">
        <v>0</v>
      </c>
      <c r="O218" t="n">
        <v>0</v>
      </c>
      <c r="P218" t="n">
        <v>0</v>
      </c>
      <c r="Q218" t="n">
        <v>0</v>
      </c>
      <c r="R218" s="2" t="inlineStr"/>
    </row>
    <row r="219" ht="15" customHeight="1">
      <c r="A219" t="inlineStr">
        <is>
          <t>A 56687-2024</t>
        </is>
      </c>
      <c r="B219" s="1" t="n">
        <v>45627.63271990741</v>
      </c>
      <c r="C219" s="1" t="n">
        <v>45937</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17120-2023</t>
        </is>
      </c>
      <c r="B220" s="1" t="n">
        <v>45034</v>
      </c>
      <c r="C220" s="1" t="n">
        <v>45937</v>
      </c>
      <c r="D220" t="inlineStr">
        <is>
          <t>VÄSTMANLANDS LÄN</t>
        </is>
      </c>
      <c r="E220" t="inlineStr">
        <is>
          <t>SALA</t>
        </is>
      </c>
      <c r="G220" t="n">
        <v>0.1</v>
      </c>
      <c r="H220" t="n">
        <v>0</v>
      </c>
      <c r="I220" t="n">
        <v>0</v>
      </c>
      <c r="J220" t="n">
        <v>0</v>
      </c>
      <c r="K220" t="n">
        <v>0</v>
      </c>
      <c r="L220" t="n">
        <v>0</v>
      </c>
      <c r="M220" t="n">
        <v>0</v>
      </c>
      <c r="N220" t="n">
        <v>0</v>
      </c>
      <c r="O220" t="n">
        <v>0</v>
      </c>
      <c r="P220" t="n">
        <v>0</v>
      </c>
      <c r="Q220" t="n">
        <v>0</v>
      </c>
      <c r="R220" s="2" t="inlineStr"/>
    </row>
    <row r="221" ht="15" customHeight="1">
      <c r="A221" t="inlineStr">
        <is>
          <t>A 54768-2024</t>
        </is>
      </c>
      <c r="B221" s="1" t="n">
        <v>45618</v>
      </c>
      <c r="C221" s="1" t="n">
        <v>45937</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42938-2023</t>
        </is>
      </c>
      <c r="B222" s="1" t="n">
        <v>45179</v>
      </c>
      <c r="C222" s="1" t="n">
        <v>45937</v>
      </c>
      <c r="D222" t="inlineStr">
        <is>
          <t>VÄSTMANLANDS LÄN</t>
        </is>
      </c>
      <c r="E222" t="inlineStr">
        <is>
          <t>SALA</t>
        </is>
      </c>
      <c r="G222" t="n">
        <v>10.9</v>
      </c>
      <c r="H222" t="n">
        <v>0</v>
      </c>
      <c r="I222" t="n">
        <v>0</v>
      </c>
      <c r="J222" t="n">
        <v>0</v>
      </c>
      <c r="K222" t="n">
        <v>0</v>
      </c>
      <c r="L222" t="n">
        <v>0</v>
      </c>
      <c r="M222" t="n">
        <v>0</v>
      </c>
      <c r="N222" t="n">
        <v>0</v>
      </c>
      <c r="O222" t="n">
        <v>0</v>
      </c>
      <c r="P222" t="n">
        <v>0</v>
      </c>
      <c r="Q222" t="n">
        <v>0</v>
      </c>
      <c r="R222" s="2" t="inlineStr"/>
    </row>
    <row r="223" ht="15" customHeight="1">
      <c r="A223" t="inlineStr">
        <is>
          <t>A 42984-2023</t>
        </is>
      </c>
      <c r="B223" s="1" t="n">
        <v>45179</v>
      </c>
      <c r="C223" s="1" t="n">
        <v>45937</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18713-2025</t>
        </is>
      </c>
      <c r="B224" s="1" t="n">
        <v>45763</v>
      </c>
      <c r="C224" s="1" t="n">
        <v>45937</v>
      </c>
      <c r="D224" t="inlineStr">
        <is>
          <t>VÄSTMANLANDS LÄN</t>
        </is>
      </c>
      <c r="E224" t="inlineStr">
        <is>
          <t>SALA</t>
        </is>
      </c>
      <c r="F224" t="inlineStr">
        <is>
          <t>Bergvik skog öst AB</t>
        </is>
      </c>
      <c r="G224" t="n">
        <v>11.6</v>
      </c>
      <c r="H224" t="n">
        <v>0</v>
      </c>
      <c r="I224" t="n">
        <v>0</v>
      </c>
      <c r="J224" t="n">
        <v>0</v>
      </c>
      <c r="K224" t="n">
        <v>0</v>
      </c>
      <c r="L224" t="n">
        <v>0</v>
      </c>
      <c r="M224" t="n">
        <v>0</v>
      </c>
      <c r="N224" t="n">
        <v>0</v>
      </c>
      <c r="O224" t="n">
        <v>0</v>
      </c>
      <c r="P224" t="n">
        <v>0</v>
      </c>
      <c r="Q224" t="n">
        <v>0</v>
      </c>
      <c r="R224" s="2" t="inlineStr"/>
    </row>
    <row r="225" ht="15" customHeight="1">
      <c r="A225" t="inlineStr">
        <is>
          <t>A 15972-2024</t>
        </is>
      </c>
      <c r="B225" s="1" t="n">
        <v>45405.56498842593</v>
      </c>
      <c r="C225" s="1" t="n">
        <v>45937</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54959-2024</t>
        </is>
      </c>
      <c r="B226" s="1" t="n">
        <v>45619</v>
      </c>
      <c r="C226" s="1" t="n">
        <v>45937</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21754-2025</t>
        </is>
      </c>
      <c r="B227" s="1" t="n">
        <v>45783.61837962963</v>
      </c>
      <c r="C227" s="1" t="n">
        <v>45937</v>
      </c>
      <c r="D227" t="inlineStr">
        <is>
          <t>VÄSTMANLANDS LÄN</t>
        </is>
      </c>
      <c r="E227" t="inlineStr">
        <is>
          <t>SALA</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61715-2024</t>
        </is>
      </c>
      <c r="B228" s="1" t="n">
        <v>45648.89519675926</v>
      </c>
      <c r="C228" s="1" t="n">
        <v>45937</v>
      </c>
      <c r="D228" t="inlineStr">
        <is>
          <t>VÄSTMANLANDS LÄN</t>
        </is>
      </c>
      <c r="E228" t="inlineStr">
        <is>
          <t>SALA</t>
        </is>
      </c>
      <c r="G228" t="n">
        <v>2.5</v>
      </c>
      <c r="H228" t="n">
        <v>0</v>
      </c>
      <c r="I228" t="n">
        <v>0</v>
      </c>
      <c r="J228" t="n">
        <v>0</v>
      </c>
      <c r="K228" t="n">
        <v>0</v>
      </c>
      <c r="L228" t="n">
        <v>0</v>
      </c>
      <c r="M228" t="n">
        <v>0</v>
      </c>
      <c r="N228" t="n">
        <v>0</v>
      </c>
      <c r="O228" t="n">
        <v>0</v>
      </c>
      <c r="P228" t="n">
        <v>0</v>
      </c>
      <c r="Q228" t="n">
        <v>0</v>
      </c>
      <c r="R228" s="2" t="inlineStr"/>
    </row>
    <row r="229" ht="15" customHeight="1">
      <c r="A229" t="inlineStr">
        <is>
          <t>A 39714-2023</t>
        </is>
      </c>
      <c r="B229" s="1" t="n">
        <v>45167.62133101852</v>
      </c>
      <c r="C229" s="1" t="n">
        <v>45937</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37587-2024</t>
        </is>
      </c>
      <c r="B230" s="1" t="n">
        <v>45541</v>
      </c>
      <c r="C230" s="1" t="n">
        <v>45937</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27486-2022</t>
        </is>
      </c>
      <c r="B231" s="1" t="n">
        <v>44742.60846064815</v>
      </c>
      <c r="C231" s="1" t="n">
        <v>45937</v>
      </c>
      <c r="D231" t="inlineStr">
        <is>
          <t>VÄSTMANLANDS LÄN</t>
        </is>
      </c>
      <c r="E231" t="inlineStr">
        <is>
          <t>SALA</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16651-2021</t>
        </is>
      </c>
      <c r="B232" s="1" t="n">
        <v>44294.50096064815</v>
      </c>
      <c r="C232" s="1" t="n">
        <v>45937</v>
      </c>
      <c r="D232" t="inlineStr">
        <is>
          <t>VÄSTMANLANDS LÄN</t>
        </is>
      </c>
      <c r="E232" t="inlineStr">
        <is>
          <t>SALA</t>
        </is>
      </c>
      <c r="G232" t="n">
        <v>7.7</v>
      </c>
      <c r="H232" t="n">
        <v>0</v>
      </c>
      <c r="I232" t="n">
        <v>0</v>
      </c>
      <c r="J232" t="n">
        <v>0</v>
      </c>
      <c r="K232" t="n">
        <v>0</v>
      </c>
      <c r="L232" t="n">
        <v>0</v>
      </c>
      <c r="M232" t="n">
        <v>0</v>
      </c>
      <c r="N232" t="n">
        <v>0</v>
      </c>
      <c r="O232" t="n">
        <v>0</v>
      </c>
      <c r="P232" t="n">
        <v>0</v>
      </c>
      <c r="Q232" t="n">
        <v>0</v>
      </c>
      <c r="R232" s="2" t="inlineStr"/>
    </row>
    <row r="233" ht="15" customHeight="1">
      <c r="A233" t="inlineStr">
        <is>
          <t>A 33527-2023</t>
        </is>
      </c>
      <c r="B233" s="1" t="n">
        <v>45131</v>
      </c>
      <c r="C233" s="1" t="n">
        <v>45937</v>
      </c>
      <c r="D233" t="inlineStr">
        <is>
          <t>VÄSTMANLANDS LÄN</t>
        </is>
      </c>
      <c r="E233" t="inlineStr">
        <is>
          <t>SALA</t>
        </is>
      </c>
      <c r="G233" t="n">
        <v>1</v>
      </c>
      <c r="H233" t="n">
        <v>0</v>
      </c>
      <c r="I233" t="n">
        <v>0</v>
      </c>
      <c r="J233" t="n">
        <v>0</v>
      </c>
      <c r="K233" t="n">
        <v>0</v>
      </c>
      <c r="L233" t="n">
        <v>0</v>
      </c>
      <c r="M233" t="n">
        <v>0</v>
      </c>
      <c r="N233" t="n">
        <v>0</v>
      </c>
      <c r="O233" t="n">
        <v>0</v>
      </c>
      <c r="P233" t="n">
        <v>0</v>
      </c>
      <c r="Q233" t="n">
        <v>0</v>
      </c>
      <c r="R233" s="2" t="inlineStr"/>
    </row>
    <row r="234" ht="15" customHeight="1">
      <c r="A234" t="inlineStr">
        <is>
          <t>A 16404-2022</t>
        </is>
      </c>
      <c r="B234" s="1" t="n">
        <v>44671</v>
      </c>
      <c r="C234" s="1" t="n">
        <v>45937</v>
      </c>
      <c r="D234" t="inlineStr">
        <is>
          <t>VÄSTMANLANDS LÄN</t>
        </is>
      </c>
      <c r="E234" t="inlineStr">
        <is>
          <t>SALA</t>
        </is>
      </c>
      <c r="G234" t="n">
        <v>0.8</v>
      </c>
      <c r="H234" t="n">
        <v>0</v>
      </c>
      <c r="I234" t="n">
        <v>0</v>
      </c>
      <c r="J234" t="n">
        <v>0</v>
      </c>
      <c r="K234" t="n">
        <v>0</v>
      </c>
      <c r="L234" t="n">
        <v>0</v>
      </c>
      <c r="M234" t="n">
        <v>0</v>
      </c>
      <c r="N234" t="n">
        <v>0</v>
      </c>
      <c r="O234" t="n">
        <v>0</v>
      </c>
      <c r="P234" t="n">
        <v>0</v>
      </c>
      <c r="Q234" t="n">
        <v>0</v>
      </c>
      <c r="R234" s="2" t="inlineStr"/>
    </row>
    <row r="235" ht="15" customHeight="1">
      <c r="A235" t="inlineStr">
        <is>
          <t>A 6097-2022</t>
        </is>
      </c>
      <c r="B235" s="1" t="n">
        <v>44599</v>
      </c>
      <c r="C235" s="1" t="n">
        <v>45937</v>
      </c>
      <c r="D235" t="inlineStr">
        <is>
          <t>VÄSTMANLANDS LÄN</t>
        </is>
      </c>
      <c r="E235" t="inlineStr">
        <is>
          <t>SALA</t>
        </is>
      </c>
      <c r="G235" t="n">
        <v>0.6</v>
      </c>
      <c r="H235" t="n">
        <v>0</v>
      </c>
      <c r="I235" t="n">
        <v>0</v>
      </c>
      <c r="J235" t="n">
        <v>0</v>
      </c>
      <c r="K235" t="n">
        <v>0</v>
      </c>
      <c r="L235" t="n">
        <v>0</v>
      </c>
      <c r="M235" t="n">
        <v>0</v>
      </c>
      <c r="N235" t="n">
        <v>0</v>
      </c>
      <c r="O235" t="n">
        <v>0</v>
      </c>
      <c r="P235" t="n">
        <v>0</v>
      </c>
      <c r="Q235" t="n">
        <v>0</v>
      </c>
      <c r="R235" s="2" t="inlineStr"/>
    </row>
    <row r="236" ht="15" customHeight="1">
      <c r="A236" t="inlineStr">
        <is>
          <t>A 10913-2025</t>
        </is>
      </c>
      <c r="B236" s="1" t="n">
        <v>45722.73423611111</v>
      </c>
      <c r="C236" s="1" t="n">
        <v>45937</v>
      </c>
      <c r="D236" t="inlineStr">
        <is>
          <t>VÄSTMANLANDS LÄN</t>
        </is>
      </c>
      <c r="E236" t="inlineStr">
        <is>
          <t>SALA</t>
        </is>
      </c>
      <c r="G236" t="n">
        <v>7.6</v>
      </c>
      <c r="H236" t="n">
        <v>0</v>
      </c>
      <c r="I236" t="n">
        <v>0</v>
      </c>
      <c r="J236" t="n">
        <v>0</v>
      </c>
      <c r="K236" t="n">
        <v>0</v>
      </c>
      <c r="L236" t="n">
        <v>0</v>
      </c>
      <c r="M236" t="n">
        <v>0</v>
      </c>
      <c r="N236" t="n">
        <v>0</v>
      </c>
      <c r="O236" t="n">
        <v>0</v>
      </c>
      <c r="P236" t="n">
        <v>0</v>
      </c>
      <c r="Q236" t="n">
        <v>0</v>
      </c>
      <c r="R236" s="2" t="inlineStr"/>
    </row>
    <row r="237" ht="15" customHeight="1">
      <c r="A237" t="inlineStr">
        <is>
          <t>A 58107-2021</t>
        </is>
      </c>
      <c r="B237" s="1" t="n">
        <v>44487</v>
      </c>
      <c r="C237" s="1" t="n">
        <v>45937</v>
      </c>
      <c r="D237" t="inlineStr">
        <is>
          <t>VÄSTMANLANDS LÄN</t>
        </is>
      </c>
      <c r="E237" t="inlineStr">
        <is>
          <t>SALA</t>
        </is>
      </c>
      <c r="F237" t="inlineStr">
        <is>
          <t>Sveaskog</t>
        </is>
      </c>
      <c r="G237" t="n">
        <v>2.8</v>
      </c>
      <c r="H237" t="n">
        <v>0</v>
      </c>
      <c r="I237" t="n">
        <v>0</v>
      </c>
      <c r="J237" t="n">
        <v>0</v>
      </c>
      <c r="K237" t="n">
        <v>0</v>
      </c>
      <c r="L237" t="n">
        <v>0</v>
      </c>
      <c r="M237" t="n">
        <v>0</v>
      </c>
      <c r="N237" t="n">
        <v>0</v>
      </c>
      <c r="O237" t="n">
        <v>0</v>
      </c>
      <c r="P237" t="n">
        <v>0</v>
      </c>
      <c r="Q237" t="n">
        <v>0</v>
      </c>
      <c r="R237" s="2" t="inlineStr"/>
    </row>
    <row r="238" ht="15" customHeight="1">
      <c r="A238" t="inlineStr">
        <is>
          <t>A 6134-2024</t>
        </is>
      </c>
      <c r="B238" s="1" t="n">
        <v>45337</v>
      </c>
      <c r="C238" s="1" t="n">
        <v>45937</v>
      </c>
      <c r="D238" t="inlineStr">
        <is>
          <t>VÄSTMANLANDS LÄN</t>
        </is>
      </c>
      <c r="E238" t="inlineStr">
        <is>
          <t>SALA</t>
        </is>
      </c>
      <c r="G238" t="n">
        <v>1.8</v>
      </c>
      <c r="H238" t="n">
        <v>0</v>
      </c>
      <c r="I238" t="n">
        <v>0</v>
      </c>
      <c r="J238" t="n">
        <v>0</v>
      </c>
      <c r="K238" t="n">
        <v>0</v>
      </c>
      <c r="L238" t="n">
        <v>0</v>
      </c>
      <c r="M238" t="n">
        <v>0</v>
      </c>
      <c r="N238" t="n">
        <v>0</v>
      </c>
      <c r="O238" t="n">
        <v>0</v>
      </c>
      <c r="P238" t="n">
        <v>0</v>
      </c>
      <c r="Q238" t="n">
        <v>0</v>
      </c>
      <c r="R238" s="2" t="inlineStr"/>
    </row>
    <row r="239" ht="15" customHeight="1">
      <c r="A239" t="inlineStr">
        <is>
          <t>A 22353-2025</t>
        </is>
      </c>
      <c r="B239" s="1" t="n">
        <v>45786</v>
      </c>
      <c r="C239" s="1" t="n">
        <v>45937</v>
      </c>
      <c r="D239" t="inlineStr">
        <is>
          <t>VÄSTMANLANDS LÄN</t>
        </is>
      </c>
      <c r="E239" t="inlineStr">
        <is>
          <t>SALA</t>
        </is>
      </c>
      <c r="G239" t="n">
        <v>2.5</v>
      </c>
      <c r="H239" t="n">
        <v>0</v>
      </c>
      <c r="I239" t="n">
        <v>0</v>
      </c>
      <c r="J239" t="n">
        <v>0</v>
      </c>
      <c r="K239" t="n">
        <v>0</v>
      </c>
      <c r="L239" t="n">
        <v>0</v>
      </c>
      <c r="M239" t="n">
        <v>0</v>
      </c>
      <c r="N239" t="n">
        <v>0</v>
      </c>
      <c r="O239" t="n">
        <v>0</v>
      </c>
      <c r="P239" t="n">
        <v>0</v>
      </c>
      <c r="Q239" t="n">
        <v>0</v>
      </c>
      <c r="R239" s="2" t="inlineStr"/>
    </row>
    <row r="240" ht="15" customHeight="1">
      <c r="A240" t="inlineStr">
        <is>
          <t>A 15354-2021</t>
        </is>
      </c>
      <c r="B240" s="1" t="n">
        <v>44284</v>
      </c>
      <c r="C240" s="1" t="n">
        <v>45937</v>
      </c>
      <c r="D240" t="inlineStr">
        <is>
          <t>VÄSTMANLANDS LÄN</t>
        </is>
      </c>
      <c r="E240" t="inlineStr">
        <is>
          <t>SALA</t>
        </is>
      </c>
      <c r="F240" t="inlineStr">
        <is>
          <t>Kyrkan</t>
        </is>
      </c>
      <c r="G240" t="n">
        <v>8.5</v>
      </c>
      <c r="H240" t="n">
        <v>0</v>
      </c>
      <c r="I240" t="n">
        <v>0</v>
      </c>
      <c r="J240" t="n">
        <v>0</v>
      </c>
      <c r="K240" t="n">
        <v>0</v>
      </c>
      <c r="L240" t="n">
        <v>0</v>
      </c>
      <c r="M240" t="n">
        <v>0</v>
      </c>
      <c r="N240" t="n">
        <v>0</v>
      </c>
      <c r="O240" t="n">
        <v>0</v>
      </c>
      <c r="P240" t="n">
        <v>0</v>
      </c>
      <c r="Q240" t="n">
        <v>0</v>
      </c>
      <c r="R240" s="2" t="inlineStr"/>
    </row>
    <row r="241" ht="15" customHeight="1">
      <c r="A241" t="inlineStr">
        <is>
          <t>A 64724-2023</t>
        </is>
      </c>
      <c r="B241" s="1" t="n">
        <v>45281.7602662037</v>
      </c>
      <c r="C241" s="1" t="n">
        <v>45937</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10559-2024</t>
        </is>
      </c>
      <c r="B242" s="1" t="n">
        <v>45366</v>
      </c>
      <c r="C242" s="1" t="n">
        <v>45937</v>
      </c>
      <c r="D242" t="inlineStr">
        <is>
          <t>VÄSTMANLANDS LÄN</t>
        </is>
      </c>
      <c r="E242" t="inlineStr">
        <is>
          <t>SALA</t>
        </is>
      </c>
      <c r="G242" t="n">
        <v>0.3</v>
      </c>
      <c r="H242" t="n">
        <v>0</v>
      </c>
      <c r="I242" t="n">
        <v>0</v>
      </c>
      <c r="J242" t="n">
        <v>0</v>
      </c>
      <c r="K242" t="n">
        <v>0</v>
      </c>
      <c r="L242" t="n">
        <v>0</v>
      </c>
      <c r="M242" t="n">
        <v>0</v>
      </c>
      <c r="N242" t="n">
        <v>0</v>
      </c>
      <c r="O242" t="n">
        <v>0</v>
      </c>
      <c r="P242" t="n">
        <v>0</v>
      </c>
      <c r="Q242" t="n">
        <v>0</v>
      </c>
      <c r="R242" s="2" t="inlineStr"/>
    </row>
    <row r="243" ht="15" customHeight="1">
      <c r="A243" t="inlineStr">
        <is>
          <t>A 2927-2024</t>
        </is>
      </c>
      <c r="B243" s="1" t="n">
        <v>45315.58989583333</v>
      </c>
      <c r="C243" s="1" t="n">
        <v>45937</v>
      </c>
      <c r="D243" t="inlineStr">
        <is>
          <t>VÄSTMANLANDS LÄN</t>
        </is>
      </c>
      <c r="E243" t="inlineStr">
        <is>
          <t>SALA</t>
        </is>
      </c>
      <c r="G243" t="n">
        <v>2.5</v>
      </c>
      <c r="H243" t="n">
        <v>0</v>
      </c>
      <c r="I243" t="n">
        <v>0</v>
      </c>
      <c r="J243" t="n">
        <v>0</v>
      </c>
      <c r="K243" t="n">
        <v>0</v>
      </c>
      <c r="L243" t="n">
        <v>0</v>
      </c>
      <c r="M243" t="n">
        <v>0</v>
      </c>
      <c r="N243" t="n">
        <v>0</v>
      </c>
      <c r="O243" t="n">
        <v>0</v>
      </c>
      <c r="P243" t="n">
        <v>0</v>
      </c>
      <c r="Q243" t="n">
        <v>0</v>
      </c>
      <c r="R243" s="2" t="inlineStr"/>
    </row>
    <row r="244" ht="15" customHeight="1">
      <c r="A244" t="inlineStr">
        <is>
          <t>A 6154-2025</t>
        </is>
      </c>
      <c r="B244" s="1" t="n">
        <v>45698.40719907408</v>
      </c>
      <c r="C244" s="1" t="n">
        <v>45937</v>
      </c>
      <c r="D244" t="inlineStr">
        <is>
          <t>VÄSTMANLANDS LÄN</t>
        </is>
      </c>
      <c r="E244" t="inlineStr">
        <is>
          <t>SALA</t>
        </is>
      </c>
      <c r="F244" t="inlineStr">
        <is>
          <t>Bergvik skog öst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22370-2025</t>
        </is>
      </c>
      <c r="B245" s="1" t="n">
        <v>45786</v>
      </c>
      <c r="C245" s="1" t="n">
        <v>45937</v>
      </c>
      <c r="D245" t="inlineStr">
        <is>
          <t>VÄSTMANLANDS LÄN</t>
        </is>
      </c>
      <c r="E245" t="inlineStr">
        <is>
          <t>SALA</t>
        </is>
      </c>
      <c r="G245" t="n">
        <v>3.2</v>
      </c>
      <c r="H245" t="n">
        <v>0</v>
      </c>
      <c r="I245" t="n">
        <v>0</v>
      </c>
      <c r="J245" t="n">
        <v>0</v>
      </c>
      <c r="K245" t="n">
        <v>0</v>
      </c>
      <c r="L245" t="n">
        <v>0</v>
      </c>
      <c r="M245" t="n">
        <v>0</v>
      </c>
      <c r="N245" t="n">
        <v>0</v>
      </c>
      <c r="O245" t="n">
        <v>0</v>
      </c>
      <c r="P245" t="n">
        <v>0</v>
      </c>
      <c r="Q245" t="n">
        <v>0</v>
      </c>
      <c r="R245" s="2" t="inlineStr"/>
    </row>
    <row r="246" ht="15" customHeight="1">
      <c r="A246" t="inlineStr">
        <is>
          <t>A 22383-2025</t>
        </is>
      </c>
      <c r="B246" s="1" t="n">
        <v>45786</v>
      </c>
      <c r="C246" s="1" t="n">
        <v>45937</v>
      </c>
      <c r="D246" t="inlineStr">
        <is>
          <t>VÄSTMANLANDS LÄN</t>
        </is>
      </c>
      <c r="E246" t="inlineStr">
        <is>
          <t>SALA</t>
        </is>
      </c>
      <c r="G246" t="n">
        <v>2.2</v>
      </c>
      <c r="H246" t="n">
        <v>0</v>
      </c>
      <c r="I246" t="n">
        <v>0</v>
      </c>
      <c r="J246" t="n">
        <v>0</v>
      </c>
      <c r="K246" t="n">
        <v>0</v>
      </c>
      <c r="L246" t="n">
        <v>0</v>
      </c>
      <c r="M246" t="n">
        <v>0</v>
      </c>
      <c r="N246" t="n">
        <v>0</v>
      </c>
      <c r="O246" t="n">
        <v>0</v>
      </c>
      <c r="P246" t="n">
        <v>0</v>
      </c>
      <c r="Q246" t="n">
        <v>0</v>
      </c>
      <c r="R246" s="2" t="inlineStr"/>
    </row>
    <row r="247" ht="15" customHeight="1">
      <c r="A247" t="inlineStr">
        <is>
          <t>A 60545-2024</t>
        </is>
      </c>
      <c r="B247" s="1" t="n">
        <v>45643</v>
      </c>
      <c r="C247" s="1" t="n">
        <v>45937</v>
      </c>
      <c r="D247" t="inlineStr">
        <is>
          <t>VÄSTMANLANDS LÄN</t>
        </is>
      </c>
      <c r="E247" t="inlineStr">
        <is>
          <t>SALA</t>
        </is>
      </c>
      <c r="G247" t="n">
        <v>3.3</v>
      </c>
      <c r="H247" t="n">
        <v>0</v>
      </c>
      <c r="I247" t="n">
        <v>0</v>
      </c>
      <c r="J247" t="n">
        <v>0</v>
      </c>
      <c r="K247" t="n">
        <v>0</v>
      </c>
      <c r="L247" t="n">
        <v>0</v>
      </c>
      <c r="M247" t="n">
        <v>0</v>
      </c>
      <c r="N247" t="n">
        <v>0</v>
      </c>
      <c r="O247" t="n">
        <v>0</v>
      </c>
      <c r="P247" t="n">
        <v>0</v>
      </c>
      <c r="Q247" t="n">
        <v>0</v>
      </c>
      <c r="R247" s="2" t="inlineStr"/>
    </row>
    <row r="248" ht="15" customHeight="1">
      <c r="A248" t="inlineStr">
        <is>
          <t>A 60547-2024</t>
        </is>
      </c>
      <c r="B248" s="1" t="n">
        <v>45643</v>
      </c>
      <c r="C248" s="1" t="n">
        <v>45937</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39597-2022</t>
        </is>
      </c>
      <c r="B249" s="1" t="n">
        <v>44818</v>
      </c>
      <c r="C249" s="1" t="n">
        <v>45937</v>
      </c>
      <c r="D249" t="inlineStr">
        <is>
          <t>VÄSTMANLANDS LÄN</t>
        </is>
      </c>
      <c r="E249" t="inlineStr">
        <is>
          <t>SALA</t>
        </is>
      </c>
      <c r="G249" t="n">
        <v>2.3</v>
      </c>
      <c r="H249" t="n">
        <v>0</v>
      </c>
      <c r="I249" t="n">
        <v>0</v>
      </c>
      <c r="J249" t="n">
        <v>0</v>
      </c>
      <c r="K249" t="n">
        <v>0</v>
      </c>
      <c r="L249" t="n">
        <v>0</v>
      </c>
      <c r="M249" t="n">
        <v>0</v>
      </c>
      <c r="N249" t="n">
        <v>0</v>
      </c>
      <c r="O249" t="n">
        <v>0</v>
      </c>
      <c r="P249" t="n">
        <v>0</v>
      </c>
      <c r="Q249" t="n">
        <v>0</v>
      </c>
      <c r="R249" s="2" t="inlineStr"/>
    </row>
    <row r="250" ht="15" customHeight="1">
      <c r="A250" t="inlineStr">
        <is>
          <t>A 37183-2024</t>
        </is>
      </c>
      <c r="B250" s="1" t="n">
        <v>45539</v>
      </c>
      <c r="C250" s="1" t="n">
        <v>45937</v>
      </c>
      <c r="D250" t="inlineStr">
        <is>
          <t>VÄSTMANLANDS LÄN</t>
        </is>
      </c>
      <c r="E250" t="inlineStr">
        <is>
          <t>SALA</t>
        </is>
      </c>
      <c r="G250" t="n">
        <v>1.2</v>
      </c>
      <c r="H250" t="n">
        <v>0</v>
      </c>
      <c r="I250" t="n">
        <v>0</v>
      </c>
      <c r="J250" t="n">
        <v>0</v>
      </c>
      <c r="K250" t="n">
        <v>0</v>
      </c>
      <c r="L250" t="n">
        <v>0</v>
      </c>
      <c r="M250" t="n">
        <v>0</v>
      </c>
      <c r="N250" t="n">
        <v>0</v>
      </c>
      <c r="O250" t="n">
        <v>0</v>
      </c>
      <c r="P250" t="n">
        <v>0</v>
      </c>
      <c r="Q250" t="n">
        <v>0</v>
      </c>
      <c r="R250" s="2" t="inlineStr"/>
    </row>
    <row r="251" ht="15" customHeight="1">
      <c r="A251" t="inlineStr">
        <is>
          <t>A 25860-2024</t>
        </is>
      </c>
      <c r="B251" s="1" t="n">
        <v>45467.46278935186</v>
      </c>
      <c r="C251" s="1" t="n">
        <v>45937</v>
      </c>
      <c r="D251" t="inlineStr">
        <is>
          <t>VÄSTMANLANDS LÄN</t>
        </is>
      </c>
      <c r="E251" t="inlineStr">
        <is>
          <t>SALA</t>
        </is>
      </c>
      <c r="G251" t="n">
        <v>0.7</v>
      </c>
      <c r="H251" t="n">
        <v>0</v>
      </c>
      <c r="I251" t="n">
        <v>0</v>
      </c>
      <c r="J251" t="n">
        <v>0</v>
      </c>
      <c r="K251" t="n">
        <v>0</v>
      </c>
      <c r="L251" t="n">
        <v>0</v>
      </c>
      <c r="M251" t="n">
        <v>0</v>
      </c>
      <c r="N251" t="n">
        <v>0</v>
      </c>
      <c r="O251" t="n">
        <v>0</v>
      </c>
      <c r="P251" t="n">
        <v>0</v>
      </c>
      <c r="Q251" t="n">
        <v>0</v>
      </c>
      <c r="R251" s="2" t="inlineStr"/>
    </row>
    <row r="252" ht="15" customHeight="1">
      <c r="A252" t="inlineStr">
        <is>
          <t>A 54199-2024</t>
        </is>
      </c>
      <c r="B252" s="1" t="n">
        <v>45616.64703703704</v>
      </c>
      <c r="C252" s="1" t="n">
        <v>45937</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15965-2024</t>
        </is>
      </c>
      <c r="B253" s="1" t="n">
        <v>45405.55740740741</v>
      </c>
      <c r="C253" s="1" t="n">
        <v>45937</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60548-2024</t>
        </is>
      </c>
      <c r="B254" s="1" t="n">
        <v>45643.80978009259</v>
      </c>
      <c r="C254" s="1" t="n">
        <v>45937</v>
      </c>
      <c r="D254" t="inlineStr">
        <is>
          <t>VÄSTMANLANDS LÄN</t>
        </is>
      </c>
      <c r="E254" t="inlineStr">
        <is>
          <t>SALA</t>
        </is>
      </c>
      <c r="G254" t="n">
        <v>1.6</v>
      </c>
      <c r="H254" t="n">
        <v>0</v>
      </c>
      <c r="I254" t="n">
        <v>0</v>
      </c>
      <c r="J254" t="n">
        <v>0</v>
      </c>
      <c r="K254" t="n">
        <v>0</v>
      </c>
      <c r="L254" t="n">
        <v>0</v>
      </c>
      <c r="M254" t="n">
        <v>0</v>
      </c>
      <c r="N254" t="n">
        <v>0</v>
      </c>
      <c r="O254" t="n">
        <v>0</v>
      </c>
      <c r="P254" t="n">
        <v>0</v>
      </c>
      <c r="Q254" t="n">
        <v>0</v>
      </c>
      <c r="R254" s="2" t="inlineStr"/>
    </row>
    <row r="255" ht="15" customHeight="1">
      <c r="A255" t="inlineStr">
        <is>
          <t>A 1196-2023</t>
        </is>
      </c>
      <c r="B255" s="1" t="n">
        <v>44935.82290509259</v>
      </c>
      <c r="C255" s="1" t="n">
        <v>45937</v>
      </c>
      <c r="D255" t="inlineStr">
        <is>
          <t>VÄSTMANLANDS LÄN</t>
        </is>
      </c>
      <c r="E255" t="inlineStr">
        <is>
          <t>SALA</t>
        </is>
      </c>
      <c r="G255" t="n">
        <v>4.1</v>
      </c>
      <c r="H255" t="n">
        <v>0</v>
      </c>
      <c r="I255" t="n">
        <v>0</v>
      </c>
      <c r="J255" t="n">
        <v>0</v>
      </c>
      <c r="K255" t="n">
        <v>0</v>
      </c>
      <c r="L255" t="n">
        <v>0</v>
      </c>
      <c r="M255" t="n">
        <v>0</v>
      </c>
      <c r="N255" t="n">
        <v>0</v>
      </c>
      <c r="O255" t="n">
        <v>0</v>
      </c>
      <c r="P255" t="n">
        <v>0</v>
      </c>
      <c r="Q255" t="n">
        <v>0</v>
      </c>
      <c r="R255" s="2" t="inlineStr"/>
    </row>
    <row r="256" ht="15" customHeight="1">
      <c r="A256" t="inlineStr">
        <is>
          <t>A 22026-2021</t>
        </is>
      </c>
      <c r="B256" s="1" t="n">
        <v>44323</v>
      </c>
      <c r="C256" s="1" t="n">
        <v>45937</v>
      </c>
      <c r="D256" t="inlineStr">
        <is>
          <t>VÄSTMANLANDS LÄN</t>
        </is>
      </c>
      <c r="E256" t="inlineStr">
        <is>
          <t>SALA</t>
        </is>
      </c>
      <c r="G256" t="n">
        <v>2.9</v>
      </c>
      <c r="H256" t="n">
        <v>0</v>
      </c>
      <c r="I256" t="n">
        <v>0</v>
      </c>
      <c r="J256" t="n">
        <v>0</v>
      </c>
      <c r="K256" t="n">
        <v>0</v>
      </c>
      <c r="L256" t="n">
        <v>0</v>
      </c>
      <c r="M256" t="n">
        <v>0</v>
      </c>
      <c r="N256" t="n">
        <v>0</v>
      </c>
      <c r="O256" t="n">
        <v>0</v>
      </c>
      <c r="P256" t="n">
        <v>0</v>
      </c>
      <c r="Q256" t="n">
        <v>0</v>
      </c>
      <c r="R256" s="2" t="inlineStr"/>
    </row>
    <row r="257" ht="15" customHeight="1">
      <c r="A257" t="inlineStr">
        <is>
          <t>A 7176-2023</t>
        </is>
      </c>
      <c r="B257" s="1" t="n">
        <v>44970</v>
      </c>
      <c r="C257" s="1" t="n">
        <v>45937</v>
      </c>
      <c r="D257" t="inlineStr">
        <is>
          <t>VÄSTMANLANDS LÄN</t>
        </is>
      </c>
      <c r="E257" t="inlineStr">
        <is>
          <t>SALA</t>
        </is>
      </c>
      <c r="G257" t="n">
        <v>1.5</v>
      </c>
      <c r="H257" t="n">
        <v>0</v>
      </c>
      <c r="I257" t="n">
        <v>0</v>
      </c>
      <c r="J257" t="n">
        <v>0</v>
      </c>
      <c r="K257" t="n">
        <v>0</v>
      </c>
      <c r="L257" t="n">
        <v>0</v>
      </c>
      <c r="M257" t="n">
        <v>0</v>
      </c>
      <c r="N257" t="n">
        <v>0</v>
      </c>
      <c r="O257" t="n">
        <v>0</v>
      </c>
      <c r="P257" t="n">
        <v>0</v>
      </c>
      <c r="Q257" t="n">
        <v>0</v>
      </c>
      <c r="R257" s="2" t="inlineStr"/>
    </row>
    <row r="258" ht="15" customHeight="1">
      <c r="A258" t="inlineStr">
        <is>
          <t>A 22624-2025</t>
        </is>
      </c>
      <c r="B258" s="1" t="n">
        <v>45789.43327546296</v>
      </c>
      <c r="C258" s="1" t="n">
        <v>45937</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16160-2024</t>
        </is>
      </c>
      <c r="B259" s="1" t="n">
        <v>45406</v>
      </c>
      <c r="C259" s="1" t="n">
        <v>45937</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40597-2022</t>
        </is>
      </c>
      <c r="B260" s="1" t="n">
        <v>44823.84862268518</v>
      </c>
      <c r="C260" s="1" t="n">
        <v>45937</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31405-2024</t>
        </is>
      </c>
      <c r="B261" s="1" t="n">
        <v>45505.5490625</v>
      </c>
      <c r="C261" s="1" t="n">
        <v>45937</v>
      </c>
      <c r="D261" t="inlineStr">
        <is>
          <t>VÄSTMANLANDS LÄN</t>
        </is>
      </c>
      <c r="E261" t="inlineStr">
        <is>
          <t>SALA</t>
        </is>
      </c>
      <c r="G261" t="n">
        <v>5.2</v>
      </c>
      <c r="H261" t="n">
        <v>0</v>
      </c>
      <c r="I261" t="n">
        <v>0</v>
      </c>
      <c r="J261" t="n">
        <v>0</v>
      </c>
      <c r="K261" t="n">
        <v>0</v>
      </c>
      <c r="L261" t="n">
        <v>0</v>
      </c>
      <c r="M261" t="n">
        <v>0</v>
      </c>
      <c r="N261" t="n">
        <v>0</v>
      </c>
      <c r="O261" t="n">
        <v>0</v>
      </c>
      <c r="P261" t="n">
        <v>0</v>
      </c>
      <c r="Q261" t="n">
        <v>0</v>
      </c>
      <c r="R261" s="2" t="inlineStr"/>
    </row>
    <row r="262" ht="15" customHeight="1">
      <c r="A262" t="inlineStr">
        <is>
          <t>A 22616-2025</t>
        </is>
      </c>
      <c r="B262" s="1" t="n">
        <v>45789.42752314815</v>
      </c>
      <c r="C262" s="1" t="n">
        <v>45937</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43600-2024</t>
        </is>
      </c>
      <c r="B263" s="1" t="n">
        <v>45569</v>
      </c>
      <c r="C263" s="1" t="n">
        <v>45937</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13130-2025</t>
        </is>
      </c>
      <c r="B264" s="1" t="n">
        <v>45734</v>
      </c>
      <c r="C264" s="1" t="n">
        <v>45937</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62651-2022</t>
        </is>
      </c>
      <c r="B265" s="1" t="n">
        <v>44917</v>
      </c>
      <c r="C265" s="1" t="n">
        <v>45937</v>
      </c>
      <c r="D265" t="inlineStr">
        <is>
          <t>VÄSTMANLANDS LÄN</t>
        </is>
      </c>
      <c r="E265" t="inlineStr">
        <is>
          <t>SALA</t>
        </is>
      </c>
      <c r="G265" t="n">
        <v>0.4</v>
      </c>
      <c r="H265" t="n">
        <v>0</v>
      </c>
      <c r="I265" t="n">
        <v>0</v>
      </c>
      <c r="J265" t="n">
        <v>0</v>
      </c>
      <c r="K265" t="n">
        <v>0</v>
      </c>
      <c r="L265" t="n">
        <v>0</v>
      </c>
      <c r="M265" t="n">
        <v>0</v>
      </c>
      <c r="N265" t="n">
        <v>0</v>
      </c>
      <c r="O265" t="n">
        <v>0</v>
      </c>
      <c r="P265" t="n">
        <v>0</v>
      </c>
      <c r="Q265" t="n">
        <v>0</v>
      </c>
      <c r="R265" s="2" t="inlineStr"/>
    </row>
    <row r="266" ht="15" customHeight="1">
      <c r="A266" t="inlineStr">
        <is>
          <t>A 54836-2024</t>
        </is>
      </c>
      <c r="B266" s="1" t="n">
        <v>45618</v>
      </c>
      <c r="C266" s="1" t="n">
        <v>45937</v>
      </c>
      <c r="D266" t="inlineStr">
        <is>
          <t>VÄSTMANLANDS LÄN</t>
        </is>
      </c>
      <c r="E266" t="inlineStr">
        <is>
          <t>SALA</t>
        </is>
      </c>
      <c r="G266" t="n">
        <v>0.6</v>
      </c>
      <c r="H266" t="n">
        <v>0</v>
      </c>
      <c r="I266" t="n">
        <v>0</v>
      </c>
      <c r="J266" t="n">
        <v>0</v>
      </c>
      <c r="K266" t="n">
        <v>0</v>
      </c>
      <c r="L266" t="n">
        <v>0</v>
      </c>
      <c r="M266" t="n">
        <v>0</v>
      </c>
      <c r="N266" t="n">
        <v>0</v>
      </c>
      <c r="O266" t="n">
        <v>0</v>
      </c>
      <c r="P266" t="n">
        <v>0</v>
      </c>
      <c r="Q266" t="n">
        <v>0</v>
      </c>
      <c r="R266" s="2" t="inlineStr"/>
    </row>
    <row r="267" ht="15" customHeight="1">
      <c r="A267" t="inlineStr">
        <is>
          <t>A 13987-2023</t>
        </is>
      </c>
      <c r="B267" s="1" t="n">
        <v>45007</v>
      </c>
      <c r="C267" s="1" t="n">
        <v>45937</v>
      </c>
      <c r="D267" t="inlineStr">
        <is>
          <t>VÄSTMANLANDS LÄN</t>
        </is>
      </c>
      <c r="E267" t="inlineStr">
        <is>
          <t>SALA</t>
        </is>
      </c>
      <c r="G267" t="n">
        <v>3.2</v>
      </c>
      <c r="H267" t="n">
        <v>0</v>
      </c>
      <c r="I267" t="n">
        <v>0</v>
      </c>
      <c r="J267" t="n">
        <v>0</v>
      </c>
      <c r="K267" t="n">
        <v>0</v>
      </c>
      <c r="L267" t="n">
        <v>0</v>
      </c>
      <c r="M267" t="n">
        <v>0</v>
      </c>
      <c r="N267" t="n">
        <v>0</v>
      </c>
      <c r="O267" t="n">
        <v>0</v>
      </c>
      <c r="P267" t="n">
        <v>0</v>
      </c>
      <c r="Q267" t="n">
        <v>0</v>
      </c>
      <c r="R267" s="2" t="inlineStr"/>
    </row>
    <row r="268" ht="15" customHeight="1">
      <c r="A268" t="inlineStr">
        <is>
          <t>A 13990-2023</t>
        </is>
      </c>
      <c r="B268" s="1" t="n">
        <v>45007</v>
      </c>
      <c r="C268" s="1" t="n">
        <v>45937</v>
      </c>
      <c r="D268" t="inlineStr">
        <is>
          <t>VÄSTMANLANDS LÄN</t>
        </is>
      </c>
      <c r="E268" t="inlineStr">
        <is>
          <t>SALA</t>
        </is>
      </c>
      <c r="G268" t="n">
        <v>2.6</v>
      </c>
      <c r="H268" t="n">
        <v>0</v>
      </c>
      <c r="I268" t="n">
        <v>0</v>
      </c>
      <c r="J268" t="n">
        <v>0</v>
      </c>
      <c r="K268" t="n">
        <v>0</v>
      </c>
      <c r="L268" t="n">
        <v>0</v>
      </c>
      <c r="M268" t="n">
        <v>0</v>
      </c>
      <c r="N268" t="n">
        <v>0</v>
      </c>
      <c r="O268" t="n">
        <v>0</v>
      </c>
      <c r="P268" t="n">
        <v>0</v>
      </c>
      <c r="Q268" t="n">
        <v>0</v>
      </c>
      <c r="R268" s="2" t="inlineStr"/>
    </row>
    <row r="269" ht="15" customHeight="1">
      <c r="A269" t="inlineStr">
        <is>
          <t>A 7196-2025</t>
        </is>
      </c>
      <c r="B269" s="1" t="n">
        <v>45702</v>
      </c>
      <c r="C269" s="1" t="n">
        <v>45937</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6183-2025</t>
        </is>
      </c>
      <c r="B270" s="1" t="n">
        <v>45698</v>
      </c>
      <c r="C270" s="1" t="n">
        <v>45937</v>
      </c>
      <c r="D270" t="inlineStr">
        <is>
          <t>VÄSTMANLANDS LÄN</t>
        </is>
      </c>
      <c r="E270" t="inlineStr">
        <is>
          <t>SALA</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51464-2024</t>
        </is>
      </c>
      <c r="B271" s="1" t="n">
        <v>45604.49768518518</v>
      </c>
      <c r="C271" s="1" t="n">
        <v>45937</v>
      </c>
      <c r="D271" t="inlineStr">
        <is>
          <t>VÄSTMANLANDS LÄN</t>
        </is>
      </c>
      <c r="E271" t="inlineStr">
        <is>
          <t>SALA</t>
        </is>
      </c>
      <c r="G271" t="n">
        <v>3.9</v>
      </c>
      <c r="H271" t="n">
        <v>0</v>
      </c>
      <c r="I271" t="n">
        <v>0</v>
      </c>
      <c r="J271" t="n">
        <v>0</v>
      </c>
      <c r="K271" t="n">
        <v>0</v>
      </c>
      <c r="L271" t="n">
        <v>0</v>
      </c>
      <c r="M271" t="n">
        <v>0</v>
      </c>
      <c r="N271" t="n">
        <v>0</v>
      </c>
      <c r="O271" t="n">
        <v>0</v>
      </c>
      <c r="P271" t="n">
        <v>0</v>
      </c>
      <c r="Q271" t="n">
        <v>0</v>
      </c>
      <c r="R271" s="2" t="inlineStr"/>
    </row>
    <row r="272" ht="15" customHeight="1">
      <c r="A272" t="inlineStr">
        <is>
          <t>A 1128-2025</t>
        </is>
      </c>
      <c r="B272" s="1" t="n">
        <v>45666.68469907407</v>
      </c>
      <c r="C272" s="1" t="n">
        <v>45937</v>
      </c>
      <c r="D272" t="inlineStr">
        <is>
          <t>VÄSTMANLANDS LÄN</t>
        </is>
      </c>
      <c r="E272" t="inlineStr">
        <is>
          <t>SALA</t>
        </is>
      </c>
      <c r="G272" t="n">
        <v>2.5</v>
      </c>
      <c r="H272" t="n">
        <v>0</v>
      </c>
      <c r="I272" t="n">
        <v>0</v>
      </c>
      <c r="J272" t="n">
        <v>0</v>
      </c>
      <c r="K272" t="n">
        <v>0</v>
      </c>
      <c r="L272" t="n">
        <v>0</v>
      </c>
      <c r="M272" t="n">
        <v>0</v>
      </c>
      <c r="N272" t="n">
        <v>0</v>
      </c>
      <c r="O272" t="n">
        <v>0</v>
      </c>
      <c r="P272" t="n">
        <v>0</v>
      </c>
      <c r="Q272" t="n">
        <v>0</v>
      </c>
      <c r="R272" s="2" t="inlineStr"/>
    </row>
    <row r="273" ht="15" customHeight="1">
      <c r="A273" t="inlineStr">
        <is>
          <t>A 43176-2023</t>
        </is>
      </c>
      <c r="B273" s="1" t="n">
        <v>45183</v>
      </c>
      <c r="C273" s="1" t="n">
        <v>45937</v>
      </c>
      <c r="D273" t="inlineStr">
        <is>
          <t>VÄSTMANLANDS LÄN</t>
        </is>
      </c>
      <c r="E273" t="inlineStr">
        <is>
          <t>SALA</t>
        </is>
      </c>
      <c r="G273" t="n">
        <v>1.2</v>
      </c>
      <c r="H273" t="n">
        <v>0</v>
      </c>
      <c r="I273" t="n">
        <v>0</v>
      </c>
      <c r="J273" t="n">
        <v>0</v>
      </c>
      <c r="K273" t="n">
        <v>0</v>
      </c>
      <c r="L273" t="n">
        <v>0</v>
      </c>
      <c r="M273" t="n">
        <v>0</v>
      </c>
      <c r="N273" t="n">
        <v>0</v>
      </c>
      <c r="O273" t="n">
        <v>0</v>
      </c>
      <c r="P273" t="n">
        <v>0</v>
      </c>
      <c r="Q273" t="n">
        <v>0</v>
      </c>
      <c r="R273" s="2" t="inlineStr"/>
    </row>
    <row r="274" ht="15" customHeight="1">
      <c r="A274" t="inlineStr">
        <is>
          <t>A 73835-2021</t>
        </is>
      </c>
      <c r="B274" s="1" t="n">
        <v>44552.92112268518</v>
      </c>
      <c r="C274" s="1" t="n">
        <v>45937</v>
      </c>
      <c r="D274" t="inlineStr">
        <is>
          <t>VÄSTMANLANDS LÄN</t>
        </is>
      </c>
      <c r="E274" t="inlineStr">
        <is>
          <t>SALA</t>
        </is>
      </c>
      <c r="G274" t="n">
        <v>2</v>
      </c>
      <c r="H274" t="n">
        <v>0</v>
      </c>
      <c r="I274" t="n">
        <v>0</v>
      </c>
      <c r="J274" t="n">
        <v>0</v>
      </c>
      <c r="K274" t="n">
        <v>0</v>
      </c>
      <c r="L274" t="n">
        <v>0</v>
      </c>
      <c r="M274" t="n">
        <v>0</v>
      </c>
      <c r="N274" t="n">
        <v>0</v>
      </c>
      <c r="O274" t="n">
        <v>0</v>
      </c>
      <c r="P274" t="n">
        <v>0</v>
      </c>
      <c r="Q274" t="n">
        <v>0</v>
      </c>
      <c r="R274" s="2" t="inlineStr"/>
    </row>
    <row r="275" ht="15" customHeight="1">
      <c r="A275" t="inlineStr">
        <is>
          <t>A 60379-2022</t>
        </is>
      </c>
      <c r="B275" s="1" t="n">
        <v>44910</v>
      </c>
      <c r="C275" s="1" t="n">
        <v>45937</v>
      </c>
      <c r="D275" t="inlineStr">
        <is>
          <t>VÄSTMANLANDS LÄN</t>
        </is>
      </c>
      <c r="E275" t="inlineStr">
        <is>
          <t>SALA</t>
        </is>
      </c>
      <c r="F275" t="inlineStr">
        <is>
          <t>Kyrkan</t>
        </is>
      </c>
      <c r="G275" t="n">
        <v>2.5</v>
      </c>
      <c r="H275" t="n">
        <v>0</v>
      </c>
      <c r="I275" t="n">
        <v>0</v>
      </c>
      <c r="J275" t="n">
        <v>0</v>
      </c>
      <c r="K275" t="n">
        <v>0</v>
      </c>
      <c r="L275" t="n">
        <v>0</v>
      </c>
      <c r="M275" t="n">
        <v>0</v>
      </c>
      <c r="N275" t="n">
        <v>0</v>
      </c>
      <c r="O275" t="n">
        <v>0</v>
      </c>
      <c r="P275" t="n">
        <v>0</v>
      </c>
      <c r="Q275" t="n">
        <v>0</v>
      </c>
      <c r="R275" s="2" t="inlineStr"/>
    </row>
    <row r="276" ht="15" customHeight="1">
      <c r="A276" t="inlineStr">
        <is>
          <t>A 1638-2023</t>
        </is>
      </c>
      <c r="B276" s="1" t="n">
        <v>44937</v>
      </c>
      <c r="C276" s="1" t="n">
        <v>45937</v>
      </c>
      <c r="D276" t="inlineStr">
        <is>
          <t>VÄSTMANLANDS LÄN</t>
        </is>
      </c>
      <c r="E276" t="inlineStr">
        <is>
          <t>SALA</t>
        </is>
      </c>
      <c r="G276" t="n">
        <v>3.1</v>
      </c>
      <c r="H276" t="n">
        <v>0</v>
      </c>
      <c r="I276" t="n">
        <v>0</v>
      </c>
      <c r="J276" t="n">
        <v>0</v>
      </c>
      <c r="K276" t="n">
        <v>0</v>
      </c>
      <c r="L276" t="n">
        <v>0</v>
      </c>
      <c r="M276" t="n">
        <v>0</v>
      </c>
      <c r="N276" t="n">
        <v>0</v>
      </c>
      <c r="O276" t="n">
        <v>0</v>
      </c>
      <c r="P276" t="n">
        <v>0</v>
      </c>
      <c r="Q276" t="n">
        <v>0</v>
      </c>
      <c r="R276" s="2" t="inlineStr"/>
    </row>
    <row r="277" ht="15" customHeight="1">
      <c r="A277" t="inlineStr">
        <is>
          <t>A 40871-2021</t>
        </is>
      </c>
      <c r="B277" s="1" t="n">
        <v>44421</v>
      </c>
      <c r="C277" s="1" t="n">
        <v>45937</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19803-2024</t>
        </is>
      </c>
      <c r="B278" s="1" t="n">
        <v>45432</v>
      </c>
      <c r="C278" s="1" t="n">
        <v>45937</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7953-2024</t>
        </is>
      </c>
      <c r="B279" s="1" t="n">
        <v>45350</v>
      </c>
      <c r="C279" s="1" t="n">
        <v>45937</v>
      </c>
      <c r="D279" t="inlineStr">
        <is>
          <t>VÄSTMANLANDS LÄN</t>
        </is>
      </c>
      <c r="E279" t="inlineStr">
        <is>
          <t>SALA</t>
        </is>
      </c>
      <c r="G279" t="n">
        <v>2.6</v>
      </c>
      <c r="H279" t="n">
        <v>0</v>
      </c>
      <c r="I279" t="n">
        <v>0</v>
      </c>
      <c r="J279" t="n">
        <v>0</v>
      </c>
      <c r="K279" t="n">
        <v>0</v>
      </c>
      <c r="L279" t="n">
        <v>0</v>
      </c>
      <c r="M279" t="n">
        <v>0</v>
      </c>
      <c r="N279" t="n">
        <v>0</v>
      </c>
      <c r="O279" t="n">
        <v>0</v>
      </c>
      <c r="P279" t="n">
        <v>0</v>
      </c>
      <c r="Q279" t="n">
        <v>0</v>
      </c>
      <c r="R279" s="2" t="inlineStr"/>
    </row>
    <row r="280" ht="15" customHeight="1">
      <c r="A280" t="inlineStr">
        <is>
          <t>A 5477-2024</t>
        </is>
      </c>
      <c r="B280" s="1" t="n">
        <v>45333.67833333334</v>
      </c>
      <c r="C280" s="1" t="n">
        <v>45937</v>
      </c>
      <c r="D280" t="inlineStr">
        <is>
          <t>VÄSTMANLANDS LÄN</t>
        </is>
      </c>
      <c r="E280" t="inlineStr">
        <is>
          <t>SALA</t>
        </is>
      </c>
      <c r="G280" t="n">
        <v>2.3</v>
      </c>
      <c r="H280" t="n">
        <v>0</v>
      </c>
      <c r="I280" t="n">
        <v>0</v>
      </c>
      <c r="J280" t="n">
        <v>0</v>
      </c>
      <c r="K280" t="n">
        <v>0</v>
      </c>
      <c r="L280" t="n">
        <v>0</v>
      </c>
      <c r="M280" t="n">
        <v>0</v>
      </c>
      <c r="N280" t="n">
        <v>0</v>
      </c>
      <c r="O280" t="n">
        <v>0</v>
      </c>
      <c r="P280" t="n">
        <v>0</v>
      </c>
      <c r="Q280" t="n">
        <v>0</v>
      </c>
      <c r="R280" s="2" t="inlineStr"/>
    </row>
    <row r="281" ht="15" customHeight="1">
      <c r="A281" t="inlineStr">
        <is>
          <t>A 26507-2023</t>
        </is>
      </c>
      <c r="B281" s="1" t="n">
        <v>45092</v>
      </c>
      <c r="C281" s="1" t="n">
        <v>45937</v>
      </c>
      <c r="D281" t="inlineStr">
        <is>
          <t>VÄSTMANLANDS LÄN</t>
        </is>
      </c>
      <c r="E281" t="inlineStr">
        <is>
          <t>SALA</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6032-2025</t>
        </is>
      </c>
      <c r="B282" s="1" t="n">
        <v>45695.6371875</v>
      </c>
      <c r="C282" s="1" t="n">
        <v>45937</v>
      </c>
      <c r="D282" t="inlineStr">
        <is>
          <t>VÄSTMANLANDS LÄN</t>
        </is>
      </c>
      <c r="E282" t="inlineStr">
        <is>
          <t>SALA</t>
        </is>
      </c>
      <c r="F282" t="inlineStr">
        <is>
          <t>Bergvik skog öst AB</t>
        </is>
      </c>
      <c r="G282" t="n">
        <v>8.1</v>
      </c>
      <c r="H282" t="n">
        <v>0</v>
      </c>
      <c r="I282" t="n">
        <v>0</v>
      </c>
      <c r="J282" t="n">
        <v>0</v>
      </c>
      <c r="K282" t="n">
        <v>0</v>
      </c>
      <c r="L282" t="n">
        <v>0</v>
      </c>
      <c r="M282" t="n">
        <v>0</v>
      </c>
      <c r="N282" t="n">
        <v>0</v>
      </c>
      <c r="O282" t="n">
        <v>0</v>
      </c>
      <c r="P282" t="n">
        <v>0</v>
      </c>
      <c r="Q282" t="n">
        <v>0</v>
      </c>
      <c r="R282" s="2" t="inlineStr"/>
    </row>
    <row r="283" ht="15" customHeight="1">
      <c r="A283" t="inlineStr">
        <is>
          <t>A 24864-2024</t>
        </is>
      </c>
      <c r="B283" s="1" t="n">
        <v>45461.48888888889</v>
      </c>
      <c r="C283" s="1" t="n">
        <v>45937</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34814-2021</t>
        </is>
      </c>
      <c r="B284" s="1" t="n">
        <v>44383</v>
      </c>
      <c r="C284" s="1" t="n">
        <v>45937</v>
      </c>
      <c r="D284" t="inlineStr">
        <is>
          <t>VÄSTMANLANDS LÄN</t>
        </is>
      </c>
      <c r="E284" t="inlineStr">
        <is>
          <t>SALA</t>
        </is>
      </c>
      <c r="F284" t="inlineStr">
        <is>
          <t>Sveaskog</t>
        </is>
      </c>
      <c r="G284" t="n">
        <v>0.5</v>
      </c>
      <c r="H284" t="n">
        <v>0</v>
      </c>
      <c r="I284" t="n">
        <v>0</v>
      </c>
      <c r="J284" t="n">
        <v>0</v>
      </c>
      <c r="K284" t="n">
        <v>0</v>
      </c>
      <c r="L284" t="n">
        <v>0</v>
      </c>
      <c r="M284" t="n">
        <v>0</v>
      </c>
      <c r="N284" t="n">
        <v>0</v>
      </c>
      <c r="O284" t="n">
        <v>0</v>
      </c>
      <c r="P284" t="n">
        <v>0</v>
      </c>
      <c r="Q284" t="n">
        <v>0</v>
      </c>
      <c r="R284" s="2" t="inlineStr"/>
    </row>
    <row r="285" ht="15" customHeight="1">
      <c r="A285" t="inlineStr">
        <is>
          <t>A 1118-2024</t>
        </is>
      </c>
      <c r="B285" s="1" t="n">
        <v>45302</v>
      </c>
      <c r="C285" s="1" t="n">
        <v>45937</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63933-2023</t>
        </is>
      </c>
      <c r="B286" s="1" t="n">
        <v>45278</v>
      </c>
      <c r="C286" s="1" t="n">
        <v>45937</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54118-2023</t>
        </is>
      </c>
      <c r="B287" s="1" t="n">
        <v>45232</v>
      </c>
      <c r="C287" s="1" t="n">
        <v>45937</v>
      </c>
      <c r="D287" t="inlineStr">
        <is>
          <t>VÄSTMANLANDS LÄN</t>
        </is>
      </c>
      <c r="E287" t="inlineStr">
        <is>
          <t>SALA</t>
        </is>
      </c>
      <c r="G287" t="n">
        <v>1.1</v>
      </c>
      <c r="H287" t="n">
        <v>0</v>
      </c>
      <c r="I287" t="n">
        <v>0</v>
      </c>
      <c r="J287" t="n">
        <v>0</v>
      </c>
      <c r="K287" t="n">
        <v>0</v>
      </c>
      <c r="L287" t="n">
        <v>0</v>
      </c>
      <c r="M287" t="n">
        <v>0</v>
      </c>
      <c r="N287" t="n">
        <v>0</v>
      </c>
      <c r="O287" t="n">
        <v>0</v>
      </c>
      <c r="P287" t="n">
        <v>0</v>
      </c>
      <c r="Q287" t="n">
        <v>0</v>
      </c>
      <c r="R287" s="2" t="inlineStr"/>
    </row>
    <row r="288" ht="15" customHeight="1">
      <c r="A288" t="inlineStr">
        <is>
          <t>A 35462-2024</t>
        </is>
      </c>
      <c r="B288" s="1" t="n">
        <v>45531</v>
      </c>
      <c r="C288" s="1" t="n">
        <v>45937</v>
      </c>
      <c r="D288" t="inlineStr">
        <is>
          <t>VÄSTMANLANDS LÄN</t>
        </is>
      </c>
      <c r="E288" t="inlineStr">
        <is>
          <t>SALA</t>
        </is>
      </c>
      <c r="G288" t="n">
        <v>0.6</v>
      </c>
      <c r="H288" t="n">
        <v>0</v>
      </c>
      <c r="I288" t="n">
        <v>0</v>
      </c>
      <c r="J288" t="n">
        <v>0</v>
      </c>
      <c r="K288" t="n">
        <v>0</v>
      </c>
      <c r="L288" t="n">
        <v>0</v>
      </c>
      <c r="M288" t="n">
        <v>0</v>
      </c>
      <c r="N288" t="n">
        <v>0</v>
      </c>
      <c r="O288" t="n">
        <v>0</v>
      </c>
      <c r="P288" t="n">
        <v>0</v>
      </c>
      <c r="Q288" t="n">
        <v>0</v>
      </c>
      <c r="R288" s="2" t="inlineStr"/>
    </row>
    <row r="289" ht="15" customHeight="1">
      <c r="A289" t="inlineStr">
        <is>
          <t>A 24169-2025</t>
        </is>
      </c>
      <c r="B289" s="1" t="n">
        <v>45796</v>
      </c>
      <c r="C289" s="1" t="n">
        <v>45937</v>
      </c>
      <c r="D289" t="inlineStr">
        <is>
          <t>VÄSTMANLANDS LÄN</t>
        </is>
      </c>
      <c r="E289" t="inlineStr">
        <is>
          <t>SALA</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37190-2024</t>
        </is>
      </c>
      <c r="B290" s="1" t="n">
        <v>45539</v>
      </c>
      <c r="C290" s="1" t="n">
        <v>45937</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39439-2021</t>
        </is>
      </c>
      <c r="B291" s="1" t="n">
        <v>44414</v>
      </c>
      <c r="C291" s="1" t="n">
        <v>45937</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22126-2025</t>
        </is>
      </c>
      <c r="B292" s="1" t="n">
        <v>45785</v>
      </c>
      <c r="C292" s="1" t="n">
        <v>45937</v>
      </c>
      <c r="D292" t="inlineStr">
        <is>
          <t>VÄSTMANLANDS LÄN</t>
        </is>
      </c>
      <c r="E292" t="inlineStr">
        <is>
          <t>SALA</t>
        </is>
      </c>
      <c r="G292" t="n">
        <v>10.6</v>
      </c>
      <c r="H292" t="n">
        <v>0</v>
      </c>
      <c r="I292" t="n">
        <v>0</v>
      </c>
      <c r="J292" t="n">
        <v>0</v>
      </c>
      <c r="K292" t="n">
        <v>0</v>
      </c>
      <c r="L292" t="n">
        <v>0</v>
      </c>
      <c r="M292" t="n">
        <v>0</v>
      </c>
      <c r="N292" t="n">
        <v>0</v>
      </c>
      <c r="O292" t="n">
        <v>0</v>
      </c>
      <c r="P292" t="n">
        <v>0</v>
      </c>
      <c r="Q292" t="n">
        <v>0</v>
      </c>
      <c r="R292" s="2" t="inlineStr"/>
    </row>
    <row r="293" ht="15" customHeight="1">
      <c r="A293" t="inlineStr">
        <is>
          <t>A 23810-2025</t>
        </is>
      </c>
      <c r="B293" s="1" t="n">
        <v>45793.56989583333</v>
      </c>
      <c r="C293" s="1" t="n">
        <v>45937</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24944-2023</t>
        </is>
      </c>
      <c r="B294" s="1" t="n">
        <v>45085</v>
      </c>
      <c r="C294" s="1" t="n">
        <v>45937</v>
      </c>
      <c r="D294" t="inlineStr">
        <is>
          <t>VÄSTMANLANDS LÄN</t>
        </is>
      </c>
      <c r="E294" t="inlineStr">
        <is>
          <t>SALA</t>
        </is>
      </c>
      <c r="G294" t="n">
        <v>3.8</v>
      </c>
      <c r="H294" t="n">
        <v>0</v>
      </c>
      <c r="I294" t="n">
        <v>0</v>
      </c>
      <c r="J294" t="n">
        <v>0</v>
      </c>
      <c r="K294" t="n">
        <v>0</v>
      </c>
      <c r="L294" t="n">
        <v>0</v>
      </c>
      <c r="M294" t="n">
        <v>0</v>
      </c>
      <c r="N294" t="n">
        <v>0</v>
      </c>
      <c r="O294" t="n">
        <v>0</v>
      </c>
      <c r="P294" t="n">
        <v>0</v>
      </c>
      <c r="Q294" t="n">
        <v>0</v>
      </c>
      <c r="R294" s="2" t="inlineStr"/>
    </row>
    <row r="295" ht="15" customHeight="1">
      <c r="A295" t="inlineStr">
        <is>
          <t>A 57895-2024</t>
        </is>
      </c>
      <c r="B295" s="1" t="n">
        <v>45631</v>
      </c>
      <c r="C295" s="1" t="n">
        <v>45937</v>
      </c>
      <c r="D295" t="inlineStr">
        <is>
          <t>VÄSTMANLANDS LÄN</t>
        </is>
      </c>
      <c r="E295" t="inlineStr">
        <is>
          <t>SALA</t>
        </is>
      </c>
      <c r="G295" t="n">
        <v>1</v>
      </c>
      <c r="H295" t="n">
        <v>0</v>
      </c>
      <c r="I295" t="n">
        <v>0</v>
      </c>
      <c r="J295" t="n">
        <v>0</v>
      </c>
      <c r="K295" t="n">
        <v>0</v>
      </c>
      <c r="L295" t="n">
        <v>0</v>
      </c>
      <c r="M295" t="n">
        <v>0</v>
      </c>
      <c r="N295" t="n">
        <v>0</v>
      </c>
      <c r="O295" t="n">
        <v>0</v>
      </c>
      <c r="P295" t="n">
        <v>0</v>
      </c>
      <c r="Q295" t="n">
        <v>0</v>
      </c>
      <c r="R295" s="2" t="inlineStr"/>
    </row>
    <row r="296" ht="15" customHeight="1">
      <c r="A296" t="inlineStr">
        <is>
          <t>A 31597-2024</t>
        </is>
      </c>
      <c r="B296" s="1" t="n">
        <v>45506</v>
      </c>
      <c r="C296" s="1" t="n">
        <v>45937</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23804-2025</t>
        </is>
      </c>
      <c r="B297" s="1" t="n">
        <v>45793.55995370371</v>
      </c>
      <c r="C297" s="1" t="n">
        <v>45937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17458-2024</t>
        </is>
      </c>
      <c r="B298" s="1" t="n">
        <v>45415</v>
      </c>
      <c r="C298" s="1" t="n">
        <v>45937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36393-2023</t>
        </is>
      </c>
      <c r="B299" s="1" t="n">
        <v>45152</v>
      </c>
      <c r="C299" s="1" t="n">
        <v>45937</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45790-2023</t>
        </is>
      </c>
      <c r="B300" s="1" t="n">
        <v>45195.45958333334</v>
      </c>
      <c r="C300" s="1" t="n">
        <v>45937</v>
      </c>
      <c r="D300" t="inlineStr">
        <is>
          <t>VÄSTMANLANDS LÄN</t>
        </is>
      </c>
      <c r="E300" t="inlineStr">
        <is>
          <t>SALA</t>
        </is>
      </c>
      <c r="G300" t="n">
        <v>5.7</v>
      </c>
      <c r="H300" t="n">
        <v>0</v>
      </c>
      <c r="I300" t="n">
        <v>0</v>
      </c>
      <c r="J300" t="n">
        <v>0</v>
      </c>
      <c r="K300" t="n">
        <v>0</v>
      </c>
      <c r="L300" t="n">
        <v>0</v>
      </c>
      <c r="M300" t="n">
        <v>0</v>
      </c>
      <c r="N300" t="n">
        <v>0</v>
      </c>
      <c r="O300" t="n">
        <v>0</v>
      </c>
      <c r="P300" t="n">
        <v>0</v>
      </c>
      <c r="Q300" t="n">
        <v>0</v>
      </c>
      <c r="R300" s="2" t="inlineStr"/>
    </row>
    <row r="301" ht="15" customHeight="1">
      <c r="A301" t="inlineStr">
        <is>
          <t>A 56543-2024</t>
        </is>
      </c>
      <c r="B301" s="1" t="n">
        <v>45625</v>
      </c>
      <c r="C301" s="1" t="n">
        <v>45937</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11210-2025</t>
        </is>
      </c>
      <c r="B302" s="1" t="n">
        <v>45726</v>
      </c>
      <c r="C302" s="1" t="n">
        <v>45937</v>
      </c>
      <c r="D302" t="inlineStr">
        <is>
          <t>VÄSTMANLANDS LÄN</t>
        </is>
      </c>
      <c r="E302" t="inlineStr">
        <is>
          <t>SALA</t>
        </is>
      </c>
      <c r="G302" t="n">
        <v>4.1</v>
      </c>
      <c r="H302" t="n">
        <v>0</v>
      </c>
      <c r="I302" t="n">
        <v>0</v>
      </c>
      <c r="J302" t="n">
        <v>0</v>
      </c>
      <c r="K302" t="n">
        <v>0</v>
      </c>
      <c r="L302" t="n">
        <v>0</v>
      </c>
      <c r="M302" t="n">
        <v>0</v>
      </c>
      <c r="N302" t="n">
        <v>0</v>
      </c>
      <c r="O302" t="n">
        <v>0</v>
      </c>
      <c r="P302" t="n">
        <v>0</v>
      </c>
      <c r="Q302" t="n">
        <v>0</v>
      </c>
      <c r="R302" s="2" t="inlineStr"/>
    </row>
    <row r="303" ht="15" customHeight="1">
      <c r="A303" t="inlineStr">
        <is>
          <t>A 56949-2023</t>
        </is>
      </c>
      <c r="B303" s="1" t="n">
        <v>45244.61589120371</v>
      </c>
      <c r="C303" s="1" t="n">
        <v>45937</v>
      </c>
      <c r="D303" t="inlineStr">
        <is>
          <t>VÄSTMANLANDS LÄN</t>
        </is>
      </c>
      <c r="E303" t="inlineStr">
        <is>
          <t>SALA</t>
        </is>
      </c>
      <c r="G303" t="n">
        <v>4.7</v>
      </c>
      <c r="H303" t="n">
        <v>0</v>
      </c>
      <c r="I303" t="n">
        <v>0</v>
      </c>
      <c r="J303" t="n">
        <v>0</v>
      </c>
      <c r="K303" t="n">
        <v>0</v>
      </c>
      <c r="L303" t="n">
        <v>0</v>
      </c>
      <c r="M303" t="n">
        <v>0</v>
      </c>
      <c r="N303" t="n">
        <v>0</v>
      </c>
      <c r="O303" t="n">
        <v>0</v>
      </c>
      <c r="P303" t="n">
        <v>0</v>
      </c>
      <c r="Q303" t="n">
        <v>0</v>
      </c>
      <c r="R303" s="2" t="inlineStr"/>
    </row>
    <row r="304" ht="15" customHeight="1">
      <c r="A304" t="inlineStr">
        <is>
          <t>A 19297-2025</t>
        </is>
      </c>
      <c r="B304" s="1" t="n">
        <v>45769.56261574074</v>
      </c>
      <c r="C304" s="1" t="n">
        <v>45937</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11389-2024</t>
        </is>
      </c>
      <c r="B305" s="1" t="n">
        <v>45372.45016203704</v>
      </c>
      <c r="C305" s="1" t="n">
        <v>45937</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56706-2022</t>
        </is>
      </c>
      <c r="B306" s="1" t="n">
        <v>44893.78893518518</v>
      </c>
      <c r="C306" s="1" t="n">
        <v>45937</v>
      </c>
      <c r="D306" t="inlineStr">
        <is>
          <t>VÄSTMANLANDS LÄN</t>
        </is>
      </c>
      <c r="E306" t="inlineStr">
        <is>
          <t>SALA</t>
        </is>
      </c>
      <c r="G306" t="n">
        <v>4.5</v>
      </c>
      <c r="H306" t="n">
        <v>0</v>
      </c>
      <c r="I306" t="n">
        <v>0</v>
      </c>
      <c r="J306" t="n">
        <v>0</v>
      </c>
      <c r="K306" t="n">
        <v>0</v>
      </c>
      <c r="L306" t="n">
        <v>0</v>
      </c>
      <c r="M306" t="n">
        <v>0</v>
      </c>
      <c r="N306" t="n">
        <v>0</v>
      </c>
      <c r="O306" t="n">
        <v>0</v>
      </c>
      <c r="P306" t="n">
        <v>0</v>
      </c>
      <c r="Q306" t="n">
        <v>0</v>
      </c>
      <c r="R306" s="2" t="inlineStr"/>
    </row>
    <row r="307" ht="15" customHeight="1">
      <c r="A307" t="inlineStr">
        <is>
          <t>A 56707-2022</t>
        </is>
      </c>
      <c r="B307" s="1" t="n">
        <v>44893.79412037037</v>
      </c>
      <c r="C307" s="1" t="n">
        <v>45937</v>
      </c>
      <c r="D307" t="inlineStr">
        <is>
          <t>VÄSTMANLANDS LÄN</t>
        </is>
      </c>
      <c r="E307" t="inlineStr">
        <is>
          <t>SALA</t>
        </is>
      </c>
      <c r="G307" t="n">
        <v>1</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45937</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30971-2022</t>
        </is>
      </c>
      <c r="B309" s="1" t="n">
        <v>44768.46725694444</v>
      </c>
      <c r="C309" s="1" t="n">
        <v>45937</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28661-2024</t>
        </is>
      </c>
      <c r="B310" s="1" t="n">
        <v>45478</v>
      </c>
      <c r="C310" s="1" t="n">
        <v>45937</v>
      </c>
      <c r="D310" t="inlineStr">
        <is>
          <t>VÄSTMANLANDS LÄN</t>
        </is>
      </c>
      <c r="E310" t="inlineStr">
        <is>
          <t>SALA</t>
        </is>
      </c>
      <c r="G310" t="n">
        <v>0.6</v>
      </c>
      <c r="H310" t="n">
        <v>0</v>
      </c>
      <c r="I310" t="n">
        <v>0</v>
      </c>
      <c r="J310" t="n">
        <v>0</v>
      </c>
      <c r="K310" t="n">
        <v>0</v>
      </c>
      <c r="L310" t="n">
        <v>0</v>
      </c>
      <c r="M310" t="n">
        <v>0</v>
      </c>
      <c r="N310" t="n">
        <v>0</v>
      </c>
      <c r="O310" t="n">
        <v>0</v>
      </c>
      <c r="P310" t="n">
        <v>0</v>
      </c>
      <c r="Q310" t="n">
        <v>0</v>
      </c>
      <c r="R310" s="2" t="inlineStr"/>
    </row>
    <row r="311" ht="15" customHeight="1">
      <c r="A311" t="inlineStr">
        <is>
          <t>A 2529-2022</t>
        </is>
      </c>
      <c r="B311" s="1" t="n">
        <v>44579.86452546297</v>
      </c>
      <c r="C311" s="1" t="n">
        <v>45937</v>
      </c>
      <c r="D311" t="inlineStr">
        <is>
          <t>VÄSTMANLANDS LÄN</t>
        </is>
      </c>
      <c r="E311" t="inlineStr">
        <is>
          <t>SALA</t>
        </is>
      </c>
      <c r="G311" t="n">
        <v>1.7</v>
      </c>
      <c r="H311" t="n">
        <v>0</v>
      </c>
      <c r="I311" t="n">
        <v>0</v>
      </c>
      <c r="J311" t="n">
        <v>0</v>
      </c>
      <c r="K311" t="n">
        <v>0</v>
      </c>
      <c r="L311" t="n">
        <v>0</v>
      </c>
      <c r="M311" t="n">
        <v>0</v>
      </c>
      <c r="N311" t="n">
        <v>0</v>
      </c>
      <c r="O311" t="n">
        <v>0</v>
      </c>
      <c r="P311" t="n">
        <v>0</v>
      </c>
      <c r="Q311" t="n">
        <v>0</v>
      </c>
      <c r="R311" s="2" t="inlineStr"/>
    </row>
    <row r="312" ht="15" customHeight="1">
      <c r="A312" t="inlineStr">
        <is>
          <t>A 24460-2025</t>
        </is>
      </c>
      <c r="B312" s="1" t="n">
        <v>45798</v>
      </c>
      <c r="C312" s="1" t="n">
        <v>45937</v>
      </c>
      <c r="D312" t="inlineStr">
        <is>
          <t>VÄSTMANLANDS LÄN</t>
        </is>
      </c>
      <c r="E312" t="inlineStr">
        <is>
          <t>SALA</t>
        </is>
      </c>
      <c r="F312" t="inlineStr">
        <is>
          <t>Bergvik skog öst AB</t>
        </is>
      </c>
      <c r="G312" t="n">
        <v>2.6</v>
      </c>
      <c r="H312" t="n">
        <v>0</v>
      </c>
      <c r="I312" t="n">
        <v>0</v>
      </c>
      <c r="J312" t="n">
        <v>0</v>
      </c>
      <c r="K312" t="n">
        <v>0</v>
      </c>
      <c r="L312" t="n">
        <v>0</v>
      </c>
      <c r="M312" t="n">
        <v>0</v>
      </c>
      <c r="N312" t="n">
        <v>0</v>
      </c>
      <c r="O312" t="n">
        <v>0</v>
      </c>
      <c r="P312" t="n">
        <v>0</v>
      </c>
      <c r="Q312" t="n">
        <v>0</v>
      </c>
      <c r="R312" s="2" t="inlineStr"/>
    </row>
    <row r="313" ht="15" customHeight="1">
      <c r="A313" t="inlineStr">
        <is>
          <t>A 56540-2024</t>
        </is>
      </c>
      <c r="B313" s="1" t="n">
        <v>45625</v>
      </c>
      <c r="C313" s="1" t="n">
        <v>45937</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35016-2024</t>
        </is>
      </c>
      <c r="B314" s="1" t="n">
        <v>45527.59115740741</v>
      </c>
      <c r="C314" s="1" t="n">
        <v>45937</v>
      </c>
      <c r="D314" t="inlineStr">
        <is>
          <t>VÄSTMANLANDS LÄN</t>
        </is>
      </c>
      <c r="E314" t="inlineStr">
        <is>
          <t>SALA</t>
        </is>
      </c>
      <c r="G314" t="n">
        <v>0.4</v>
      </c>
      <c r="H314" t="n">
        <v>0</v>
      </c>
      <c r="I314" t="n">
        <v>0</v>
      </c>
      <c r="J314" t="n">
        <v>0</v>
      </c>
      <c r="K314" t="n">
        <v>0</v>
      </c>
      <c r="L314" t="n">
        <v>0</v>
      </c>
      <c r="M314" t="n">
        <v>0</v>
      </c>
      <c r="N314" t="n">
        <v>0</v>
      </c>
      <c r="O314" t="n">
        <v>0</v>
      </c>
      <c r="P314" t="n">
        <v>0</v>
      </c>
      <c r="Q314" t="n">
        <v>0</v>
      </c>
      <c r="R314" s="2" t="inlineStr"/>
    </row>
    <row r="315" ht="15" customHeight="1">
      <c r="A315" t="inlineStr">
        <is>
          <t>A 31599-2024</t>
        </is>
      </c>
      <c r="B315" s="1" t="n">
        <v>45506</v>
      </c>
      <c r="C315" s="1" t="n">
        <v>45937</v>
      </c>
      <c r="D315" t="inlineStr">
        <is>
          <t>VÄSTMANLANDS LÄN</t>
        </is>
      </c>
      <c r="E315" t="inlineStr">
        <is>
          <t>SALA</t>
        </is>
      </c>
      <c r="G315" t="n">
        <v>0.9</v>
      </c>
      <c r="H315" t="n">
        <v>0</v>
      </c>
      <c r="I315" t="n">
        <v>0</v>
      </c>
      <c r="J315" t="n">
        <v>0</v>
      </c>
      <c r="K315" t="n">
        <v>0</v>
      </c>
      <c r="L315" t="n">
        <v>0</v>
      </c>
      <c r="M315" t="n">
        <v>0</v>
      </c>
      <c r="N315" t="n">
        <v>0</v>
      </c>
      <c r="O315" t="n">
        <v>0</v>
      </c>
      <c r="P315" t="n">
        <v>0</v>
      </c>
      <c r="Q315" t="n">
        <v>0</v>
      </c>
      <c r="R315" s="2" t="inlineStr"/>
    </row>
    <row r="316" ht="15" customHeight="1">
      <c r="A316" t="inlineStr">
        <is>
          <t>A 31601-2024</t>
        </is>
      </c>
      <c r="B316" s="1" t="n">
        <v>45506</v>
      </c>
      <c r="C316" s="1" t="n">
        <v>45937</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31608-2024</t>
        </is>
      </c>
      <c r="B317" s="1" t="n">
        <v>45506</v>
      </c>
      <c r="C317" s="1" t="n">
        <v>45937</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31612-2024</t>
        </is>
      </c>
      <c r="B318" s="1" t="n">
        <v>45506</v>
      </c>
      <c r="C318" s="1" t="n">
        <v>45937</v>
      </c>
      <c r="D318" t="inlineStr">
        <is>
          <t>VÄSTMANLANDS LÄN</t>
        </is>
      </c>
      <c r="E318" t="inlineStr">
        <is>
          <t>SALA</t>
        </is>
      </c>
      <c r="G318" t="n">
        <v>3.2</v>
      </c>
      <c r="H318" t="n">
        <v>0</v>
      </c>
      <c r="I318" t="n">
        <v>0</v>
      </c>
      <c r="J318" t="n">
        <v>0</v>
      </c>
      <c r="K318" t="n">
        <v>0</v>
      </c>
      <c r="L318" t="n">
        <v>0</v>
      </c>
      <c r="M318" t="n">
        <v>0</v>
      </c>
      <c r="N318" t="n">
        <v>0</v>
      </c>
      <c r="O318" t="n">
        <v>0</v>
      </c>
      <c r="P318" t="n">
        <v>0</v>
      </c>
      <c r="Q318" t="n">
        <v>0</v>
      </c>
      <c r="R318" s="2" t="inlineStr"/>
    </row>
    <row r="319" ht="15" customHeight="1">
      <c r="A319" t="inlineStr">
        <is>
          <t>A 37612-2024</t>
        </is>
      </c>
      <c r="B319" s="1" t="n">
        <v>45541</v>
      </c>
      <c r="C319" s="1" t="n">
        <v>45937</v>
      </c>
      <c r="D319" t="inlineStr">
        <is>
          <t>VÄSTMANLANDS LÄN</t>
        </is>
      </c>
      <c r="E319" t="inlineStr">
        <is>
          <t>SALA</t>
        </is>
      </c>
      <c r="G319" t="n">
        <v>2.2</v>
      </c>
      <c r="H319" t="n">
        <v>0</v>
      </c>
      <c r="I319" t="n">
        <v>0</v>
      </c>
      <c r="J319" t="n">
        <v>0</v>
      </c>
      <c r="K319" t="n">
        <v>0</v>
      </c>
      <c r="L319" t="n">
        <v>0</v>
      </c>
      <c r="M319" t="n">
        <v>0</v>
      </c>
      <c r="N319" t="n">
        <v>0</v>
      </c>
      <c r="O319" t="n">
        <v>0</v>
      </c>
      <c r="P319" t="n">
        <v>0</v>
      </c>
      <c r="Q319" t="n">
        <v>0</v>
      </c>
      <c r="R319" s="2" t="inlineStr"/>
    </row>
    <row r="320" ht="15" customHeight="1">
      <c r="A320" t="inlineStr">
        <is>
          <t>A 37615-2024</t>
        </is>
      </c>
      <c r="B320" s="1" t="n">
        <v>45541.50673611111</v>
      </c>
      <c r="C320" s="1" t="n">
        <v>45937</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5728-2022</t>
        </is>
      </c>
      <c r="B321" s="1" t="n">
        <v>44596.42082175926</v>
      </c>
      <c r="C321" s="1" t="n">
        <v>45937</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7681-2021</t>
        </is>
      </c>
      <c r="B322" s="1" t="n">
        <v>44242</v>
      </c>
      <c r="C322" s="1" t="n">
        <v>45937</v>
      </c>
      <c r="D322" t="inlineStr">
        <is>
          <t>VÄSTMANLANDS LÄN</t>
        </is>
      </c>
      <c r="E322" t="inlineStr">
        <is>
          <t>SALA</t>
        </is>
      </c>
      <c r="F322" t="inlineStr">
        <is>
          <t>Sveaskog</t>
        </is>
      </c>
      <c r="G322" t="n">
        <v>16.1</v>
      </c>
      <c r="H322" t="n">
        <v>0</v>
      </c>
      <c r="I322" t="n">
        <v>0</v>
      </c>
      <c r="J322" t="n">
        <v>0</v>
      </c>
      <c r="K322" t="n">
        <v>0</v>
      </c>
      <c r="L322" t="n">
        <v>0</v>
      </c>
      <c r="M322" t="n">
        <v>0</v>
      </c>
      <c r="N322" t="n">
        <v>0</v>
      </c>
      <c r="O322" t="n">
        <v>0</v>
      </c>
      <c r="P322" t="n">
        <v>0</v>
      </c>
      <c r="Q322" t="n">
        <v>0</v>
      </c>
      <c r="R322" s="2" t="inlineStr"/>
    </row>
    <row r="323" ht="15" customHeight="1">
      <c r="A323" t="inlineStr">
        <is>
          <t>A 10579-2022</t>
        </is>
      </c>
      <c r="B323" s="1" t="n">
        <v>44624</v>
      </c>
      <c r="C323" s="1" t="n">
        <v>45937</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55065-2024</t>
        </is>
      </c>
      <c r="B324" s="1" t="n">
        <v>45618</v>
      </c>
      <c r="C324" s="1" t="n">
        <v>45937</v>
      </c>
      <c r="D324" t="inlineStr">
        <is>
          <t>VÄSTMANLANDS LÄN</t>
        </is>
      </c>
      <c r="E324" t="inlineStr">
        <is>
          <t>SALA</t>
        </is>
      </c>
      <c r="G324" t="n">
        <v>3.5</v>
      </c>
      <c r="H324" t="n">
        <v>0</v>
      </c>
      <c r="I324" t="n">
        <v>0</v>
      </c>
      <c r="J324" t="n">
        <v>0</v>
      </c>
      <c r="K324" t="n">
        <v>0</v>
      </c>
      <c r="L324" t="n">
        <v>0</v>
      </c>
      <c r="M324" t="n">
        <v>0</v>
      </c>
      <c r="N324" t="n">
        <v>0</v>
      </c>
      <c r="O324" t="n">
        <v>0</v>
      </c>
      <c r="P324" t="n">
        <v>0</v>
      </c>
      <c r="Q324" t="n">
        <v>0</v>
      </c>
      <c r="R324" s="2" t="inlineStr"/>
    </row>
    <row r="325" ht="15" customHeight="1">
      <c r="A325" t="inlineStr">
        <is>
          <t>A 24463-2025</t>
        </is>
      </c>
      <c r="B325" s="1" t="n">
        <v>45798</v>
      </c>
      <c r="C325" s="1" t="n">
        <v>45937</v>
      </c>
      <c r="D325" t="inlineStr">
        <is>
          <t>VÄSTMANLANDS LÄN</t>
        </is>
      </c>
      <c r="E325" t="inlineStr">
        <is>
          <t>SALA</t>
        </is>
      </c>
      <c r="F325" t="inlineStr">
        <is>
          <t>Bergvik skog öst AB</t>
        </is>
      </c>
      <c r="G325" t="n">
        <v>1.5</v>
      </c>
      <c r="H325" t="n">
        <v>0</v>
      </c>
      <c r="I325" t="n">
        <v>0</v>
      </c>
      <c r="J325" t="n">
        <v>0</v>
      </c>
      <c r="K325" t="n">
        <v>0</v>
      </c>
      <c r="L325" t="n">
        <v>0</v>
      </c>
      <c r="M325" t="n">
        <v>0</v>
      </c>
      <c r="N325" t="n">
        <v>0</v>
      </c>
      <c r="O325" t="n">
        <v>0</v>
      </c>
      <c r="P325" t="n">
        <v>0</v>
      </c>
      <c r="Q325" t="n">
        <v>0</v>
      </c>
      <c r="R325" s="2" t="inlineStr"/>
    </row>
    <row r="326" ht="15" customHeight="1">
      <c r="A326" t="inlineStr">
        <is>
          <t>A 64693-2023</t>
        </is>
      </c>
      <c r="B326" s="1" t="n">
        <v>45281.63850694444</v>
      </c>
      <c r="C326" s="1" t="n">
        <v>45937</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64695-2023</t>
        </is>
      </c>
      <c r="B327" s="1" t="n">
        <v>45281.64099537037</v>
      </c>
      <c r="C327" s="1" t="n">
        <v>45937</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row>
    <row r="328" ht="15" customHeight="1">
      <c r="A328" t="inlineStr">
        <is>
          <t>A 19751-2022</t>
        </is>
      </c>
      <c r="B328" s="1" t="n">
        <v>44694</v>
      </c>
      <c r="C328" s="1" t="n">
        <v>45937</v>
      </c>
      <c r="D328" t="inlineStr">
        <is>
          <t>VÄSTMANLANDS LÄN</t>
        </is>
      </c>
      <c r="E328" t="inlineStr">
        <is>
          <t>SALA</t>
        </is>
      </c>
      <c r="G328" t="n">
        <v>2.7</v>
      </c>
      <c r="H328" t="n">
        <v>0</v>
      </c>
      <c r="I328" t="n">
        <v>0</v>
      </c>
      <c r="J328" t="n">
        <v>0</v>
      </c>
      <c r="K328" t="n">
        <v>0</v>
      </c>
      <c r="L328" t="n">
        <v>0</v>
      </c>
      <c r="M328" t="n">
        <v>0</v>
      </c>
      <c r="N328" t="n">
        <v>0</v>
      </c>
      <c r="O328" t="n">
        <v>0</v>
      </c>
      <c r="P328" t="n">
        <v>0</v>
      </c>
      <c r="Q328" t="n">
        <v>0</v>
      </c>
      <c r="R328" s="2" t="inlineStr"/>
    </row>
    <row r="329" ht="15" customHeight="1">
      <c r="A329" t="inlineStr">
        <is>
          <t>A 2900-2023</t>
        </is>
      </c>
      <c r="B329" s="1" t="n">
        <v>44943</v>
      </c>
      <c r="C329" s="1" t="n">
        <v>45937</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60730-2023</t>
        </is>
      </c>
      <c r="B330" s="1" t="n">
        <v>45260</v>
      </c>
      <c r="C330" s="1" t="n">
        <v>45937</v>
      </c>
      <c r="D330" t="inlineStr">
        <is>
          <t>VÄSTMANLANDS LÄN</t>
        </is>
      </c>
      <c r="E330" t="inlineStr">
        <is>
          <t>SALA</t>
        </is>
      </c>
      <c r="G330" t="n">
        <v>1.3</v>
      </c>
      <c r="H330" t="n">
        <v>0</v>
      </c>
      <c r="I330" t="n">
        <v>0</v>
      </c>
      <c r="J330" t="n">
        <v>0</v>
      </c>
      <c r="K330" t="n">
        <v>0</v>
      </c>
      <c r="L330" t="n">
        <v>0</v>
      </c>
      <c r="M330" t="n">
        <v>0</v>
      </c>
      <c r="N330" t="n">
        <v>0</v>
      </c>
      <c r="O330" t="n">
        <v>0</v>
      </c>
      <c r="P330" t="n">
        <v>0</v>
      </c>
      <c r="Q330" t="n">
        <v>0</v>
      </c>
      <c r="R330" s="2" t="inlineStr"/>
    </row>
    <row r="331" ht="15" customHeight="1">
      <c r="A331" t="inlineStr">
        <is>
          <t>A 60731-2023</t>
        </is>
      </c>
      <c r="B331" s="1" t="n">
        <v>45260</v>
      </c>
      <c r="C331" s="1" t="n">
        <v>45937</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24907-2025</t>
        </is>
      </c>
      <c r="B332" s="1" t="n">
        <v>45799</v>
      </c>
      <c r="C332" s="1" t="n">
        <v>45937</v>
      </c>
      <c r="D332" t="inlineStr">
        <is>
          <t>VÄSTMANLANDS LÄN</t>
        </is>
      </c>
      <c r="E332" t="inlineStr">
        <is>
          <t>SALA</t>
        </is>
      </c>
      <c r="G332" t="n">
        <v>3.5</v>
      </c>
      <c r="H332" t="n">
        <v>0</v>
      </c>
      <c r="I332" t="n">
        <v>0</v>
      </c>
      <c r="J332" t="n">
        <v>0</v>
      </c>
      <c r="K332" t="n">
        <v>0</v>
      </c>
      <c r="L332" t="n">
        <v>0</v>
      </c>
      <c r="M332" t="n">
        <v>0</v>
      </c>
      <c r="N332" t="n">
        <v>0</v>
      </c>
      <c r="O332" t="n">
        <v>0</v>
      </c>
      <c r="P332" t="n">
        <v>0</v>
      </c>
      <c r="Q332" t="n">
        <v>0</v>
      </c>
      <c r="R332" s="2" t="inlineStr"/>
    </row>
    <row r="333" ht="15" customHeight="1">
      <c r="A333" t="inlineStr">
        <is>
          <t>A 24910-2025</t>
        </is>
      </c>
      <c r="B333" s="1" t="n">
        <v>45799.53775462963</v>
      </c>
      <c r="C333" s="1" t="n">
        <v>45937</v>
      </c>
      <c r="D333" t="inlineStr">
        <is>
          <t>VÄSTMANLANDS LÄN</t>
        </is>
      </c>
      <c r="E333" t="inlineStr">
        <is>
          <t>SALA</t>
        </is>
      </c>
      <c r="G333" t="n">
        <v>3.5</v>
      </c>
      <c r="H333" t="n">
        <v>0</v>
      </c>
      <c r="I333" t="n">
        <v>0</v>
      </c>
      <c r="J333" t="n">
        <v>0</v>
      </c>
      <c r="K333" t="n">
        <v>0</v>
      </c>
      <c r="L333" t="n">
        <v>0</v>
      </c>
      <c r="M333" t="n">
        <v>0</v>
      </c>
      <c r="N333" t="n">
        <v>0</v>
      </c>
      <c r="O333" t="n">
        <v>0</v>
      </c>
      <c r="P333" t="n">
        <v>0</v>
      </c>
      <c r="Q333" t="n">
        <v>0</v>
      </c>
      <c r="R333" s="2" t="inlineStr"/>
    </row>
    <row r="334" ht="15" customHeight="1">
      <c r="A334" t="inlineStr">
        <is>
          <t>A 6312-2025</t>
        </is>
      </c>
      <c r="B334" s="1" t="n">
        <v>45698</v>
      </c>
      <c r="C334" s="1" t="n">
        <v>45937</v>
      </c>
      <c r="D334" t="inlineStr">
        <is>
          <t>VÄSTMANLANDS LÄN</t>
        </is>
      </c>
      <c r="E334" t="inlineStr">
        <is>
          <t>SALA</t>
        </is>
      </c>
      <c r="G334" t="n">
        <v>1.2</v>
      </c>
      <c r="H334" t="n">
        <v>0</v>
      </c>
      <c r="I334" t="n">
        <v>0</v>
      </c>
      <c r="J334" t="n">
        <v>0</v>
      </c>
      <c r="K334" t="n">
        <v>0</v>
      </c>
      <c r="L334" t="n">
        <v>0</v>
      </c>
      <c r="M334" t="n">
        <v>0</v>
      </c>
      <c r="N334" t="n">
        <v>0</v>
      </c>
      <c r="O334" t="n">
        <v>0</v>
      </c>
      <c r="P334" t="n">
        <v>0</v>
      </c>
      <c r="Q334" t="n">
        <v>0</v>
      </c>
      <c r="R334" s="2" t="inlineStr"/>
    </row>
    <row r="335" ht="15" customHeight="1">
      <c r="A335" t="inlineStr">
        <is>
          <t>A 10909-2024</t>
        </is>
      </c>
      <c r="B335" s="1" t="n">
        <v>45370</v>
      </c>
      <c r="C335" s="1" t="n">
        <v>45937</v>
      </c>
      <c r="D335" t="inlineStr">
        <is>
          <t>VÄSTMANLANDS LÄN</t>
        </is>
      </c>
      <c r="E335" t="inlineStr">
        <is>
          <t>SALA</t>
        </is>
      </c>
      <c r="G335" t="n">
        <v>3.3</v>
      </c>
      <c r="H335" t="n">
        <v>0</v>
      </c>
      <c r="I335" t="n">
        <v>0</v>
      </c>
      <c r="J335" t="n">
        <v>0</v>
      </c>
      <c r="K335" t="n">
        <v>0</v>
      </c>
      <c r="L335" t="n">
        <v>0</v>
      </c>
      <c r="M335" t="n">
        <v>0</v>
      </c>
      <c r="N335" t="n">
        <v>0</v>
      </c>
      <c r="O335" t="n">
        <v>0</v>
      </c>
      <c r="P335" t="n">
        <v>0</v>
      </c>
      <c r="Q335" t="n">
        <v>0</v>
      </c>
      <c r="R335" s="2" t="inlineStr"/>
    </row>
    <row r="336" ht="15" customHeight="1">
      <c r="A336" t="inlineStr">
        <is>
          <t>A 55035-2023</t>
        </is>
      </c>
      <c r="B336" s="1" t="n">
        <v>45229</v>
      </c>
      <c r="C336" s="1" t="n">
        <v>45937</v>
      </c>
      <c r="D336" t="inlineStr">
        <is>
          <t>VÄSTMANLANDS LÄN</t>
        </is>
      </c>
      <c r="E336" t="inlineStr">
        <is>
          <t>SALA</t>
        </is>
      </c>
      <c r="G336" t="n">
        <v>1.1</v>
      </c>
      <c r="H336" t="n">
        <v>0</v>
      </c>
      <c r="I336" t="n">
        <v>0</v>
      </c>
      <c r="J336" t="n">
        <v>0</v>
      </c>
      <c r="K336" t="n">
        <v>0</v>
      </c>
      <c r="L336" t="n">
        <v>0</v>
      </c>
      <c r="M336" t="n">
        <v>0</v>
      </c>
      <c r="N336" t="n">
        <v>0</v>
      </c>
      <c r="O336" t="n">
        <v>0</v>
      </c>
      <c r="P336" t="n">
        <v>0</v>
      </c>
      <c r="Q336" t="n">
        <v>0</v>
      </c>
      <c r="R336" s="2" t="inlineStr"/>
    </row>
    <row r="337" ht="15" customHeight="1">
      <c r="A337" t="inlineStr">
        <is>
          <t>A 4736-2021</t>
        </is>
      </c>
      <c r="B337" s="1" t="n">
        <v>44225</v>
      </c>
      <c r="C337" s="1" t="n">
        <v>45937</v>
      </c>
      <c r="D337" t="inlineStr">
        <is>
          <t>VÄSTMANLANDS LÄN</t>
        </is>
      </c>
      <c r="E337" t="inlineStr">
        <is>
          <t>SALA</t>
        </is>
      </c>
      <c r="G337" t="n">
        <v>4.2</v>
      </c>
      <c r="H337" t="n">
        <v>0</v>
      </c>
      <c r="I337" t="n">
        <v>0</v>
      </c>
      <c r="J337" t="n">
        <v>0</v>
      </c>
      <c r="K337" t="n">
        <v>0</v>
      </c>
      <c r="L337" t="n">
        <v>0</v>
      </c>
      <c r="M337" t="n">
        <v>0</v>
      </c>
      <c r="N337" t="n">
        <v>0</v>
      </c>
      <c r="O337" t="n">
        <v>0</v>
      </c>
      <c r="P337" t="n">
        <v>0</v>
      </c>
      <c r="Q337" t="n">
        <v>0</v>
      </c>
      <c r="R337" s="2" t="inlineStr"/>
    </row>
    <row r="338" ht="15" customHeight="1">
      <c r="A338" t="inlineStr">
        <is>
          <t>A 55784-2024</t>
        </is>
      </c>
      <c r="B338" s="1" t="n">
        <v>45623</v>
      </c>
      <c r="C338" s="1" t="n">
        <v>45937</v>
      </c>
      <c r="D338" t="inlineStr">
        <is>
          <t>VÄSTMANLANDS LÄN</t>
        </is>
      </c>
      <c r="E338" t="inlineStr">
        <is>
          <t>SALA</t>
        </is>
      </c>
      <c r="F338" t="inlineStr">
        <is>
          <t>Bergvik skog öst AB</t>
        </is>
      </c>
      <c r="G338" t="n">
        <v>28.4</v>
      </c>
      <c r="H338" t="n">
        <v>0</v>
      </c>
      <c r="I338" t="n">
        <v>0</v>
      </c>
      <c r="J338" t="n">
        <v>0</v>
      </c>
      <c r="K338" t="n">
        <v>0</v>
      </c>
      <c r="L338" t="n">
        <v>0</v>
      </c>
      <c r="M338" t="n">
        <v>0</v>
      </c>
      <c r="N338" t="n">
        <v>0</v>
      </c>
      <c r="O338" t="n">
        <v>0</v>
      </c>
      <c r="P338" t="n">
        <v>0</v>
      </c>
      <c r="Q338" t="n">
        <v>0</v>
      </c>
      <c r="R338" s="2" t="inlineStr"/>
    </row>
    <row r="339" ht="15" customHeight="1">
      <c r="A339" t="inlineStr">
        <is>
          <t>A 46597-2025</t>
        </is>
      </c>
      <c r="B339" s="1" t="n">
        <v>45926.40113425926</v>
      </c>
      <c r="C339" s="1" t="n">
        <v>45937</v>
      </c>
      <c r="D339" t="inlineStr">
        <is>
          <t>VÄSTMANLANDS LÄN</t>
        </is>
      </c>
      <c r="E339" t="inlineStr">
        <is>
          <t>SALA</t>
        </is>
      </c>
      <c r="G339" t="n">
        <v>3.4</v>
      </c>
      <c r="H339" t="n">
        <v>0</v>
      </c>
      <c r="I339" t="n">
        <v>0</v>
      </c>
      <c r="J339" t="n">
        <v>0</v>
      </c>
      <c r="K339" t="n">
        <v>0</v>
      </c>
      <c r="L339" t="n">
        <v>0</v>
      </c>
      <c r="M339" t="n">
        <v>0</v>
      </c>
      <c r="N339" t="n">
        <v>0</v>
      </c>
      <c r="O339" t="n">
        <v>0</v>
      </c>
      <c r="P339" t="n">
        <v>0</v>
      </c>
      <c r="Q339" t="n">
        <v>0</v>
      </c>
      <c r="R339" s="2" t="inlineStr"/>
    </row>
    <row r="340" ht="15" customHeight="1">
      <c r="A340" t="inlineStr">
        <is>
          <t>A 29542-2023</t>
        </is>
      </c>
      <c r="B340" s="1" t="n">
        <v>45098</v>
      </c>
      <c r="C340" s="1" t="n">
        <v>45937</v>
      </c>
      <c r="D340" t="inlineStr">
        <is>
          <t>VÄSTMANLANDS LÄN</t>
        </is>
      </c>
      <c r="E340" t="inlineStr">
        <is>
          <t>SALA</t>
        </is>
      </c>
      <c r="G340" t="n">
        <v>4.8</v>
      </c>
      <c r="H340" t="n">
        <v>0</v>
      </c>
      <c r="I340" t="n">
        <v>0</v>
      </c>
      <c r="J340" t="n">
        <v>0</v>
      </c>
      <c r="K340" t="n">
        <v>0</v>
      </c>
      <c r="L340" t="n">
        <v>0</v>
      </c>
      <c r="M340" t="n">
        <v>0</v>
      </c>
      <c r="N340" t="n">
        <v>0</v>
      </c>
      <c r="O340" t="n">
        <v>0</v>
      </c>
      <c r="P340" t="n">
        <v>0</v>
      </c>
      <c r="Q340" t="n">
        <v>0</v>
      </c>
      <c r="R340" s="2" t="inlineStr"/>
    </row>
    <row r="341" ht="15" customHeight="1">
      <c r="A341" t="inlineStr">
        <is>
          <t>A 27038-2023</t>
        </is>
      </c>
      <c r="B341" s="1" t="n">
        <v>45095</v>
      </c>
      <c r="C341" s="1" t="n">
        <v>45937</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52500-2024</t>
        </is>
      </c>
      <c r="B342" s="1" t="n">
        <v>45609</v>
      </c>
      <c r="C342" s="1" t="n">
        <v>45937</v>
      </c>
      <c r="D342" t="inlineStr">
        <is>
          <t>VÄSTMANLANDS LÄN</t>
        </is>
      </c>
      <c r="E342" t="inlineStr">
        <is>
          <t>SALA</t>
        </is>
      </c>
      <c r="G342" t="n">
        <v>1.3</v>
      </c>
      <c r="H342" t="n">
        <v>0</v>
      </c>
      <c r="I342" t="n">
        <v>0</v>
      </c>
      <c r="J342" t="n">
        <v>0</v>
      </c>
      <c r="K342" t="n">
        <v>0</v>
      </c>
      <c r="L342" t="n">
        <v>0</v>
      </c>
      <c r="M342" t="n">
        <v>0</v>
      </c>
      <c r="N342" t="n">
        <v>0</v>
      </c>
      <c r="O342" t="n">
        <v>0</v>
      </c>
      <c r="P342" t="n">
        <v>0</v>
      </c>
      <c r="Q342" t="n">
        <v>0</v>
      </c>
      <c r="R342" s="2" t="inlineStr"/>
    </row>
    <row r="343" ht="15" customHeight="1">
      <c r="A343" t="inlineStr">
        <is>
          <t>A 66821-2020</t>
        </is>
      </c>
      <c r="B343" s="1" t="n">
        <v>44179.88008101852</v>
      </c>
      <c r="C343" s="1" t="n">
        <v>45937</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7950-2025</t>
        </is>
      </c>
      <c r="B344" s="1" t="n">
        <v>45707.41799768519</v>
      </c>
      <c r="C344" s="1" t="n">
        <v>45937</v>
      </c>
      <c r="D344" t="inlineStr">
        <is>
          <t>VÄSTMANLANDS LÄN</t>
        </is>
      </c>
      <c r="E344" t="inlineStr">
        <is>
          <t>SALA</t>
        </is>
      </c>
      <c r="G344" t="n">
        <v>3.2</v>
      </c>
      <c r="H344" t="n">
        <v>0</v>
      </c>
      <c r="I344" t="n">
        <v>0</v>
      </c>
      <c r="J344" t="n">
        <v>0</v>
      </c>
      <c r="K344" t="n">
        <v>0</v>
      </c>
      <c r="L344" t="n">
        <v>0</v>
      </c>
      <c r="M344" t="n">
        <v>0</v>
      </c>
      <c r="N344" t="n">
        <v>0</v>
      </c>
      <c r="O344" t="n">
        <v>0</v>
      </c>
      <c r="P344" t="n">
        <v>0</v>
      </c>
      <c r="Q344" t="n">
        <v>0</v>
      </c>
      <c r="R344" s="2" t="inlineStr"/>
    </row>
    <row r="345" ht="15" customHeight="1">
      <c r="A345" t="inlineStr">
        <is>
          <t>A 10812-2021</t>
        </is>
      </c>
      <c r="B345" s="1" t="n">
        <v>44259</v>
      </c>
      <c r="C345" s="1" t="n">
        <v>45937</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17051-2025</t>
        </is>
      </c>
      <c r="B346" s="1" t="n">
        <v>45755</v>
      </c>
      <c r="C346" s="1" t="n">
        <v>45937</v>
      </c>
      <c r="D346" t="inlineStr">
        <is>
          <t>VÄSTMANLANDS LÄN</t>
        </is>
      </c>
      <c r="E346" t="inlineStr">
        <is>
          <t>SALA</t>
        </is>
      </c>
      <c r="G346" t="n">
        <v>2.9</v>
      </c>
      <c r="H346" t="n">
        <v>0</v>
      </c>
      <c r="I346" t="n">
        <v>0</v>
      </c>
      <c r="J346" t="n">
        <v>0</v>
      </c>
      <c r="K346" t="n">
        <v>0</v>
      </c>
      <c r="L346" t="n">
        <v>0</v>
      </c>
      <c r="M346" t="n">
        <v>0</v>
      </c>
      <c r="N346" t="n">
        <v>0</v>
      </c>
      <c r="O346" t="n">
        <v>0</v>
      </c>
      <c r="P346" t="n">
        <v>0</v>
      </c>
      <c r="Q346" t="n">
        <v>0</v>
      </c>
      <c r="R346" s="2" t="inlineStr"/>
    </row>
    <row r="347" ht="15" customHeight="1">
      <c r="A347" t="inlineStr">
        <is>
          <t>A 10154-2021</t>
        </is>
      </c>
      <c r="B347" s="1" t="n">
        <v>44256</v>
      </c>
      <c r="C347" s="1" t="n">
        <v>45937</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26661-2025</t>
        </is>
      </c>
      <c r="B348" s="1" t="n">
        <v>45810</v>
      </c>
      <c r="C348" s="1" t="n">
        <v>45937</v>
      </c>
      <c r="D348" t="inlineStr">
        <is>
          <t>VÄSTMANLANDS LÄN</t>
        </is>
      </c>
      <c r="E348" t="inlineStr">
        <is>
          <t>SALA</t>
        </is>
      </c>
      <c r="G348" t="n">
        <v>3.5</v>
      </c>
      <c r="H348" t="n">
        <v>0</v>
      </c>
      <c r="I348" t="n">
        <v>0</v>
      </c>
      <c r="J348" t="n">
        <v>0</v>
      </c>
      <c r="K348" t="n">
        <v>0</v>
      </c>
      <c r="L348" t="n">
        <v>0</v>
      </c>
      <c r="M348" t="n">
        <v>0</v>
      </c>
      <c r="N348" t="n">
        <v>0</v>
      </c>
      <c r="O348" t="n">
        <v>0</v>
      </c>
      <c r="P348" t="n">
        <v>0</v>
      </c>
      <c r="Q348" t="n">
        <v>0</v>
      </c>
      <c r="R348" s="2" t="inlineStr"/>
    </row>
    <row r="349" ht="15" customHeight="1">
      <c r="A349" t="inlineStr">
        <is>
          <t>A 8285-2025</t>
        </is>
      </c>
      <c r="B349" s="1" t="n">
        <v>45708</v>
      </c>
      <c r="C349" s="1" t="n">
        <v>45937</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14010-2021</t>
        </is>
      </c>
      <c r="B350" s="1" t="n">
        <v>44277.63396990741</v>
      </c>
      <c r="C350" s="1" t="n">
        <v>45937</v>
      </c>
      <c r="D350" t="inlineStr">
        <is>
          <t>VÄSTMANLANDS LÄN</t>
        </is>
      </c>
      <c r="E350" t="inlineStr">
        <is>
          <t>SALA</t>
        </is>
      </c>
      <c r="G350" t="n">
        <v>3.5</v>
      </c>
      <c r="H350" t="n">
        <v>0</v>
      </c>
      <c r="I350" t="n">
        <v>0</v>
      </c>
      <c r="J350" t="n">
        <v>0</v>
      </c>
      <c r="K350" t="n">
        <v>0</v>
      </c>
      <c r="L350" t="n">
        <v>0</v>
      </c>
      <c r="M350" t="n">
        <v>0</v>
      </c>
      <c r="N350" t="n">
        <v>0</v>
      </c>
      <c r="O350" t="n">
        <v>0</v>
      </c>
      <c r="P350" t="n">
        <v>0</v>
      </c>
      <c r="Q350" t="n">
        <v>0</v>
      </c>
      <c r="R350" s="2" t="inlineStr"/>
    </row>
    <row r="351" ht="15" customHeight="1">
      <c r="A351" t="inlineStr">
        <is>
          <t>A 16328-2025</t>
        </is>
      </c>
      <c r="B351" s="1" t="n">
        <v>45751</v>
      </c>
      <c r="C351" s="1" t="n">
        <v>45937</v>
      </c>
      <c r="D351" t="inlineStr">
        <is>
          <t>VÄSTMANLANDS LÄN</t>
        </is>
      </c>
      <c r="E351" t="inlineStr">
        <is>
          <t>SALA</t>
        </is>
      </c>
      <c r="G351" t="n">
        <v>2.9</v>
      </c>
      <c r="H351" t="n">
        <v>0</v>
      </c>
      <c r="I351" t="n">
        <v>0</v>
      </c>
      <c r="J351" t="n">
        <v>0</v>
      </c>
      <c r="K351" t="n">
        <v>0</v>
      </c>
      <c r="L351" t="n">
        <v>0</v>
      </c>
      <c r="M351" t="n">
        <v>0</v>
      </c>
      <c r="N351" t="n">
        <v>0</v>
      </c>
      <c r="O351" t="n">
        <v>0</v>
      </c>
      <c r="P351" t="n">
        <v>0</v>
      </c>
      <c r="Q351" t="n">
        <v>0</v>
      </c>
      <c r="R351" s="2" t="inlineStr"/>
    </row>
    <row r="352" ht="15" customHeight="1">
      <c r="A352" t="inlineStr">
        <is>
          <t>A 22019-2021</t>
        </is>
      </c>
      <c r="B352" s="1" t="n">
        <v>44323</v>
      </c>
      <c r="C352" s="1" t="n">
        <v>45937</v>
      </c>
      <c r="D352" t="inlineStr">
        <is>
          <t>VÄSTMANLANDS LÄN</t>
        </is>
      </c>
      <c r="E352" t="inlineStr">
        <is>
          <t>SALA</t>
        </is>
      </c>
      <c r="G352" t="n">
        <v>1.9</v>
      </c>
      <c r="H352" t="n">
        <v>0</v>
      </c>
      <c r="I352" t="n">
        <v>0</v>
      </c>
      <c r="J352" t="n">
        <v>0</v>
      </c>
      <c r="K352" t="n">
        <v>0</v>
      </c>
      <c r="L352" t="n">
        <v>0</v>
      </c>
      <c r="M352" t="n">
        <v>0</v>
      </c>
      <c r="N352" t="n">
        <v>0</v>
      </c>
      <c r="O352" t="n">
        <v>0</v>
      </c>
      <c r="P352" t="n">
        <v>0</v>
      </c>
      <c r="Q352" t="n">
        <v>0</v>
      </c>
      <c r="R352" s="2" t="inlineStr"/>
    </row>
    <row r="353" ht="15" customHeight="1">
      <c r="A353" t="inlineStr">
        <is>
          <t>A 73673-2021</t>
        </is>
      </c>
      <c r="B353" s="1" t="n">
        <v>44552.46501157407</v>
      </c>
      <c r="C353" s="1" t="n">
        <v>45937</v>
      </c>
      <c r="D353" t="inlineStr">
        <is>
          <t>VÄSTMANLANDS LÄN</t>
        </is>
      </c>
      <c r="E353" t="inlineStr">
        <is>
          <t>SALA</t>
        </is>
      </c>
      <c r="G353" t="n">
        <v>11.4</v>
      </c>
      <c r="H353" t="n">
        <v>0</v>
      </c>
      <c r="I353" t="n">
        <v>0</v>
      </c>
      <c r="J353" t="n">
        <v>0</v>
      </c>
      <c r="K353" t="n">
        <v>0</v>
      </c>
      <c r="L353" t="n">
        <v>0</v>
      </c>
      <c r="M353" t="n">
        <v>0</v>
      </c>
      <c r="N353" t="n">
        <v>0</v>
      </c>
      <c r="O353" t="n">
        <v>0</v>
      </c>
      <c r="P353" t="n">
        <v>0</v>
      </c>
      <c r="Q353" t="n">
        <v>0</v>
      </c>
      <c r="R353" s="2" t="inlineStr"/>
    </row>
    <row r="354" ht="15" customHeight="1">
      <c r="A354" t="inlineStr">
        <is>
          <t>A 57404-2024</t>
        </is>
      </c>
      <c r="B354" s="1" t="n">
        <v>45629.71967592592</v>
      </c>
      <c r="C354" s="1" t="n">
        <v>45937</v>
      </c>
      <c r="D354" t="inlineStr">
        <is>
          <t>VÄSTMANLANDS LÄN</t>
        </is>
      </c>
      <c r="E354" t="inlineStr">
        <is>
          <t>SALA</t>
        </is>
      </c>
      <c r="G354" t="n">
        <v>0.3</v>
      </c>
      <c r="H354" t="n">
        <v>0</v>
      </c>
      <c r="I354" t="n">
        <v>0</v>
      </c>
      <c r="J354" t="n">
        <v>0</v>
      </c>
      <c r="K354" t="n">
        <v>0</v>
      </c>
      <c r="L354" t="n">
        <v>0</v>
      </c>
      <c r="M354" t="n">
        <v>0</v>
      </c>
      <c r="N354" t="n">
        <v>0</v>
      </c>
      <c r="O354" t="n">
        <v>0</v>
      </c>
      <c r="P354" t="n">
        <v>0</v>
      </c>
      <c r="Q354" t="n">
        <v>0</v>
      </c>
      <c r="R354" s="2" t="inlineStr"/>
    </row>
    <row r="355" ht="15" customHeight="1">
      <c r="A355" t="inlineStr">
        <is>
          <t>A 31609-2024</t>
        </is>
      </c>
      <c r="B355" s="1" t="n">
        <v>45506</v>
      </c>
      <c r="C355" s="1" t="n">
        <v>45937</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38574-2025</t>
        </is>
      </c>
      <c r="B356" s="1" t="n">
        <v>45884.46390046296</v>
      </c>
      <c r="C356" s="1" t="n">
        <v>45937</v>
      </c>
      <c r="D356" t="inlineStr">
        <is>
          <t>VÄSTMANLANDS LÄN</t>
        </is>
      </c>
      <c r="E356" t="inlineStr">
        <is>
          <t>SALA</t>
        </is>
      </c>
      <c r="G356" t="n">
        <v>2.1</v>
      </c>
      <c r="H356" t="n">
        <v>0</v>
      </c>
      <c r="I356" t="n">
        <v>0</v>
      </c>
      <c r="J356" t="n">
        <v>0</v>
      </c>
      <c r="K356" t="n">
        <v>0</v>
      </c>
      <c r="L356" t="n">
        <v>0</v>
      </c>
      <c r="M356" t="n">
        <v>0</v>
      </c>
      <c r="N356" t="n">
        <v>0</v>
      </c>
      <c r="O356" t="n">
        <v>0</v>
      </c>
      <c r="P356" t="n">
        <v>0</v>
      </c>
      <c r="Q356" t="n">
        <v>0</v>
      </c>
      <c r="R356" s="2" t="inlineStr"/>
    </row>
    <row r="357" ht="15" customHeight="1">
      <c r="A357" t="inlineStr">
        <is>
          <t>A 16651-2021</t>
        </is>
      </c>
      <c r="B357" s="1" t="n">
        <v>44294.50096064815</v>
      </c>
      <c r="C357" s="1" t="n">
        <v>45937</v>
      </c>
      <c r="D357" t="inlineStr">
        <is>
          <t>VÄSTMANLANDS LÄN</t>
        </is>
      </c>
      <c r="E357" t="inlineStr">
        <is>
          <t>SALA</t>
        </is>
      </c>
      <c r="G357" t="n">
        <v>7.7</v>
      </c>
      <c r="H357" t="n">
        <v>0</v>
      </c>
      <c r="I357" t="n">
        <v>0</v>
      </c>
      <c r="J357" t="n">
        <v>0</v>
      </c>
      <c r="K357" t="n">
        <v>0</v>
      </c>
      <c r="L357" t="n">
        <v>0</v>
      </c>
      <c r="M357" t="n">
        <v>0</v>
      </c>
      <c r="N357" t="n">
        <v>0</v>
      </c>
      <c r="O357" t="n">
        <v>0</v>
      </c>
      <c r="P357" t="n">
        <v>0</v>
      </c>
      <c r="Q357" t="n">
        <v>0</v>
      </c>
      <c r="R357" s="2" t="inlineStr"/>
    </row>
    <row r="358" ht="15" customHeight="1">
      <c r="A358" t="inlineStr">
        <is>
          <t>A 38294-2025</t>
        </is>
      </c>
      <c r="B358" s="1" t="n">
        <v>45883.44854166666</v>
      </c>
      <c r="C358" s="1" t="n">
        <v>45937</v>
      </c>
      <c r="D358" t="inlineStr">
        <is>
          <t>VÄSTMANLANDS LÄN</t>
        </is>
      </c>
      <c r="E358" t="inlineStr">
        <is>
          <t>SALA</t>
        </is>
      </c>
      <c r="G358" t="n">
        <v>1.5</v>
      </c>
      <c r="H358" t="n">
        <v>0</v>
      </c>
      <c r="I358" t="n">
        <v>0</v>
      </c>
      <c r="J358" t="n">
        <v>0</v>
      </c>
      <c r="K358" t="n">
        <v>0</v>
      </c>
      <c r="L358" t="n">
        <v>0</v>
      </c>
      <c r="M358" t="n">
        <v>0</v>
      </c>
      <c r="N358" t="n">
        <v>0</v>
      </c>
      <c r="O358" t="n">
        <v>0</v>
      </c>
      <c r="P358" t="n">
        <v>0</v>
      </c>
      <c r="Q358" t="n">
        <v>0</v>
      </c>
      <c r="R358" s="2" t="inlineStr"/>
    </row>
    <row r="359" ht="15" customHeight="1">
      <c r="A359" t="inlineStr">
        <is>
          <t>A 21777-2022</t>
        </is>
      </c>
      <c r="B359" s="1" t="n">
        <v>44708.48194444444</v>
      </c>
      <c r="C359" s="1" t="n">
        <v>45937</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17866-2025</t>
        </is>
      </c>
      <c r="B360" s="1" t="n">
        <v>45758</v>
      </c>
      <c r="C360" s="1" t="n">
        <v>45937</v>
      </c>
      <c r="D360" t="inlineStr">
        <is>
          <t>VÄSTMANLANDS LÄN</t>
        </is>
      </c>
      <c r="E360" t="inlineStr">
        <is>
          <t>SALA</t>
        </is>
      </c>
      <c r="F360" t="inlineStr">
        <is>
          <t>Bergvik skog öst AB</t>
        </is>
      </c>
      <c r="G360" t="n">
        <v>2.1</v>
      </c>
      <c r="H360" t="n">
        <v>0</v>
      </c>
      <c r="I360" t="n">
        <v>0</v>
      </c>
      <c r="J360" t="n">
        <v>0</v>
      </c>
      <c r="K360" t="n">
        <v>0</v>
      </c>
      <c r="L360" t="n">
        <v>0</v>
      </c>
      <c r="M360" t="n">
        <v>0</v>
      </c>
      <c r="N360" t="n">
        <v>0</v>
      </c>
      <c r="O360" t="n">
        <v>0</v>
      </c>
      <c r="P360" t="n">
        <v>0</v>
      </c>
      <c r="Q360" t="n">
        <v>0</v>
      </c>
      <c r="R360" s="2" t="inlineStr"/>
    </row>
    <row r="361" ht="15" customHeight="1">
      <c r="A361" t="inlineStr">
        <is>
          <t>A 33732-2023</t>
        </is>
      </c>
      <c r="B361" s="1" t="n">
        <v>45133.32409722222</v>
      </c>
      <c r="C361" s="1" t="n">
        <v>45937</v>
      </c>
      <c r="D361" t="inlineStr">
        <is>
          <t>VÄSTMANLANDS LÄN</t>
        </is>
      </c>
      <c r="E361" t="inlineStr">
        <is>
          <t>SALA</t>
        </is>
      </c>
      <c r="G361" t="n">
        <v>2</v>
      </c>
      <c r="H361" t="n">
        <v>0</v>
      </c>
      <c r="I361" t="n">
        <v>0</v>
      </c>
      <c r="J361" t="n">
        <v>0</v>
      </c>
      <c r="K361" t="n">
        <v>0</v>
      </c>
      <c r="L361" t="n">
        <v>0</v>
      </c>
      <c r="M361" t="n">
        <v>0</v>
      </c>
      <c r="N361" t="n">
        <v>0</v>
      </c>
      <c r="O361" t="n">
        <v>0</v>
      </c>
      <c r="P361" t="n">
        <v>0</v>
      </c>
      <c r="Q361" t="n">
        <v>0</v>
      </c>
      <c r="R361" s="2" t="inlineStr"/>
    </row>
    <row r="362" ht="15" customHeight="1">
      <c r="A362" t="inlineStr">
        <is>
          <t>A 28193-2025</t>
        </is>
      </c>
      <c r="B362" s="1" t="n">
        <v>45818.425625</v>
      </c>
      <c r="C362" s="1" t="n">
        <v>45937</v>
      </c>
      <c r="D362" t="inlineStr">
        <is>
          <t>VÄSTMANLANDS LÄN</t>
        </is>
      </c>
      <c r="E362" t="inlineStr">
        <is>
          <t>SALA</t>
        </is>
      </c>
      <c r="G362" t="n">
        <v>1.8</v>
      </c>
      <c r="H362" t="n">
        <v>0</v>
      </c>
      <c r="I362" t="n">
        <v>0</v>
      </c>
      <c r="J362" t="n">
        <v>0</v>
      </c>
      <c r="K362" t="n">
        <v>0</v>
      </c>
      <c r="L362" t="n">
        <v>0</v>
      </c>
      <c r="M362" t="n">
        <v>0</v>
      </c>
      <c r="N362" t="n">
        <v>0</v>
      </c>
      <c r="O362" t="n">
        <v>0</v>
      </c>
      <c r="P362" t="n">
        <v>0</v>
      </c>
      <c r="Q362" t="n">
        <v>0</v>
      </c>
      <c r="R362" s="2" t="inlineStr"/>
    </row>
    <row r="363" ht="15" customHeight="1">
      <c r="A363" t="inlineStr">
        <is>
          <t>A 27981-2025</t>
        </is>
      </c>
      <c r="B363" s="1" t="n">
        <v>45817.57471064815</v>
      </c>
      <c r="C363" s="1" t="n">
        <v>45937</v>
      </c>
      <c r="D363" t="inlineStr">
        <is>
          <t>VÄSTMANLANDS LÄN</t>
        </is>
      </c>
      <c r="E363" t="inlineStr">
        <is>
          <t>SALA</t>
        </is>
      </c>
      <c r="G363" t="n">
        <v>1.7</v>
      </c>
      <c r="H363" t="n">
        <v>0</v>
      </c>
      <c r="I363" t="n">
        <v>0</v>
      </c>
      <c r="J363" t="n">
        <v>0</v>
      </c>
      <c r="K363" t="n">
        <v>0</v>
      </c>
      <c r="L363" t="n">
        <v>0</v>
      </c>
      <c r="M363" t="n">
        <v>0</v>
      </c>
      <c r="N363" t="n">
        <v>0</v>
      </c>
      <c r="O363" t="n">
        <v>0</v>
      </c>
      <c r="P363" t="n">
        <v>0</v>
      </c>
      <c r="Q363" t="n">
        <v>0</v>
      </c>
      <c r="R363" s="2" t="inlineStr"/>
    </row>
    <row r="364" ht="15" customHeight="1">
      <c r="A364" t="inlineStr">
        <is>
          <t>A 7166-2025</t>
        </is>
      </c>
      <c r="B364" s="1" t="n">
        <v>45702</v>
      </c>
      <c r="C364" s="1" t="n">
        <v>45937</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44857-2023</t>
        </is>
      </c>
      <c r="B365" s="1" t="n">
        <v>45190.58479166667</v>
      </c>
      <c r="C365" s="1" t="n">
        <v>45937</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28278-2025</t>
        </is>
      </c>
      <c r="B366" s="1" t="n">
        <v>45818.58454861111</v>
      </c>
      <c r="C366" s="1" t="n">
        <v>45937</v>
      </c>
      <c r="D366" t="inlineStr">
        <is>
          <t>VÄSTMANLANDS LÄN</t>
        </is>
      </c>
      <c r="E366" t="inlineStr">
        <is>
          <t>SALA</t>
        </is>
      </c>
      <c r="G366" t="n">
        <v>7.6</v>
      </c>
      <c r="H366" t="n">
        <v>0</v>
      </c>
      <c r="I366" t="n">
        <v>0</v>
      </c>
      <c r="J366" t="n">
        <v>0</v>
      </c>
      <c r="K366" t="n">
        <v>0</v>
      </c>
      <c r="L366" t="n">
        <v>0</v>
      </c>
      <c r="M366" t="n">
        <v>0</v>
      </c>
      <c r="N366" t="n">
        <v>0</v>
      </c>
      <c r="O366" t="n">
        <v>0</v>
      </c>
      <c r="P366" t="n">
        <v>0</v>
      </c>
      <c r="Q366" t="n">
        <v>0</v>
      </c>
      <c r="R366" s="2" t="inlineStr"/>
    </row>
    <row r="367" ht="15" customHeight="1">
      <c r="A367" t="inlineStr">
        <is>
          <t>A 46352-2023</t>
        </is>
      </c>
      <c r="B367" s="1" t="n">
        <v>45192</v>
      </c>
      <c r="C367" s="1" t="n">
        <v>45937</v>
      </c>
      <c r="D367" t="inlineStr">
        <is>
          <t>VÄSTMANLANDS LÄN</t>
        </is>
      </c>
      <c r="E367" t="inlineStr">
        <is>
          <t>SALA</t>
        </is>
      </c>
      <c r="G367" t="n">
        <v>1.9</v>
      </c>
      <c r="H367" t="n">
        <v>0</v>
      </c>
      <c r="I367" t="n">
        <v>0</v>
      </c>
      <c r="J367" t="n">
        <v>0</v>
      </c>
      <c r="K367" t="n">
        <v>0</v>
      </c>
      <c r="L367" t="n">
        <v>0</v>
      </c>
      <c r="M367" t="n">
        <v>0</v>
      </c>
      <c r="N367" t="n">
        <v>0</v>
      </c>
      <c r="O367" t="n">
        <v>0</v>
      </c>
      <c r="P367" t="n">
        <v>0</v>
      </c>
      <c r="Q367" t="n">
        <v>0</v>
      </c>
      <c r="R367" s="2" t="inlineStr"/>
    </row>
    <row r="368" ht="15" customHeight="1">
      <c r="A368" t="inlineStr">
        <is>
          <t>A 22397-2022</t>
        </is>
      </c>
      <c r="B368" s="1" t="n">
        <v>44713</v>
      </c>
      <c r="C368" s="1" t="n">
        <v>45937</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27424-2023</t>
        </is>
      </c>
      <c r="B369" s="1" t="n">
        <v>45097.37690972222</v>
      </c>
      <c r="C369" s="1" t="n">
        <v>45937</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35410-2022</t>
        </is>
      </c>
      <c r="B370" s="1" t="n">
        <v>44798.62576388889</v>
      </c>
      <c r="C370" s="1" t="n">
        <v>45937</v>
      </c>
      <c r="D370" t="inlineStr">
        <is>
          <t>VÄSTMANLANDS LÄN</t>
        </is>
      </c>
      <c r="E370" t="inlineStr">
        <is>
          <t>SALA</t>
        </is>
      </c>
      <c r="G370" t="n">
        <v>1.6</v>
      </c>
      <c r="H370" t="n">
        <v>0</v>
      </c>
      <c r="I370" t="n">
        <v>0</v>
      </c>
      <c r="J370" t="n">
        <v>0</v>
      </c>
      <c r="K370" t="n">
        <v>0</v>
      </c>
      <c r="L370" t="n">
        <v>0</v>
      </c>
      <c r="M370" t="n">
        <v>0</v>
      </c>
      <c r="N370" t="n">
        <v>0</v>
      </c>
      <c r="O370" t="n">
        <v>0</v>
      </c>
      <c r="P370" t="n">
        <v>0</v>
      </c>
      <c r="Q370" t="n">
        <v>0</v>
      </c>
      <c r="R370" s="2" t="inlineStr"/>
    </row>
    <row r="371" ht="15" customHeight="1">
      <c r="A371" t="inlineStr">
        <is>
          <t>A 27989-2025</t>
        </is>
      </c>
      <c r="B371" s="1" t="n">
        <v>45817.58716435185</v>
      </c>
      <c r="C371" s="1" t="n">
        <v>45937</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7469-2025</t>
        </is>
      </c>
      <c r="B372" s="1" t="n">
        <v>45705</v>
      </c>
      <c r="C372" s="1" t="n">
        <v>45937</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28284-2025</t>
        </is>
      </c>
      <c r="B373" s="1" t="n">
        <v>45818.58893518519</v>
      </c>
      <c r="C373" s="1" t="n">
        <v>45937</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6691-2025</t>
        </is>
      </c>
      <c r="B374" s="1" t="n">
        <v>45700.50625</v>
      </c>
      <c r="C374" s="1" t="n">
        <v>45937</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60036-2024</t>
        </is>
      </c>
      <c r="B375" s="1" t="n">
        <v>45642.46434027778</v>
      </c>
      <c r="C375" s="1" t="n">
        <v>45937</v>
      </c>
      <c r="D375" t="inlineStr">
        <is>
          <t>VÄSTMANLANDS LÄN</t>
        </is>
      </c>
      <c r="E375" t="inlineStr">
        <is>
          <t>SALA</t>
        </is>
      </c>
      <c r="G375" t="n">
        <v>2.5</v>
      </c>
      <c r="H375" t="n">
        <v>0</v>
      </c>
      <c r="I375" t="n">
        <v>0</v>
      </c>
      <c r="J375" t="n">
        <v>0</v>
      </c>
      <c r="K375" t="n">
        <v>0</v>
      </c>
      <c r="L375" t="n">
        <v>0</v>
      </c>
      <c r="M375" t="n">
        <v>0</v>
      </c>
      <c r="N375" t="n">
        <v>0</v>
      </c>
      <c r="O375" t="n">
        <v>0</v>
      </c>
      <c r="P375" t="n">
        <v>0</v>
      </c>
      <c r="Q375" t="n">
        <v>0</v>
      </c>
      <c r="R375" s="2" t="inlineStr"/>
    </row>
    <row r="376" ht="15" customHeight="1">
      <c r="A376" t="inlineStr">
        <is>
          <t>A 28632-2025</t>
        </is>
      </c>
      <c r="B376" s="1" t="n">
        <v>45819.62344907408</v>
      </c>
      <c r="C376" s="1" t="n">
        <v>45937</v>
      </c>
      <c r="D376" t="inlineStr">
        <is>
          <t>VÄSTMANLANDS LÄN</t>
        </is>
      </c>
      <c r="E376" t="inlineStr">
        <is>
          <t>SALA</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28628-2025</t>
        </is>
      </c>
      <c r="B377" s="1" t="n">
        <v>45819.62158564815</v>
      </c>
      <c r="C377" s="1" t="n">
        <v>45937</v>
      </c>
      <c r="D377" t="inlineStr">
        <is>
          <t>VÄSTMANLANDS LÄN</t>
        </is>
      </c>
      <c r="E377" t="inlineStr">
        <is>
          <t>SALA</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28630-2025</t>
        </is>
      </c>
      <c r="B378" s="1" t="n">
        <v>45819.62274305556</v>
      </c>
      <c r="C378" s="1" t="n">
        <v>45937</v>
      </c>
      <c r="D378" t="inlineStr">
        <is>
          <t>VÄSTMANLANDS LÄN</t>
        </is>
      </c>
      <c r="E378" t="inlineStr">
        <is>
          <t>SALA</t>
        </is>
      </c>
      <c r="F378" t="inlineStr">
        <is>
          <t>Sveaskog</t>
        </is>
      </c>
      <c r="G378" t="n">
        <v>9</v>
      </c>
      <c r="H378" t="n">
        <v>0</v>
      </c>
      <c r="I378" t="n">
        <v>0</v>
      </c>
      <c r="J378" t="n">
        <v>0</v>
      </c>
      <c r="K378" t="n">
        <v>0</v>
      </c>
      <c r="L378" t="n">
        <v>0</v>
      </c>
      <c r="M378" t="n">
        <v>0</v>
      </c>
      <c r="N378" t="n">
        <v>0</v>
      </c>
      <c r="O378" t="n">
        <v>0</v>
      </c>
      <c r="P378" t="n">
        <v>0</v>
      </c>
      <c r="Q378" t="n">
        <v>0</v>
      </c>
      <c r="R378" s="2" t="inlineStr"/>
    </row>
    <row r="379" ht="15" customHeight="1">
      <c r="A379" t="inlineStr">
        <is>
          <t>A 28837-2025</t>
        </is>
      </c>
      <c r="B379" s="1" t="n">
        <v>45820.56243055555</v>
      </c>
      <c r="C379" s="1" t="n">
        <v>45937</v>
      </c>
      <c r="D379" t="inlineStr">
        <is>
          <t>VÄSTMANLANDS LÄN</t>
        </is>
      </c>
      <c r="E379" t="inlineStr">
        <is>
          <t>SALA</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28849-2025</t>
        </is>
      </c>
      <c r="B380" s="1" t="n">
        <v>45820</v>
      </c>
      <c r="C380" s="1" t="n">
        <v>45937</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43188-2023</t>
        </is>
      </c>
      <c r="B381" s="1" t="n">
        <v>45183</v>
      </c>
      <c r="C381" s="1" t="n">
        <v>45937</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43205-2023</t>
        </is>
      </c>
      <c r="B382" s="1" t="n">
        <v>45183</v>
      </c>
      <c r="C382" s="1" t="n">
        <v>45937</v>
      </c>
      <c r="D382" t="inlineStr">
        <is>
          <t>VÄSTMANLANDS LÄN</t>
        </is>
      </c>
      <c r="E382" t="inlineStr">
        <is>
          <t>SALA</t>
        </is>
      </c>
      <c r="G382" t="n">
        <v>2.1</v>
      </c>
      <c r="H382" t="n">
        <v>0</v>
      </c>
      <c r="I382" t="n">
        <v>0</v>
      </c>
      <c r="J382" t="n">
        <v>0</v>
      </c>
      <c r="K382" t="n">
        <v>0</v>
      </c>
      <c r="L382" t="n">
        <v>0</v>
      </c>
      <c r="M382" t="n">
        <v>0</v>
      </c>
      <c r="N382" t="n">
        <v>0</v>
      </c>
      <c r="O382" t="n">
        <v>0</v>
      </c>
      <c r="P382" t="n">
        <v>0</v>
      </c>
      <c r="Q382" t="n">
        <v>0</v>
      </c>
      <c r="R382" s="2" t="inlineStr"/>
    </row>
    <row r="383" ht="15" customHeight="1">
      <c r="A383" t="inlineStr">
        <is>
          <t>A 28827-2022</t>
        </is>
      </c>
      <c r="B383" s="1" t="n">
        <v>44749.45561342593</v>
      </c>
      <c r="C383" s="1" t="n">
        <v>45937</v>
      </c>
      <c r="D383" t="inlineStr">
        <is>
          <t>VÄSTMANLANDS LÄN</t>
        </is>
      </c>
      <c r="E383" t="inlineStr">
        <is>
          <t>SALA</t>
        </is>
      </c>
      <c r="F383" t="inlineStr">
        <is>
          <t>Kommuner</t>
        </is>
      </c>
      <c r="G383" t="n">
        <v>11.9</v>
      </c>
      <c r="H383" t="n">
        <v>0</v>
      </c>
      <c r="I383" t="n">
        <v>0</v>
      </c>
      <c r="J383" t="n">
        <v>0</v>
      </c>
      <c r="K383" t="n">
        <v>0</v>
      </c>
      <c r="L383" t="n">
        <v>0</v>
      </c>
      <c r="M383" t="n">
        <v>0</v>
      </c>
      <c r="N383" t="n">
        <v>0</v>
      </c>
      <c r="O383" t="n">
        <v>0</v>
      </c>
      <c r="P383" t="n">
        <v>0</v>
      </c>
      <c r="Q383" t="n">
        <v>0</v>
      </c>
      <c r="R383" s="2" t="inlineStr"/>
    </row>
    <row r="384" ht="15" customHeight="1">
      <c r="A384" t="inlineStr">
        <is>
          <t>A 15756-2025</t>
        </is>
      </c>
      <c r="B384" s="1" t="n">
        <v>45748.56810185185</v>
      </c>
      <c r="C384" s="1" t="n">
        <v>45937</v>
      </c>
      <c r="D384" t="inlineStr">
        <is>
          <t>VÄSTMANLANDS LÄN</t>
        </is>
      </c>
      <c r="E384" t="inlineStr">
        <is>
          <t>SALA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50801-2020</t>
        </is>
      </c>
      <c r="B385" s="1" t="n">
        <v>44111</v>
      </c>
      <c r="C385" s="1" t="n">
        <v>45937</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21159-2022</t>
        </is>
      </c>
      <c r="B386" s="1" t="n">
        <v>44704</v>
      </c>
      <c r="C386" s="1" t="n">
        <v>45937</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19243-2025</t>
        </is>
      </c>
      <c r="B387" s="1" t="n">
        <v>45769</v>
      </c>
      <c r="C387" s="1" t="n">
        <v>45937</v>
      </c>
      <c r="D387" t="inlineStr">
        <is>
          <t>VÄSTMANLANDS LÄN</t>
        </is>
      </c>
      <c r="E387" t="inlineStr">
        <is>
          <t>SALA</t>
        </is>
      </c>
      <c r="F387" t="inlineStr">
        <is>
          <t>Bergvik skog öst AB</t>
        </is>
      </c>
      <c r="G387" t="n">
        <v>1.5</v>
      </c>
      <c r="H387" t="n">
        <v>0</v>
      </c>
      <c r="I387" t="n">
        <v>0</v>
      </c>
      <c r="J387" t="n">
        <v>0</v>
      </c>
      <c r="K387" t="n">
        <v>0</v>
      </c>
      <c r="L387" t="n">
        <v>0</v>
      </c>
      <c r="M387" t="n">
        <v>0</v>
      </c>
      <c r="N387" t="n">
        <v>0</v>
      </c>
      <c r="O387" t="n">
        <v>0</v>
      </c>
      <c r="P387" t="n">
        <v>0</v>
      </c>
      <c r="Q387" t="n">
        <v>0</v>
      </c>
      <c r="R387" s="2" t="inlineStr"/>
    </row>
    <row r="388" ht="15" customHeight="1">
      <c r="A388" t="inlineStr">
        <is>
          <t>A 59297-2023</t>
        </is>
      </c>
      <c r="B388" s="1" t="n">
        <v>45253</v>
      </c>
      <c r="C388" s="1" t="n">
        <v>45937</v>
      </c>
      <c r="D388" t="inlineStr">
        <is>
          <t>VÄSTMANLANDS LÄN</t>
        </is>
      </c>
      <c r="E388" t="inlineStr">
        <is>
          <t>SALA</t>
        </is>
      </c>
      <c r="G388" t="n">
        <v>2</v>
      </c>
      <c r="H388" t="n">
        <v>0</v>
      </c>
      <c r="I388" t="n">
        <v>0</v>
      </c>
      <c r="J388" t="n">
        <v>0</v>
      </c>
      <c r="K388" t="n">
        <v>0</v>
      </c>
      <c r="L388" t="n">
        <v>0</v>
      </c>
      <c r="M388" t="n">
        <v>0</v>
      </c>
      <c r="N388" t="n">
        <v>0</v>
      </c>
      <c r="O388" t="n">
        <v>0</v>
      </c>
      <c r="P388" t="n">
        <v>0</v>
      </c>
      <c r="Q388" t="n">
        <v>0</v>
      </c>
      <c r="R388" s="2" t="inlineStr"/>
    </row>
    <row r="389" ht="15" customHeight="1">
      <c r="A389" t="inlineStr">
        <is>
          <t>A 39182-2025</t>
        </is>
      </c>
      <c r="B389" s="1" t="n">
        <v>45888.66204861111</v>
      </c>
      <c r="C389" s="1" t="n">
        <v>45937</v>
      </c>
      <c r="D389" t="inlineStr">
        <is>
          <t>VÄSTMANLANDS LÄN</t>
        </is>
      </c>
      <c r="E389" t="inlineStr">
        <is>
          <t>SALA</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29085-2025</t>
        </is>
      </c>
      <c r="B390" s="1" t="n">
        <v>45821</v>
      </c>
      <c r="C390" s="1" t="n">
        <v>45937</v>
      </c>
      <c r="D390" t="inlineStr">
        <is>
          <t>VÄSTMANLANDS LÄN</t>
        </is>
      </c>
      <c r="E390" t="inlineStr">
        <is>
          <t>SALA</t>
        </is>
      </c>
      <c r="G390" t="n">
        <v>3.5</v>
      </c>
      <c r="H390" t="n">
        <v>0</v>
      </c>
      <c r="I390" t="n">
        <v>0</v>
      </c>
      <c r="J390" t="n">
        <v>0</v>
      </c>
      <c r="K390" t="n">
        <v>0</v>
      </c>
      <c r="L390" t="n">
        <v>0</v>
      </c>
      <c r="M390" t="n">
        <v>0</v>
      </c>
      <c r="N390" t="n">
        <v>0</v>
      </c>
      <c r="O390" t="n">
        <v>0</v>
      </c>
      <c r="P390" t="n">
        <v>0</v>
      </c>
      <c r="Q390" t="n">
        <v>0</v>
      </c>
      <c r="R390" s="2" t="inlineStr"/>
    </row>
    <row r="391" ht="15" customHeight="1">
      <c r="A391" t="inlineStr">
        <is>
          <t>A 6136-2025</t>
        </is>
      </c>
      <c r="B391" s="1" t="n">
        <v>45698.37601851852</v>
      </c>
      <c r="C391" s="1" t="n">
        <v>45937</v>
      </c>
      <c r="D391" t="inlineStr">
        <is>
          <t>VÄSTMANLANDS LÄN</t>
        </is>
      </c>
      <c r="E391" t="inlineStr">
        <is>
          <t>SALA</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6190-2025</t>
        </is>
      </c>
      <c r="B392" s="1" t="n">
        <v>45698</v>
      </c>
      <c r="C392" s="1" t="n">
        <v>45937</v>
      </c>
      <c r="D392" t="inlineStr">
        <is>
          <t>VÄSTMANLANDS LÄN</t>
        </is>
      </c>
      <c r="E392" t="inlineStr">
        <is>
          <t>SALA</t>
        </is>
      </c>
      <c r="F392" t="inlineStr">
        <is>
          <t>Bergvik skog öst AB</t>
        </is>
      </c>
      <c r="G392" t="n">
        <v>4.6</v>
      </c>
      <c r="H392" t="n">
        <v>0</v>
      </c>
      <c r="I392" t="n">
        <v>0</v>
      </c>
      <c r="J392" t="n">
        <v>0</v>
      </c>
      <c r="K392" t="n">
        <v>0</v>
      </c>
      <c r="L392" t="n">
        <v>0</v>
      </c>
      <c r="M392" t="n">
        <v>0</v>
      </c>
      <c r="N392" t="n">
        <v>0</v>
      </c>
      <c r="O392" t="n">
        <v>0</v>
      </c>
      <c r="P392" t="n">
        <v>0</v>
      </c>
      <c r="Q392" t="n">
        <v>0</v>
      </c>
      <c r="R392" s="2" t="inlineStr"/>
    </row>
    <row r="393" ht="15" customHeight="1">
      <c r="A393" t="inlineStr">
        <is>
          <t>A 46279-2021</t>
        </is>
      </c>
      <c r="B393" s="1" t="n">
        <v>44442.57797453704</v>
      </c>
      <c r="C393" s="1" t="n">
        <v>45937</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41292-2021</t>
        </is>
      </c>
      <c r="B394" s="1" t="n">
        <v>44424</v>
      </c>
      <c r="C394" s="1" t="n">
        <v>45937</v>
      </c>
      <c r="D394" t="inlineStr">
        <is>
          <t>VÄSTMANLANDS LÄN</t>
        </is>
      </c>
      <c r="E394" t="inlineStr">
        <is>
          <t>SALA</t>
        </is>
      </c>
      <c r="G394" t="n">
        <v>0.3</v>
      </c>
      <c r="H394" t="n">
        <v>0</v>
      </c>
      <c r="I394" t="n">
        <v>0</v>
      </c>
      <c r="J394" t="n">
        <v>0</v>
      </c>
      <c r="K394" t="n">
        <v>0</v>
      </c>
      <c r="L394" t="n">
        <v>0</v>
      </c>
      <c r="M394" t="n">
        <v>0</v>
      </c>
      <c r="N394" t="n">
        <v>0</v>
      </c>
      <c r="O394" t="n">
        <v>0</v>
      </c>
      <c r="P394" t="n">
        <v>0</v>
      </c>
      <c r="Q394" t="n">
        <v>0</v>
      </c>
      <c r="R394" s="2" t="inlineStr"/>
    </row>
    <row r="395" ht="15" customHeight="1">
      <c r="A395" t="inlineStr">
        <is>
          <t>A 46915-2025</t>
        </is>
      </c>
      <c r="B395" s="1" t="n">
        <v>45929.42114583333</v>
      </c>
      <c r="C395" s="1" t="n">
        <v>45937</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60328-2024</t>
        </is>
      </c>
      <c r="B396" s="1" t="n">
        <v>45643.38416666666</v>
      </c>
      <c r="C396" s="1" t="n">
        <v>45937</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28863-2022</t>
        </is>
      </c>
      <c r="B397" s="1" t="n">
        <v>44749.50649305555</v>
      </c>
      <c r="C397" s="1" t="n">
        <v>45937</v>
      </c>
      <c r="D397" t="inlineStr">
        <is>
          <t>VÄSTMANLANDS LÄN</t>
        </is>
      </c>
      <c r="E397" t="inlineStr">
        <is>
          <t>SALA</t>
        </is>
      </c>
      <c r="G397" t="n">
        <v>1.6</v>
      </c>
      <c r="H397" t="n">
        <v>0</v>
      </c>
      <c r="I397" t="n">
        <v>0</v>
      </c>
      <c r="J397" t="n">
        <v>0</v>
      </c>
      <c r="K397" t="n">
        <v>0</v>
      </c>
      <c r="L397" t="n">
        <v>0</v>
      </c>
      <c r="M397" t="n">
        <v>0</v>
      </c>
      <c r="N397" t="n">
        <v>0</v>
      </c>
      <c r="O397" t="n">
        <v>0</v>
      </c>
      <c r="P397" t="n">
        <v>0</v>
      </c>
      <c r="Q397" t="n">
        <v>0</v>
      </c>
      <c r="R397" s="2" t="inlineStr"/>
    </row>
    <row r="398" ht="15" customHeight="1">
      <c r="A398" t="inlineStr">
        <is>
          <t>A 60541-2024</t>
        </is>
      </c>
      <c r="B398" s="1" t="n">
        <v>45643</v>
      </c>
      <c r="C398" s="1" t="n">
        <v>45937</v>
      </c>
      <c r="D398" t="inlineStr">
        <is>
          <t>VÄSTMANLANDS LÄN</t>
        </is>
      </c>
      <c r="E398" t="inlineStr">
        <is>
          <t>SALA</t>
        </is>
      </c>
      <c r="G398" t="n">
        <v>10.6</v>
      </c>
      <c r="H398" t="n">
        <v>0</v>
      </c>
      <c r="I398" t="n">
        <v>0</v>
      </c>
      <c r="J398" t="n">
        <v>0</v>
      </c>
      <c r="K398" t="n">
        <v>0</v>
      </c>
      <c r="L398" t="n">
        <v>0</v>
      </c>
      <c r="M398" t="n">
        <v>0</v>
      </c>
      <c r="N398" t="n">
        <v>0</v>
      </c>
      <c r="O398" t="n">
        <v>0</v>
      </c>
      <c r="P398" t="n">
        <v>0</v>
      </c>
      <c r="Q398" t="n">
        <v>0</v>
      </c>
      <c r="R398" s="2" t="inlineStr"/>
    </row>
    <row r="399" ht="15" customHeight="1">
      <c r="A399" t="inlineStr">
        <is>
          <t>A 29826-2025</t>
        </is>
      </c>
      <c r="B399" s="1" t="n">
        <v>45825.85761574074</v>
      </c>
      <c r="C399" s="1" t="n">
        <v>45937</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46661-2025</t>
        </is>
      </c>
      <c r="B400" s="1" t="n">
        <v>45926</v>
      </c>
      <c r="C400" s="1" t="n">
        <v>45937</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31864-2025</t>
        </is>
      </c>
      <c r="B401" s="1" t="n">
        <v>45834.63819444444</v>
      </c>
      <c r="C401" s="1" t="n">
        <v>45937</v>
      </c>
      <c r="D401" t="inlineStr">
        <is>
          <t>VÄSTMANLANDS LÄN</t>
        </is>
      </c>
      <c r="E401" t="inlineStr">
        <is>
          <t>SALA</t>
        </is>
      </c>
      <c r="G401" t="n">
        <v>6.3</v>
      </c>
      <c r="H401" t="n">
        <v>0</v>
      </c>
      <c r="I401" t="n">
        <v>0</v>
      </c>
      <c r="J401" t="n">
        <v>0</v>
      </c>
      <c r="K401" t="n">
        <v>0</v>
      </c>
      <c r="L401" t="n">
        <v>0</v>
      </c>
      <c r="M401" t="n">
        <v>0</v>
      </c>
      <c r="N401" t="n">
        <v>0</v>
      </c>
      <c r="O401" t="n">
        <v>0</v>
      </c>
      <c r="P401" t="n">
        <v>0</v>
      </c>
      <c r="Q401" t="n">
        <v>0</v>
      </c>
      <c r="R401" s="2" t="inlineStr"/>
    </row>
    <row r="402" ht="15" customHeight="1">
      <c r="A402" t="inlineStr">
        <is>
          <t>A 6088-2021</t>
        </is>
      </c>
      <c r="B402" s="1" t="n">
        <v>44232</v>
      </c>
      <c r="C402" s="1" t="n">
        <v>45937</v>
      </c>
      <c r="D402" t="inlineStr">
        <is>
          <t>VÄSTMANLANDS LÄN</t>
        </is>
      </c>
      <c r="E402" t="inlineStr">
        <is>
          <t>SALA</t>
        </is>
      </c>
      <c r="G402" t="n">
        <v>0.2</v>
      </c>
      <c r="H402" t="n">
        <v>0</v>
      </c>
      <c r="I402" t="n">
        <v>0</v>
      </c>
      <c r="J402" t="n">
        <v>0</v>
      </c>
      <c r="K402" t="n">
        <v>0</v>
      </c>
      <c r="L402" t="n">
        <v>0</v>
      </c>
      <c r="M402" t="n">
        <v>0</v>
      </c>
      <c r="N402" t="n">
        <v>0</v>
      </c>
      <c r="O402" t="n">
        <v>0</v>
      </c>
      <c r="P402" t="n">
        <v>0</v>
      </c>
      <c r="Q402" t="n">
        <v>0</v>
      </c>
      <c r="R402" s="2" t="inlineStr"/>
    </row>
    <row r="403" ht="15" customHeight="1">
      <c r="A403" t="inlineStr">
        <is>
          <t>A 33273-2023</t>
        </is>
      </c>
      <c r="B403" s="1" t="n">
        <v>45127</v>
      </c>
      <c r="C403" s="1" t="n">
        <v>45937</v>
      </c>
      <c r="D403" t="inlineStr">
        <is>
          <t>VÄSTMANLANDS LÄN</t>
        </is>
      </c>
      <c r="E403" t="inlineStr">
        <is>
          <t>SALA</t>
        </is>
      </c>
      <c r="G403" t="n">
        <v>2.6</v>
      </c>
      <c r="H403" t="n">
        <v>0</v>
      </c>
      <c r="I403" t="n">
        <v>0</v>
      </c>
      <c r="J403" t="n">
        <v>0</v>
      </c>
      <c r="K403" t="n">
        <v>0</v>
      </c>
      <c r="L403" t="n">
        <v>0</v>
      </c>
      <c r="M403" t="n">
        <v>0</v>
      </c>
      <c r="N403" t="n">
        <v>0</v>
      </c>
      <c r="O403" t="n">
        <v>0</v>
      </c>
      <c r="P403" t="n">
        <v>0</v>
      </c>
      <c r="Q403" t="n">
        <v>0</v>
      </c>
      <c r="R403" s="2" t="inlineStr"/>
    </row>
    <row r="404" ht="15" customHeight="1">
      <c r="A404" t="inlineStr">
        <is>
          <t>A 25541-2024</t>
        </is>
      </c>
      <c r="B404" s="1" t="n">
        <v>45463.56337962963</v>
      </c>
      <c r="C404" s="1" t="n">
        <v>45937</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29691-2025</t>
        </is>
      </c>
      <c r="B405" s="1" t="n">
        <v>45825.53645833334</v>
      </c>
      <c r="C405" s="1" t="n">
        <v>45937</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39167-2025</t>
        </is>
      </c>
      <c r="B406" s="1" t="n">
        <v>45888</v>
      </c>
      <c r="C406" s="1" t="n">
        <v>45937</v>
      </c>
      <c r="D406" t="inlineStr">
        <is>
          <t>VÄSTMANLANDS LÄN</t>
        </is>
      </c>
      <c r="E406" t="inlineStr">
        <is>
          <t>SALA</t>
        </is>
      </c>
      <c r="G406" t="n">
        <v>5.5</v>
      </c>
      <c r="H406" t="n">
        <v>0</v>
      </c>
      <c r="I406" t="n">
        <v>0</v>
      </c>
      <c r="J406" t="n">
        <v>0</v>
      </c>
      <c r="K406" t="n">
        <v>0</v>
      </c>
      <c r="L406" t="n">
        <v>0</v>
      </c>
      <c r="M406" t="n">
        <v>0</v>
      </c>
      <c r="N406" t="n">
        <v>0</v>
      </c>
      <c r="O406" t="n">
        <v>0</v>
      </c>
      <c r="P406" t="n">
        <v>0</v>
      </c>
      <c r="Q406" t="n">
        <v>0</v>
      </c>
      <c r="R406" s="2" t="inlineStr"/>
    </row>
    <row r="407" ht="15" customHeight="1">
      <c r="A407" t="inlineStr">
        <is>
          <t>A 29213-2022</t>
        </is>
      </c>
      <c r="B407" s="1" t="n">
        <v>44750.57474537037</v>
      </c>
      <c r="C407" s="1" t="n">
        <v>45937</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52498-2022</t>
        </is>
      </c>
      <c r="B408" s="1" t="n">
        <v>44874.50152777778</v>
      </c>
      <c r="C408" s="1" t="n">
        <v>45937</v>
      </c>
      <c r="D408" t="inlineStr">
        <is>
          <t>VÄSTMANLANDS LÄN</t>
        </is>
      </c>
      <c r="E408" t="inlineStr">
        <is>
          <t>SALA</t>
        </is>
      </c>
      <c r="G408" t="n">
        <v>2.1</v>
      </c>
      <c r="H408" t="n">
        <v>0</v>
      </c>
      <c r="I408" t="n">
        <v>0</v>
      </c>
      <c r="J408" t="n">
        <v>0</v>
      </c>
      <c r="K408" t="n">
        <v>0</v>
      </c>
      <c r="L408" t="n">
        <v>0</v>
      </c>
      <c r="M408" t="n">
        <v>0</v>
      </c>
      <c r="N408" t="n">
        <v>0</v>
      </c>
      <c r="O408" t="n">
        <v>0</v>
      </c>
      <c r="P408" t="n">
        <v>0</v>
      </c>
      <c r="Q408" t="n">
        <v>0</v>
      </c>
      <c r="R408" s="2" t="inlineStr"/>
    </row>
    <row r="409" ht="15" customHeight="1">
      <c r="A409" t="inlineStr">
        <is>
          <t>A 56964-2023</t>
        </is>
      </c>
      <c r="B409" s="1" t="n">
        <v>45244.63140046296</v>
      </c>
      <c r="C409" s="1" t="n">
        <v>45937</v>
      </c>
      <c r="D409" t="inlineStr">
        <is>
          <t>VÄSTMANLANDS LÄN</t>
        </is>
      </c>
      <c r="E409" t="inlineStr">
        <is>
          <t>SALA</t>
        </is>
      </c>
      <c r="G409" t="n">
        <v>4.6</v>
      </c>
      <c r="H409" t="n">
        <v>0</v>
      </c>
      <c r="I409" t="n">
        <v>0</v>
      </c>
      <c r="J409" t="n">
        <v>0</v>
      </c>
      <c r="K409" t="n">
        <v>0</v>
      </c>
      <c r="L409" t="n">
        <v>0</v>
      </c>
      <c r="M409" t="n">
        <v>0</v>
      </c>
      <c r="N409" t="n">
        <v>0</v>
      </c>
      <c r="O409" t="n">
        <v>0</v>
      </c>
      <c r="P409" t="n">
        <v>0</v>
      </c>
      <c r="Q409" t="n">
        <v>0</v>
      </c>
      <c r="R409" s="2" t="inlineStr"/>
    </row>
    <row r="410" ht="15" customHeight="1">
      <c r="A410" t="inlineStr">
        <is>
          <t>A 48057-2025</t>
        </is>
      </c>
      <c r="B410" s="1" t="n">
        <v>45932.67947916667</v>
      </c>
      <c r="C410" s="1" t="n">
        <v>45937</v>
      </c>
      <c r="D410" t="inlineStr">
        <is>
          <t>VÄSTMANLANDS LÄN</t>
        </is>
      </c>
      <c r="E410" t="inlineStr">
        <is>
          <t>SALA</t>
        </is>
      </c>
      <c r="G410" t="n">
        <v>4.3</v>
      </c>
      <c r="H410" t="n">
        <v>0</v>
      </c>
      <c r="I410" t="n">
        <v>0</v>
      </c>
      <c r="J410" t="n">
        <v>0</v>
      </c>
      <c r="K410" t="n">
        <v>0</v>
      </c>
      <c r="L410" t="n">
        <v>0</v>
      </c>
      <c r="M410" t="n">
        <v>0</v>
      </c>
      <c r="N410" t="n">
        <v>0</v>
      </c>
      <c r="O410" t="n">
        <v>0</v>
      </c>
      <c r="P410" t="n">
        <v>0</v>
      </c>
      <c r="Q410" t="n">
        <v>0</v>
      </c>
      <c r="R410" s="2" t="inlineStr"/>
    </row>
    <row r="411" ht="15" customHeight="1">
      <c r="A411" t="inlineStr">
        <is>
          <t>A 52827-2024</t>
        </is>
      </c>
      <c r="B411" s="1" t="n">
        <v>45610</v>
      </c>
      <c r="C411" s="1" t="n">
        <v>45937</v>
      </c>
      <c r="D411" t="inlineStr">
        <is>
          <t>VÄSTMANLANDS LÄN</t>
        </is>
      </c>
      <c r="E411" t="inlineStr">
        <is>
          <t>SALA</t>
        </is>
      </c>
      <c r="G411" t="n">
        <v>0.2</v>
      </c>
      <c r="H411" t="n">
        <v>0</v>
      </c>
      <c r="I411" t="n">
        <v>0</v>
      </c>
      <c r="J411" t="n">
        <v>0</v>
      </c>
      <c r="K411" t="n">
        <v>0</v>
      </c>
      <c r="L411" t="n">
        <v>0</v>
      </c>
      <c r="M411" t="n">
        <v>0</v>
      </c>
      <c r="N411" t="n">
        <v>0</v>
      </c>
      <c r="O411" t="n">
        <v>0</v>
      </c>
      <c r="P411" t="n">
        <v>0</v>
      </c>
      <c r="Q411" t="n">
        <v>0</v>
      </c>
      <c r="R411" s="2" t="inlineStr"/>
    </row>
    <row r="412" ht="15" customHeight="1">
      <c r="A412" t="inlineStr">
        <is>
          <t>A 53166-2024</t>
        </is>
      </c>
      <c r="B412" s="1" t="n">
        <v>45611</v>
      </c>
      <c r="C412" s="1" t="n">
        <v>45937</v>
      </c>
      <c r="D412" t="inlineStr">
        <is>
          <t>VÄSTMANLANDS LÄN</t>
        </is>
      </c>
      <c r="E412" t="inlineStr">
        <is>
          <t>SALA</t>
        </is>
      </c>
      <c r="G412" t="n">
        <v>1.5</v>
      </c>
      <c r="H412" t="n">
        <v>0</v>
      </c>
      <c r="I412" t="n">
        <v>0</v>
      </c>
      <c r="J412" t="n">
        <v>0</v>
      </c>
      <c r="K412" t="n">
        <v>0</v>
      </c>
      <c r="L412" t="n">
        <v>0</v>
      </c>
      <c r="M412" t="n">
        <v>0</v>
      </c>
      <c r="N412" t="n">
        <v>0</v>
      </c>
      <c r="O412" t="n">
        <v>0</v>
      </c>
      <c r="P412" t="n">
        <v>0</v>
      </c>
      <c r="Q412" t="n">
        <v>0</v>
      </c>
      <c r="R412" s="2" t="inlineStr"/>
    </row>
    <row r="413" ht="15" customHeight="1">
      <c r="A413" t="inlineStr">
        <is>
          <t>A 47577-2025</t>
        </is>
      </c>
      <c r="B413" s="1" t="n">
        <v>45931.4047337963</v>
      </c>
      <c r="C413" s="1" t="n">
        <v>45937</v>
      </c>
      <c r="D413" t="inlineStr">
        <is>
          <t>VÄSTMANLANDS LÄN</t>
        </is>
      </c>
      <c r="E413" t="inlineStr">
        <is>
          <t>SALA</t>
        </is>
      </c>
      <c r="G413" t="n">
        <v>3.7</v>
      </c>
      <c r="H413" t="n">
        <v>0</v>
      </c>
      <c r="I413" t="n">
        <v>0</v>
      </c>
      <c r="J413" t="n">
        <v>0</v>
      </c>
      <c r="K413" t="n">
        <v>0</v>
      </c>
      <c r="L413" t="n">
        <v>0</v>
      </c>
      <c r="M413" t="n">
        <v>0</v>
      </c>
      <c r="N413" t="n">
        <v>0</v>
      </c>
      <c r="O413" t="n">
        <v>0</v>
      </c>
      <c r="P413" t="n">
        <v>0</v>
      </c>
      <c r="Q413" t="n">
        <v>0</v>
      </c>
      <c r="R413" s="2" t="inlineStr"/>
    </row>
    <row r="414" ht="15" customHeight="1">
      <c r="A414" t="inlineStr">
        <is>
          <t>A 11244-2024</t>
        </is>
      </c>
      <c r="B414" s="1" t="n">
        <v>45371</v>
      </c>
      <c r="C414" s="1" t="n">
        <v>45937</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62654-2022</t>
        </is>
      </c>
      <c r="B415" s="1" t="n">
        <v>44917</v>
      </c>
      <c r="C415" s="1" t="n">
        <v>45937</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6135-2023</t>
        </is>
      </c>
      <c r="B416" s="1" t="n">
        <v>44964.62628472222</v>
      </c>
      <c r="C416" s="1" t="n">
        <v>45937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53864-2022</t>
        </is>
      </c>
      <c r="B417" s="1" t="n">
        <v>44880.64016203704</v>
      </c>
      <c r="C417" s="1" t="n">
        <v>45937</v>
      </c>
      <c r="D417" t="inlineStr">
        <is>
          <t>VÄSTMANLANDS LÄN</t>
        </is>
      </c>
      <c r="E417" t="inlineStr">
        <is>
          <t>SALA</t>
        </is>
      </c>
      <c r="G417" t="n">
        <v>5.9</v>
      </c>
      <c r="H417" t="n">
        <v>0</v>
      </c>
      <c r="I417" t="n">
        <v>0</v>
      </c>
      <c r="J417" t="n">
        <v>0</v>
      </c>
      <c r="K417" t="n">
        <v>0</v>
      </c>
      <c r="L417" t="n">
        <v>0</v>
      </c>
      <c r="M417" t="n">
        <v>0</v>
      </c>
      <c r="N417" t="n">
        <v>0</v>
      </c>
      <c r="O417" t="n">
        <v>0</v>
      </c>
      <c r="P417" t="n">
        <v>0</v>
      </c>
      <c r="Q417" t="n">
        <v>0</v>
      </c>
      <c r="R417" s="2" t="inlineStr"/>
    </row>
    <row r="418" ht="15" customHeight="1">
      <c r="A418" t="inlineStr">
        <is>
          <t>A 48710-2025</t>
        </is>
      </c>
      <c r="B418" s="1" t="n">
        <v>45936.63184027778</v>
      </c>
      <c r="C418" s="1" t="n">
        <v>45937</v>
      </c>
      <c r="D418" t="inlineStr">
        <is>
          <t>VÄSTMANLANDS LÄN</t>
        </is>
      </c>
      <c r="E418" t="inlineStr">
        <is>
          <t>SALA</t>
        </is>
      </c>
      <c r="G418" t="n">
        <v>2.7</v>
      </c>
      <c r="H418" t="n">
        <v>0</v>
      </c>
      <c r="I418" t="n">
        <v>0</v>
      </c>
      <c r="J418" t="n">
        <v>0</v>
      </c>
      <c r="K418" t="n">
        <v>0</v>
      </c>
      <c r="L418" t="n">
        <v>0</v>
      </c>
      <c r="M418" t="n">
        <v>0</v>
      </c>
      <c r="N418" t="n">
        <v>0</v>
      </c>
      <c r="O418" t="n">
        <v>0</v>
      </c>
      <c r="P418" t="n">
        <v>0</v>
      </c>
      <c r="Q418" t="n">
        <v>0</v>
      </c>
      <c r="R418" s="2" t="inlineStr"/>
    </row>
    <row r="419" ht="15" customHeight="1">
      <c r="A419" t="inlineStr">
        <is>
          <t>A 27255-2023</t>
        </is>
      </c>
      <c r="B419" s="1" t="n">
        <v>45096</v>
      </c>
      <c r="C419" s="1" t="n">
        <v>45937</v>
      </c>
      <c r="D419" t="inlineStr">
        <is>
          <t>VÄSTMANLANDS LÄN</t>
        </is>
      </c>
      <c r="E419" t="inlineStr">
        <is>
          <t>SALA</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30874-2025</t>
        </is>
      </c>
      <c r="B420" s="1" t="n">
        <v>45832.34430555555</v>
      </c>
      <c r="C420" s="1" t="n">
        <v>45937</v>
      </c>
      <c r="D420" t="inlineStr">
        <is>
          <t>VÄSTMANLANDS LÄN</t>
        </is>
      </c>
      <c r="E420" t="inlineStr">
        <is>
          <t>SALA</t>
        </is>
      </c>
      <c r="G420" t="n">
        <v>8.4</v>
      </c>
      <c r="H420" t="n">
        <v>0</v>
      </c>
      <c r="I420" t="n">
        <v>0</v>
      </c>
      <c r="J420" t="n">
        <v>0</v>
      </c>
      <c r="K420" t="n">
        <v>0</v>
      </c>
      <c r="L420" t="n">
        <v>0</v>
      </c>
      <c r="M420" t="n">
        <v>0</v>
      </c>
      <c r="N420" t="n">
        <v>0</v>
      </c>
      <c r="O420" t="n">
        <v>0</v>
      </c>
      <c r="P420" t="n">
        <v>0</v>
      </c>
      <c r="Q420" t="n">
        <v>0</v>
      </c>
      <c r="R420" s="2" t="inlineStr"/>
    </row>
    <row r="421" ht="15" customHeight="1">
      <c r="A421" t="inlineStr">
        <is>
          <t>A 30899-2025</t>
        </is>
      </c>
      <c r="B421" s="1" t="n">
        <v>45832.35767361111</v>
      </c>
      <c r="C421" s="1" t="n">
        <v>45937</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30866-2025</t>
        </is>
      </c>
      <c r="B422" s="1" t="n">
        <v>45832.3246875</v>
      </c>
      <c r="C422" s="1" t="n">
        <v>45937</v>
      </c>
      <c r="D422" t="inlineStr">
        <is>
          <t>VÄSTMANLANDS LÄN</t>
        </is>
      </c>
      <c r="E422" t="inlineStr">
        <is>
          <t>SALA</t>
        </is>
      </c>
      <c r="G422" t="n">
        <v>14.3</v>
      </c>
      <c r="H422" t="n">
        <v>0</v>
      </c>
      <c r="I422" t="n">
        <v>0</v>
      </c>
      <c r="J422" t="n">
        <v>0</v>
      </c>
      <c r="K422" t="n">
        <v>0</v>
      </c>
      <c r="L422" t="n">
        <v>0</v>
      </c>
      <c r="M422" t="n">
        <v>0</v>
      </c>
      <c r="N422" t="n">
        <v>0</v>
      </c>
      <c r="O422" t="n">
        <v>0</v>
      </c>
      <c r="P422" t="n">
        <v>0</v>
      </c>
      <c r="Q422" t="n">
        <v>0</v>
      </c>
      <c r="R422" s="2" t="inlineStr"/>
    </row>
    <row r="423" ht="15" customHeight="1">
      <c r="A423" t="inlineStr">
        <is>
          <t>A 60034-2024</t>
        </is>
      </c>
      <c r="B423" s="1" t="n">
        <v>45642.46261574074</v>
      </c>
      <c r="C423" s="1" t="n">
        <v>45937</v>
      </c>
      <c r="D423" t="inlineStr">
        <is>
          <t>VÄSTMANLANDS LÄN</t>
        </is>
      </c>
      <c r="E423" t="inlineStr">
        <is>
          <t>SALA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3810-2023</t>
        </is>
      </c>
      <c r="B424" s="1" t="n">
        <v>44951.60454861111</v>
      </c>
      <c r="C424" s="1" t="n">
        <v>45937</v>
      </c>
      <c r="D424" t="inlineStr">
        <is>
          <t>VÄSTMANLANDS LÄN</t>
        </is>
      </c>
      <c r="E424" t="inlineStr">
        <is>
          <t>SALA</t>
        </is>
      </c>
      <c r="G424" t="n">
        <v>4.2</v>
      </c>
      <c r="H424" t="n">
        <v>0</v>
      </c>
      <c r="I424" t="n">
        <v>0</v>
      </c>
      <c r="J424" t="n">
        <v>0</v>
      </c>
      <c r="K424" t="n">
        <v>0</v>
      </c>
      <c r="L424" t="n">
        <v>0</v>
      </c>
      <c r="M424" t="n">
        <v>0</v>
      </c>
      <c r="N424" t="n">
        <v>0</v>
      </c>
      <c r="O424" t="n">
        <v>0</v>
      </c>
      <c r="P424" t="n">
        <v>0</v>
      </c>
      <c r="Q424" t="n">
        <v>0</v>
      </c>
      <c r="R424" s="2" t="inlineStr"/>
    </row>
    <row r="425" ht="15" customHeight="1">
      <c r="A425" t="inlineStr">
        <is>
          <t>A 31065-2025</t>
        </is>
      </c>
      <c r="B425" s="1" t="n">
        <v>45832.57571759259</v>
      </c>
      <c r="C425" s="1" t="n">
        <v>45937</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1555-2024</t>
        </is>
      </c>
      <c r="B426" s="1" t="n">
        <v>45306</v>
      </c>
      <c r="C426" s="1" t="n">
        <v>45937</v>
      </c>
      <c r="D426" t="inlineStr">
        <is>
          <t>VÄSTMANLANDS LÄN</t>
        </is>
      </c>
      <c r="E426" t="inlineStr">
        <is>
          <t>SALA</t>
        </is>
      </c>
      <c r="G426" t="n">
        <v>1.3</v>
      </c>
      <c r="H426" t="n">
        <v>0</v>
      </c>
      <c r="I426" t="n">
        <v>0</v>
      </c>
      <c r="J426" t="n">
        <v>0</v>
      </c>
      <c r="K426" t="n">
        <v>0</v>
      </c>
      <c r="L426" t="n">
        <v>0</v>
      </c>
      <c r="M426" t="n">
        <v>0</v>
      </c>
      <c r="N426" t="n">
        <v>0</v>
      </c>
      <c r="O426" t="n">
        <v>0</v>
      </c>
      <c r="P426" t="n">
        <v>0</v>
      </c>
      <c r="Q426" t="n">
        <v>0</v>
      </c>
      <c r="R426" s="2" t="inlineStr"/>
    </row>
    <row r="427" ht="15" customHeight="1">
      <c r="A427" t="inlineStr">
        <is>
          <t>A 13188-2025</t>
        </is>
      </c>
      <c r="B427" s="1" t="n">
        <v>45735.39246527778</v>
      </c>
      <c r="C427" s="1" t="n">
        <v>45937</v>
      </c>
      <c r="D427" t="inlineStr">
        <is>
          <t>VÄSTMANLANDS LÄN</t>
        </is>
      </c>
      <c r="E427" t="inlineStr">
        <is>
          <t>SALA</t>
        </is>
      </c>
      <c r="F427" t="inlineStr">
        <is>
          <t>Naturvårdsverket</t>
        </is>
      </c>
      <c r="G427" t="n">
        <v>18.4</v>
      </c>
      <c r="H427" t="n">
        <v>0</v>
      </c>
      <c r="I427" t="n">
        <v>0</v>
      </c>
      <c r="J427" t="n">
        <v>0</v>
      </c>
      <c r="K427" t="n">
        <v>0</v>
      </c>
      <c r="L427" t="n">
        <v>0</v>
      </c>
      <c r="M427" t="n">
        <v>0</v>
      </c>
      <c r="N427" t="n">
        <v>0</v>
      </c>
      <c r="O427" t="n">
        <v>0</v>
      </c>
      <c r="P427" t="n">
        <v>0</v>
      </c>
      <c r="Q427" t="n">
        <v>0</v>
      </c>
      <c r="R427" s="2" t="inlineStr"/>
    </row>
    <row r="428" ht="15" customHeight="1">
      <c r="A428" t="inlineStr">
        <is>
          <t>A 31612-2025</t>
        </is>
      </c>
      <c r="B428" s="1" t="n">
        <v>45833.80056712963</v>
      </c>
      <c r="C428" s="1" t="n">
        <v>45937</v>
      </c>
      <c r="D428" t="inlineStr">
        <is>
          <t>VÄSTMANLANDS LÄN</t>
        </is>
      </c>
      <c r="E428" t="inlineStr">
        <is>
          <t>SALA</t>
        </is>
      </c>
      <c r="G428" t="n">
        <v>6.3</v>
      </c>
      <c r="H428" t="n">
        <v>0</v>
      </c>
      <c r="I428" t="n">
        <v>0</v>
      </c>
      <c r="J428" t="n">
        <v>0</v>
      </c>
      <c r="K428" t="n">
        <v>0</v>
      </c>
      <c r="L428" t="n">
        <v>0</v>
      </c>
      <c r="M428" t="n">
        <v>0</v>
      </c>
      <c r="N428" t="n">
        <v>0</v>
      </c>
      <c r="O428" t="n">
        <v>0</v>
      </c>
      <c r="P428" t="n">
        <v>0</v>
      </c>
      <c r="Q428" t="n">
        <v>0</v>
      </c>
      <c r="R428" s="2" t="inlineStr"/>
    </row>
    <row r="429" ht="15" customHeight="1">
      <c r="A429" t="inlineStr">
        <is>
          <t>A 31748-2025</t>
        </is>
      </c>
      <c r="B429" s="1" t="n">
        <v>45834</v>
      </c>
      <c r="C429" s="1" t="n">
        <v>45937</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31288-2025</t>
        </is>
      </c>
      <c r="B430" s="1" t="n">
        <v>45833</v>
      </c>
      <c r="C430" s="1" t="n">
        <v>45937</v>
      </c>
      <c r="D430" t="inlineStr">
        <is>
          <t>VÄSTMANLANDS LÄN</t>
        </is>
      </c>
      <c r="E430" t="inlineStr">
        <is>
          <t>SALA</t>
        </is>
      </c>
      <c r="G430" t="n">
        <v>3.1</v>
      </c>
      <c r="H430" t="n">
        <v>0</v>
      </c>
      <c r="I430" t="n">
        <v>0</v>
      </c>
      <c r="J430" t="n">
        <v>0</v>
      </c>
      <c r="K430" t="n">
        <v>0</v>
      </c>
      <c r="L430" t="n">
        <v>0</v>
      </c>
      <c r="M430" t="n">
        <v>0</v>
      </c>
      <c r="N430" t="n">
        <v>0</v>
      </c>
      <c r="O430" t="n">
        <v>0</v>
      </c>
      <c r="P430" t="n">
        <v>0</v>
      </c>
      <c r="Q430" t="n">
        <v>0</v>
      </c>
      <c r="R430" s="2" t="inlineStr"/>
    </row>
    <row r="431" ht="15" customHeight="1">
      <c r="A431" t="inlineStr">
        <is>
          <t>A 7197-2025</t>
        </is>
      </c>
      <c r="B431" s="1" t="n">
        <v>45702</v>
      </c>
      <c r="C431" s="1" t="n">
        <v>45937</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31771-2025</t>
        </is>
      </c>
      <c r="B432" s="1" t="n">
        <v>45834.50910879629</v>
      </c>
      <c r="C432" s="1" t="n">
        <v>45937</v>
      </c>
      <c r="D432" t="inlineStr">
        <is>
          <t>VÄSTMANLANDS LÄN</t>
        </is>
      </c>
      <c r="E432" t="inlineStr">
        <is>
          <t>SALA</t>
        </is>
      </c>
      <c r="G432" t="n">
        <v>5.1</v>
      </c>
      <c r="H432" t="n">
        <v>0</v>
      </c>
      <c r="I432" t="n">
        <v>0</v>
      </c>
      <c r="J432" t="n">
        <v>0</v>
      </c>
      <c r="K432" t="n">
        <v>0</v>
      </c>
      <c r="L432" t="n">
        <v>0</v>
      </c>
      <c r="M432" t="n">
        <v>0</v>
      </c>
      <c r="N432" t="n">
        <v>0</v>
      </c>
      <c r="O432" t="n">
        <v>0</v>
      </c>
      <c r="P432" t="n">
        <v>0</v>
      </c>
      <c r="Q432" t="n">
        <v>0</v>
      </c>
      <c r="R432" s="2" t="inlineStr"/>
    </row>
    <row r="433" ht="15" customHeight="1">
      <c r="A433" t="inlineStr">
        <is>
          <t>A 31860-2025</t>
        </is>
      </c>
      <c r="B433" s="1" t="n">
        <v>45834</v>
      </c>
      <c r="C433" s="1" t="n">
        <v>45937</v>
      </c>
      <c r="D433" t="inlineStr">
        <is>
          <t>VÄSTMANLANDS LÄN</t>
        </is>
      </c>
      <c r="E433" t="inlineStr">
        <is>
          <t>SALA</t>
        </is>
      </c>
      <c r="G433" t="n">
        <v>7.4</v>
      </c>
      <c r="H433" t="n">
        <v>0</v>
      </c>
      <c r="I433" t="n">
        <v>0</v>
      </c>
      <c r="J433" t="n">
        <v>0</v>
      </c>
      <c r="K433" t="n">
        <v>0</v>
      </c>
      <c r="L433" t="n">
        <v>0</v>
      </c>
      <c r="M433" t="n">
        <v>0</v>
      </c>
      <c r="N433" t="n">
        <v>0</v>
      </c>
      <c r="O433" t="n">
        <v>0</v>
      </c>
      <c r="P433" t="n">
        <v>0</v>
      </c>
      <c r="Q433" t="n">
        <v>0</v>
      </c>
      <c r="R433" s="2" t="inlineStr"/>
    </row>
    <row r="434" ht="15" customHeight="1">
      <c r="A434" t="inlineStr">
        <is>
          <t>A 52503-2024</t>
        </is>
      </c>
      <c r="B434" s="1" t="n">
        <v>45609.58806712963</v>
      </c>
      <c r="C434" s="1" t="n">
        <v>45937</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31554-2025</t>
        </is>
      </c>
      <c r="B435" s="1" t="n">
        <v>45833</v>
      </c>
      <c r="C435" s="1" t="n">
        <v>45937</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2521-2025</t>
        </is>
      </c>
      <c r="B436" s="1" t="n">
        <v>45674</v>
      </c>
      <c r="C436" s="1" t="n">
        <v>45937</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31762-2025</t>
        </is>
      </c>
      <c r="B437" s="1" t="n">
        <v>45834.49288194445</v>
      </c>
      <c r="C437" s="1" t="n">
        <v>45937</v>
      </c>
      <c r="D437" t="inlineStr">
        <is>
          <t>VÄSTMANLANDS LÄN</t>
        </is>
      </c>
      <c r="E437" t="inlineStr">
        <is>
          <t>SALA</t>
        </is>
      </c>
      <c r="G437" t="n">
        <v>5.9</v>
      </c>
      <c r="H437" t="n">
        <v>0</v>
      </c>
      <c r="I437" t="n">
        <v>0</v>
      </c>
      <c r="J437" t="n">
        <v>0</v>
      </c>
      <c r="K437" t="n">
        <v>0</v>
      </c>
      <c r="L437" t="n">
        <v>0</v>
      </c>
      <c r="M437" t="n">
        <v>0</v>
      </c>
      <c r="N437" t="n">
        <v>0</v>
      </c>
      <c r="O437" t="n">
        <v>0</v>
      </c>
      <c r="P437" t="n">
        <v>0</v>
      </c>
      <c r="Q437" t="n">
        <v>0</v>
      </c>
      <c r="R437" s="2" t="inlineStr"/>
    </row>
    <row r="438" ht="15" customHeight="1">
      <c r="A438" t="inlineStr">
        <is>
          <t>A 31608-2025</t>
        </is>
      </c>
      <c r="B438" s="1" t="n">
        <v>45833</v>
      </c>
      <c r="C438" s="1" t="n">
        <v>45937</v>
      </c>
      <c r="D438" t="inlineStr">
        <is>
          <t>VÄSTMANLANDS LÄN</t>
        </is>
      </c>
      <c r="E438" t="inlineStr">
        <is>
          <t>SALA</t>
        </is>
      </c>
      <c r="G438" t="n">
        <v>6.1</v>
      </c>
      <c r="H438" t="n">
        <v>0</v>
      </c>
      <c r="I438" t="n">
        <v>0</v>
      </c>
      <c r="J438" t="n">
        <v>0</v>
      </c>
      <c r="K438" t="n">
        <v>0</v>
      </c>
      <c r="L438" t="n">
        <v>0</v>
      </c>
      <c r="M438" t="n">
        <v>0</v>
      </c>
      <c r="N438" t="n">
        <v>0</v>
      </c>
      <c r="O438" t="n">
        <v>0</v>
      </c>
      <c r="P438" t="n">
        <v>0</v>
      </c>
      <c r="Q438" t="n">
        <v>0</v>
      </c>
      <c r="R438" s="2" t="inlineStr"/>
    </row>
    <row r="439" ht="15" customHeight="1">
      <c r="A439" t="inlineStr">
        <is>
          <t>A 31610-2025</t>
        </is>
      </c>
      <c r="B439" s="1" t="n">
        <v>45833.78650462963</v>
      </c>
      <c r="C439" s="1" t="n">
        <v>45937</v>
      </c>
      <c r="D439" t="inlineStr">
        <is>
          <t>VÄSTMANLANDS LÄN</t>
        </is>
      </c>
      <c r="E439" t="inlineStr">
        <is>
          <t>SALA</t>
        </is>
      </c>
      <c r="G439" t="n">
        <v>8</v>
      </c>
      <c r="H439" t="n">
        <v>0</v>
      </c>
      <c r="I439" t="n">
        <v>0</v>
      </c>
      <c r="J439" t="n">
        <v>0</v>
      </c>
      <c r="K439" t="n">
        <v>0</v>
      </c>
      <c r="L439" t="n">
        <v>0</v>
      </c>
      <c r="M439" t="n">
        <v>0</v>
      </c>
      <c r="N439" t="n">
        <v>0</v>
      </c>
      <c r="O439" t="n">
        <v>0</v>
      </c>
      <c r="P439" t="n">
        <v>0</v>
      </c>
      <c r="Q439" t="n">
        <v>0</v>
      </c>
      <c r="R439" s="2" t="inlineStr"/>
    </row>
    <row r="440" ht="15" customHeight="1">
      <c r="A440" t="inlineStr">
        <is>
          <t>A 15099-2025</t>
        </is>
      </c>
      <c r="B440" s="1" t="n">
        <v>45744.3434837963</v>
      </c>
      <c r="C440" s="1" t="n">
        <v>45937</v>
      </c>
      <c r="D440" t="inlineStr">
        <is>
          <t>VÄSTMANLANDS LÄN</t>
        </is>
      </c>
      <c r="E440" t="inlineStr">
        <is>
          <t>SALA</t>
        </is>
      </c>
      <c r="F440" t="inlineStr">
        <is>
          <t>Sveaskog</t>
        </is>
      </c>
      <c r="G440" t="n">
        <v>14.4</v>
      </c>
      <c r="H440" t="n">
        <v>0</v>
      </c>
      <c r="I440" t="n">
        <v>0</v>
      </c>
      <c r="J440" t="n">
        <v>0</v>
      </c>
      <c r="K440" t="n">
        <v>0</v>
      </c>
      <c r="L440" t="n">
        <v>0</v>
      </c>
      <c r="M440" t="n">
        <v>0</v>
      </c>
      <c r="N440" t="n">
        <v>0</v>
      </c>
      <c r="O440" t="n">
        <v>0</v>
      </c>
      <c r="P440" t="n">
        <v>0</v>
      </c>
      <c r="Q440" t="n">
        <v>0</v>
      </c>
      <c r="R440" s="2" t="inlineStr"/>
    </row>
    <row r="441" ht="15" customHeight="1">
      <c r="A441" t="inlineStr">
        <is>
          <t>A 2928-2024</t>
        </is>
      </c>
      <c r="B441" s="1" t="n">
        <v>45315.59041666667</v>
      </c>
      <c r="C441" s="1" t="n">
        <v>45937</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31296-2025</t>
        </is>
      </c>
      <c r="B442" s="1" t="n">
        <v>45833.36765046296</v>
      </c>
      <c r="C442" s="1" t="n">
        <v>45937</v>
      </c>
      <c r="D442" t="inlineStr">
        <is>
          <t>VÄSTMANLANDS LÄN</t>
        </is>
      </c>
      <c r="E442" t="inlineStr">
        <is>
          <t>SALA</t>
        </is>
      </c>
      <c r="G442" t="n">
        <v>3.7</v>
      </c>
      <c r="H442" t="n">
        <v>0</v>
      </c>
      <c r="I442" t="n">
        <v>0</v>
      </c>
      <c r="J442" t="n">
        <v>0</v>
      </c>
      <c r="K442" t="n">
        <v>0</v>
      </c>
      <c r="L442" t="n">
        <v>0</v>
      </c>
      <c r="M442" t="n">
        <v>0</v>
      </c>
      <c r="N442" t="n">
        <v>0</v>
      </c>
      <c r="O442" t="n">
        <v>0</v>
      </c>
      <c r="P442" t="n">
        <v>0</v>
      </c>
      <c r="Q442" t="n">
        <v>0</v>
      </c>
      <c r="R442" s="2" t="inlineStr"/>
    </row>
    <row r="443" ht="15" customHeight="1">
      <c r="A443" t="inlineStr">
        <is>
          <t>A 31573-2025</t>
        </is>
      </c>
      <c r="B443" s="1" t="n">
        <v>45833</v>
      </c>
      <c r="C443" s="1" t="n">
        <v>45937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31000-2022</t>
        </is>
      </c>
      <c r="B444" s="1" t="n">
        <v>44768</v>
      </c>
      <c r="C444" s="1" t="n">
        <v>45937</v>
      </c>
      <c r="D444" t="inlineStr">
        <is>
          <t>VÄSTMANLANDS LÄN</t>
        </is>
      </c>
      <c r="E444" t="inlineStr">
        <is>
          <t>SALA</t>
        </is>
      </c>
      <c r="G444" t="n">
        <v>5.7</v>
      </c>
      <c r="H444" t="n">
        <v>0</v>
      </c>
      <c r="I444" t="n">
        <v>0</v>
      </c>
      <c r="J444" t="n">
        <v>0</v>
      </c>
      <c r="K444" t="n">
        <v>0</v>
      </c>
      <c r="L444" t="n">
        <v>0</v>
      </c>
      <c r="M444" t="n">
        <v>0</v>
      </c>
      <c r="N444" t="n">
        <v>0</v>
      </c>
      <c r="O444" t="n">
        <v>0</v>
      </c>
      <c r="P444" t="n">
        <v>0</v>
      </c>
      <c r="Q444" t="n">
        <v>0</v>
      </c>
      <c r="R444" s="2" t="inlineStr"/>
    </row>
    <row r="445" ht="15" customHeight="1">
      <c r="A445" t="inlineStr">
        <is>
          <t>A 9962-2025</t>
        </is>
      </c>
      <c r="B445" s="1" t="n">
        <v>45719.37072916667</v>
      </c>
      <c r="C445" s="1" t="n">
        <v>45937</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32201-2025</t>
        </is>
      </c>
      <c r="B446" s="1" t="n">
        <v>45835</v>
      </c>
      <c r="C446" s="1" t="n">
        <v>45937</v>
      </c>
      <c r="D446" t="inlineStr">
        <is>
          <t>VÄSTMANLANDS LÄN</t>
        </is>
      </c>
      <c r="E446" t="inlineStr">
        <is>
          <t>SALA</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32205-2025</t>
        </is>
      </c>
      <c r="B447" s="1" t="n">
        <v>45835</v>
      </c>
      <c r="C447" s="1" t="n">
        <v>45937</v>
      </c>
      <c r="D447" t="inlineStr">
        <is>
          <t>VÄSTMANLANDS LÄN</t>
        </is>
      </c>
      <c r="E447" t="inlineStr">
        <is>
          <t>SALA</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32210-2025</t>
        </is>
      </c>
      <c r="B448" s="1" t="n">
        <v>45835</v>
      </c>
      <c r="C448" s="1" t="n">
        <v>45937</v>
      </c>
      <c r="D448" t="inlineStr">
        <is>
          <t>VÄSTMANLANDS LÄN</t>
        </is>
      </c>
      <c r="E448" t="inlineStr">
        <is>
          <t>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14024-2025</t>
        </is>
      </c>
      <c r="B449" s="1" t="n">
        <v>45740.34650462963</v>
      </c>
      <c r="C449" s="1" t="n">
        <v>45937</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32286-2025</t>
        </is>
      </c>
      <c r="B450" s="1" t="n">
        <v>45835</v>
      </c>
      <c r="C450" s="1" t="n">
        <v>45937</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3551-2024</t>
        </is>
      </c>
      <c r="B451" s="1" t="n">
        <v>45320.61099537037</v>
      </c>
      <c r="C451" s="1" t="n">
        <v>45937</v>
      </c>
      <c r="D451" t="inlineStr">
        <is>
          <t>VÄSTMANLANDS LÄN</t>
        </is>
      </c>
      <c r="E451" t="inlineStr">
        <is>
          <t>SALA</t>
        </is>
      </c>
      <c r="F451" t="inlineStr">
        <is>
          <t>Kommuner</t>
        </is>
      </c>
      <c r="G451" t="n">
        <v>6</v>
      </c>
      <c r="H451" t="n">
        <v>0</v>
      </c>
      <c r="I451" t="n">
        <v>0</v>
      </c>
      <c r="J451" t="n">
        <v>0</v>
      </c>
      <c r="K451" t="n">
        <v>0</v>
      </c>
      <c r="L451" t="n">
        <v>0</v>
      </c>
      <c r="M451" t="n">
        <v>0</v>
      </c>
      <c r="N451" t="n">
        <v>0</v>
      </c>
      <c r="O451" t="n">
        <v>0</v>
      </c>
      <c r="P451" t="n">
        <v>0</v>
      </c>
      <c r="Q451" t="n">
        <v>0</v>
      </c>
      <c r="R451" s="2" t="inlineStr"/>
    </row>
    <row r="452" ht="15" customHeight="1">
      <c r="A452" t="inlineStr">
        <is>
          <t>A 32207-2025</t>
        </is>
      </c>
      <c r="B452" s="1" t="n">
        <v>45835</v>
      </c>
      <c r="C452" s="1" t="n">
        <v>45937</v>
      </c>
      <c r="D452" t="inlineStr">
        <is>
          <t>VÄSTMANLANDS LÄN</t>
        </is>
      </c>
      <c r="E452" t="inlineStr">
        <is>
          <t>SALA</t>
        </is>
      </c>
      <c r="F452" t="inlineStr">
        <is>
          <t>Bergvik skog öst AB</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62635-2022</t>
        </is>
      </c>
      <c r="B453" s="1" t="n">
        <v>44917</v>
      </c>
      <c r="C453" s="1" t="n">
        <v>45937</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31950-2023</t>
        </is>
      </c>
      <c r="B454" s="1" t="n">
        <v>45107</v>
      </c>
      <c r="C454" s="1" t="n">
        <v>45937</v>
      </c>
      <c r="D454" t="inlineStr">
        <is>
          <t>VÄSTMANLANDS LÄN</t>
        </is>
      </c>
      <c r="E454" t="inlineStr">
        <is>
          <t>SALA</t>
        </is>
      </c>
      <c r="G454" t="n">
        <v>0.1</v>
      </c>
      <c r="H454" t="n">
        <v>0</v>
      </c>
      <c r="I454" t="n">
        <v>0</v>
      </c>
      <c r="J454" t="n">
        <v>0</v>
      </c>
      <c r="K454" t="n">
        <v>0</v>
      </c>
      <c r="L454" t="n">
        <v>0</v>
      </c>
      <c r="M454" t="n">
        <v>0</v>
      </c>
      <c r="N454" t="n">
        <v>0</v>
      </c>
      <c r="O454" t="n">
        <v>0</v>
      </c>
      <c r="P454" t="n">
        <v>0</v>
      </c>
      <c r="Q454" t="n">
        <v>0</v>
      </c>
      <c r="R454" s="2" t="inlineStr"/>
    </row>
    <row r="455" ht="15" customHeight="1">
      <c r="A455" t="inlineStr">
        <is>
          <t>A 32902-2025</t>
        </is>
      </c>
      <c r="B455" s="1" t="n">
        <v>45839</v>
      </c>
      <c r="C455" s="1" t="n">
        <v>45937</v>
      </c>
      <c r="D455" t="inlineStr">
        <is>
          <t>VÄSTMANLANDS LÄN</t>
        </is>
      </c>
      <c r="E455" t="inlineStr">
        <is>
          <t>SALA</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19304-2025</t>
        </is>
      </c>
      <c r="B456" s="1" t="n">
        <v>45769</v>
      </c>
      <c r="C456" s="1" t="n">
        <v>45937</v>
      </c>
      <c r="D456" t="inlineStr">
        <is>
          <t>VÄSTMANLANDS LÄN</t>
        </is>
      </c>
      <c r="E456" t="inlineStr">
        <is>
          <t>SALA</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56057-2023</t>
        </is>
      </c>
      <c r="B457" s="1" t="n">
        <v>45233</v>
      </c>
      <c r="C457" s="1" t="n">
        <v>45937</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16693-2023</t>
        </is>
      </c>
      <c r="B458" s="1" t="n">
        <v>45028</v>
      </c>
      <c r="C458" s="1" t="n">
        <v>45937</v>
      </c>
      <c r="D458" t="inlineStr">
        <is>
          <t>VÄSTMANLANDS LÄN</t>
        </is>
      </c>
      <c r="E458" t="inlineStr">
        <is>
          <t>SALA</t>
        </is>
      </c>
      <c r="G458" t="n">
        <v>1.5</v>
      </c>
      <c r="H458" t="n">
        <v>0</v>
      </c>
      <c r="I458" t="n">
        <v>0</v>
      </c>
      <c r="J458" t="n">
        <v>0</v>
      </c>
      <c r="K458" t="n">
        <v>0</v>
      </c>
      <c r="L458" t="n">
        <v>0</v>
      </c>
      <c r="M458" t="n">
        <v>0</v>
      </c>
      <c r="N458" t="n">
        <v>0</v>
      </c>
      <c r="O458" t="n">
        <v>0</v>
      </c>
      <c r="P458" t="n">
        <v>0</v>
      </c>
      <c r="Q458" t="n">
        <v>0</v>
      </c>
      <c r="R458" s="2" t="inlineStr"/>
    </row>
    <row r="459" ht="15" customHeight="1">
      <c r="A459" t="inlineStr">
        <is>
          <t>A 23182-2022</t>
        </is>
      </c>
      <c r="B459" s="1" t="n">
        <v>44719.79707175926</v>
      </c>
      <c r="C459" s="1" t="n">
        <v>45937</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57371-2022</t>
        </is>
      </c>
      <c r="B460" s="1" t="n">
        <v>44896.43832175926</v>
      </c>
      <c r="C460" s="1" t="n">
        <v>45937</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55024-2023</t>
        </is>
      </c>
      <c r="B461" s="1" t="n">
        <v>45229</v>
      </c>
      <c r="C461" s="1" t="n">
        <v>45937</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55032-2023</t>
        </is>
      </c>
      <c r="B462" s="1" t="n">
        <v>45229</v>
      </c>
      <c r="C462" s="1" t="n">
        <v>45937</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29248-2022</t>
        </is>
      </c>
      <c r="B463" s="1" t="n">
        <v>44750</v>
      </c>
      <c r="C463" s="1" t="n">
        <v>45937</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59175-2022</t>
        </is>
      </c>
      <c r="B464" s="1" t="n">
        <v>44904.48502314815</v>
      </c>
      <c r="C464" s="1" t="n">
        <v>45937</v>
      </c>
      <c r="D464" t="inlineStr">
        <is>
          <t>VÄSTMANLANDS LÄN</t>
        </is>
      </c>
      <c r="E464" t="inlineStr">
        <is>
          <t>SALA</t>
        </is>
      </c>
      <c r="G464" t="n">
        <v>2.1</v>
      </c>
      <c r="H464" t="n">
        <v>0</v>
      </c>
      <c r="I464" t="n">
        <v>0</v>
      </c>
      <c r="J464" t="n">
        <v>0</v>
      </c>
      <c r="K464" t="n">
        <v>0</v>
      </c>
      <c r="L464" t="n">
        <v>0</v>
      </c>
      <c r="M464" t="n">
        <v>0</v>
      </c>
      <c r="N464" t="n">
        <v>0</v>
      </c>
      <c r="O464" t="n">
        <v>0</v>
      </c>
      <c r="P464" t="n">
        <v>0</v>
      </c>
      <c r="Q464" t="n">
        <v>0</v>
      </c>
      <c r="R464" s="2" t="inlineStr"/>
    </row>
    <row r="465" ht="15" customHeight="1">
      <c r="A465" t="inlineStr">
        <is>
          <t>A 39451-2022</t>
        </is>
      </c>
      <c r="B465" s="1" t="n">
        <v>44818.36606481481</v>
      </c>
      <c r="C465" s="1" t="n">
        <v>45937</v>
      </c>
      <c r="D465" t="inlineStr">
        <is>
          <t>VÄSTMANLANDS LÄN</t>
        </is>
      </c>
      <c r="E465" t="inlineStr">
        <is>
          <t>SALA</t>
        </is>
      </c>
      <c r="G465" t="n">
        <v>9.4</v>
      </c>
      <c r="H465" t="n">
        <v>0</v>
      </c>
      <c r="I465" t="n">
        <v>0</v>
      </c>
      <c r="J465" t="n">
        <v>0</v>
      </c>
      <c r="K465" t="n">
        <v>0</v>
      </c>
      <c r="L465" t="n">
        <v>0</v>
      </c>
      <c r="M465" t="n">
        <v>0</v>
      </c>
      <c r="N465" t="n">
        <v>0</v>
      </c>
      <c r="O465" t="n">
        <v>0</v>
      </c>
      <c r="P465" t="n">
        <v>0</v>
      </c>
      <c r="Q465" t="n">
        <v>0</v>
      </c>
      <c r="R465" s="2" t="inlineStr"/>
    </row>
    <row r="466" ht="15" customHeight="1">
      <c r="A466" t="inlineStr">
        <is>
          <t>A 61717-2024</t>
        </is>
      </c>
      <c r="B466" s="1" t="n">
        <v>45648</v>
      </c>
      <c r="C466" s="1" t="n">
        <v>45937</v>
      </c>
      <c r="D466" t="inlineStr">
        <is>
          <t>VÄSTMANLANDS LÄN</t>
        </is>
      </c>
      <c r="E466" t="inlineStr">
        <is>
          <t>SALA</t>
        </is>
      </c>
      <c r="G466" t="n">
        <v>3.7</v>
      </c>
      <c r="H466" t="n">
        <v>0</v>
      </c>
      <c r="I466" t="n">
        <v>0</v>
      </c>
      <c r="J466" t="n">
        <v>0</v>
      </c>
      <c r="K466" t="n">
        <v>0</v>
      </c>
      <c r="L466" t="n">
        <v>0</v>
      </c>
      <c r="M466" t="n">
        <v>0</v>
      </c>
      <c r="N466" t="n">
        <v>0</v>
      </c>
      <c r="O466" t="n">
        <v>0</v>
      </c>
      <c r="P466" t="n">
        <v>0</v>
      </c>
      <c r="Q466" t="n">
        <v>0</v>
      </c>
      <c r="R466" s="2" t="inlineStr"/>
    </row>
    <row r="467" ht="15" customHeight="1">
      <c r="A467" t="inlineStr">
        <is>
          <t>A 34069-2025</t>
        </is>
      </c>
      <c r="B467" s="1" t="n">
        <v>45845.43560185185</v>
      </c>
      <c r="C467" s="1" t="n">
        <v>45937</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c r="U467">
        <f>HYPERLINK("https://klasma.github.io/Logging_1981/knärot/A 34069-2025 karta knärot.png", "A 34069-2025")</f>
        <v/>
      </c>
      <c r="V467">
        <f>HYPERLINK("https://klasma.github.io/Logging_1981/klagomål/A 34069-2025 FSC-klagomål.docx", "A 34069-2025")</f>
        <v/>
      </c>
      <c r="W467">
        <f>HYPERLINK("https://klasma.github.io/Logging_1981/klagomålsmail/A 34069-2025 FSC-klagomål mail.docx", "A 34069-2025")</f>
        <v/>
      </c>
      <c r="X467">
        <f>HYPERLINK("https://klasma.github.io/Logging_1981/tillsyn/A 34069-2025 tillsynsbegäran.docx", "A 34069-2025")</f>
        <v/>
      </c>
      <c r="Y467">
        <f>HYPERLINK("https://klasma.github.io/Logging_1981/tillsynsmail/A 34069-2025 tillsynsbegäran mail.docx", "A 34069-2025")</f>
        <v/>
      </c>
    </row>
    <row r="468" ht="15" customHeight="1">
      <c r="A468" t="inlineStr">
        <is>
          <t>A 56548-2024</t>
        </is>
      </c>
      <c r="B468" s="1" t="n">
        <v>45625</v>
      </c>
      <c r="C468" s="1" t="n">
        <v>45937</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47086-2022</t>
        </is>
      </c>
      <c r="B469" s="1" t="n">
        <v>44852</v>
      </c>
      <c r="C469" s="1" t="n">
        <v>45937</v>
      </c>
      <c r="D469" t="inlineStr">
        <is>
          <t>VÄSTMANLANDS LÄN</t>
        </is>
      </c>
      <c r="E469" t="inlineStr">
        <is>
          <t>SALA</t>
        </is>
      </c>
      <c r="G469" t="n">
        <v>12.5</v>
      </c>
      <c r="H469" t="n">
        <v>0</v>
      </c>
      <c r="I469" t="n">
        <v>0</v>
      </c>
      <c r="J469" t="n">
        <v>0</v>
      </c>
      <c r="K469" t="n">
        <v>0</v>
      </c>
      <c r="L469" t="n">
        <v>0</v>
      </c>
      <c r="M469" t="n">
        <v>0</v>
      </c>
      <c r="N469" t="n">
        <v>0</v>
      </c>
      <c r="O469" t="n">
        <v>0</v>
      </c>
      <c r="P469" t="n">
        <v>0</v>
      </c>
      <c r="Q469" t="n">
        <v>0</v>
      </c>
      <c r="R469" s="2" t="inlineStr"/>
    </row>
    <row r="470" ht="15" customHeight="1">
      <c r="A470" t="inlineStr">
        <is>
          <t>A 11631-2023</t>
        </is>
      </c>
      <c r="B470" s="1" t="n">
        <v>44994.44001157407</v>
      </c>
      <c r="C470" s="1" t="n">
        <v>45937</v>
      </c>
      <c r="D470" t="inlineStr">
        <is>
          <t>VÄSTMANLANDS LÄN</t>
        </is>
      </c>
      <c r="E470" t="inlineStr">
        <is>
          <t>SALA</t>
        </is>
      </c>
      <c r="F470" t="inlineStr">
        <is>
          <t>Kommuner</t>
        </is>
      </c>
      <c r="G470" t="n">
        <v>1.9</v>
      </c>
      <c r="H470" t="n">
        <v>0</v>
      </c>
      <c r="I470" t="n">
        <v>0</v>
      </c>
      <c r="J470" t="n">
        <v>0</v>
      </c>
      <c r="K470" t="n">
        <v>0</v>
      </c>
      <c r="L470" t="n">
        <v>0</v>
      </c>
      <c r="M470" t="n">
        <v>0</v>
      </c>
      <c r="N470" t="n">
        <v>0</v>
      </c>
      <c r="O470" t="n">
        <v>0</v>
      </c>
      <c r="P470" t="n">
        <v>0</v>
      </c>
      <c r="Q470" t="n">
        <v>0</v>
      </c>
      <c r="R470" s="2" t="inlineStr"/>
    </row>
    <row r="471" ht="15" customHeight="1">
      <c r="A471" t="inlineStr">
        <is>
          <t>A 15744-2025</t>
        </is>
      </c>
      <c r="B471" s="1" t="n">
        <v>45748</v>
      </c>
      <c r="C471" s="1" t="n">
        <v>45937</v>
      </c>
      <c r="D471" t="inlineStr">
        <is>
          <t>VÄSTMANLANDS LÄN</t>
        </is>
      </c>
      <c r="E471" t="inlineStr">
        <is>
          <t>SALA</t>
        </is>
      </c>
      <c r="G471" t="n">
        <v>1.6</v>
      </c>
      <c r="H471" t="n">
        <v>0</v>
      </c>
      <c r="I471" t="n">
        <v>0</v>
      </c>
      <c r="J471" t="n">
        <v>0</v>
      </c>
      <c r="K471" t="n">
        <v>0</v>
      </c>
      <c r="L471" t="n">
        <v>0</v>
      </c>
      <c r="M471" t="n">
        <v>0</v>
      </c>
      <c r="N471" t="n">
        <v>0</v>
      </c>
      <c r="O471" t="n">
        <v>0</v>
      </c>
      <c r="P471" t="n">
        <v>0</v>
      </c>
      <c r="Q471" t="n">
        <v>0</v>
      </c>
      <c r="R471" s="2" t="inlineStr"/>
    </row>
    <row r="472" ht="15" customHeight="1">
      <c r="A472" t="inlineStr">
        <is>
          <t>A 62648-2022</t>
        </is>
      </c>
      <c r="B472" s="1" t="n">
        <v>44917</v>
      </c>
      <c r="C472" s="1" t="n">
        <v>45937</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1934-2023</t>
        </is>
      </c>
      <c r="B473" s="1" t="n">
        <v>44939.43024305555</v>
      </c>
      <c r="C473" s="1" t="n">
        <v>45937</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11927-2025</t>
        </is>
      </c>
      <c r="B474" s="1" t="n">
        <v>45728.5137962963</v>
      </c>
      <c r="C474" s="1" t="n">
        <v>45937</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60823-2024</t>
        </is>
      </c>
      <c r="B475" s="1" t="n">
        <v>45644</v>
      </c>
      <c r="C475" s="1" t="n">
        <v>45937</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96-2024</t>
        </is>
      </c>
      <c r="B476" s="1" t="n">
        <v>45293.85872685185</v>
      </c>
      <c r="C476" s="1" t="n">
        <v>45937</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23374-2023</t>
        </is>
      </c>
      <c r="B477" s="1" t="n">
        <v>45076.4399537037</v>
      </c>
      <c r="C477" s="1" t="n">
        <v>45937</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988-2025</t>
        </is>
      </c>
      <c r="B478" s="1" t="n">
        <v>45666.44038194444</v>
      </c>
      <c r="C478" s="1" t="n">
        <v>45937</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61874-2021</t>
        </is>
      </c>
      <c r="B479" s="1" t="n">
        <v>44502</v>
      </c>
      <c r="C479" s="1" t="n">
        <v>45937</v>
      </c>
      <c r="D479" t="inlineStr">
        <is>
          <t>VÄSTMANLANDS LÄN</t>
        </is>
      </c>
      <c r="E479" t="inlineStr">
        <is>
          <t>SALA</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5032-2025</t>
        </is>
      </c>
      <c r="B480" s="1" t="n">
        <v>45691</v>
      </c>
      <c r="C480" s="1" t="n">
        <v>45937</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9856-2022</t>
        </is>
      </c>
      <c r="B481" s="1" t="n">
        <v>44620</v>
      </c>
      <c r="C481" s="1" t="n">
        <v>45937</v>
      </c>
      <c r="D481" t="inlineStr">
        <is>
          <t>VÄSTMANLANDS LÄN</t>
        </is>
      </c>
      <c r="E481" t="inlineStr">
        <is>
          <t>SALA</t>
        </is>
      </c>
      <c r="G481" t="n">
        <v>2.4</v>
      </c>
      <c r="H481" t="n">
        <v>0</v>
      </c>
      <c r="I481" t="n">
        <v>0</v>
      </c>
      <c r="J481" t="n">
        <v>0</v>
      </c>
      <c r="K481" t="n">
        <v>0</v>
      </c>
      <c r="L481" t="n">
        <v>0</v>
      </c>
      <c r="M481" t="n">
        <v>0</v>
      </c>
      <c r="N481" t="n">
        <v>0</v>
      </c>
      <c r="O481" t="n">
        <v>0</v>
      </c>
      <c r="P481" t="n">
        <v>0</v>
      </c>
      <c r="Q481" t="n">
        <v>0</v>
      </c>
      <c r="R481" s="2" t="inlineStr"/>
    </row>
    <row r="482" ht="15" customHeight="1">
      <c r="A482" t="inlineStr">
        <is>
          <t>A 16159-2024</t>
        </is>
      </c>
      <c r="B482" s="1" t="n">
        <v>45406</v>
      </c>
      <c r="C482" s="1" t="n">
        <v>45937</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50241-2023</t>
        </is>
      </c>
      <c r="B483" s="1" t="n">
        <v>45216</v>
      </c>
      <c r="C483" s="1" t="n">
        <v>45937</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40559-2025</t>
        </is>
      </c>
      <c r="B484" s="1" t="n">
        <v>45896.45037037037</v>
      </c>
      <c r="C484" s="1" t="n">
        <v>45937</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3332-2024</t>
        </is>
      </c>
      <c r="B485" s="1" t="n">
        <v>45317</v>
      </c>
      <c r="C485" s="1" t="n">
        <v>45937</v>
      </c>
      <c r="D485" t="inlineStr">
        <is>
          <t>VÄSTMANLANDS LÄN</t>
        </is>
      </c>
      <c r="E485" t="inlineStr">
        <is>
          <t>SALA</t>
        </is>
      </c>
      <c r="G485" t="n">
        <v>2</v>
      </c>
      <c r="H485" t="n">
        <v>0</v>
      </c>
      <c r="I485" t="n">
        <v>0</v>
      </c>
      <c r="J485" t="n">
        <v>0</v>
      </c>
      <c r="K485" t="n">
        <v>0</v>
      </c>
      <c r="L485" t="n">
        <v>0</v>
      </c>
      <c r="M485" t="n">
        <v>0</v>
      </c>
      <c r="N485" t="n">
        <v>0</v>
      </c>
      <c r="O485" t="n">
        <v>0</v>
      </c>
      <c r="P485" t="n">
        <v>0</v>
      </c>
      <c r="Q485" t="n">
        <v>0</v>
      </c>
      <c r="R485" s="2" t="inlineStr"/>
    </row>
    <row r="486" ht="15" customHeight="1">
      <c r="A486" t="inlineStr">
        <is>
          <t>A 40554-2025</t>
        </is>
      </c>
      <c r="B486" s="1" t="n">
        <v>45896.44506944445</v>
      </c>
      <c r="C486" s="1" t="n">
        <v>45937</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40620-2025</t>
        </is>
      </c>
      <c r="B487" s="1" t="n">
        <v>45896.58609953704</v>
      </c>
      <c r="C487" s="1" t="n">
        <v>45937</v>
      </c>
      <c r="D487" t="inlineStr">
        <is>
          <t>VÄSTMANLANDS LÄN</t>
        </is>
      </c>
      <c r="E487" t="inlineStr">
        <is>
          <t>SALA</t>
        </is>
      </c>
      <c r="G487" t="n">
        <v>6.7</v>
      </c>
      <c r="H487" t="n">
        <v>0</v>
      </c>
      <c r="I487" t="n">
        <v>0</v>
      </c>
      <c r="J487" t="n">
        <v>0</v>
      </c>
      <c r="K487" t="n">
        <v>0</v>
      </c>
      <c r="L487" t="n">
        <v>0</v>
      </c>
      <c r="M487" t="n">
        <v>0</v>
      </c>
      <c r="N487" t="n">
        <v>0</v>
      </c>
      <c r="O487" t="n">
        <v>0</v>
      </c>
      <c r="P487" t="n">
        <v>0</v>
      </c>
      <c r="Q487" t="n">
        <v>0</v>
      </c>
      <c r="R487" s="2" t="inlineStr"/>
    </row>
    <row r="488" ht="15" customHeight="1">
      <c r="A488" t="inlineStr">
        <is>
          <t>A 66908-2021</t>
        </is>
      </c>
      <c r="B488" s="1" t="n">
        <v>44522</v>
      </c>
      <c r="C488" s="1" t="n">
        <v>45937</v>
      </c>
      <c r="D488" t="inlineStr">
        <is>
          <t>VÄSTMANLANDS LÄN</t>
        </is>
      </c>
      <c r="E488" t="inlineStr">
        <is>
          <t>SALA</t>
        </is>
      </c>
      <c r="G488" t="n">
        <v>2.6</v>
      </c>
      <c r="H488" t="n">
        <v>0</v>
      </c>
      <c r="I488" t="n">
        <v>0</v>
      </c>
      <c r="J488" t="n">
        <v>0</v>
      </c>
      <c r="K488" t="n">
        <v>0</v>
      </c>
      <c r="L488" t="n">
        <v>0</v>
      </c>
      <c r="M488" t="n">
        <v>0</v>
      </c>
      <c r="N488" t="n">
        <v>0</v>
      </c>
      <c r="O488" t="n">
        <v>0</v>
      </c>
      <c r="P488" t="n">
        <v>0</v>
      </c>
      <c r="Q488" t="n">
        <v>0</v>
      </c>
      <c r="R488" s="2" t="inlineStr"/>
    </row>
    <row r="489" ht="15" customHeight="1">
      <c r="A489" t="inlineStr">
        <is>
          <t>A 35637-2022</t>
        </is>
      </c>
      <c r="B489" s="1" t="n">
        <v>44799.55194444444</v>
      </c>
      <c r="C489" s="1" t="n">
        <v>45937</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11696-2025</t>
        </is>
      </c>
      <c r="B490" s="1" t="n">
        <v>45727</v>
      </c>
      <c r="C490" s="1" t="n">
        <v>45937</v>
      </c>
      <c r="D490" t="inlineStr">
        <is>
          <t>VÄSTMANLANDS LÄN</t>
        </is>
      </c>
      <c r="E490" t="inlineStr">
        <is>
          <t>SALA</t>
        </is>
      </c>
      <c r="F490" t="inlineStr">
        <is>
          <t>Bergvik skog öst AB</t>
        </is>
      </c>
      <c r="G490" t="n">
        <v>1.6</v>
      </c>
      <c r="H490" t="n">
        <v>0</v>
      </c>
      <c r="I490" t="n">
        <v>0</v>
      </c>
      <c r="J490" t="n">
        <v>0</v>
      </c>
      <c r="K490" t="n">
        <v>0</v>
      </c>
      <c r="L490" t="n">
        <v>0</v>
      </c>
      <c r="M490" t="n">
        <v>0</v>
      </c>
      <c r="N490" t="n">
        <v>0</v>
      </c>
      <c r="O490" t="n">
        <v>0</v>
      </c>
      <c r="P490" t="n">
        <v>0</v>
      </c>
      <c r="Q490" t="n">
        <v>0</v>
      </c>
      <c r="R490" s="2" t="inlineStr"/>
    </row>
    <row r="491" ht="15" customHeight="1">
      <c r="A491" t="inlineStr">
        <is>
          <t>A 40556-2025</t>
        </is>
      </c>
      <c r="B491" s="1" t="n">
        <v>45896.44944444444</v>
      </c>
      <c r="C491" s="1" t="n">
        <v>45937</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19033-2025</t>
        </is>
      </c>
      <c r="B492" s="1" t="n">
        <v>45764.65796296296</v>
      </c>
      <c r="C492" s="1" t="n">
        <v>45937</v>
      </c>
      <c r="D492" t="inlineStr">
        <is>
          <t>VÄSTMANLANDS LÄN</t>
        </is>
      </c>
      <c r="E492" t="inlineStr">
        <is>
          <t>SALA</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43509-2021</t>
        </is>
      </c>
      <c r="B493" s="1" t="n">
        <v>44433</v>
      </c>
      <c r="C493" s="1" t="n">
        <v>45937</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13746-2025</t>
        </is>
      </c>
      <c r="B494" s="1" t="n">
        <v>45737.40944444444</v>
      </c>
      <c r="C494" s="1" t="n">
        <v>45937</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57883-2024</t>
        </is>
      </c>
      <c r="B495" s="1" t="n">
        <v>45630</v>
      </c>
      <c r="C495" s="1" t="n">
        <v>45937</v>
      </c>
      <c r="D495" t="inlineStr">
        <is>
          <t>VÄSTMANLANDS LÄN</t>
        </is>
      </c>
      <c r="E495" t="inlineStr">
        <is>
          <t>SALA</t>
        </is>
      </c>
      <c r="G495" t="n">
        <v>5.4</v>
      </c>
      <c r="H495" t="n">
        <v>0</v>
      </c>
      <c r="I495" t="n">
        <v>0</v>
      </c>
      <c r="J495" t="n">
        <v>0</v>
      </c>
      <c r="K495" t="n">
        <v>0</v>
      </c>
      <c r="L495" t="n">
        <v>0</v>
      </c>
      <c r="M495" t="n">
        <v>0</v>
      </c>
      <c r="N495" t="n">
        <v>0</v>
      </c>
      <c r="O495" t="n">
        <v>0</v>
      </c>
      <c r="P495" t="n">
        <v>0</v>
      </c>
      <c r="Q495" t="n">
        <v>0</v>
      </c>
      <c r="R495" s="2" t="inlineStr"/>
    </row>
    <row r="496" ht="15" customHeight="1">
      <c r="A496" t="inlineStr">
        <is>
          <t>A 25897-2024</t>
        </is>
      </c>
      <c r="B496" s="1" t="n">
        <v>45467.54435185185</v>
      </c>
      <c r="C496" s="1" t="n">
        <v>45937</v>
      </c>
      <c r="D496" t="inlineStr">
        <is>
          <t>VÄSTMANLANDS LÄN</t>
        </is>
      </c>
      <c r="E496" t="inlineStr">
        <is>
          <t>SALA</t>
        </is>
      </c>
      <c r="G496" t="n">
        <v>9.9</v>
      </c>
      <c r="H496" t="n">
        <v>0</v>
      </c>
      <c r="I496" t="n">
        <v>0</v>
      </c>
      <c r="J496" t="n">
        <v>0</v>
      </c>
      <c r="K496" t="n">
        <v>0</v>
      </c>
      <c r="L496" t="n">
        <v>0</v>
      </c>
      <c r="M496" t="n">
        <v>0</v>
      </c>
      <c r="N496" t="n">
        <v>0</v>
      </c>
      <c r="O496" t="n">
        <v>0</v>
      </c>
      <c r="P496" t="n">
        <v>0</v>
      </c>
      <c r="Q496" t="n">
        <v>0</v>
      </c>
      <c r="R496" s="2" t="inlineStr"/>
    </row>
    <row r="497" ht="15" customHeight="1">
      <c r="A497" t="inlineStr">
        <is>
          <t>A 41230-2025</t>
        </is>
      </c>
      <c r="B497" s="1" t="n">
        <v>45898</v>
      </c>
      <c r="C497" s="1" t="n">
        <v>45937</v>
      </c>
      <c r="D497" t="inlineStr">
        <is>
          <t>VÄSTMANLANDS LÄN</t>
        </is>
      </c>
      <c r="E497" t="inlineStr">
        <is>
          <t>SALA</t>
        </is>
      </c>
      <c r="G497" t="n">
        <v>2.3</v>
      </c>
      <c r="H497" t="n">
        <v>0</v>
      </c>
      <c r="I497" t="n">
        <v>0</v>
      </c>
      <c r="J497" t="n">
        <v>0</v>
      </c>
      <c r="K497" t="n">
        <v>0</v>
      </c>
      <c r="L497" t="n">
        <v>0</v>
      </c>
      <c r="M497" t="n">
        <v>0</v>
      </c>
      <c r="N497" t="n">
        <v>0</v>
      </c>
      <c r="O497" t="n">
        <v>0</v>
      </c>
      <c r="P497" t="n">
        <v>0</v>
      </c>
      <c r="Q497" t="n">
        <v>0</v>
      </c>
      <c r="R497" s="2" t="inlineStr"/>
    </row>
    <row r="498" ht="15" customHeight="1">
      <c r="A498" t="inlineStr">
        <is>
          <t>A 50876-2023</t>
        </is>
      </c>
      <c r="B498" s="1" t="n">
        <v>45211</v>
      </c>
      <c r="C498" s="1" t="n">
        <v>45937</v>
      </c>
      <c r="D498" t="inlineStr">
        <is>
          <t>VÄSTMANLANDS LÄN</t>
        </is>
      </c>
      <c r="E498" t="inlineStr">
        <is>
          <t>SALA</t>
        </is>
      </c>
      <c r="G498" t="n">
        <v>1.9</v>
      </c>
      <c r="H498" t="n">
        <v>0</v>
      </c>
      <c r="I498" t="n">
        <v>0</v>
      </c>
      <c r="J498" t="n">
        <v>0</v>
      </c>
      <c r="K498" t="n">
        <v>0</v>
      </c>
      <c r="L498" t="n">
        <v>0</v>
      </c>
      <c r="M498" t="n">
        <v>0</v>
      </c>
      <c r="N498" t="n">
        <v>0</v>
      </c>
      <c r="O498" t="n">
        <v>0</v>
      </c>
      <c r="P498" t="n">
        <v>0</v>
      </c>
      <c r="Q498" t="n">
        <v>0</v>
      </c>
      <c r="R498" s="2" t="inlineStr"/>
    </row>
    <row r="499" ht="15" customHeight="1">
      <c r="A499" t="inlineStr">
        <is>
          <t>A 23222-2023</t>
        </is>
      </c>
      <c r="B499" s="1" t="n">
        <v>45075</v>
      </c>
      <c r="C499" s="1" t="n">
        <v>45937</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23224-2023</t>
        </is>
      </c>
      <c r="B500" s="1" t="n">
        <v>45075.65040509259</v>
      </c>
      <c r="C500" s="1" t="n">
        <v>45937</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50479-2022</t>
        </is>
      </c>
      <c r="B501" s="1" t="n">
        <v>44861</v>
      </c>
      <c r="C501" s="1" t="n">
        <v>45937</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37624-2024</t>
        </is>
      </c>
      <c r="B502" s="1" t="n">
        <v>45541</v>
      </c>
      <c r="C502" s="1" t="n">
        <v>45937</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40398-2021</t>
        </is>
      </c>
      <c r="B503" s="1" t="n">
        <v>44419</v>
      </c>
      <c r="C503" s="1" t="n">
        <v>45937</v>
      </c>
      <c r="D503" t="inlineStr">
        <is>
          <t>VÄSTMANLANDS LÄN</t>
        </is>
      </c>
      <c r="E503" t="inlineStr">
        <is>
          <t>SALA</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6351-2023</t>
        </is>
      </c>
      <c r="B504" s="1" t="n">
        <v>44965</v>
      </c>
      <c r="C504" s="1" t="n">
        <v>45937</v>
      </c>
      <c r="D504" t="inlineStr">
        <is>
          <t>VÄSTMANLANDS LÄN</t>
        </is>
      </c>
      <c r="E504" t="inlineStr">
        <is>
          <t>SALA</t>
        </is>
      </c>
      <c r="F504" t="inlineStr">
        <is>
          <t>Kommuner</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50818-2020</t>
        </is>
      </c>
      <c r="B505" s="1" t="n">
        <v>44111</v>
      </c>
      <c r="C505" s="1" t="n">
        <v>45937</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35715-2025</t>
        </is>
      </c>
      <c r="B506" s="1" t="n">
        <v>45860.42148148148</v>
      </c>
      <c r="C506" s="1" t="n">
        <v>45937</v>
      </c>
      <c r="D506" t="inlineStr">
        <is>
          <t>VÄSTMANLANDS LÄN</t>
        </is>
      </c>
      <c r="E506" t="inlineStr">
        <is>
          <t>SALA</t>
        </is>
      </c>
      <c r="G506" t="n">
        <v>3.8</v>
      </c>
      <c r="H506" t="n">
        <v>0</v>
      </c>
      <c r="I506" t="n">
        <v>0</v>
      </c>
      <c r="J506" t="n">
        <v>0</v>
      </c>
      <c r="K506" t="n">
        <v>0</v>
      </c>
      <c r="L506" t="n">
        <v>0</v>
      </c>
      <c r="M506" t="n">
        <v>0</v>
      </c>
      <c r="N506" t="n">
        <v>0</v>
      </c>
      <c r="O506" t="n">
        <v>0</v>
      </c>
      <c r="P506" t="n">
        <v>0</v>
      </c>
      <c r="Q506" t="n">
        <v>0</v>
      </c>
      <c r="R506" s="2" t="inlineStr"/>
    </row>
    <row r="507" ht="15" customHeight="1">
      <c r="A507" t="inlineStr">
        <is>
          <t>A 35651-2025</t>
        </is>
      </c>
      <c r="B507" s="1" t="n">
        <v>45859.52435185185</v>
      </c>
      <c r="C507" s="1" t="n">
        <v>45937</v>
      </c>
      <c r="D507" t="inlineStr">
        <is>
          <t>VÄSTMANLANDS LÄN</t>
        </is>
      </c>
      <c r="E507" t="inlineStr">
        <is>
          <t>SALA</t>
        </is>
      </c>
      <c r="G507" t="n">
        <v>6.3</v>
      </c>
      <c r="H507" t="n">
        <v>0</v>
      </c>
      <c r="I507" t="n">
        <v>0</v>
      </c>
      <c r="J507" t="n">
        <v>0</v>
      </c>
      <c r="K507" t="n">
        <v>0</v>
      </c>
      <c r="L507" t="n">
        <v>0</v>
      </c>
      <c r="M507" t="n">
        <v>0</v>
      </c>
      <c r="N507" t="n">
        <v>0</v>
      </c>
      <c r="O507" t="n">
        <v>0</v>
      </c>
      <c r="P507" t="n">
        <v>0</v>
      </c>
      <c r="Q507" t="n">
        <v>0</v>
      </c>
      <c r="R507" s="2" t="inlineStr"/>
    </row>
    <row r="508" ht="15" customHeight="1">
      <c r="A508" t="inlineStr">
        <is>
          <t>A 14919-2025</t>
        </is>
      </c>
      <c r="B508" s="1" t="n">
        <v>45743.54256944444</v>
      </c>
      <c r="C508" s="1" t="n">
        <v>45937</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14920-2025</t>
        </is>
      </c>
      <c r="B509" s="1" t="n">
        <v>45743</v>
      </c>
      <c r="C509" s="1" t="n">
        <v>45937</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35775-2025</t>
        </is>
      </c>
      <c r="B510" s="1" t="n">
        <v>45860</v>
      </c>
      <c r="C510" s="1" t="n">
        <v>45937</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27262-2024</t>
        </is>
      </c>
      <c r="B511" s="1" t="n">
        <v>45471</v>
      </c>
      <c r="C511" s="1" t="n">
        <v>45937</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35774-2025</t>
        </is>
      </c>
      <c r="B512" s="1" t="n">
        <v>45860.68780092592</v>
      </c>
      <c r="C512" s="1" t="n">
        <v>45937</v>
      </c>
      <c r="D512" t="inlineStr">
        <is>
          <t>VÄSTMANLANDS LÄN</t>
        </is>
      </c>
      <c r="E512" t="inlineStr">
        <is>
          <t>SALA</t>
        </is>
      </c>
      <c r="G512" t="n">
        <v>6.5</v>
      </c>
      <c r="H512" t="n">
        <v>0</v>
      </c>
      <c r="I512" t="n">
        <v>0</v>
      </c>
      <c r="J512" t="n">
        <v>0</v>
      </c>
      <c r="K512" t="n">
        <v>0</v>
      </c>
      <c r="L512" t="n">
        <v>0</v>
      </c>
      <c r="M512" t="n">
        <v>0</v>
      </c>
      <c r="N512" t="n">
        <v>0</v>
      </c>
      <c r="O512" t="n">
        <v>0</v>
      </c>
      <c r="P512" t="n">
        <v>0</v>
      </c>
      <c r="Q512" t="n">
        <v>0</v>
      </c>
      <c r="R512" s="2" t="inlineStr"/>
    </row>
    <row r="513" ht="15" customHeight="1">
      <c r="A513" t="inlineStr">
        <is>
          <t>A 35776-2025</t>
        </is>
      </c>
      <c r="B513" s="1" t="n">
        <v>45860.69211805556</v>
      </c>
      <c r="C513" s="1" t="n">
        <v>45937</v>
      </c>
      <c r="D513" t="inlineStr">
        <is>
          <t>VÄSTMANLANDS LÄN</t>
        </is>
      </c>
      <c r="E513" t="inlineStr">
        <is>
          <t>SALA</t>
        </is>
      </c>
      <c r="G513" t="n">
        <v>14.2</v>
      </c>
      <c r="H513" t="n">
        <v>0</v>
      </c>
      <c r="I513" t="n">
        <v>0</v>
      </c>
      <c r="J513" t="n">
        <v>0</v>
      </c>
      <c r="K513" t="n">
        <v>0</v>
      </c>
      <c r="L513" t="n">
        <v>0</v>
      </c>
      <c r="M513" t="n">
        <v>0</v>
      </c>
      <c r="N513" t="n">
        <v>0</v>
      </c>
      <c r="O513" t="n">
        <v>0</v>
      </c>
      <c r="P513" t="n">
        <v>0</v>
      </c>
      <c r="Q513" t="n">
        <v>0</v>
      </c>
      <c r="R513" s="2" t="inlineStr"/>
    </row>
    <row r="514" ht="15" customHeight="1">
      <c r="A514" t="inlineStr">
        <is>
          <t>A 35779-2025</t>
        </is>
      </c>
      <c r="B514" s="1" t="n">
        <v>45860.69495370371</v>
      </c>
      <c r="C514" s="1" t="n">
        <v>45937</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13855-2023</t>
        </is>
      </c>
      <c r="B515" s="1" t="n">
        <v>45007</v>
      </c>
      <c r="C515" s="1" t="n">
        <v>45937</v>
      </c>
      <c r="D515" t="inlineStr">
        <is>
          <t>VÄSTMANLANDS LÄN</t>
        </is>
      </c>
      <c r="E515" t="inlineStr">
        <is>
          <t>SALA</t>
        </is>
      </c>
      <c r="G515" t="n">
        <v>2.9</v>
      </c>
      <c r="H515" t="n">
        <v>0</v>
      </c>
      <c r="I515" t="n">
        <v>0</v>
      </c>
      <c r="J515" t="n">
        <v>0</v>
      </c>
      <c r="K515" t="n">
        <v>0</v>
      </c>
      <c r="L515" t="n">
        <v>0</v>
      </c>
      <c r="M515" t="n">
        <v>0</v>
      </c>
      <c r="N515" t="n">
        <v>0</v>
      </c>
      <c r="O515" t="n">
        <v>0</v>
      </c>
      <c r="P515" t="n">
        <v>0</v>
      </c>
      <c r="Q515" t="n">
        <v>0</v>
      </c>
      <c r="R515" s="2" t="inlineStr"/>
    </row>
    <row r="516" ht="15" customHeight="1">
      <c r="A516" t="inlineStr">
        <is>
          <t>A 41414-2025</t>
        </is>
      </c>
      <c r="B516" s="1" t="n">
        <v>45901.360625</v>
      </c>
      <c r="C516" s="1" t="n">
        <v>45937</v>
      </c>
      <c r="D516" t="inlineStr">
        <is>
          <t>VÄSTMANLANDS LÄN</t>
        </is>
      </c>
      <c r="E516" t="inlineStr">
        <is>
          <t>SALA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41431-2025</t>
        </is>
      </c>
      <c r="B517" s="1" t="n">
        <v>45901.39347222223</v>
      </c>
      <c r="C517" s="1" t="n">
        <v>45937</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18877-2023</t>
        </is>
      </c>
      <c r="B518" s="1" t="n">
        <v>45044</v>
      </c>
      <c r="C518" s="1" t="n">
        <v>45937</v>
      </c>
      <c r="D518" t="inlineStr">
        <is>
          <t>VÄSTMANLANDS LÄN</t>
        </is>
      </c>
      <c r="E518" t="inlineStr">
        <is>
          <t>SALA</t>
        </is>
      </c>
      <c r="F518" t="inlineStr">
        <is>
          <t>Kommuner</t>
        </is>
      </c>
      <c r="G518" t="n">
        <v>4.4</v>
      </c>
      <c r="H518" t="n">
        <v>0</v>
      </c>
      <c r="I518" t="n">
        <v>0</v>
      </c>
      <c r="J518" t="n">
        <v>0</v>
      </c>
      <c r="K518" t="n">
        <v>0</v>
      </c>
      <c r="L518" t="n">
        <v>0</v>
      </c>
      <c r="M518" t="n">
        <v>0</v>
      </c>
      <c r="N518" t="n">
        <v>0</v>
      </c>
      <c r="O518" t="n">
        <v>0</v>
      </c>
      <c r="P518" t="n">
        <v>0</v>
      </c>
      <c r="Q518" t="n">
        <v>0</v>
      </c>
      <c r="R518" s="2" t="inlineStr"/>
    </row>
    <row r="519" ht="15" customHeight="1">
      <c r="A519" t="inlineStr">
        <is>
          <t>A 55556-2023</t>
        </is>
      </c>
      <c r="B519" s="1" t="n">
        <v>45232</v>
      </c>
      <c r="C519" s="1" t="n">
        <v>45937</v>
      </c>
      <c r="D519" t="inlineStr">
        <is>
          <t>VÄSTMANLANDS LÄN</t>
        </is>
      </c>
      <c r="E519" t="inlineStr">
        <is>
          <t>SALA</t>
        </is>
      </c>
      <c r="G519" t="n">
        <v>1.3</v>
      </c>
      <c r="H519" t="n">
        <v>0</v>
      </c>
      <c r="I519" t="n">
        <v>0</v>
      </c>
      <c r="J519" t="n">
        <v>0</v>
      </c>
      <c r="K519" t="n">
        <v>0</v>
      </c>
      <c r="L519" t="n">
        <v>0</v>
      </c>
      <c r="M519" t="n">
        <v>0</v>
      </c>
      <c r="N519" t="n">
        <v>0</v>
      </c>
      <c r="O519" t="n">
        <v>0</v>
      </c>
      <c r="P519" t="n">
        <v>0</v>
      </c>
      <c r="Q519" t="n">
        <v>0</v>
      </c>
      <c r="R519" s="2" t="inlineStr"/>
    </row>
    <row r="520" ht="15" customHeight="1">
      <c r="A520" t="inlineStr">
        <is>
          <t>A 34494-2023</t>
        </is>
      </c>
      <c r="B520" s="1" t="n">
        <v>45133</v>
      </c>
      <c r="C520" s="1" t="n">
        <v>45937</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15650-2025</t>
        </is>
      </c>
      <c r="B521" s="1" t="n">
        <v>45748.40172453703</v>
      </c>
      <c r="C521" s="1" t="n">
        <v>45937</v>
      </c>
      <c r="D521" t="inlineStr">
        <is>
          <t>VÄSTMANLANDS LÄN</t>
        </is>
      </c>
      <c r="E521" t="inlineStr">
        <is>
          <t>SALA</t>
        </is>
      </c>
      <c r="F521" t="inlineStr">
        <is>
          <t>Bergvik skog öst AB</t>
        </is>
      </c>
      <c r="G521" t="n">
        <v>3</v>
      </c>
      <c r="H521" t="n">
        <v>0</v>
      </c>
      <c r="I521" t="n">
        <v>0</v>
      </c>
      <c r="J521" t="n">
        <v>0</v>
      </c>
      <c r="K521" t="n">
        <v>0</v>
      </c>
      <c r="L521" t="n">
        <v>0</v>
      </c>
      <c r="M521" t="n">
        <v>0</v>
      </c>
      <c r="N521" t="n">
        <v>0</v>
      </c>
      <c r="O521" t="n">
        <v>0</v>
      </c>
      <c r="P521" t="n">
        <v>0</v>
      </c>
      <c r="Q521" t="n">
        <v>0</v>
      </c>
      <c r="R521" s="2" t="inlineStr"/>
    </row>
    <row r="522" ht="15" customHeight="1">
      <c r="A522" t="inlineStr">
        <is>
          <t>A 13752-2025</t>
        </is>
      </c>
      <c r="B522" s="1" t="n">
        <v>45737.41416666667</v>
      </c>
      <c r="C522" s="1" t="n">
        <v>45937</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36049-2025</t>
        </is>
      </c>
      <c r="B523" s="1" t="n">
        <v>45866.37065972222</v>
      </c>
      <c r="C523" s="1" t="n">
        <v>45937</v>
      </c>
      <c r="D523" t="inlineStr">
        <is>
          <t>VÄSTMANLANDS LÄN</t>
        </is>
      </c>
      <c r="E523" t="inlineStr">
        <is>
          <t>SALA</t>
        </is>
      </c>
      <c r="F523" t="inlineStr">
        <is>
          <t>Kommuner</t>
        </is>
      </c>
      <c r="G523" t="n">
        <v>1.9</v>
      </c>
      <c r="H523" t="n">
        <v>0</v>
      </c>
      <c r="I523" t="n">
        <v>0</v>
      </c>
      <c r="J523" t="n">
        <v>0</v>
      </c>
      <c r="K523" t="n">
        <v>0</v>
      </c>
      <c r="L523" t="n">
        <v>0</v>
      </c>
      <c r="M523" t="n">
        <v>0</v>
      </c>
      <c r="N523" t="n">
        <v>0</v>
      </c>
      <c r="O523" t="n">
        <v>0</v>
      </c>
      <c r="P523" t="n">
        <v>0</v>
      </c>
      <c r="Q523" t="n">
        <v>0</v>
      </c>
      <c r="R523" s="2" t="inlineStr"/>
    </row>
    <row r="524" ht="15" customHeight="1">
      <c r="A524" t="inlineStr">
        <is>
          <t>A 19398-2025</t>
        </is>
      </c>
      <c r="B524" s="1" t="n">
        <v>45769</v>
      </c>
      <c r="C524" s="1" t="n">
        <v>45937</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15584-2021</t>
        </is>
      </c>
      <c r="B525" s="1" t="n">
        <v>44285</v>
      </c>
      <c r="C525" s="1" t="n">
        <v>45937</v>
      </c>
      <c r="D525" t="inlineStr">
        <is>
          <t>VÄSTMANLANDS LÄN</t>
        </is>
      </c>
      <c r="E525" t="inlineStr">
        <is>
          <t>SALA</t>
        </is>
      </c>
      <c r="G525" t="n">
        <v>3.4</v>
      </c>
      <c r="H525" t="n">
        <v>0</v>
      </c>
      <c r="I525" t="n">
        <v>0</v>
      </c>
      <c r="J525" t="n">
        <v>0</v>
      </c>
      <c r="K525" t="n">
        <v>0</v>
      </c>
      <c r="L525" t="n">
        <v>0</v>
      </c>
      <c r="M525" t="n">
        <v>0</v>
      </c>
      <c r="N525" t="n">
        <v>0</v>
      </c>
      <c r="O525" t="n">
        <v>0</v>
      </c>
      <c r="P525" t="n">
        <v>0</v>
      </c>
      <c r="Q525" t="n">
        <v>0</v>
      </c>
      <c r="R525" s="2" t="inlineStr"/>
    </row>
    <row r="526" ht="15" customHeight="1">
      <c r="A526" t="inlineStr">
        <is>
          <t>A 42421-2025</t>
        </is>
      </c>
      <c r="B526" s="1" t="n">
        <v>45905.40067129629</v>
      </c>
      <c r="C526" s="1" t="n">
        <v>45937</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23119-2022</t>
        </is>
      </c>
      <c r="B527" s="1" t="n">
        <v>44719.56697916667</v>
      </c>
      <c r="C527" s="1" t="n">
        <v>45937</v>
      </c>
      <c r="D527" t="inlineStr">
        <is>
          <t>VÄSTMANLANDS LÄN</t>
        </is>
      </c>
      <c r="E527" t="inlineStr">
        <is>
          <t>SALA</t>
        </is>
      </c>
      <c r="G527" t="n">
        <v>7</v>
      </c>
      <c r="H527" t="n">
        <v>0</v>
      </c>
      <c r="I527" t="n">
        <v>0</v>
      </c>
      <c r="J527" t="n">
        <v>0</v>
      </c>
      <c r="K527" t="n">
        <v>0</v>
      </c>
      <c r="L527" t="n">
        <v>0</v>
      </c>
      <c r="M527" t="n">
        <v>0</v>
      </c>
      <c r="N527" t="n">
        <v>0</v>
      </c>
      <c r="O527" t="n">
        <v>0</v>
      </c>
      <c r="P527" t="n">
        <v>0</v>
      </c>
      <c r="Q527" t="n">
        <v>0</v>
      </c>
      <c r="R527" s="2" t="inlineStr"/>
    </row>
    <row r="528" ht="15" customHeight="1">
      <c r="A528" t="inlineStr">
        <is>
          <t>A 43751-2021</t>
        </is>
      </c>
      <c r="B528" s="1" t="n">
        <v>44433</v>
      </c>
      <c r="C528" s="1" t="n">
        <v>45937</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36031-2025</t>
        </is>
      </c>
      <c r="B529" s="1" t="n">
        <v>45865.46111111111</v>
      </c>
      <c r="C529" s="1" t="n">
        <v>45937</v>
      </c>
      <c r="D529" t="inlineStr">
        <is>
          <t>VÄSTMANLANDS LÄN</t>
        </is>
      </c>
      <c r="E529" t="inlineStr">
        <is>
          <t>SALA</t>
        </is>
      </c>
      <c r="G529" t="n">
        <v>7.2</v>
      </c>
      <c r="H529" t="n">
        <v>0</v>
      </c>
      <c r="I529" t="n">
        <v>0</v>
      </c>
      <c r="J529" t="n">
        <v>0</v>
      </c>
      <c r="K529" t="n">
        <v>0</v>
      </c>
      <c r="L529" t="n">
        <v>0</v>
      </c>
      <c r="M529" t="n">
        <v>0</v>
      </c>
      <c r="N529" t="n">
        <v>0</v>
      </c>
      <c r="O529" t="n">
        <v>0</v>
      </c>
      <c r="P529" t="n">
        <v>0</v>
      </c>
      <c r="Q529" t="n">
        <v>0</v>
      </c>
      <c r="R529" s="2" t="inlineStr"/>
    </row>
    <row r="530" ht="15" customHeight="1">
      <c r="A530" t="inlineStr">
        <is>
          <t>A 36060-2025</t>
        </is>
      </c>
      <c r="B530" s="1" t="n">
        <v>45866.39469907407</v>
      </c>
      <c r="C530" s="1" t="n">
        <v>45937</v>
      </c>
      <c r="D530" t="inlineStr">
        <is>
          <t>VÄSTMANLANDS LÄN</t>
        </is>
      </c>
      <c r="E530" t="inlineStr">
        <is>
          <t>SALA</t>
        </is>
      </c>
      <c r="F530" t="inlineStr">
        <is>
          <t>Kommuner</t>
        </is>
      </c>
      <c r="G530" t="n">
        <v>4.3</v>
      </c>
      <c r="H530" t="n">
        <v>0</v>
      </c>
      <c r="I530" t="n">
        <v>0</v>
      </c>
      <c r="J530" t="n">
        <v>0</v>
      </c>
      <c r="K530" t="n">
        <v>0</v>
      </c>
      <c r="L530" t="n">
        <v>0</v>
      </c>
      <c r="M530" t="n">
        <v>0</v>
      </c>
      <c r="N530" t="n">
        <v>0</v>
      </c>
      <c r="O530" t="n">
        <v>0</v>
      </c>
      <c r="P530" t="n">
        <v>0</v>
      </c>
      <c r="Q530" t="n">
        <v>0</v>
      </c>
      <c r="R530" s="2" t="inlineStr"/>
    </row>
    <row r="531" ht="15" customHeight="1">
      <c r="A531" t="inlineStr">
        <is>
          <t>A 59483-2022</t>
        </is>
      </c>
      <c r="B531" s="1" t="n">
        <v>44907.45679398148</v>
      </c>
      <c r="C531" s="1" t="n">
        <v>45937</v>
      </c>
      <c r="D531" t="inlineStr">
        <is>
          <t>VÄSTMANLANDS LÄN</t>
        </is>
      </c>
      <c r="E531" t="inlineStr">
        <is>
          <t>SALA</t>
        </is>
      </c>
      <c r="G531" t="n">
        <v>5.2</v>
      </c>
      <c r="H531" t="n">
        <v>0</v>
      </c>
      <c r="I531" t="n">
        <v>0</v>
      </c>
      <c r="J531" t="n">
        <v>0</v>
      </c>
      <c r="K531" t="n">
        <v>0</v>
      </c>
      <c r="L531" t="n">
        <v>0</v>
      </c>
      <c r="M531" t="n">
        <v>0</v>
      </c>
      <c r="N531" t="n">
        <v>0</v>
      </c>
      <c r="O531" t="n">
        <v>0</v>
      </c>
      <c r="P531" t="n">
        <v>0</v>
      </c>
      <c r="Q531" t="n">
        <v>0</v>
      </c>
      <c r="R531" s="2" t="inlineStr"/>
    </row>
    <row r="532" ht="15" customHeight="1">
      <c r="A532" t="inlineStr">
        <is>
          <t>A 22921-2023</t>
        </is>
      </c>
      <c r="B532" s="1" t="n">
        <v>45070</v>
      </c>
      <c r="C532" s="1" t="n">
        <v>45937</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36032-2025</t>
        </is>
      </c>
      <c r="B533" s="1" t="n">
        <v>45865.48740740741</v>
      </c>
      <c r="C533" s="1" t="n">
        <v>45937</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36043-2025</t>
        </is>
      </c>
      <c r="B534" s="1" t="n">
        <v>45866.35333333333</v>
      </c>
      <c r="C534" s="1" t="n">
        <v>45937</v>
      </c>
      <c r="D534" t="inlineStr">
        <is>
          <t>VÄSTMANLANDS LÄN</t>
        </is>
      </c>
      <c r="E534" t="inlineStr">
        <is>
          <t>SALA</t>
        </is>
      </c>
      <c r="F534" t="inlineStr">
        <is>
          <t>Kommuner</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36045-2025</t>
        </is>
      </c>
      <c r="B535" s="1" t="n">
        <v>45866.36200231482</v>
      </c>
      <c r="C535" s="1" t="n">
        <v>45937</v>
      </c>
      <c r="D535" t="inlineStr">
        <is>
          <t>VÄSTMANLANDS LÄN</t>
        </is>
      </c>
      <c r="E535" t="inlineStr">
        <is>
          <t>SALA</t>
        </is>
      </c>
      <c r="F535" t="inlineStr">
        <is>
          <t>Kommuner</t>
        </is>
      </c>
      <c r="G535" t="n">
        <v>1.7</v>
      </c>
      <c r="H535" t="n">
        <v>0</v>
      </c>
      <c r="I535" t="n">
        <v>0</v>
      </c>
      <c r="J535" t="n">
        <v>0</v>
      </c>
      <c r="K535" t="n">
        <v>0</v>
      </c>
      <c r="L535" t="n">
        <v>0</v>
      </c>
      <c r="M535" t="n">
        <v>0</v>
      </c>
      <c r="N535" t="n">
        <v>0</v>
      </c>
      <c r="O535" t="n">
        <v>0</v>
      </c>
      <c r="P535" t="n">
        <v>0</v>
      </c>
      <c r="Q535" t="n">
        <v>0</v>
      </c>
      <c r="R535" s="2" t="inlineStr"/>
    </row>
    <row r="536" ht="15" customHeight="1">
      <c r="A536" t="inlineStr">
        <is>
          <t>A 16133-2025</t>
        </is>
      </c>
      <c r="B536" s="1" t="n">
        <v>45750</v>
      </c>
      <c r="C536" s="1" t="n">
        <v>45937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73673-2021</t>
        </is>
      </c>
      <c r="B537" s="1" t="n">
        <v>44552.46501157407</v>
      </c>
      <c r="C537" s="1" t="n">
        <v>45937</v>
      </c>
      <c r="D537" t="inlineStr">
        <is>
          <t>VÄSTMANLANDS LÄN</t>
        </is>
      </c>
      <c r="E537" t="inlineStr">
        <is>
          <t>SALA</t>
        </is>
      </c>
      <c r="G537" t="n">
        <v>11.4</v>
      </c>
      <c r="H537" t="n">
        <v>0</v>
      </c>
      <c r="I537" t="n">
        <v>0</v>
      </c>
      <c r="J537" t="n">
        <v>0</v>
      </c>
      <c r="K537" t="n">
        <v>0</v>
      </c>
      <c r="L537" t="n">
        <v>0</v>
      </c>
      <c r="M537" t="n">
        <v>0</v>
      </c>
      <c r="N537" t="n">
        <v>0</v>
      </c>
      <c r="O537" t="n">
        <v>0</v>
      </c>
      <c r="P537" t="n">
        <v>0</v>
      </c>
      <c r="Q537" t="n">
        <v>0</v>
      </c>
      <c r="R537" s="2" t="inlineStr"/>
    </row>
    <row r="538" ht="15" customHeight="1">
      <c r="A538" t="inlineStr">
        <is>
          <t>A 43028-2025</t>
        </is>
      </c>
      <c r="B538" s="1" t="n">
        <v>45909.53472222222</v>
      </c>
      <c r="C538" s="1" t="n">
        <v>45937</v>
      </c>
      <c r="D538" t="inlineStr">
        <is>
          <t>VÄSTMANLANDS LÄN</t>
        </is>
      </c>
      <c r="E538" t="inlineStr">
        <is>
          <t>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4853-2023</t>
        </is>
      </c>
      <c r="B539" s="1" t="n">
        <v>44957.73234953704</v>
      </c>
      <c r="C539" s="1" t="n">
        <v>45937</v>
      </c>
      <c r="D539" t="inlineStr">
        <is>
          <t>VÄSTMANLANDS LÄN</t>
        </is>
      </c>
      <c r="E539" t="inlineStr">
        <is>
          <t>SALA</t>
        </is>
      </c>
      <c r="G539" t="n">
        <v>2.7</v>
      </c>
      <c r="H539" t="n">
        <v>0</v>
      </c>
      <c r="I539" t="n">
        <v>0</v>
      </c>
      <c r="J539" t="n">
        <v>0</v>
      </c>
      <c r="K539" t="n">
        <v>0</v>
      </c>
      <c r="L539" t="n">
        <v>0</v>
      </c>
      <c r="M539" t="n">
        <v>0</v>
      </c>
      <c r="N539" t="n">
        <v>0</v>
      </c>
      <c r="O539" t="n">
        <v>0</v>
      </c>
      <c r="P539" t="n">
        <v>0</v>
      </c>
      <c r="Q539" t="n">
        <v>0</v>
      </c>
      <c r="R539" s="2" t="inlineStr"/>
    </row>
    <row r="540" ht="15" customHeight="1">
      <c r="A540" t="inlineStr">
        <is>
          <t>A 6127-2025</t>
        </is>
      </c>
      <c r="B540" s="1" t="n">
        <v>45698</v>
      </c>
      <c r="C540" s="1" t="n">
        <v>45937</v>
      </c>
      <c r="D540" t="inlineStr">
        <is>
          <t>VÄSTMANLANDS LÄN</t>
        </is>
      </c>
      <c r="E540" t="inlineStr">
        <is>
          <t>SALA</t>
        </is>
      </c>
      <c r="F540" t="inlineStr">
        <is>
          <t>Bergvik skog öst AB</t>
        </is>
      </c>
      <c r="G540" t="n">
        <v>4.3</v>
      </c>
      <c r="H540" t="n">
        <v>0</v>
      </c>
      <c r="I540" t="n">
        <v>0</v>
      </c>
      <c r="J540" t="n">
        <v>0</v>
      </c>
      <c r="K540" t="n">
        <v>0</v>
      </c>
      <c r="L540" t="n">
        <v>0</v>
      </c>
      <c r="M540" t="n">
        <v>0</v>
      </c>
      <c r="N540" t="n">
        <v>0</v>
      </c>
      <c r="O540" t="n">
        <v>0</v>
      </c>
      <c r="P540" t="n">
        <v>0</v>
      </c>
      <c r="Q540" t="n">
        <v>0</v>
      </c>
      <c r="R540" s="2" t="inlineStr"/>
    </row>
    <row r="541" ht="15" customHeight="1">
      <c r="A541" t="inlineStr">
        <is>
          <t>A 15272-2025</t>
        </is>
      </c>
      <c r="B541" s="1" t="n">
        <v>45744</v>
      </c>
      <c r="C541" s="1" t="n">
        <v>45937</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1993-2022</t>
        </is>
      </c>
      <c r="B542" s="1" t="n">
        <v>44575</v>
      </c>
      <c r="C542" s="1" t="n">
        <v>45937</v>
      </c>
      <c r="D542" t="inlineStr">
        <is>
          <t>VÄSTMANLANDS LÄN</t>
        </is>
      </c>
      <c r="E542" t="inlineStr">
        <is>
          <t>SALA</t>
        </is>
      </c>
      <c r="G542" t="n">
        <v>1.6</v>
      </c>
      <c r="H542" t="n">
        <v>0</v>
      </c>
      <c r="I542" t="n">
        <v>0</v>
      </c>
      <c r="J542" t="n">
        <v>0</v>
      </c>
      <c r="K542" t="n">
        <v>0</v>
      </c>
      <c r="L542" t="n">
        <v>0</v>
      </c>
      <c r="M542" t="n">
        <v>0</v>
      </c>
      <c r="N542" t="n">
        <v>0</v>
      </c>
      <c r="O542" t="n">
        <v>0</v>
      </c>
      <c r="P542" t="n">
        <v>0</v>
      </c>
      <c r="Q542" t="n">
        <v>0</v>
      </c>
      <c r="R542" s="2" t="inlineStr"/>
    </row>
    <row r="543" ht="15" customHeight="1">
      <c r="A543" t="inlineStr">
        <is>
          <t>A 24248-2023</t>
        </is>
      </c>
      <c r="B543" s="1" t="n">
        <v>45079</v>
      </c>
      <c r="C543" s="1" t="n">
        <v>45937</v>
      </c>
      <c r="D543" t="inlineStr">
        <is>
          <t>VÄSTMANLANDS LÄN</t>
        </is>
      </c>
      <c r="E543" t="inlineStr">
        <is>
          <t>SALA</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1793-2023</t>
        </is>
      </c>
      <c r="B544" s="1" t="n">
        <v>44937</v>
      </c>
      <c r="C544" s="1" t="n">
        <v>45937</v>
      </c>
      <c r="D544" t="inlineStr">
        <is>
          <t>VÄSTMANLANDS LÄN</t>
        </is>
      </c>
      <c r="E544" t="inlineStr">
        <is>
          <t>SALA</t>
        </is>
      </c>
      <c r="G544" t="n">
        <v>2.6</v>
      </c>
      <c r="H544" t="n">
        <v>0</v>
      </c>
      <c r="I544" t="n">
        <v>0</v>
      </c>
      <c r="J544" t="n">
        <v>0</v>
      </c>
      <c r="K544" t="n">
        <v>0</v>
      </c>
      <c r="L544" t="n">
        <v>0</v>
      </c>
      <c r="M544" t="n">
        <v>0</v>
      </c>
      <c r="N544" t="n">
        <v>0</v>
      </c>
      <c r="O544" t="n">
        <v>0</v>
      </c>
      <c r="P544" t="n">
        <v>0</v>
      </c>
      <c r="Q544" t="n">
        <v>0</v>
      </c>
      <c r="R544" s="2" t="inlineStr"/>
    </row>
    <row r="545" ht="15" customHeight="1">
      <c r="A545" t="inlineStr">
        <is>
          <t>A 38195-2021</t>
        </is>
      </c>
      <c r="B545" s="1" t="n">
        <v>44405</v>
      </c>
      <c r="C545" s="1" t="n">
        <v>45937</v>
      </c>
      <c r="D545" t="inlineStr">
        <is>
          <t>VÄSTMANLANDS LÄN</t>
        </is>
      </c>
      <c r="E545" t="inlineStr">
        <is>
          <t>SALA</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27228-2023</t>
        </is>
      </c>
      <c r="B546" s="1" t="n">
        <v>45096.59189814814</v>
      </c>
      <c r="C546" s="1" t="n">
        <v>45937</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43031-2025</t>
        </is>
      </c>
      <c r="B547" s="1" t="n">
        <v>45909.53856481481</v>
      </c>
      <c r="C547" s="1" t="n">
        <v>45937</v>
      </c>
      <c r="D547" t="inlineStr">
        <is>
          <t>VÄSTMANLANDS LÄN</t>
        </is>
      </c>
      <c r="E547" t="inlineStr">
        <is>
          <t>SALA</t>
        </is>
      </c>
      <c r="G547" t="n">
        <v>0.2</v>
      </c>
      <c r="H547" t="n">
        <v>0</v>
      </c>
      <c r="I547" t="n">
        <v>0</v>
      </c>
      <c r="J547" t="n">
        <v>0</v>
      </c>
      <c r="K547" t="n">
        <v>0</v>
      </c>
      <c r="L547" t="n">
        <v>0</v>
      </c>
      <c r="M547" t="n">
        <v>0</v>
      </c>
      <c r="N547" t="n">
        <v>0</v>
      </c>
      <c r="O547" t="n">
        <v>0</v>
      </c>
      <c r="P547" t="n">
        <v>0</v>
      </c>
      <c r="Q547" t="n">
        <v>0</v>
      </c>
      <c r="R547" s="2" t="inlineStr"/>
    </row>
    <row r="548" ht="15" customHeight="1">
      <c r="A548" t="inlineStr">
        <is>
          <t>A 17985-2025</t>
        </is>
      </c>
      <c r="B548" s="1" t="n">
        <v>45761</v>
      </c>
      <c r="C548" s="1" t="n">
        <v>45937</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31869-2025</t>
        </is>
      </c>
      <c r="B549" s="1" t="n">
        <v>45834.64555555556</v>
      </c>
      <c r="C549" s="1" t="n">
        <v>45937</v>
      </c>
      <c r="D549" t="inlineStr">
        <is>
          <t>VÄSTMANLANDS LÄN</t>
        </is>
      </c>
      <c r="E549" t="inlineStr">
        <is>
          <t>SALA</t>
        </is>
      </c>
      <c r="G549" t="n">
        <v>17.5</v>
      </c>
      <c r="H549" t="n">
        <v>0</v>
      </c>
      <c r="I549" t="n">
        <v>0</v>
      </c>
      <c r="J549" t="n">
        <v>0</v>
      </c>
      <c r="K549" t="n">
        <v>0</v>
      </c>
      <c r="L549" t="n">
        <v>0</v>
      </c>
      <c r="M549" t="n">
        <v>0</v>
      </c>
      <c r="N549" t="n">
        <v>0</v>
      </c>
      <c r="O549" t="n">
        <v>0</v>
      </c>
      <c r="P549" t="n">
        <v>0</v>
      </c>
      <c r="Q549" t="n">
        <v>0</v>
      </c>
      <c r="R549" s="2" t="inlineStr"/>
    </row>
    <row r="550" ht="15" customHeight="1">
      <c r="A550" t="inlineStr">
        <is>
          <t>A 31863-2025</t>
        </is>
      </c>
      <c r="B550" s="1" t="n">
        <v>45834.63303240741</v>
      </c>
      <c r="C550" s="1" t="n">
        <v>45937</v>
      </c>
      <c r="D550" t="inlineStr">
        <is>
          <t>VÄSTMANLANDS LÄN</t>
        </is>
      </c>
      <c r="E550" t="inlineStr">
        <is>
          <t>SALA</t>
        </is>
      </c>
      <c r="G550" t="n">
        <v>2.5</v>
      </c>
      <c r="H550" t="n">
        <v>0</v>
      </c>
      <c r="I550" t="n">
        <v>0</v>
      </c>
      <c r="J550" t="n">
        <v>0</v>
      </c>
      <c r="K550" t="n">
        <v>0</v>
      </c>
      <c r="L550" t="n">
        <v>0</v>
      </c>
      <c r="M550" t="n">
        <v>0</v>
      </c>
      <c r="N550" t="n">
        <v>0</v>
      </c>
      <c r="O550" t="n">
        <v>0</v>
      </c>
      <c r="P550" t="n">
        <v>0</v>
      </c>
      <c r="Q550" t="n">
        <v>0</v>
      </c>
      <c r="R550" s="2" t="inlineStr"/>
    </row>
    <row r="551" ht="15" customHeight="1">
      <c r="A551" t="inlineStr">
        <is>
          <t>A 17766-2025</t>
        </is>
      </c>
      <c r="B551" s="1" t="n">
        <v>45758</v>
      </c>
      <c r="C551" s="1" t="n">
        <v>45937</v>
      </c>
      <c r="D551" t="inlineStr">
        <is>
          <t>VÄSTMANLANDS LÄN</t>
        </is>
      </c>
      <c r="E551" t="inlineStr">
        <is>
          <t>SALA</t>
        </is>
      </c>
      <c r="G551" t="n">
        <v>16.5</v>
      </c>
      <c r="H551" t="n">
        <v>0</v>
      </c>
      <c r="I551" t="n">
        <v>0</v>
      </c>
      <c r="J551" t="n">
        <v>0</v>
      </c>
      <c r="K551" t="n">
        <v>0</v>
      </c>
      <c r="L551" t="n">
        <v>0</v>
      </c>
      <c r="M551" t="n">
        <v>0</v>
      </c>
      <c r="N551" t="n">
        <v>0</v>
      </c>
      <c r="O551" t="n">
        <v>0</v>
      </c>
      <c r="P551" t="n">
        <v>0</v>
      </c>
      <c r="Q551" t="n">
        <v>0</v>
      </c>
      <c r="R551" s="2" t="inlineStr"/>
    </row>
    <row r="552" ht="15" customHeight="1">
      <c r="A552" t="inlineStr">
        <is>
          <t>A 7664-2023</t>
        </is>
      </c>
      <c r="B552" s="1" t="n">
        <v>44972</v>
      </c>
      <c r="C552" s="1" t="n">
        <v>45937</v>
      </c>
      <c r="D552" t="inlineStr">
        <is>
          <t>VÄSTMANLANDS LÄN</t>
        </is>
      </c>
      <c r="E552" t="inlineStr">
        <is>
          <t>SALA</t>
        </is>
      </c>
      <c r="G552" t="n">
        <v>1.4</v>
      </c>
      <c r="H552" t="n">
        <v>0</v>
      </c>
      <c r="I552" t="n">
        <v>0</v>
      </c>
      <c r="J552" t="n">
        <v>0</v>
      </c>
      <c r="K552" t="n">
        <v>0</v>
      </c>
      <c r="L552" t="n">
        <v>0</v>
      </c>
      <c r="M552" t="n">
        <v>0</v>
      </c>
      <c r="N552" t="n">
        <v>0</v>
      </c>
      <c r="O552" t="n">
        <v>0</v>
      </c>
      <c r="P552" t="n">
        <v>0</v>
      </c>
      <c r="Q552" t="n">
        <v>0</v>
      </c>
      <c r="R552" s="2" t="inlineStr"/>
    </row>
    <row r="553" ht="15" customHeight="1">
      <c r="A553" t="inlineStr">
        <is>
          <t>A 3546-2025</t>
        </is>
      </c>
      <c r="B553" s="1" t="n">
        <v>45680</v>
      </c>
      <c r="C553" s="1" t="n">
        <v>45937</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43328-2025</t>
        </is>
      </c>
      <c r="B554" s="1" t="n">
        <v>45910</v>
      </c>
      <c r="C554" s="1" t="n">
        <v>45937</v>
      </c>
      <c r="D554" t="inlineStr">
        <is>
          <t>VÄSTMANLANDS LÄN</t>
        </is>
      </c>
      <c r="E554" t="inlineStr">
        <is>
          <t>SALA</t>
        </is>
      </c>
      <c r="G554" t="n">
        <v>0.8</v>
      </c>
      <c r="H554" t="n">
        <v>0</v>
      </c>
      <c r="I554" t="n">
        <v>0</v>
      </c>
      <c r="J554" t="n">
        <v>0</v>
      </c>
      <c r="K554" t="n">
        <v>0</v>
      </c>
      <c r="L554" t="n">
        <v>0</v>
      </c>
      <c r="M554" t="n">
        <v>0</v>
      </c>
      <c r="N554" t="n">
        <v>0</v>
      </c>
      <c r="O554" t="n">
        <v>0</v>
      </c>
      <c r="P554" t="n">
        <v>0</v>
      </c>
      <c r="Q554" t="n">
        <v>0</v>
      </c>
      <c r="R554" s="2" t="inlineStr"/>
    </row>
    <row r="555" ht="15" customHeight="1">
      <c r="A555" t="inlineStr">
        <is>
          <t>A 53838-2022</t>
        </is>
      </c>
      <c r="B555" s="1" t="n">
        <v>44880.59363425926</v>
      </c>
      <c r="C555" s="1" t="n">
        <v>45937</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42447-2022</t>
        </is>
      </c>
      <c r="B556" s="1" t="n">
        <v>44831</v>
      </c>
      <c r="C556" s="1" t="n">
        <v>45937</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44524-2025</t>
        </is>
      </c>
      <c r="B557" s="1" t="n">
        <v>45916.72920138889</v>
      </c>
      <c r="C557" s="1" t="n">
        <v>45937</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54923-2020</t>
        </is>
      </c>
      <c r="B558" s="1" t="n">
        <v>44127</v>
      </c>
      <c r="C558" s="1" t="n">
        <v>45937</v>
      </c>
      <c r="D558" t="inlineStr">
        <is>
          <t>VÄSTMANLANDS LÄN</t>
        </is>
      </c>
      <c r="E558" t="inlineStr">
        <is>
          <t>SALA</t>
        </is>
      </c>
      <c r="G558" t="n">
        <v>4.9</v>
      </c>
      <c r="H558" t="n">
        <v>0</v>
      </c>
      <c r="I558" t="n">
        <v>0</v>
      </c>
      <c r="J558" t="n">
        <v>0</v>
      </c>
      <c r="K558" t="n">
        <v>0</v>
      </c>
      <c r="L558" t="n">
        <v>0</v>
      </c>
      <c r="M558" t="n">
        <v>0</v>
      </c>
      <c r="N558" t="n">
        <v>0</v>
      </c>
      <c r="O558" t="n">
        <v>0</v>
      </c>
      <c r="P558" t="n">
        <v>0</v>
      </c>
      <c r="Q558" t="n">
        <v>0</v>
      </c>
      <c r="R558" s="2" t="inlineStr"/>
    </row>
    <row r="559" ht="15" customHeight="1">
      <c r="A559" t="inlineStr">
        <is>
          <t>A 11183-2023</t>
        </is>
      </c>
      <c r="B559" s="1" t="n">
        <v>44992.57782407408</v>
      </c>
      <c r="C559" s="1" t="n">
        <v>45937</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11190-2023</t>
        </is>
      </c>
      <c r="B560" s="1" t="n">
        <v>44992</v>
      </c>
      <c r="C560" s="1" t="n">
        <v>45937</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25260-2023</t>
        </is>
      </c>
      <c r="B561" s="1" t="n">
        <v>45086</v>
      </c>
      <c r="C561" s="1" t="n">
        <v>45937</v>
      </c>
      <c r="D561" t="inlineStr">
        <is>
          <t>VÄSTMANLANDS LÄN</t>
        </is>
      </c>
      <c r="E561" t="inlineStr">
        <is>
          <t>SALA</t>
        </is>
      </c>
      <c r="F561" t="inlineStr">
        <is>
          <t>Sveaskog</t>
        </is>
      </c>
      <c r="G561" t="n">
        <v>3.2</v>
      </c>
      <c r="H561" t="n">
        <v>0</v>
      </c>
      <c r="I561" t="n">
        <v>0</v>
      </c>
      <c r="J561" t="n">
        <v>0</v>
      </c>
      <c r="K561" t="n">
        <v>0</v>
      </c>
      <c r="L561" t="n">
        <v>0</v>
      </c>
      <c r="M561" t="n">
        <v>0</v>
      </c>
      <c r="N561" t="n">
        <v>0</v>
      </c>
      <c r="O561" t="n">
        <v>0</v>
      </c>
      <c r="P561" t="n">
        <v>0</v>
      </c>
      <c r="Q561" t="n">
        <v>0</v>
      </c>
      <c r="R561" s="2" t="inlineStr"/>
    </row>
    <row r="562" ht="15" customHeight="1">
      <c r="A562" t="inlineStr">
        <is>
          <t>A 31950-2023</t>
        </is>
      </c>
      <c r="B562" s="1" t="n">
        <v>45107</v>
      </c>
      <c r="C562" s="1" t="n">
        <v>45937</v>
      </c>
      <c r="D562" t="inlineStr">
        <is>
          <t>VÄSTMANLANDS LÄN</t>
        </is>
      </c>
      <c r="E562" t="inlineStr">
        <is>
          <t>SALA</t>
        </is>
      </c>
      <c r="G562" t="n">
        <v>1.9</v>
      </c>
      <c r="H562" t="n">
        <v>0</v>
      </c>
      <c r="I562" t="n">
        <v>0</v>
      </c>
      <c r="J562" t="n">
        <v>0</v>
      </c>
      <c r="K562" t="n">
        <v>0</v>
      </c>
      <c r="L562" t="n">
        <v>0</v>
      </c>
      <c r="M562" t="n">
        <v>0</v>
      </c>
      <c r="N562" t="n">
        <v>0</v>
      </c>
      <c r="O562" t="n">
        <v>0</v>
      </c>
      <c r="P562" t="n">
        <v>0</v>
      </c>
      <c r="Q562" t="n">
        <v>0</v>
      </c>
      <c r="R562" s="2" t="inlineStr"/>
    </row>
    <row r="563" ht="15" customHeight="1">
      <c r="A563" t="inlineStr">
        <is>
          <t>A 16769-2024</t>
        </is>
      </c>
      <c r="B563" s="1" t="n">
        <v>45411.38738425926</v>
      </c>
      <c r="C563" s="1" t="n">
        <v>45937</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60249-2023</t>
        </is>
      </c>
      <c r="B564" s="1" t="n">
        <v>45258</v>
      </c>
      <c r="C564" s="1" t="n">
        <v>45937</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14271-2025</t>
        </is>
      </c>
      <c r="B565" s="1" t="n">
        <v>45740.64129629629</v>
      </c>
      <c r="C565" s="1" t="n">
        <v>45937</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48710-2024</t>
        </is>
      </c>
      <c r="B566" s="1" t="n">
        <v>45593.53636574074</v>
      </c>
      <c r="C566" s="1" t="n">
        <v>45937</v>
      </c>
      <c r="D566" t="inlineStr">
        <is>
          <t>VÄSTMANLANDS LÄN</t>
        </is>
      </c>
      <c r="E566" t="inlineStr">
        <is>
          <t>SALA</t>
        </is>
      </c>
      <c r="G566" t="n">
        <v>6.5</v>
      </c>
      <c r="H566" t="n">
        <v>0</v>
      </c>
      <c r="I566" t="n">
        <v>0</v>
      </c>
      <c r="J566" t="n">
        <v>0</v>
      </c>
      <c r="K566" t="n">
        <v>0</v>
      </c>
      <c r="L566" t="n">
        <v>0</v>
      </c>
      <c r="M566" t="n">
        <v>0</v>
      </c>
      <c r="N566" t="n">
        <v>0</v>
      </c>
      <c r="O566" t="n">
        <v>0</v>
      </c>
      <c r="P566" t="n">
        <v>0</v>
      </c>
      <c r="Q566" t="n">
        <v>0</v>
      </c>
      <c r="R566" s="2" t="inlineStr"/>
    </row>
    <row r="567" ht="15" customHeight="1">
      <c r="A567" t="inlineStr">
        <is>
          <t>A 44486-2025</t>
        </is>
      </c>
      <c r="B567" s="1" t="n">
        <v>45916.65517361111</v>
      </c>
      <c r="C567" s="1" t="n">
        <v>45937</v>
      </c>
      <c r="D567" t="inlineStr">
        <is>
          <t>VÄSTMANLANDS LÄN</t>
        </is>
      </c>
      <c r="E567" t="inlineStr">
        <is>
          <t>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69232-2021</t>
        </is>
      </c>
      <c r="B568" s="1" t="n">
        <v>44531.39696759259</v>
      </c>
      <c r="C568" s="1" t="n">
        <v>45937</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23406-2024</t>
        </is>
      </c>
      <c r="B569" s="1" t="n">
        <v>45453.58296296297</v>
      </c>
      <c r="C569" s="1" t="n">
        <v>45937</v>
      </c>
      <c r="D569" t="inlineStr">
        <is>
          <t>VÄSTMANLANDS LÄN</t>
        </is>
      </c>
      <c r="E569" t="inlineStr">
        <is>
          <t>SALA</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12246-2023</t>
        </is>
      </c>
      <c r="B570" s="1" t="n">
        <v>44995</v>
      </c>
      <c r="C570" s="1" t="n">
        <v>45937</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57800-2020</t>
        </is>
      </c>
      <c r="B571" s="1" t="n">
        <v>44141</v>
      </c>
      <c r="C571" s="1" t="n">
        <v>45937</v>
      </c>
      <c r="D571" t="inlineStr">
        <is>
          <t>VÄSTMANLANDS LÄN</t>
        </is>
      </c>
      <c r="E571" t="inlineStr">
        <is>
          <t>SALA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28328-2023</t>
        </is>
      </c>
      <c r="B572" s="1" t="n">
        <v>45099.71063657408</v>
      </c>
      <c r="C572" s="1" t="n">
        <v>45937</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48571-2024</t>
        </is>
      </c>
      <c r="B573" s="1" t="n">
        <v>45591</v>
      </c>
      <c r="C573" s="1" t="n">
        <v>45937</v>
      </c>
      <c r="D573" t="inlineStr">
        <is>
          <t>VÄSTMANLANDS LÄN</t>
        </is>
      </c>
      <c r="E573" t="inlineStr">
        <is>
          <t>SALA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43362-2023</t>
        </is>
      </c>
      <c r="B574" s="1" t="n">
        <v>45183</v>
      </c>
      <c r="C574" s="1" t="n">
        <v>45937</v>
      </c>
      <c r="D574" t="inlineStr">
        <is>
          <t>VÄSTMANLANDS LÄN</t>
        </is>
      </c>
      <c r="E574" t="inlineStr">
        <is>
          <t>SALA</t>
        </is>
      </c>
      <c r="G574" t="n">
        <v>2</v>
      </c>
      <c r="H574" t="n">
        <v>0</v>
      </c>
      <c r="I574" t="n">
        <v>0</v>
      </c>
      <c r="J574" t="n">
        <v>0</v>
      </c>
      <c r="K574" t="n">
        <v>0</v>
      </c>
      <c r="L574" t="n">
        <v>0</v>
      </c>
      <c r="M574" t="n">
        <v>0</v>
      </c>
      <c r="N574" t="n">
        <v>0</v>
      </c>
      <c r="O574" t="n">
        <v>0</v>
      </c>
      <c r="P574" t="n">
        <v>0</v>
      </c>
      <c r="Q574" t="n">
        <v>0</v>
      </c>
      <c r="R574" s="2" t="inlineStr"/>
    </row>
    <row r="575" ht="15" customHeight="1">
      <c r="A575" t="inlineStr">
        <is>
          <t>A 40085-2024</t>
        </is>
      </c>
      <c r="B575" s="1" t="n">
        <v>45554</v>
      </c>
      <c r="C575" s="1" t="n">
        <v>45937</v>
      </c>
      <c r="D575" t="inlineStr">
        <is>
          <t>VÄSTMANLANDS LÄN</t>
        </is>
      </c>
      <c r="E575" t="inlineStr">
        <is>
          <t>SALA</t>
        </is>
      </c>
      <c r="G575" t="n">
        <v>2.8</v>
      </c>
      <c r="H575" t="n">
        <v>0</v>
      </c>
      <c r="I575" t="n">
        <v>0</v>
      </c>
      <c r="J575" t="n">
        <v>0</v>
      </c>
      <c r="K575" t="n">
        <v>0</v>
      </c>
      <c r="L575" t="n">
        <v>0</v>
      </c>
      <c r="M575" t="n">
        <v>0</v>
      </c>
      <c r="N575" t="n">
        <v>0</v>
      </c>
      <c r="O575" t="n">
        <v>0</v>
      </c>
      <c r="P575" t="n">
        <v>0</v>
      </c>
      <c r="Q575" t="n">
        <v>0</v>
      </c>
      <c r="R575" s="2" t="inlineStr"/>
    </row>
    <row r="576" ht="15" customHeight="1">
      <c r="A576" t="inlineStr">
        <is>
          <t>A 37017-2025</t>
        </is>
      </c>
      <c r="B576" s="1" t="n">
        <v>45874</v>
      </c>
      <c r="C576" s="1" t="n">
        <v>45937</v>
      </c>
      <c r="D576" t="inlineStr">
        <is>
          <t>VÄSTMANLANDS LÄN</t>
        </is>
      </c>
      <c r="E576" t="inlineStr">
        <is>
          <t>SALA</t>
        </is>
      </c>
      <c r="G576" t="n">
        <v>11.1</v>
      </c>
      <c r="H576" t="n">
        <v>0</v>
      </c>
      <c r="I576" t="n">
        <v>0</v>
      </c>
      <c r="J576" t="n">
        <v>0</v>
      </c>
      <c r="K576" t="n">
        <v>0</v>
      </c>
      <c r="L576" t="n">
        <v>0</v>
      </c>
      <c r="M576" t="n">
        <v>0</v>
      </c>
      <c r="N576" t="n">
        <v>0</v>
      </c>
      <c r="O576" t="n">
        <v>0</v>
      </c>
      <c r="P576" t="n">
        <v>0</v>
      </c>
      <c r="Q576" t="n">
        <v>0</v>
      </c>
      <c r="R576" s="2" t="inlineStr"/>
    </row>
    <row r="577" ht="15" customHeight="1">
      <c r="A577" t="inlineStr">
        <is>
          <t>A 44100-2025</t>
        </is>
      </c>
      <c r="B577" s="1" t="n">
        <v>45915.56707175926</v>
      </c>
      <c r="C577" s="1" t="n">
        <v>45937</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16767-2024</t>
        </is>
      </c>
      <c r="B578" s="1" t="n">
        <v>45411.38171296296</v>
      </c>
      <c r="C578" s="1" t="n">
        <v>45937</v>
      </c>
      <c r="D578" t="inlineStr">
        <is>
          <t>VÄSTMANLANDS LÄN</t>
        </is>
      </c>
      <c r="E578" t="inlineStr">
        <is>
          <t>SALA</t>
        </is>
      </c>
      <c r="G578" t="n">
        <v>2.5</v>
      </c>
      <c r="H578" t="n">
        <v>0</v>
      </c>
      <c r="I578" t="n">
        <v>0</v>
      </c>
      <c r="J578" t="n">
        <v>0</v>
      </c>
      <c r="K578" t="n">
        <v>0</v>
      </c>
      <c r="L578" t="n">
        <v>0</v>
      </c>
      <c r="M578" t="n">
        <v>0</v>
      </c>
      <c r="N578" t="n">
        <v>0</v>
      </c>
      <c r="O578" t="n">
        <v>0</v>
      </c>
      <c r="P578" t="n">
        <v>0</v>
      </c>
      <c r="Q578" t="n">
        <v>0</v>
      </c>
      <c r="R578" s="2" t="inlineStr"/>
    </row>
    <row r="579" ht="15" customHeight="1">
      <c r="A579" t="inlineStr">
        <is>
          <t>A 37103-2025</t>
        </is>
      </c>
      <c r="B579" s="1" t="n">
        <v>45875.47743055555</v>
      </c>
      <c r="C579" s="1" t="n">
        <v>45937</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18158-2025</t>
        </is>
      </c>
      <c r="B580" s="1" t="n">
        <v>45761</v>
      </c>
      <c r="C580" s="1" t="n">
        <v>45937</v>
      </c>
      <c r="D580" t="inlineStr">
        <is>
          <t>VÄSTMANLANDS LÄN</t>
        </is>
      </c>
      <c r="E580" t="inlineStr">
        <is>
          <t>SALA</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49661-2024</t>
        </is>
      </c>
      <c r="B581" s="1" t="n">
        <v>45596</v>
      </c>
      <c r="C581" s="1" t="n">
        <v>45937</v>
      </c>
      <c r="D581" t="inlineStr">
        <is>
          <t>VÄSTMANLANDS LÄN</t>
        </is>
      </c>
      <c r="E581" t="inlineStr">
        <is>
          <t>SALA</t>
        </is>
      </c>
      <c r="G581" t="n">
        <v>6.7</v>
      </c>
      <c r="H581" t="n">
        <v>0</v>
      </c>
      <c r="I581" t="n">
        <v>0</v>
      </c>
      <c r="J581" t="n">
        <v>0</v>
      </c>
      <c r="K581" t="n">
        <v>0</v>
      </c>
      <c r="L581" t="n">
        <v>0</v>
      </c>
      <c r="M581" t="n">
        <v>0</v>
      </c>
      <c r="N581" t="n">
        <v>0</v>
      </c>
      <c r="O581" t="n">
        <v>0</v>
      </c>
      <c r="P581" t="n">
        <v>0</v>
      </c>
      <c r="Q581" t="n">
        <v>0</v>
      </c>
      <c r="R581" s="2" t="inlineStr"/>
    </row>
    <row r="582" ht="15" customHeight="1">
      <c r="A582" t="inlineStr">
        <is>
          <t>A 37246-2025</t>
        </is>
      </c>
      <c r="B582" s="1" t="n">
        <v>45876.39435185185</v>
      </c>
      <c r="C582" s="1" t="n">
        <v>45937</v>
      </c>
      <c r="D582" t="inlineStr">
        <is>
          <t>VÄSTMANLANDS LÄN</t>
        </is>
      </c>
      <c r="E582" t="inlineStr">
        <is>
          <t>SALA</t>
        </is>
      </c>
      <c r="G582" t="n">
        <v>2.3</v>
      </c>
      <c r="H582" t="n">
        <v>0</v>
      </c>
      <c r="I582" t="n">
        <v>0</v>
      </c>
      <c r="J582" t="n">
        <v>0</v>
      </c>
      <c r="K582" t="n">
        <v>0</v>
      </c>
      <c r="L582" t="n">
        <v>0</v>
      </c>
      <c r="M582" t="n">
        <v>0</v>
      </c>
      <c r="N582" t="n">
        <v>0</v>
      </c>
      <c r="O582" t="n">
        <v>0</v>
      </c>
      <c r="P582" t="n">
        <v>0</v>
      </c>
      <c r="Q582" t="n">
        <v>0</v>
      </c>
      <c r="R582" s="2" t="inlineStr"/>
    </row>
    <row r="583" ht="15" customHeight="1">
      <c r="A583" t="inlineStr">
        <is>
          <t>A 37263-2025</t>
        </is>
      </c>
      <c r="B583" s="1" t="n">
        <v>45876.4584837963</v>
      </c>
      <c r="C583" s="1" t="n">
        <v>45937</v>
      </c>
      <c r="D583" t="inlineStr">
        <is>
          <t>VÄSTMANLANDS LÄN</t>
        </is>
      </c>
      <c r="E583" t="inlineStr">
        <is>
          <t>SALA</t>
        </is>
      </c>
      <c r="G583" t="n">
        <v>2.3</v>
      </c>
      <c r="H583" t="n">
        <v>0</v>
      </c>
      <c r="I583" t="n">
        <v>0</v>
      </c>
      <c r="J583" t="n">
        <v>0</v>
      </c>
      <c r="K583" t="n">
        <v>0</v>
      </c>
      <c r="L583" t="n">
        <v>0</v>
      </c>
      <c r="M583" t="n">
        <v>0</v>
      </c>
      <c r="N583" t="n">
        <v>0</v>
      </c>
      <c r="O583" t="n">
        <v>0</v>
      </c>
      <c r="P583" t="n">
        <v>0</v>
      </c>
      <c r="Q583" t="n">
        <v>0</v>
      </c>
      <c r="R583" s="2" t="inlineStr"/>
    </row>
    <row r="584" ht="15" customHeight="1">
      <c r="A584" t="inlineStr">
        <is>
          <t>A 31470-2021</t>
        </is>
      </c>
      <c r="B584" s="1" t="n">
        <v>44369</v>
      </c>
      <c r="C584" s="1" t="n">
        <v>45937</v>
      </c>
      <c r="D584" t="inlineStr">
        <is>
          <t>VÄSTMANLANDS LÄN</t>
        </is>
      </c>
      <c r="E584" t="inlineStr">
        <is>
          <t>SALA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18461-2024</t>
        </is>
      </c>
      <c r="B585" s="1" t="n">
        <v>45425.47435185185</v>
      </c>
      <c r="C585" s="1" t="n">
        <v>45937</v>
      </c>
      <c r="D585" t="inlineStr">
        <is>
          <t>VÄSTMANLANDS LÄN</t>
        </is>
      </c>
      <c r="E585" t="inlineStr">
        <is>
          <t>SALA</t>
        </is>
      </c>
      <c r="G585" t="n">
        <v>1.7</v>
      </c>
      <c r="H585" t="n">
        <v>0</v>
      </c>
      <c r="I585" t="n">
        <v>0</v>
      </c>
      <c r="J585" t="n">
        <v>0</v>
      </c>
      <c r="K585" t="n">
        <v>0</v>
      </c>
      <c r="L585" t="n">
        <v>0</v>
      </c>
      <c r="M585" t="n">
        <v>0</v>
      </c>
      <c r="N585" t="n">
        <v>0</v>
      </c>
      <c r="O585" t="n">
        <v>0</v>
      </c>
      <c r="P585" t="n">
        <v>0</v>
      </c>
      <c r="Q585" t="n">
        <v>0</v>
      </c>
      <c r="R585" s="2" t="inlineStr"/>
    </row>
    <row r="586" ht="15" customHeight="1">
      <c r="A586" t="inlineStr">
        <is>
          <t>A 37253-2025</t>
        </is>
      </c>
      <c r="B586" s="1" t="n">
        <v>45876.42290509259</v>
      </c>
      <c r="C586" s="1" t="n">
        <v>45937</v>
      </c>
      <c r="D586" t="inlineStr">
        <is>
          <t>VÄSTMANLANDS LÄN</t>
        </is>
      </c>
      <c r="E586" t="inlineStr">
        <is>
          <t>SALA</t>
        </is>
      </c>
      <c r="G586" t="n">
        <v>2.6</v>
      </c>
      <c r="H586" t="n">
        <v>0</v>
      </c>
      <c r="I586" t="n">
        <v>0</v>
      </c>
      <c r="J586" t="n">
        <v>0</v>
      </c>
      <c r="K586" t="n">
        <v>0</v>
      </c>
      <c r="L586" t="n">
        <v>0</v>
      </c>
      <c r="M586" t="n">
        <v>0</v>
      </c>
      <c r="N586" t="n">
        <v>0</v>
      </c>
      <c r="O586" t="n">
        <v>0</v>
      </c>
      <c r="P586" t="n">
        <v>0</v>
      </c>
      <c r="Q586" t="n">
        <v>0</v>
      </c>
      <c r="R586" s="2" t="inlineStr"/>
    </row>
    <row r="587" ht="15" customHeight="1">
      <c r="A587" t="inlineStr">
        <is>
          <t>A 29230-2022</t>
        </is>
      </c>
      <c r="B587" s="1" t="n">
        <v>44750</v>
      </c>
      <c r="C587" s="1" t="n">
        <v>45937</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35519-2024</t>
        </is>
      </c>
      <c r="B588" s="1" t="n">
        <v>45531</v>
      </c>
      <c r="C588" s="1" t="n">
        <v>45937</v>
      </c>
      <c r="D588" t="inlineStr">
        <is>
          <t>VÄSTMANLANDS LÄN</t>
        </is>
      </c>
      <c r="E588" t="inlineStr">
        <is>
          <t>SALA</t>
        </is>
      </c>
      <c r="G588" t="n">
        <v>1.8</v>
      </c>
      <c r="H588" t="n">
        <v>0</v>
      </c>
      <c r="I588" t="n">
        <v>0</v>
      </c>
      <c r="J588" t="n">
        <v>0</v>
      </c>
      <c r="K588" t="n">
        <v>0</v>
      </c>
      <c r="L588" t="n">
        <v>0</v>
      </c>
      <c r="M588" t="n">
        <v>0</v>
      </c>
      <c r="N588" t="n">
        <v>0</v>
      </c>
      <c r="O588" t="n">
        <v>0</v>
      </c>
      <c r="P588" t="n">
        <v>0</v>
      </c>
      <c r="Q588" t="n">
        <v>0</v>
      </c>
      <c r="R588" s="2" t="inlineStr"/>
    </row>
    <row r="589" ht="15" customHeight="1">
      <c r="A589" t="inlineStr">
        <is>
          <t>A 9335-2022</t>
        </is>
      </c>
      <c r="B589" s="1" t="n">
        <v>44616.56579861111</v>
      </c>
      <c r="C589" s="1" t="n">
        <v>45937</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54347-2024</t>
        </is>
      </c>
      <c r="B590" s="1" t="n">
        <v>45617.39325231482</v>
      </c>
      <c r="C590" s="1" t="n">
        <v>45937</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47479-2024</t>
        </is>
      </c>
      <c r="B591" s="1" t="n">
        <v>45587</v>
      </c>
      <c r="C591" s="1" t="n">
        <v>45937</v>
      </c>
      <c r="D591" t="inlineStr">
        <is>
          <t>VÄSTMANLANDS LÄN</t>
        </is>
      </c>
      <c r="E591" t="inlineStr">
        <is>
          <t>SALA</t>
        </is>
      </c>
      <c r="F591" t="inlineStr">
        <is>
          <t>Kommuner</t>
        </is>
      </c>
      <c r="G591" t="n">
        <v>0.8</v>
      </c>
      <c r="H591" t="n">
        <v>0</v>
      </c>
      <c r="I591" t="n">
        <v>0</v>
      </c>
      <c r="J591" t="n">
        <v>0</v>
      </c>
      <c r="K591" t="n">
        <v>0</v>
      </c>
      <c r="L591" t="n">
        <v>0</v>
      </c>
      <c r="M591" t="n">
        <v>0</v>
      </c>
      <c r="N591" t="n">
        <v>0</v>
      </c>
      <c r="O591" t="n">
        <v>0</v>
      </c>
      <c r="P591" t="n">
        <v>0</v>
      </c>
      <c r="Q591" t="n">
        <v>0</v>
      </c>
      <c r="R591" s="2" t="inlineStr"/>
    </row>
    <row r="592" ht="15" customHeight="1">
      <c r="A592" t="inlineStr">
        <is>
          <t>A 17722-2025</t>
        </is>
      </c>
      <c r="B592" s="1" t="n">
        <v>45758</v>
      </c>
      <c r="C592" s="1" t="n">
        <v>45937</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13022-2023</t>
        </is>
      </c>
      <c r="B593" s="1" t="n">
        <v>45002.33291666667</v>
      </c>
      <c r="C593" s="1" t="n">
        <v>45937</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35003-2024</t>
        </is>
      </c>
      <c r="B594" s="1" t="n">
        <v>45527.56790509259</v>
      </c>
      <c r="C594" s="1" t="n">
        <v>45937</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19065-2022</t>
        </is>
      </c>
      <c r="B595" s="1" t="n">
        <v>44691.44309027777</v>
      </c>
      <c r="C595" s="1" t="n">
        <v>45937</v>
      </c>
      <c r="D595" t="inlineStr">
        <is>
          <t>VÄSTMANLANDS LÄN</t>
        </is>
      </c>
      <c r="E595" t="inlineStr">
        <is>
          <t>SALA</t>
        </is>
      </c>
      <c r="G595" t="n">
        <v>3.4</v>
      </c>
      <c r="H595" t="n">
        <v>0</v>
      </c>
      <c r="I595" t="n">
        <v>0</v>
      </c>
      <c r="J595" t="n">
        <v>0</v>
      </c>
      <c r="K595" t="n">
        <v>0</v>
      </c>
      <c r="L595" t="n">
        <v>0</v>
      </c>
      <c r="M595" t="n">
        <v>0</v>
      </c>
      <c r="N595" t="n">
        <v>0</v>
      </c>
      <c r="O595" t="n">
        <v>0</v>
      </c>
      <c r="P595" t="n">
        <v>0</v>
      </c>
      <c r="Q595" t="n">
        <v>0</v>
      </c>
      <c r="R595" s="2" t="inlineStr"/>
    </row>
    <row r="596" ht="15" customHeight="1">
      <c r="A596" t="inlineStr">
        <is>
          <t>A 22961-2023</t>
        </is>
      </c>
      <c r="B596" s="1" t="n">
        <v>45072</v>
      </c>
      <c r="C596" s="1" t="n">
        <v>45937</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22963-2023</t>
        </is>
      </c>
      <c r="B597" s="1" t="n">
        <v>45072</v>
      </c>
      <c r="C597" s="1" t="n">
        <v>45937</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66307-2021</t>
        </is>
      </c>
      <c r="B598" s="1" t="n">
        <v>44518.48670138889</v>
      </c>
      <c r="C598" s="1" t="n">
        <v>45937</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6030-2024</t>
        </is>
      </c>
      <c r="B599" s="1" t="n">
        <v>45336.62782407407</v>
      </c>
      <c r="C599" s="1" t="n">
        <v>45937</v>
      </c>
      <c r="D599" t="inlineStr">
        <is>
          <t>VÄSTMANLANDS LÄN</t>
        </is>
      </c>
      <c r="E599" t="inlineStr">
        <is>
          <t>SALA</t>
        </is>
      </c>
      <c r="G599" t="n">
        <v>3.9</v>
      </c>
      <c r="H599" t="n">
        <v>0</v>
      </c>
      <c r="I599" t="n">
        <v>0</v>
      </c>
      <c r="J599" t="n">
        <v>0</v>
      </c>
      <c r="K599" t="n">
        <v>0</v>
      </c>
      <c r="L599" t="n">
        <v>0</v>
      </c>
      <c r="M599" t="n">
        <v>0</v>
      </c>
      <c r="N599" t="n">
        <v>0</v>
      </c>
      <c r="O599" t="n">
        <v>0</v>
      </c>
      <c r="P599" t="n">
        <v>0</v>
      </c>
      <c r="Q599" t="n">
        <v>0</v>
      </c>
      <c r="R599" s="2" t="inlineStr"/>
    </row>
    <row r="600" ht="15" customHeight="1">
      <c r="A600" t="inlineStr">
        <is>
          <t>A 37590-2025</t>
        </is>
      </c>
      <c r="B600" s="1" t="n">
        <v>45880.41138888889</v>
      </c>
      <c r="C600" s="1" t="n">
        <v>45937</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37593-2025</t>
        </is>
      </c>
      <c r="B601" s="1" t="n">
        <v>45880.41325231481</v>
      </c>
      <c r="C601" s="1" t="n">
        <v>45937</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26761-2023</t>
        </is>
      </c>
      <c r="B602" s="1" t="n">
        <v>45093</v>
      </c>
      <c r="C602" s="1" t="n">
        <v>45937</v>
      </c>
      <c r="D602" t="inlineStr">
        <is>
          <t>VÄSTMANLANDS LÄN</t>
        </is>
      </c>
      <c r="E602" t="inlineStr">
        <is>
          <t>SALA</t>
        </is>
      </c>
      <c r="G602" t="n">
        <v>4.3</v>
      </c>
      <c r="H602" t="n">
        <v>0</v>
      </c>
      <c r="I602" t="n">
        <v>0</v>
      </c>
      <c r="J602" t="n">
        <v>0</v>
      </c>
      <c r="K602" t="n">
        <v>0</v>
      </c>
      <c r="L602" t="n">
        <v>0</v>
      </c>
      <c r="M602" t="n">
        <v>0</v>
      </c>
      <c r="N602" t="n">
        <v>0</v>
      </c>
      <c r="O602" t="n">
        <v>0</v>
      </c>
      <c r="P602" t="n">
        <v>0</v>
      </c>
      <c r="Q602" t="n">
        <v>0</v>
      </c>
      <c r="R602" s="2" t="inlineStr"/>
    </row>
    <row r="603" ht="15" customHeight="1">
      <c r="A603" t="inlineStr">
        <is>
          <t>A 61892-2021</t>
        </is>
      </c>
      <c r="B603" s="1" t="n">
        <v>44502</v>
      </c>
      <c r="C603" s="1" t="n">
        <v>45937</v>
      </c>
      <c r="D603" t="inlineStr">
        <is>
          <t>VÄSTMANLANDS LÄN</t>
        </is>
      </c>
      <c r="E603" t="inlineStr">
        <is>
          <t>SALA</t>
        </is>
      </c>
      <c r="G603" t="n">
        <v>1.4</v>
      </c>
      <c r="H603" t="n">
        <v>0</v>
      </c>
      <c r="I603" t="n">
        <v>0</v>
      </c>
      <c r="J603" t="n">
        <v>0</v>
      </c>
      <c r="K603" t="n">
        <v>0</v>
      </c>
      <c r="L603" t="n">
        <v>0</v>
      </c>
      <c r="M603" t="n">
        <v>0</v>
      </c>
      <c r="N603" t="n">
        <v>0</v>
      </c>
      <c r="O603" t="n">
        <v>0</v>
      </c>
      <c r="P603" t="n">
        <v>0</v>
      </c>
      <c r="Q603" t="n">
        <v>0</v>
      </c>
      <c r="R603" s="2" t="inlineStr"/>
    </row>
    <row r="604" ht="15" customHeight="1">
      <c r="A604" t="inlineStr">
        <is>
          <t>A 45371-2025</t>
        </is>
      </c>
      <c r="B604" s="1" t="n">
        <v>45922.39001157408</v>
      </c>
      <c r="C604" s="1" t="n">
        <v>45937</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10585-2022</t>
        </is>
      </c>
      <c r="B605" s="1" t="n">
        <v>44624</v>
      </c>
      <c r="C605" s="1" t="n">
        <v>45937</v>
      </c>
      <c r="D605" t="inlineStr">
        <is>
          <t>VÄSTMANLANDS LÄN</t>
        </is>
      </c>
      <c r="E605" t="inlineStr">
        <is>
          <t>SALA</t>
        </is>
      </c>
      <c r="G605" t="n">
        <v>2</v>
      </c>
      <c r="H605" t="n">
        <v>0</v>
      </c>
      <c r="I605" t="n">
        <v>0</v>
      </c>
      <c r="J605" t="n">
        <v>0</v>
      </c>
      <c r="K605" t="n">
        <v>0</v>
      </c>
      <c r="L605" t="n">
        <v>0</v>
      </c>
      <c r="M605" t="n">
        <v>0</v>
      </c>
      <c r="N605" t="n">
        <v>0</v>
      </c>
      <c r="O605" t="n">
        <v>0</v>
      </c>
      <c r="P605" t="n">
        <v>0</v>
      </c>
      <c r="Q605" t="n">
        <v>0</v>
      </c>
      <c r="R605" s="2" t="inlineStr"/>
    </row>
    <row r="606" ht="15" customHeight="1">
      <c r="A606" t="inlineStr">
        <is>
          <t>A 69236-2021</t>
        </is>
      </c>
      <c r="B606" s="1" t="n">
        <v>44531.4047337963</v>
      </c>
      <c r="C606" s="1" t="n">
        <v>45937</v>
      </c>
      <c r="D606" t="inlineStr">
        <is>
          <t>VÄSTMANLANDS LÄN</t>
        </is>
      </c>
      <c r="E606" t="inlineStr">
        <is>
          <t>SALA</t>
        </is>
      </c>
      <c r="G606" t="n">
        <v>2.8</v>
      </c>
      <c r="H606" t="n">
        <v>0</v>
      </c>
      <c r="I606" t="n">
        <v>0</v>
      </c>
      <c r="J606" t="n">
        <v>0</v>
      </c>
      <c r="K606" t="n">
        <v>0</v>
      </c>
      <c r="L606" t="n">
        <v>0</v>
      </c>
      <c r="M606" t="n">
        <v>0</v>
      </c>
      <c r="N606" t="n">
        <v>0</v>
      </c>
      <c r="O606" t="n">
        <v>0</v>
      </c>
      <c r="P606" t="n">
        <v>0</v>
      </c>
      <c r="Q606" t="n">
        <v>0</v>
      </c>
      <c r="R606" s="2" t="inlineStr"/>
    </row>
    <row r="607" ht="15" customHeight="1">
      <c r="A607" t="inlineStr">
        <is>
          <t>A 45177-2025</t>
        </is>
      </c>
      <c r="B607" s="1" t="n">
        <v>45919.52444444445</v>
      </c>
      <c r="C607" s="1" t="n">
        <v>45937</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48117-2024</t>
        </is>
      </c>
      <c r="B608" s="1" t="n">
        <v>45589</v>
      </c>
      <c r="C608" s="1" t="n">
        <v>45937</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12225-2023</t>
        </is>
      </c>
      <c r="B609" s="1" t="n">
        <v>44995</v>
      </c>
      <c r="C609" s="1" t="n">
        <v>45937</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12252-2023</t>
        </is>
      </c>
      <c r="B610" s="1" t="n">
        <v>44995</v>
      </c>
      <c r="C610" s="1" t="n">
        <v>45937</v>
      </c>
      <c r="D610" t="inlineStr">
        <is>
          <t>VÄSTMANLANDS LÄN</t>
        </is>
      </c>
      <c r="E610" t="inlineStr">
        <is>
          <t>SALA</t>
        </is>
      </c>
      <c r="G610" t="n">
        <v>2.6</v>
      </c>
      <c r="H610" t="n">
        <v>0</v>
      </c>
      <c r="I610" t="n">
        <v>0</v>
      </c>
      <c r="J610" t="n">
        <v>0</v>
      </c>
      <c r="K610" t="n">
        <v>0</v>
      </c>
      <c r="L610" t="n">
        <v>0</v>
      </c>
      <c r="M610" t="n">
        <v>0</v>
      </c>
      <c r="N610" t="n">
        <v>0</v>
      </c>
      <c r="O610" t="n">
        <v>0</v>
      </c>
      <c r="P610" t="n">
        <v>0</v>
      </c>
      <c r="Q610" t="n">
        <v>0</v>
      </c>
      <c r="R610" s="2" t="inlineStr"/>
    </row>
    <row r="611" ht="15" customHeight="1">
      <c r="A611" t="inlineStr">
        <is>
          <t>A 7772-2023</t>
        </is>
      </c>
      <c r="B611" s="1" t="n">
        <v>44973.40076388889</v>
      </c>
      <c r="C611" s="1" t="n">
        <v>45937</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43128-2025</t>
        </is>
      </c>
      <c r="B612" s="1" t="n">
        <v>45909</v>
      </c>
      <c r="C612" s="1" t="n">
        <v>45937</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43130-2025</t>
        </is>
      </c>
      <c r="B613" s="1" t="n">
        <v>45909</v>
      </c>
      <c r="C613" s="1" t="n">
        <v>45937</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43129-2025</t>
        </is>
      </c>
      <c r="B614" s="1" t="n">
        <v>45909</v>
      </c>
      <c r="C614" s="1" t="n">
        <v>45937</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6116-2023</t>
        </is>
      </c>
      <c r="B615" s="1" t="n">
        <v>44964</v>
      </c>
      <c r="C615" s="1" t="n">
        <v>45937</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43359-2024</t>
        </is>
      </c>
      <c r="B616" s="1" t="n">
        <v>45568.57724537037</v>
      </c>
      <c r="C616" s="1" t="n">
        <v>45937</v>
      </c>
      <c r="D616" t="inlineStr">
        <is>
          <t>VÄSTMANLANDS LÄN</t>
        </is>
      </c>
      <c r="E616" t="inlineStr">
        <is>
          <t>SALA</t>
        </is>
      </c>
      <c r="G616" t="n">
        <v>1.6</v>
      </c>
      <c r="H616" t="n">
        <v>0</v>
      </c>
      <c r="I616" t="n">
        <v>0</v>
      </c>
      <c r="J616" t="n">
        <v>0</v>
      </c>
      <c r="K616" t="n">
        <v>0</v>
      </c>
      <c r="L616" t="n">
        <v>0</v>
      </c>
      <c r="M616" t="n">
        <v>0</v>
      </c>
      <c r="N616" t="n">
        <v>0</v>
      </c>
      <c r="O616" t="n">
        <v>0</v>
      </c>
      <c r="P616" t="n">
        <v>0</v>
      </c>
      <c r="Q616" t="n">
        <v>0</v>
      </c>
      <c r="R616" s="2" t="inlineStr"/>
    </row>
    <row r="617" ht="15" customHeight="1">
      <c r="A617" t="inlineStr">
        <is>
          <t>A 18100-2023</t>
        </is>
      </c>
      <c r="B617" s="1" t="n">
        <v>45040</v>
      </c>
      <c r="C617" s="1" t="n">
        <v>45937</v>
      </c>
      <c r="D617" t="inlineStr">
        <is>
          <t>VÄSTMANLANDS LÄN</t>
        </is>
      </c>
      <c r="E617" t="inlineStr">
        <is>
          <t>SALA</t>
        </is>
      </c>
      <c r="G617" t="n">
        <v>1.8</v>
      </c>
      <c r="H617" t="n">
        <v>0</v>
      </c>
      <c r="I617" t="n">
        <v>0</v>
      </c>
      <c r="J617" t="n">
        <v>0</v>
      </c>
      <c r="K617" t="n">
        <v>0</v>
      </c>
      <c r="L617" t="n">
        <v>0</v>
      </c>
      <c r="M617" t="n">
        <v>0</v>
      </c>
      <c r="N617" t="n">
        <v>0</v>
      </c>
      <c r="O617" t="n">
        <v>0</v>
      </c>
      <c r="P617" t="n">
        <v>0</v>
      </c>
      <c r="Q617" t="n">
        <v>0</v>
      </c>
      <c r="R617" s="2" t="inlineStr"/>
    </row>
    <row r="618" ht="15" customHeight="1">
      <c r="A618" t="inlineStr">
        <is>
          <t>A 45909-2025</t>
        </is>
      </c>
      <c r="B618" s="1" t="n">
        <v>45923.75078703704</v>
      </c>
      <c r="C618" s="1" t="n">
        <v>45937</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29972-2025</t>
        </is>
      </c>
      <c r="B619" s="1" t="n">
        <v>45826</v>
      </c>
      <c r="C619" s="1" t="n">
        <v>45937</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45914-2025</t>
        </is>
      </c>
      <c r="B620" s="1" t="n">
        <v>45923.82582175926</v>
      </c>
      <c r="C620" s="1" t="n">
        <v>45937</v>
      </c>
      <c r="D620" t="inlineStr">
        <is>
          <t>VÄSTMANLANDS LÄN</t>
        </is>
      </c>
      <c r="E620" t="inlineStr">
        <is>
          <t>SALA</t>
        </is>
      </c>
      <c r="F620" t="inlineStr">
        <is>
          <t>Kommuner</t>
        </is>
      </c>
      <c r="G620" t="n">
        <v>18.2</v>
      </c>
      <c r="H620" t="n">
        <v>0</v>
      </c>
      <c r="I620" t="n">
        <v>0</v>
      </c>
      <c r="J620" t="n">
        <v>0</v>
      </c>
      <c r="K620" t="n">
        <v>0</v>
      </c>
      <c r="L620" t="n">
        <v>0</v>
      </c>
      <c r="M620" t="n">
        <v>0</v>
      </c>
      <c r="N620" t="n">
        <v>0</v>
      </c>
      <c r="O620" t="n">
        <v>0</v>
      </c>
      <c r="P620" t="n">
        <v>0</v>
      </c>
      <c r="Q620" t="n">
        <v>0</v>
      </c>
      <c r="R620" s="2" t="inlineStr"/>
    </row>
    <row r="621" ht="15" customHeight="1">
      <c r="A621" t="inlineStr">
        <is>
          <t>A 42416-2022</t>
        </is>
      </c>
      <c r="B621" s="1" t="n">
        <v>44831</v>
      </c>
      <c r="C621" s="1" t="n">
        <v>45937</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13471-2025</t>
        </is>
      </c>
      <c r="B622" s="1" t="n">
        <v>45736.40579861111</v>
      </c>
      <c r="C622" s="1" t="n">
        <v>45937</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26854-2024</t>
        </is>
      </c>
      <c r="B623" s="1" t="n">
        <v>45470</v>
      </c>
      <c r="C623" s="1" t="n">
        <v>45937</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19381-2025</t>
        </is>
      </c>
      <c r="B624" s="1" t="n">
        <v>45769</v>
      </c>
      <c r="C624" s="1" t="n">
        <v>45937</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48688-2024</t>
        </is>
      </c>
      <c r="B625" s="1" t="n">
        <v>45593.50541666667</v>
      </c>
      <c r="C625" s="1" t="n">
        <v>45937</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37602-2024</t>
        </is>
      </c>
      <c r="B626" s="1" t="n">
        <v>45541</v>
      </c>
      <c r="C626" s="1" t="n">
        <v>45937</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1985-2022</t>
        </is>
      </c>
      <c r="B627" s="1" t="n">
        <v>44575</v>
      </c>
      <c r="C627" s="1" t="n">
        <v>45937</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6308-2021</t>
        </is>
      </c>
      <c r="B628" s="1" t="n">
        <v>44235</v>
      </c>
      <c r="C628" s="1" t="n">
        <v>45937</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21455-2023</t>
        </is>
      </c>
      <c r="B629" s="1" t="n">
        <v>45058</v>
      </c>
      <c r="C629" s="1" t="n">
        <v>45937</v>
      </c>
      <c r="D629" t="inlineStr">
        <is>
          <t>VÄSTMANLANDS LÄN</t>
        </is>
      </c>
      <c r="E629" t="inlineStr">
        <is>
          <t>SALA</t>
        </is>
      </c>
      <c r="G629" t="n">
        <v>6.4</v>
      </c>
      <c r="H629" t="n">
        <v>0</v>
      </c>
      <c r="I629" t="n">
        <v>0</v>
      </c>
      <c r="J629" t="n">
        <v>0</v>
      </c>
      <c r="K629" t="n">
        <v>0</v>
      </c>
      <c r="L629" t="n">
        <v>0</v>
      </c>
      <c r="M629" t="n">
        <v>0</v>
      </c>
      <c r="N629" t="n">
        <v>0</v>
      </c>
      <c r="O629" t="n">
        <v>0</v>
      </c>
      <c r="P629" t="n">
        <v>0</v>
      </c>
      <c r="Q629" t="n">
        <v>0</v>
      </c>
      <c r="R629" s="2" t="inlineStr"/>
    </row>
    <row r="630" ht="15" customHeight="1">
      <c r="A630" t="inlineStr">
        <is>
          <t>A 43122-2025</t>
        </is>
      </c>
      <c r="B630" s="1" t="n">
        <v>45909</v>
      </c>
      <c r="C630" s="1" t="n">
        <v>45937</v>
      </c>
      <c r="D630" t="inlineStr">
        <is>
          <t>VÄSTMANLANDS LÄN</t>
        </is>
      </c>
      <c r="E630" t="inlineStr">
        <is>
          <t>SALA</t>
        </is>
      </c>
      <c r="G630" t="n">
        <v>3.2</v>
      </c>
      <c r="H630" t="n">
        <v>0</v>
      </c>
      <c r="I630" t="n">
        <v>0</v>
      </c>
      <c r="J630" t="n">
        <v>0</v>
      </c>
      <c r="K630" t="n">
        <v>0</v>
      </c>
      <c r="L630" t="n">
        <v>0</v>
      </c>
      <c r="M630" t="n">
        <v>0</v>
      </c>
      <c r="N630" t="n">
        <v>0</v>
      </c>
      <c r="O630" t="n">
        <v>0</v>
      </c>
      <c r="P630" t="n">
        <v>0</v>
      </c>
      <c r="Q630" t="n">
        <v>0</v>
      </c>
      <c r="R630" s="2" t="inlineStr"/>
    </row>
    <row r="631" ht="15" customHeight="1">
      <c r="A631" t="inlineStr">
        <is>
          <t>A 43127-2025</t>
        </is>
      </c>
      <c r="B631" s="1" t="n">
        <v>45909</v>
      </c>
      <c r="C631" s="1" t="n">
        <v>45937</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4797-2023</t>
        </is>
      </c>
      <c r="B632" s="1" t="n">
        <v>44957</v>
      </c>
      <c r="C632" s="1" t="n">
        <v>45937</v>
      </c>
      <c r="D632" t="inlineStr">
        <is>
          <t>VÄSTMANLANDS LÄN</t>
        </is>
      </c>
      <c r="E632" t="inlineStr">
        <is>
          <t>SALA</t>
        </is>
      </c>
      <c r="G632" t="n">
        <v>5.7</v>
      </c>
      <c r="H632" t="n">
        <v>0</v>
      </c>
      <c r="I632" t="n">
        <v>0</v>
      </c>
      <c r="J632" t="n">
        <v>0</v>
      </c>
      <c r="K632" t="n">
        <v>0</v>
      </c>
      <c r="L632" t="n">
        <v>0</v>
      </c>
      <c r="M632" t="n">
        <v>0</v>
      </c>
      <c r="N632" t="n">
        <v>0</v>
      </c>
      <c r="O632" t="n">
        <v>0</v>
      </c>
      <c r="P632" t="n">
        <v>0</v>
      </c>
      <c r="Q632" t="n">
        <v>0</v>
      </c>
      <c r="R632" s="2" t="inlineStr"/>
    </row>
    <row r="633" ht="15" customHeight="1">
      <c r="A633" t="inlineStr">
        <is>
          <t>A 4852-2023</t>
        </is>
      </c>
      <c r="B633" s="1" t="n">
        <v>44957.72496527778</v>
      </c>
      <c r="C633" s="1" t="n">
        <v>45937</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36858-2023</t>
        </is>
      </c>
      <c r="B634" s="1" t="n">
        <v>45154.55184027777</v>
      </c>
      <c r="C634" s="1" t="n">
        <v>45937</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58701-2021</t>
        </is>
      </c>
      <c r="B635" s="1" t="n">
        <v>44489.46454861111</v>
      </c>
      <c r="C635" s="1" t="n">
        <v>45937</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45187-2024</t>
        </is>
      </c>
      <c r="B636" s="1" t="n">
        <v>45575</v>
      </c>
      <c r="C636" s="1" t="n">
        <v>45937</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15968-2024</t>
        </is>
      </c>
      <c r="B637" s="1" t="n">
        <v>45405.56021990741</v>
      </c>
      <c r="C637" s="1" t="n">
        <v>45937</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44951.42501157407</v>
      </c>
      <c r="C638" s="1" t="n">
        <v>45937</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37337-2024</t>
        </is>
      </c>
      <c r="B639" s="1" t="n">
        <v>45540</v>
      </c>
      <c r="C639" s="1" t="n">
        <v>45937</v>
      </c>
      <c r="D639" t="inlineStr">
        <is>
          <t>VÄSTMANLANDS LÄN</t>
        </is>
      </c>
      <c r="E639" t="inlineStr">
        <is>
          <t>SALA</t>
        </is>
      </c>
      <c r="G639" t="n">
        <v>6.5</v>
      </c>
      <c r="H639" t="n">
        <v>0</v>
      </c>
      <c r="I639" t="n">
        <v>0</v>
      </c>
      <c r="J639" t="n">
        <v>0</v>
      </c>
      <c r="K639" t="n">
        <v>0</v>
      </c>
      <c r="L639" t="n">
        <v>0</v>
      </c>
      <c r="M639" t="n">
        <v>0</v>
      </c>
      <c r="N639" t="n">
        <v>0</v>
      </c>
      <c r="O639" t="n">
        <v>0</v>
      </c>
      <c r="P639" t="n">
        <v>0</v>
      </c>
      <c r="Q639" t="n">
        <v>0</v>
      </c>
      <c r="R639" s="2" t="inlineStr"/>
    </row>
    <row r="640" ht="15" customHeight="1">
      <c r="A640" t="inlineStr">
        <is>
          <t>A 10250-2025</t>
        </is>
      </c>
      <c r="B640" s="1" t="n">
        <v>45720.36165509259</v>
      </c>
      <c r="C640" s="1" t="n">
        <v>45937</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23180-2022</t>
        </is>
      </c>
      <c r="B641" s="1" t="n">
        <v>44719.79344907407</v>
      </c>
      <c r="C641" s="1" t="n">
        <v>45937</v>
      </c>
      <c r="D641" t="inlineStr">
        <is>
          <t>VÄSTMANLANDS LÄN</t>
        </is>
      </c>
      <c r="E641" t="inlineStr">
        <is>
          <t>SALA</t>
        </is>
      </c>
      <c r="G641" t="n">
        <v>1.2</v>
      </c>
      <c r="H641" t="n">
        <v>0</v>
      </c>
      <c r="I641" t="n">
        <v>0</v>
      </c>
      <c r="J641" t="n">
        <v>0</v>
      </c>
      <c r="K641" t="n">
        <v>0</v>
      </c>
      <c r="L641" t="n">
        <v>0</v>
      </c>
      <c r="M641" t="n">
        <v>0</v>
      </c>
      <c r="N641" t="n">
        <v>0</v>
      </c>
      <c r="O641" t="n">
        <v>0</v>
      </c>
      <c r="P641" t="n">
        <v>0</v>
      </c>
      <c r="Q641" t="n">
        <v>0</v>
      </c>
      <c r="R641" s="2" t="inlineStr"/>
    </row>
    <row r="642" ht="15" customHeight="1">
      <c r="A642" t="inlineStr">
        <is>
          <t>A 21053-2022</t>
        </is>
      </c>
      <c r="B642" s="1" t="n">
        <v>44704</v>
      </c>
      <c r="C642" s="1" t="n">
        <v>45937</v>
      </c>
      <c r="D642" t="inlineStr">
        <is>
          <t>VÄSTMANLANDS LÄN</t>
        </is>
      </c>
      <c r="E642" t="inlineStr">
        <is>
          <t>SALA</t>
        </is>
      </c>
      <c r="G642" t="n">
        <v>2</v>
      </c>
      <c r="H642" t="n">
        <v>0</v>
      </c>
      <c r="I642" t="n">
        <v>0</v>
      </c>
      <c r="J642" t="n">
        <v>0</v>
      </c>
      <c r="K642" t="n">
        <v>0</v>
      </c>
      <c r="L642" t="n">
        <v>0</v>
      </c>
      <c r="M642" t="n">
        <v>0</v>
      </c>
      <c r="N642" t="n">
        <v>0</v>
      </c>
      <c r="O642" t="n">
        <v>0</v>
      </c>
      <c r="P642" t="n">
        <v>0</v>
      </c>
      <c r="Q642" t="n">
        <v>0</v>
      </c>
      <c r="R642" s="2" t="inlineStr"/>
    </row>
    <row r="643" ht="15" customHeight="1">
      <c r="A643" t="inlineStr">
        <is>
          <t>A 18340-2025</t>
        </is>
      </c>
      <c r="B643" s="1" t="n">
        <v>45762</v>
      </c>
      <c r="C643" s="1" t="n">
        <v>45937</v>
      </c>
      <c r="D643" t="inlineStr">
        <is>
          <t>VÄSTMANLANDS LÄN</t>
        </is>
      </c>
      <c r="E643" t="inlineStr">
        <is>
          <t>SALA</t>
        </is>
      </c>
      <c r="G643" t="n">
        <v>2.1</v>
      </c>
      <c r="H643" t="n">
        <v>0</v>
      </c>
      <c r="I643" t="n">
        <v>0</v>
      </c>
      <c r="J643" t="n">
        <v>0</v>
      </c>
      <c r="K643" t="n">
        <v>0</v>
      </c>
      <c r="L643" t="n">
        <v>0</v>
      </c>
      <c r="M643" t="n">
        <v>0</v>
      </c>
      <c r="N643" t="n">
        <v>0</v>
      </c>
      <c r="O643" t="n">
        <v>0</v>
      </c>
      <c r="P643" t="n">
        <v>0</v>
      </c>
      <c r="Q643" t="n">
        <v>0</v>
      </c>
      <c r="R643" s="2" t="inlineStr"/>
    </row>
    <row r="644" ht="15" customHeight="1">
      <c r="A644" t="inlineStr">
        <is>
          <t>A 16638-2023</t>
        </is>
      </c>
      <c r="B644" s="1" t="n">
        <v>45027</v>
      </c>
      <c r="C644" s="1" t="n">
        <v>45937</v>
      </c>
      <c r="D644" t="inlineStr">
        <is>
          <t>VÄSTMANLANDS LÄN</t>
        </is>
      </c>
      <c r="E644" t="inlineStr">
        <is>
          <t>SALA</t>
        </is>
      </c>
      <c r="G644" t="n">
        <v>14.8</v>
      </c>
      <c r="H644" t="n">
        <v>0</v>
      </c>
      <c r="I644" t="n">
        <v>0</v>
      </c>
      <c r="J644" t="n">
        <v>0</v>
      </c>
      <c r="K644" t="n">
        <v>0</v>
      </c>
      <c r="L644" t="n">
        <v>0</v>
      </c>
      <c r="M644" t="n">
        <v>0</v>
      </c>
      <c r="N644" t="n">
        <v>0</v>
      </c>
      <c r="O644" t="n">
        <v>0</v>
      </c>
      <c r="P644" t="n">
        <v>0</v>
      </c>
      <c r="Q644" t="n">
        <v>0</v>
      </c>
      <c r="R644" s="2" t="inlineStr"/>
    </row>
    <row r="645" ht="15" customHeight="1">
      <c r="A645" t="inlineStr">
        <is>
          <t>A 17117-2023</t>
        </is>
      </c>
      <c r="B645" s="1" t="n">
        <v>45034</v>
      </c>
      <c r="C645" s="1" t="n">
        <v>45937</v>
      </c>
      <c r="D645" t="inlineStr">
        <is>
          <t>VÄSTMANLANDS LÄN</t>
        </is>
      </c>
      <c r="E645" t="inlineStr">
        <is>
          <t>SALA</t>
        </is>
      </c>
      <c r="G645" t="n">
        <v>0.4</v>
      </c>
      <c r="H645" t="n">
        <v>0</v>
      </c>
      <c r="I645" t="n">
        <v>0</v>
      </c>
      <c r="J645" t="n">
        <v>0</v>
      </c>
      <c r="K645" t="n">
        <v>0</v>
      </c>
      <c r="L645" t="n">
        <v>0</v>
      </c>
      <c r="M645" t="n">
        <v>0</v>
      </c>
      <c r="N645" t="n">
        <v>0</v>
      </c>
      <c r="O645" t="n">
        <v>0</v>
      </c>
      <c r="P645" t="n">
        <v>0</v>
      </c>
      <c r="Q645" t="n">
        <v>0</v>
      </c>
      <c r="R645" s="2" t="inlineStr"/>
    </row>
    <row r="646" ht="15" customHeight="1">
      <c r="A646" t="inlineStr">
        <is>
          <t>A 59909-2024</t>
        </is>
      </c>
      <c r="B646" s="1" t="n">
        <v>45641</v>
      </c>
      <c r="C646" s="1" t="n">
        <v>45937</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30028-2024</t>
        </is>
      </c>
      <c r="B647" s="1" t="n">
        <v>45485</v>
      </c>
      <c r="C647" s="1" t="n">
        <v>45937</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33309-2022</t>
        </is>
      </c>
      <c r="B648" s="1" t="n">
        <v>44788.40986111111</v>
      </c>
      <c r="C648" s="1" t="n">
        <v>45937</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45937</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27229-2022</t>
        </is>
      </c>
      <c r="B650" s="1" t="n">
        <v>44741</v>
      </c>
      <c r="C650" s="1" t="n">
        <v>45937</v>
      </c>
      <c r="D650" t="inlineStr">
        <is>
          <t>VÄSTMANLANDS LÄN</t>
        </is>
      </c>
      <c r="E650" t="inlineStr">
        <is>
          <t>SALA</t>
        </is>
      </c>
      <c r="F650" t="inlineStr">
        <is>
          <t>Kommuner</t>
        </is>
      </c>
      <c r="G650" t="n">
        <v>1.4</v>
      </c>
      <c r="H650" t="n">
        <v>0</v>
      </c>
      <c r="I650" t="n">
        <v>0</v>
      </c>
      <c r="J650" t="n">
        <v>0</v>
      </c>
      <c r="K650" t="n">
        <v>0</v>
      </c>
      <c r="L650" t="n">
        <v>0</v>
      </c>
      <c r="M650" t="n">
        <v>0</v>
      </c>
      <c r="N650" t="n">
        <v>0</v>
      </c>
      <c r="O650" t="n">
        <v>0</v>
      </c>
      <c r="P650" t="n">
        <v>0</v>
      </c>
      <c r="Q650" t="n">
        <v>0</v>
      </c>
      <c r="R650" s="2" t="inlineStr"/>
    </row>
    <row r="651" ht="15" customHeight="1">
      <c r="A651" t="inlineStr">
        <is>
          <t>A 24755-2021</t>
        </is>
      </c>
      <c r="B651" s="1" t="n">
        <v>44340</v>
      </c>
      <c r="C651" s="1" t="n">
        <v>45937</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34867-2023</t>
        </is>
      </c>
      <c r="B652" s="1" t="n">
        <v>45142.33481481481</v>
      </c>
      <c r="C652" s="1" t="n">
        <v>45937</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25748-2022</t>
        </is>
      </c>
      <c r="B653" s="1" t="n">
        <v>44732</v>
      </c>
      <c r="C653" s="1" t="n">
        <v>45937</v>
      </c>
      <c r="D653" t="inlineStr">
        <is>
          <t>VÄSTMANLANDS LÄN</t>
        </is>
      </c>
      <c r="E653" t="inlineStr">
        <is>
          <t>SALA</t>
        </is>
      </c>
      <c r="G653" t="n">
        <v>7.7</v>
      </c>
      <c r="H653" t="n">
        <v>0</v>
      </c>
      <c r="I653" t="n">
        <v>0</v>
      </c>
      <c r="J653" t="n">
        <v>0</v>
      </c>
      <c r="K653" t="n">
        <v>0</v>
      </c>
      <c r="L653" t="n">
        <v>0</v>
      </c>
      <c r="M653" t="n">
        <v>0</v>
      </c>
      <c r="N653" t="n">
        <v>0</v>
      </c>
      <c r="O653" t="n">
        <v>0</v>
      </c>
      <c r="P653" t="n">
        <v>0</v>
      </c>
      <c r="Q653" t="n">
        <v>0</v>
      </c>
      <c r="R653" s="2" t="inlineStr"/>
    </row>
    <row r="654" ht="15" customHeight="1">
      <c r="A654" t="inlineStr">
        <is>
          <t>A 49512-2024</t>
        </is>
      </c>
      <c r="B654" s="1" t="n">
        <v>45591</v>
      </c>
      <c r="C654" s="1" t="n">
        <v>45937</v>
      </c>
      <c r="D654" t="inlineStr">
        <is>
          <t>VÄSTMANLANDS LÄN</t>
        </is>
      </c>
      <c r="E654" t="inlineStr">
        <is>
          <t>SALA</t>
        </is>
      </c>
      <c r="G654" t="n">
        <v>8.1</v>
      </c>
      <c r="H654" t="n">
        <v>0</v>
      </c>
      <c r="I654" t="n">
        <v>0</v>
      </c>
      <c r="J654" t="n">
        <v>0</v>
      </c>
      <c r="K654" t="n">
        <v>0</v>
      </c>
      <c r="L654" t="n">
        <v>0</v>
      </c>
      <c r="M654" t="n">
        <v>0</v>
      </c>
      <c r="N654" t="n">
        <v>0</v>
      </c>
      <c r="O654" t="n">
        <v>0</v>
      </c>
      <c r="P654" t="n">
        <v>0</v>
      </c>
      <c r="Q654" t="n">
        <v>0</v>
      </c>
      <c r="R654" s="2" t="inlineStr"/>
    </row>
    <row r="655" ht="15" customHeight="1">
      <c r="A655" t="inlineStr">
        <is>
          <t>A 13128-2023</t>
        </is>
      </c>
      <c r="B655" s="1" t="n">
        <v>45002</v>
      </c>
      <c r="C655" s="1" t="n">
        <v>45937</v>
      </c>
      <c r="D655" t="inlineStr">
        <is>
          <t>VÄSTMANLANDS LÄN</t>
        </is>
      </c>
      <c r="E655" t="inlineStr">
        <is>
          <t>SALA</t>
        </is>
      </c>
      <c r="G655" t="n">
        <v>7.9</v>
      </c>
      <c r="H655" t="n">
        <v>0</v>
      </c>
      <c r="I655" t="n">
        <v>0</v>
      </c>
      <c r="J655" t="n">
        <v>0</v>
      </c>
      <c r="K655" t="n">
        <v>0</v>
      </c>
      <c r="L655" t="n">
        <v>0</v>
      </c>
      <c r="M655" t="n">
        <v>0</v>
      </c>
      <c r="N655" t="n">
        <v>0</v>
      </c>
      <c r="O655" t="n">
        <v>0</v>
      </c>
      <c r="P655" t="n">
        <v>0</v>
      </c>
      <c r="Q655" t="n">
        <v>0</v>
      </c>
      <c r="R655" s="2" t="inlineStr"/>
    </row>
    <row r="656" ht="15" customHeight="1">
      <c r="A656" t="inlineStr">
        <is>
          <t>A 37958-2024</t>
        </is>
      </c>
      <c r="B656" s="1" t="n">
        <v>45544</v>
      </c>
      <c r="C656" s="1" t="n">
        <v>45937</v>
      </c>
      <c r="D656" t="inlineStr">
        <is>
          <t>VÄSTMANLANDS LÄN</t>
        </is>
      </c>
      <c r="E656" t="inlineStr">
        <is>
          <t>SALA</t>
        </is>
      </c>
      <c r="G656" t="n">
        <v>5.6</v>
      </c>
      <c r="H656" t="n">
        <v>0</v>
      </c>
      <c r="I656" t="n">
        <v>0</v>
      </c>
      <c r="J656" t="n">
        <v>0</v>
      </c>
      <c r="K656" t="n">
        <v>0</v>
      </c>
      <c r="L656" t="n">
        <v>0</v>
      </c>
      <c r="M656" t="n">
        <v>0</v>
      </c>
      <c r="N656" t="n">
        <v>0</v>
      </c>
      <c r="O656" t="n">
        <v>0</v>
      </c>
      <c r="P656" t="n">
        <v>0</v>
      </c>
      <c r="Q656" t="n">
        <v>0</v>
      </c>
      <c r="R656" s="2" t="inlineStr"/>
    </row>
    <row r="657" ht="15" customHeight="1">
      <c r="A657" t="inlineStr">
        <is>
          <t>A 18431-2023</t>
        </is>
      </c>
      <c r="B657" s="1" t="n">
        <v>45042</v>
      </c>
      <c r="C657" s="1" t="n">
        <v>45937</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57650-2024</t>
        </is>
      </c>
      <c r="B658" s="1" t="n">
        <v>45630</v>
      </c>
      <c r="C658" s="1" t="n">
        <v>45937</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10255-2024</t>
        </is>
      </c>
      <c r="B659" s="1" t="n">
        <v>45365</v>
      </c>
      <c r="C659" s="1" t="n">
        <v>45937</v>
      </c>
      <c r="D659" t="inlineStr">
        <is>
          <t>VÄSTMANLANDS LÄN</t>
        </is>
      </c>
      <c r="E659" t="inlineStr">
        <is>
          <t>SALA</t>
        </is>
      </c>
      <c r="F659" t="inlineStr">
        <is>
          <t>Kommuner</t>
        </is>
      </c>
      <c r="G659" t="n">
        <v>0.8</v>
      </c>
      <c r="H659" t="n">
        <v>0</v>
      </c>
      <c r="I659" t="n">
        <v>0</v>
      </c>
      <c r="J659" t="n">
        <v>0</v>
      </c>
      <c r="K659" t="n">
        <v>0</v>
      </c>
      <c r="L659" t="n">
        <v>0</v>
      </c>
      <c r="M659" t="n">
        <v>0</v>
      </c>
      <c r="N659" t="n">
        <v>0</v>
      </c>
      <c r="O659" t="n">
        <v>0</v>
      </c>
      <c r="P659" t="n">
        <v>0</v>
      </c>
      <c r="Q659" t="n">
        <v>0</v>
      </c>
      <c r="R659" s="2" t="inlineStr"/>
    </row>
    <row r="660" ht="15" customHeight="1">
      <c r="A660" t="inlineStr">
        <is>
          <t>A 28696-2023</t>
        </is>
      </c>
      <c r="B660" s="1" t="n">
        <v>45103.71759259259</v>
      </c>
      <c r="C660" s="1" t="n">
        <v>45937</v>
      </c>
      <c r="D660" t="inlineStr">
        <is>
          <t>VÄSTMANLANDS LÄN</t>
        </is>
      </c>
      <c r="E660" t="inlineStr">
        <is>
          <t>SALA</t>
        </is>
      </c>
      <c r="F660" t="inlineStr">
        <is>
          <t>Kommuner</t>
        </is>
      </c>
      <c r="G660" t="n">
        <v>5.9</v>
      </c>
      <c r="H660" t="n">
        <v>0</v>
      </c>
      <c r="I660" t="n">
        <v>0</v>
      </c>
      <c r="J660" t="n">
        <v>0</v>
      </c>
      <c r="K660" t="n">
        <v>0</v>
      </c>
      <c r="L660" t="n">
        <v>0</v>
      </c>
      <c r="M660" t="n">
        <v>0</v>
      </c>
      <c r="N660" t="n">
        <v>0</v>
      </c>
      <c r="O660" t="n">
        <v>0</v>
      </c>
      <c r="P660" t="n">
        <v>0</v>
      </c>
      <c r="Q660" t="n">
        <v>0</v>
      </c>
      <c r="R660" s="2" t="inlineStr"/>
    </row>
    <row r="661" ht="15" customHeight="1">
      <c r="A661" t="inlineStr">
        <is>
          <t>A 31072-2021</t>
        </is>
      </c>
      <c r="B661" s="1" t="n">
        <v>44368</v>
      </c>
      <c r="C661" s="1" t="n">
        <v>45937</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16543-2023</t>
        </is>
      </c>
      <c r="B662" s="1" t="n">
        <v>45029</v>
      </c>
      <c r="C662" s="1" t="n">
        <v>45937</v>
      </c>
      <c r="D662" t="inlineStr">
        <is>
          <t>VÄSTMANLANDS LÄN</t>
        </is>
      </c>
      <c r="E662" t="inlineStr">
        <is>
          <t>SALA</t>
        </is>
      </c>
      <c r="F662" t="inlineStr">
        <is>
          <t>Sveaskog</t>
        </is>
      </c>
      <c r="G662" t="n">
        <v>1.9</v>
      </c>
      <c r="H662" t="n">
        <v>0</v>
      </c>
      <c r="I662" t="n">
        <v>0</v>
      </c>
      <c r="J662" t="n">
        <v>0</v>
      </c>
      <c r="K662" t="n">
        <v>0</v>
      </c>
      <c r="L662" t="n">
        <v>0</v>
      </c>
      <c r="M662" t="n">
        <v>0</v>
      </c>
      <c r="N662" t="n">
        <v>0</v>
      </c>
      <c r="O662" t="n">
        <v>0</v>
      </c>
      <c r="P662" t="n">
        <v>0</v>
      </c>
      <c r="Q662" t="n">
        <v>0</v>
      </c>
      <c r="R662" s="2" t="inlineStr"/>
    </row>
    <row r="663" ht="15" customHeight="1">
      <c r="A663" t="inlineStr">
        <is>
          <t>A 22523-2023</t>
        </is>
      </c>
      <c r="B663" s="1" t="n">
        <v>45069</v>
      </c>
      <c r="C663" s="1" t="n">
        <v>45937</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4663-2022</t>
        </is>
      </c>
      <c r="B664" s="1" t="n">
        <v>44592.45429398148</v>
      </c>
      <c r="C664" s="1" t="n">
        <v>45937</v>
      </c>
      <c r="D664" t="inlineStr">
        <is>
          <t>VÄSTMANLANDS LÄN</t>
        </is>
      </c>
      <c r="E664" t="inlineStr">
        <is>
          <t>SALA</t>
        </is>
      </c>
      <c r="G664" t="n">
        <v>2.5</v>
      </c>
      <c r="H664" t="n">
        <v>0</v>
      </c>
      <c r="I664" t="n">
        <v>0</v>
      </c>
      <c r="J664" t="n">
        <v>0</v>
      </c>
      <c r="K664" t="n">
        <v>0</v>
      </c>
      <c r="L664" t="n">
        <v>0</v>
      </c>
      <c r="M664" t="n">
        <v>0</v>
      </c>
      <c r="N664" t="n">
        <v>0</v>
      </c>
      <c r="O664" t="n">
        <v>0</v>
      </c>
      <c r="P664" t="n">
        <v>0</v>
      </c>
      <c r="Q664" t="n">
        <v>0</v>
      </c>
      <c r="R664" s="2" t="inlineStr"/>
    </row>
    <row r="665" ht="15" customHeight="1">
      <c r="A665" t="inlineStr">
        <is>
          <t>A 6132-2025</t>
        </is>
      </c>
      <c r="B665" s="1" t="n">
        <v>45698</v>
      </c>
      <c r="C665" s="1" t="n">
        <v>45937</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31859-2023</t>
        </is>
      </c>
      <c r="B666" s="1" t="n">
        <v>45118</v>
      </c>
      <c r="C666" s="1" t="n">
        <v>45937</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c r="U666">
        <f>HYPERLINK("https://klasma.github.io/Logging_1981/knärot/A 31859-2023 karta knärot.png", "A 31859-2023")</f>
        <v/>
      </c>
      <c r="V666">
        <f>HYPERLINK("https://klasma.github.io/Logging_1981/klagomål/A 31859-2023 FSC-klagomål.docx", "A 31859-2023")</f>
        <v/>
      </c>
      <c r="W666">
        <f>HYPERLINK("https://klasma.github.io/Logging_1981/klagomålsmail/A 31859-2023 FSC-klagomål mail.docx", "A 31859-2023")</f>
        <v/>
      </c>
      <c r="X666">
        <f>HYPERLINK("https://klasma.github.io/Logging_1981/tillsyn/A 31859-2023 tillsynsbegäran.docx", "A 31859-2023")</f>
        <v/>
      </c>
      <c r="Y666">
        <f>HYPERLINK("https://klasma.github.io/Logging_1981/tillsynsmail/A 31859-2023 tillsynsbegäran mail.docx", "A 31859-2023")</f>
        <v/>
      </c>
    </row>
    <row r="667" ht="15" customHeight="1">
      <c r="A667" t="inlineStr">
        <is>
          <t>A 61681-2024</t>
        </is>
      </c>
      <c r="B667" s="1" t="n">
        <v>45647</v>
      </c>
      <c r="C667" s="1" t="n">
        <v>45937</v>
      </c>
      <c r="D667" t="inlineStr">
        <is>
          <t>VÄSTMANLANDS LÄN</t>
        </is>
      </c>
      <c r="E667" t="inlineStr">
        <is>
          <t>SALA</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54960-2024</t>
        </is>
      </c>
      <c r="B668" s="1" t="n">
        <v>45619.85208333333</v>
      </c>
      <c r="C668" s="1" t="n">
        <v>45937</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21968-2024</t>
        </is>
      </c>
      <c r="B669" s="1" t="n">
        <v>45443</v>
      </c>
      <c r="C669" s="1" t="n">
        <v>45937</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31082-2021</t>
        </is>
      </c>
      <c r="B670" s="1" t="n">
        <v>44368</v>
      </c>
      <c r="C670" s="1" t="n">
        <v>45937</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20352-2022</t>
        </is>
      </c>
      <c r="B671" s="1" t="n">
        <v>44699.37318287037</v>
      </c>
      <c r="C671" s="1" t="n">
        <v>45937</v>
      </c>
      <c r="D671" t="inlineStr">
        <is>
          <t>VÄSTMANLANDS LÄN</t>
        </is>
      </c>
      <c r="E671" t="inlineStr">
        <is>
          <t>SALA</t>
        </is>
      </c>
      <c r="G671" t="n">
        <v>1.3</v>
      </c>
      <c r="H671" t="n">
        <v>0</v>
      </c>
      <c r="I671" t="n">
        <v>0</v>
      </c>
      <c r="J671" t="n">
        <v>0</v>
      </c>
      <c r="K671" t="n">
        <v>0</v>
      </c>
      <c r="L671" t="n">
        <v>0</v>
      </c>
      <c r="M671" t="n">
        <v>0</v>
      </c>
      <c r="N671" t="n">
        <v>0</v>
      </c>
      <c r="O671" t="n">
        <v>0</v>
      </c>
      <c r="P671" t="n">
        <v>0</v>
      </c>
      <c r="Q671" t="n">
        <v>0</v>
      </c>
      <c r="R671" s="2" t="inlineStr"/>
    </row>
    <row r="672" ht="15" customHeight="1">
      <c r="A672" t="inlineStr">
        <is>
          <t>A 27657-2023</t>
        </is>
      </c>
      <c r="B672" s="1" t="n">
        <v>45097.76631944445</v>
      </c>
      <c r="C672" s="1" t="n">
        <v>45937</v>
      </c>
      <c r="D672" t="inlineStr">
        <is>
          <t>VÄSTMANLANDS LÄN</t>
        </is>
      </c>
      <c r="E672" t="inlineStr">
        <is>
          <t>SALA</t>
        </is>
      </c>
      <c r="G672" t="n">
        <v>0.1</v>
      </c>
      <c r="H672" t="n">
        <v>0</v>
      </c>
      <c r="I672" t="n">
        <v>0</v>
      </c>
      <c r="J672" t="n">
        <v>0</v>
      </c>
      <c r="K672" t="n">
        <v>0</v>
      </c>
      <c r="L672" t="n">
        <v>0</v>
      </c>
      <c r="M672" t="n">
        <v>0</v>
      </c>
      <c r="N672" t="n">
        <v>0</v>
      </c>
      <c r="O672" t="n">
        <v>0</v>
      </c>
      <c r="P672" t="n">
        <v>0</v>
      </c>
      <c r="Q672" t="n">
        <v>0</v>
      </c>
      <c r="R672" s="2" t="inlineStr"/>
    </row>
    <row r="673" ht="15" customHeight="1">
      <c r="A673" t="inlineStr">
        <is>
          <t>A 2766-2024</t>
        </is>
      </c>
      <c r="B673" s="1" t="n">
        <v>45314.60950231482</v>
      </c>
      <c r="C673" s="1" t="n">
        <v>45937</v>
      </c>
      <c r="D673" t="inlineStr">
        <is>
          <t>VÄSTMANLANDS LÄN</t>
        </is>
      </c>
      <c r="E673" t="inlineStr">
        <is>
          <t>SALA</t>
        </is>
      </c>
      <c r="G673" t="n">
        <v>2.8</v>
      </c>
      <c r="H673" t="n">
        <v>0</v>
      </c>
      <c r="I673" t="n">
        <v>0</v>
      </c>
      <c r="J673" t="n">
        <v>0</v>
      </c>
      <c r="K673" t="n">
        <v>0</v>
      </c>
      <c r="L673" t="n">
        <v>0</v>
      </c>
      <c r="M673" t="n">
        <v>0</v>
      </c>
      <c r="N673" t="n">
        <v>0</v>
      </c>
      <c r="O673" t="n">
        <v>0</v>
      </c>
      <c r="P673" t="n">
        <v>0</v>
      </c>
      <c r="Q673" t="n">
        <v>0</v>
      </c>
      <c r="R673" s="2" t="inlineStr"/>
    </row>
    <row r="674" ht="15" customHeight="1">
      <c r="A674" t="inlineStr">
        <is>
          <t>A 60550-2024</t>
        </is>
      </c>
      <c r="B674" s="1" t="n">
        <v>45643</v>
      </c>
      <c r="C674" s="1" t="n">
        <v>45937</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14690-2025</t>
        </is>
      </c>
      <c r="B675" s="1" t="n">
        <v>45742.58212962963</v>
      </c>
      <c r="C675" s="1" t="n">
        <v>45937</v>
      </c>
      <c r="D675" t="inlineStr">
        <is>
          <t>VÄSTMANLANDS LÄN</t>
        </is>
      </c>
      <c r="E675" t="inlineStr">
        <is>
          <t>SALA</t>
        </is>
      </c>
      <c r="G675" t="n">
        <v>3.4</v>
      </c>
      <c r="H675" t="n">
        <v>0</v>
      </c>
      <c r="I675" t="n">
        <v>0</v>
      </c>
      <c r="J675" t="n">
        <v>0</v>
      </c>
      <c r="K675" t="n">
        <v>0</v>
      </c>
      <c r="L675" t="n">
        <v>0</v>
      </c>
      <c r="M675" t="n">
        <v>0</v>
      </c>
      <c r="N675" t="n">
        <v>0</v>
      </c>
      <c r="O675" t="n">
        <v>0</v>
      </c>
      <c r="P675" t="n">
        <v>0</v>
      </c>
      <c r="Q675" t="n">
        <v>0</v>
      </c>
      <c r="R675" s="2" t="inlineStr"/>
    </row>
    <row r="676" ht="15" customHeight="1">
      <c r="A676" t="inlineStr">
        <is>
          <t>A 24175-2024</t>
        </is>
      </c>
      <c r="B676" s="1" t="n">
        <v>45456</v>
      </c>
      <c r="C676" s="1" t="n">
        <v>45937</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62449-2023</t>
        </is>
      </c>
      <c r="B677" s="1" t="n">
        <v>45268.49008101852</v>
      </c>
      <c r="C677" s="1" t="n">
        <v>45937</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54910-2023</t>
        </is>
      </c>
      <c r="B678" s="1" t="n">
        <v>45229</v>
      </c>
      <c r="C678" s="1" t="n">
        <v>45937</v>
      </c>
      <c r="D678" t="inlineStr">
        <is>
          <t>VÄSTMANLANDS LÄN</t>
        </is>
      </c>
      <c r="E678" t="inlineStr">
        <is>
          <t>SALA</t>
        </is>
      </c>
      <c r="G678" t="n">
        <v>2.4</v>
      </c>
      <c r="H678" t="n">
        <v>0</v>
      </c>
      <c r="I678" t="n">
        <v>0</v>
      </c>
      <c r="J678" t="n">
        <v>0</v>
      </c>
      <c r="K678" t="n">
        <v>0</v>
      </c>
      <c r="L678" t="n">
        <v>0</v>
      </c>
      <c r="M678" t="n">
        <v>0</v>
      </c>
      <c r="N678" t="n">
        <v>0</v>
      </c>
      <c r="O678" t="n">
        <v>0</v>
      </c>
      <c r="P678" t="n">
        <v>0</v>
      </c>
      <c r="Q678" t="n">
        <v>0</v>
      </c>
      <c r="R678" s="2" t="inlineStr"/>
    </row>
    <row r="679" ht="15" customHeight="1">
      <c r="A679" t="inlineStr">
        <is>
          <t>A 19222-2025</t>
        </is>
      </c>
      <c r="B679" s="1" t="n">
        <v>45769</v>
      </c>
      <c r="C679" s="1" t="n">
        <v>45937</v>
      </c>
      <c r="D679" t="inlineStr">
        <is>
          <t>VÄSTMANLANDS LÄN</t>
        </is>
      </c>
      <c r="E679" t="inlineStr">
        <is>
          <t>SALA</t>
        </is>
      </c>
      <c r="G679" t="n">
        <v>1.8</v>
      </c>
      <c r="H679" t="n">
        <v>0</v>
      </c>
      <c r="I679" t="n">
        <v>0</v>
      </c>
      <c r="J679" t="n">
        <v>0</v>
      </c>
      <c r="K679" t="n">
        <v>0</v>
      </c>
      <c r="L679" t="n">
        <v>0</v>
      </c>
      <c r="M679" t="n">
        <v>0</v>
      </c>
      <c r="N679" t="n">
        <v>0</v>
      </c>
      <c r="O679" t="n">
        <v>0</v>
      </c>
      <c r="P679" t="n">
        <v>0</v>
      </c>
      <c r="Q679" t="n">
        <v>0</v>
      </c>
      <c r="R679" s="2" t="inlineStr"/>
    </row>
    <row r="680" ht="15" customHeight="1">
      <c r="A680" t="inlineStr">
        <is>
          <t>A 19241-2025</t>
        </is>
      </c>
      <c r="B680" s="1" t="n">
        <v>45769</v>
      </c>
      <c r="C680" s="1" t="n">
        <v>45937</v>
      </c>
      <c r="D680" t="inlineStr">
        <is>
          <t>VÄSTMANLANDS LÄN</t>
        </is>
      </c>
      <c r="E680" t="inlineStr">
        <is>
          <t>SALA</t>
        </is>
      </c>
      <c r="G680" t="n">
        <v>3.6</v>
      </c>
      <c r="H680" t="n">
        <v>0</v>
      </c>
      <c r="I680" t="n">
        <v>0</v>
      </c>
      <c r="J680" t="n">
        <v>0</v>
      </c>
      <c r="K680" t="n">
        <v>0</v>
      </c>
      <c r="L680" t="n">
        <v>0</v>
      </c>
      <c r="M680" t="n">
        <v>0</v>
      </c>
      <c r="N680" t="n">
        <v>0</v>
      </c>
      <c r="O680" t="n">
        <v>0</v>
      </c>
      <c r="P680" t="n">
        <v>0</v>
      </c>
      <c r="Q680" t="n">
        <v>0</v>
      </c>
      <c r="R680" s="2" t="inlineStr"/>
    </row>
    <row r="681" ht="15" customHeight="1">
      <c r="A681" t="inlineStr">
        <is>
          <t>A 26416-2023</t>
        </is>
      </c>
      <c r="B681" s="1" t="n">
        <v>45092.38087962963</v>
      </c>
      <c r="C681" s="1" t="n">
        <v>45937</v>
      </c>
      <c r="D681" t="inlineStr">
        <is>
          <t>VÄSTMANLANDS LÄN</t>
        </is>
      </c>
      <c r="E681" t="inlineStr">
        <is>
          <t>SALA</t>
        </is>
      </c>
      <c r="G681" t="n">
        <v>2.9</v>
      </c>
      <c r="H681" t="n">
        <v>0</v>
      </c>
      <c r="I681" t="n">
        <v>0</v>
      </c>
      <c r="J681" t="n">
        <v>0</v>
      </c>
      <c r="K681" t="n">
        <v>0</v>
      </c>
      <c r="L681" t="n">
        <v>0</v>
      </c>
      <c r="M681" t="n">
        <v>0</v>
      </c>
      <c r="N681" t="n">
        <v>0</v>
      </c>
      <c r="O681" t="n">
        <v>0</v>
      </c>
      <c r="P681" t="n">
        <v>0</v>
      </c>
      <c r="Q681" t="n">
        <v>0</v>
      </c>
      <c r="R681" s="2" t="inlineStr"/>
    </row>
    <row r="682" ht="15" customHeight="1">
      <c r="A682" t="inlineStr">
        <is>
          <t>A 26692-2023</t>
        </is>
      </c>
      <c r="B682" s="1" t="n">
        <v>45093.360625</v>
      </c>
      <c r="C682" s="1" t="n">
        <v>45937</v>
      </c>
      <c r="D682" t="inlineStr">
        <is>
          <t>VÄSTMANLANDS LÄN</t>
        </is>
      </c>
      <c r="E682" t="inlineStr">
        <is>
          <t>SALA</t>
        </is>
      </c>
      <c r="G682" t="n">
        <v>1.8</v>
      </c>
      <c r="H682" t="n">
        <v>0</v>
      </c>
      <c r="I682" t="n">
        <v>0</v>
      </c>
      <c r="J682" t="n">
        <v>0</v>
      </c>
      <c r="K682" t="n">
        <v>0</v>
      </c>
      <c r="L682" t="n">
        <v>0</v>
      </c>
      <c r="M682" t="n">
        <v>0</v>
      </c>
      <c r="N682" t="n">
        <v>0</v>
      </c>
      <c r="O682" t="n">
        <v>0</v>
      </c>
      <c r="P682" t="n">
        <v>0</v>
      </c>
      <c r="Q682" t="n">
        <v>0</v>
      </c>
      <c r="R682" s="2" t="inlineStr"/>
    </row>
    <row r="683">
      <c r="A683" t="inlineStr">
        <is>
          <t>A 15681-2025</t>
        </is>
      </c>
      <c r="B683" s="1" t="n">
        <v>45748.45454861111</v>
      </c>
      <c r="C683" s="1" t="n">
        <v>45937</v>
      </c>
      <c r="D683" t="inlineStr">
        <is>
          <t>VÄSTMANLANDS LÄN</t>
        </is>
      </c>
      <c r="E683" t="inlineStr">
        <is>
          <t>SALA</t>
        </is>
      </c>
      <c r="F683" t="inlineStr">
        <is>
          <t>Bergvik skog öst AB</t>
        </is>
      </c>
      <c r="G683" t="n">
        <v>4.3</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2025-10-07T12:31:56Z</dcterms:created>
  <dcterms:modified xmlns:dcterms="http://purl.org/dc/terms/" xmlns:xsi="http://www.w3.org/2001/XMLSchema-instance" xsi:type="dcterms:W3CDTF">2025-10-07T12:31:57Z</dcterms:modified>
</cp:coreProperties>
</file>